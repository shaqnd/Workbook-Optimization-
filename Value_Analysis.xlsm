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worksheets/sheetVA1.xml" ContentType="application/vnd.openxmlformats-officedocument.spreadsheetml.worksheet+xml"/>
  <Override PartName="/xl/worksheets/sheetVA2.xml" ContentType="application/vnd.openxmlformats-officedocument.spreadsheetml.worksheet+xml"/>
  <Override PartName="/xl/worksheets/sheetVA3.xml" ContentType="application/vnd.openxmlformats-officedocument.spreadsheetml.worksheet+xml"/>
  <Override PartName="/xl/worksheets/sheetVA4.xml" ContentType="application/vnd.openxmlformats-officedocument.spreadsheetml.worksheet+xml"/>
  <Override PartName="/xl/worksheets/sheetVA5.xml" ContentType="application/vnd.openxmlformats-officedocument.spreadsheetml.worksheet+xml"/>
  <Override PartName="/xl/worksheets/sheetVA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adamscountyco-my.sharepoint.com/personal/scarter_adamscountyco_gov/Documents/Desktop/"/>
    </mc:Choice>
  </mc:AlternateContent>
  <xr:revisionPtr revIDLastSave="0" documentId="8_{7AFD6D86-D003-4B67-95A3-1F4E8F2B5B4E}" xr6:coauthVersionLast="47" xr6:coauthVersionMax="47" xr10:uidLastSave="{00000000-0000-0000-0000-000000000000}"/>
  <bookViews>
    <workbookView xWindow="-120" yWindow="405" windowWidth="21765" windowHeight="19935" firstSheet="2" activeTab="9" xr2:uid="{00000000-000D-0000-FFFF-FFFF00000000}"/>
  </bookViews>
  <sheets>
    <sheet name="Subject Property" sheetId="1" r:id="rId1"/>
    <sheet name="Report Inputs" sheetId="24" r:id="rId32"/>
    <sheet name="Rent Roll" sheetId="25" r:id="rId33"/>
    <sheet name="Lease Analysis" sheetId="29" r:id="rId37"/>
    <sheet name="Sales Grid" sheetId="26" r:id="rId34"/>
    <sheet name="Direct Cap" sheetId="27" r:id="rId35"/>
    <sheet name="Report Tables" sheetId="28" r:id="rId36"/>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11"/>
    <sheet name="Reconciliation" sheetId="23" r:id="rId12"/>
    <sheet name="Sales" sheetId="11" r:id="rId13"/>
    <sheet name="Income" sheetId="12" r:id="rId14"/>
    <sheet name="Codes" sheetId="13" r:id="rId15"/>
    <sheet name="Occ Codes" sheetId="14" r:id="rId16"/>
    <sheet name="Zoning Codes" sheetId="15" r:id="rId17"/>
    <sheet name="Resources" sheetId="16" r:id="rId18"/>
    <sheet name="Resource Directory" sheetId="17" r:id="rId19"/>
    <sheet name="Property Registry" sheetId="18" r:id="rId20"/>
    <sheet name="Expense Database" sheetId="19" r:id="rId21"/>
    <sheet name="PSF Summary" sheetId="20" r:id="rId22"/>
  </sheets>
  <externalReferences>
    <externalReference r:id="rId23"/>
    <externalReference r:id="rId24"/>
    <externalReference r:id="rId25"/>
    <externalReference r:id="rId26"/>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[1]Vertical!#REF!</definedName>
    <definedName name="_Fill" localSheetId="5" hidden="1">#REF!</definedName>
    <definedName name="_Fill" hidden="1">Sales!#REF!</definedName>
    <definedName name="_xlnm._FilterDatabase" localSheetId="10" hidden="1">Sales!$A$1:$AH$941</definedName>
    <definedName name="_xlnm._FilterDatabase" localSheetId="11" hidden="1">Income!$A$1:$AK$1019</definedName>
    <definedName name="_xlnm._FilterDatabase" localSheetId="16" hidden="1">'Resource Directory'!$B$4:$H$296</definedName>
    <definedName name="_Key1" localSheetId="6" hidden="1">[2]Sales!#REF!</definedName>
    <definedName name="_Key1" localSheetId="4" hidden="1">[1]Vertical!#REF!</definedName>
    <definedName name="_Key1" localSheetId="5" hidden="1">#REF!</definedName>
    <definedName name="_Key1" hidden="1">Income!#REF!</definedName>
    <definedName name="_Key2" localSheetId="6" hidden="1">[2]Sales!#REF!</definedName>
    <definedName name="_Key2" localSheetId="4" hidden="1">[1]Vertical!#REF!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[2]Sales!#REF!</definedName>
    <definedName name="_Sort" localSheetId="4" hidden="1">[1]Vertical!#REF!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[2]Sales!#REF!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0">Sales!$A$1:$AC$5</definedName>
    <definedName name="_xlnm.Print_Area" localSheetId="11">Income!$A$1:$AK$285</definedName>
    <definedName name="_xlnm.Print_Area" localSheetId="3">WO!$A$1:$H$55</definedName>
    <definedName name="PRINT_TITLES_MI">#REF!</definedName>
    <definedName name="RENT" localSheetId="6">[2]Sales!#REF!</definedName>
    <definedName name="RENT">Income!$A$1:$AK$1019</definedName>
    <definedName name="rent_line">Income!$A$5:$AK$1019</definedName>
    <definedName name="Rent_Save">'BAA Rent'!$B$23:$F$41</definedName>
    <definedName name="Rent_Title" localSheetId="6">[2]Sales!#REF!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[2]Sales!#REF!</definedName>
    <definedName name="SALES">Sales!$A$1:$AH$861</definedName>
    <definedName name="SCH" localSheetId="6">[2]Sales!#REF!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ullCalcOnLoad="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0" l="1"/>
  <c r="C6"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E46" i="4"/>
  <c r="D46" i="4"/>
  <c r="C46" i="4"/>
  <c r="B46" i="4"/>
  <c r="F45" i="4"/>
  <c r="D45" i="4"/>
  <c r="C45" i="4"/>
  <c r="B45" i="4"/>
  <c r="F44" i="4"/>
  <c r="D44" i="4"/>
  <c r="C44" i="4"/>
  <c r="B44" i="4"/>
  <c r="E43" i="4"/>
  <c r="D43" i="4"/>
  <c r="C43" i="4"/>
  <c r="B43" i="4"/>
  <c r="F42" i="4"/>
  <c r="D42" i="4"/>
  <c r="C42" i="4"/>
  <c r="B42" i="4"/>
  <c r="F41" i="4"/>
  <c r="D41" i="4"/>
  <c r="C41" i="4"/>
  <c r="B41" i="4"/>
  <c r="E40" i="4"/>
  <c r="D40" i="4"/>
  <c r="C40" i="4"/>
  <c r="B40" i="4"/>
  <c r="D13" i="4"/>
  <c r="C24" i="10" s="1"/>
  <c r="C13" i="4"/>
  <c r="E12" i="4"/>
  <c r="C12" i="4"/>
  <c r="B12" i="4"/>
  <c r="E11" i="4"/>
  <c r="D11" i="4"/>
  <c r="A3" i="4"/>
  <c r="C25" i="10" l="1"/>
  <c r="G46" i="10"/>
  <c r="H31" i="6"/>
  <c r="H26" i="6"/>
  <c r="H12" i="4"/>
  <c r="AL1019" i="12" l="1"/>
  <c r="AL1018" i="12"/>
  <c r="AL1017" i="12"/>
  <c r="AL1016" i="12"/>
  <c r="AL1015" i="12"/>
  <c r="AL1014" i="12"/>
  <c r="AL1013" i="12"/>
  <c r="AL1012" i="12"/>
  <c r="AL1011" i="12"/>
  <c r="AL1010" i="12"/>
  <c r="AL1009" i="12"/>
  <c r="AL1008" i="12"/>
  <c r="AL1007" i="12"/>
  <c r="AL1006" i="12"/>
  <c r="AL1005" i="12"/>
  <c r="AL1004" i="12"/>
  <c r="AL1003" i="12"/>
  <c r="AL1002" i="12"/>
  <c r="AL1001" i="12"/>
  <c r="AL1000" i="12"/>
  <c r="AL999" i="12"/>
  <c r="AL998" i="12"/>
  <c r="AL997" i="12"/>
  <c r="AL996" i="12"/>
  <c r="AL995" i="12"/>
  <c r="AL994" i="12"/>
  <c r="AL993" i="12"/>
  <c r="AL992" i="12"/>
  <c r="AL991" i="12"/>
  <c r="AL990" i="12"/>
  <c r="AL989" i="12"/>
  <c r="AL988" i="12"/>
  <c r="AL987" i="12"/>
  <c r="AL986" i="12"/>
  <c r="AL985" i="12"/>
  <c r="AL984" i="12"/>
  <c r="AL983" i="12"/>
  <c r="AL982" i="12"/>
  <c r="AL981" i="12"/>
  <c r="AL980" i="12"/>
  <c r="AL979" i="12"/>
  <c r="AL978" i="12"/>
  <c r="AL977" i="12"/>
  <c r="AL976" i="12"/>
  <c r="AL975" i="12"/>
  <c r="AL973" i="12"/>
  <c r="AL972" i="12"/>
  <c r="AL971" i="12"/>
  <c r="AL970" i="12"/>
  <c r="AL969" i="12"/>
  <c r="AL968" i="12"/>
  <c r="AL967" i="12"/>
  <c r="AL966" i="12"/>
  <c r="AL965" i="12"/>
  <c r="AL964" i="12"/>
  <c r="AL963" i="12"/>
  <c r="AL962" i="12"/>
  <c r="AL961" i="12"/>
  <c r="AL960" i="12"/>
  <c r="AL959" i="12"/>
  <c r="AL958" i="12"/>
  <c r="AL957" i="12"/>
  <c r="AL956" i="12"/>
  <c r="AL955" i="12"/>
  <c r="AL954" i="12"/>
  <c r="AL953" i="12"/>
  <c r="AL952" i="12"/>
  <c r="AL951" i="12"/>
  <c r="AL949" i="12"/>
  <c r="AL948" i="12"/>
  <c r="AL947" i="12"/>
  <c r="AL946" i="12"/>
  <c r="AL945" i="12"/>
  <c r="AL944" i="12"/>
  <c r="AL943" i="12"/>
  <c r="AL942" i="12"/>
  <c r="AL941" i="12"/>
  <c r="AL940" i="12"/>
  <c r="AL939" i="12"/>
  <c r="AL938" i="12"/>
  <c r="AL937" i="12"/>
  <c r="AL936" i="12"/>
  <c r="AL935" i="12"/>
  <c r="AL934" i="12"/>
  <c r="AL933" i="12"/>
  <c r="AL932" i="12"/>
  <c r="AL930" i="12"/>
  <c r="AL928" i="12"/>
  <c r="AL927" i="12"/>
  <c r="AL926" i="12"/>
  <c r="AL925" i="12"/>
  <c r="AL924" i="12"/>
  <c r="AL922" i="12"/>
  <c r="AL921" i="12"/>
  <c r="AL919" i="12"/>
  <c r="AL918" i="12"/>
  <c r="AL917" i="12"/>
  <c r="AL916" i="12"/>
  <c r="AL915" i="12"/>
  <c r="AL914" i="12"/>
  <c r="AL913" i="12"/>
  <c r="AL912" i="12"/>
  <c r="AL911" i="12"/>
  <c r="AL910" i="12"/>
  <c r="AL909" i="12"/>
  <c r="AL908" i="12"/>
  <c r="AL907" i="12"/>
  <c r="AL906" i="12"/>
  <c r="AL905" i="12"/>
  <c r="AL904" i="12"/>
  <c r="AL903" i="12"/>
  <c r="AL902" i="12"/>
  <c r="AL901" i="12"/>
  <c r="AL900" i="12"/>
  <c r="AL899" i="12"/>
  <c r="AL898" i="12"/>
  <c r="AL897" i="12"/>
  <c r="AL896" i="12"/>
  <c r="AL895" i="12"/>
  <c r="AL894" i="12"/>
  <c r="AL893" i="12"/>
  <c r="AL892" i="12"/>
  <c r="AL891" i="12"/>
  <c r="AL890" i="12"/>
  <c r="AL889" i="12"/>
  <c r="AL888" i="12"/>
  <c r="AL887" i="12"/>
  <c r="AL886" i="12"/>
  <c r="AL885" i="12"/>
  <c r="AL884" i="12"/>
  <c r="AL883" i="12"/>
  <c r="AL882" i="12"/>
  <c r="AL881" i="12"/>
  <c r="AL880" i="12"/>
  <c r="AL879" i="12"/>
  <c r="AL878" i="12"/>
  <c r="AL877" i="12"/>
  <c r="AL876" i="12"/>
  <c r="AL875" i="12"/>
  <c r="AL874" i="12"/>
  <c r="AL873" i="12"/>
  <c r="AL872" i="12"/>
  <c r="AL871" i="12"/>
  <c r="AL870" i="12"/>
  <c r="AL869" i="12"/>
  <c r="AL868" i="12"/>
  <c r="AL867" i="12"/>
  <c r="AL866" i="12"/>
  <c r="AL865" i="12"/>
  <c r="AL864" i="12"/>
  <c r="AL863" i="12"/>
  <c r="AL862" i="12"/>
  <c r="AL861" i="12"/>
  <c r="AL860" i="12"/>
  <c r="AL859" i="12"/>
  <c r="AL858" i="12"/>
  <c r="AL857" i="12"/>
  <c r="AL856" i="12"/>
  <c r="AL855" i="12"/>
  <c r="AL854" i="12"/>
  <c r="AL853" i="12"/>
  <c r="AL852" i="12"/>
  <c r="AL851" i="12"/>
  <c r="AL850" i="12"/>
  <c r="AL849" i="12"/>
  <c r="AL848" i="12"/>
  <c r="AL847" i="12"/>
  <c r="AL846" i="12"/>
  <c r="AL845" i="12"/>
  <c r="AL844" i="12"/>
  <c r="AL843" i="12"/>
  <c r="AL842" i="12"/>
  <c r="AL841" i="12"/>
  <c r="AL840" i="12"/>
  <c r="AL839" i="12"/>
  <c r="AL838" i="12"/>
  <c r="AL837" i="12"/>
  <c r="AL836" i="12"/>
  <c r="AL835" i="12"/>
  <c r="AL834" i="12"/>
  <c r="AL833" i="12"/>
  <c r="AL832" i="12"/>
  <c r="AL831" i="12"/>
  <c r="AL830" i="12"/>
  <c r="AL829" i="12"/>
  <c r="AL828" i="12"/>
  <c r="AL826" i="12"/>
  <c r="AL825" i="12"/>
  <c r="AL824" i="12"/>
  <c r="AL823" i="12"/>
  <c r="AL822" i="12"/>
  <c r="AL821" i="12"/>
  <c r="AL820" i="12"/>
  <c r="AL819" i="12"/>
  <c r="AL818" i="12"/>
  <c r="AL817" i="12"/>
  <c r="AL816" i="12"/>
  <c r="AL815" i="12"/>
  <c r="AL814" i="12"/>
  <c r="AL813" i="12"/>
  <c r="AL812" i="12"/>
  <c r="AL811" i="12"/>
  <c r="AL810" i="12"/>
  <c r="AL809" i="12"/>
  <c r="AL808" i="12"/>
  <c r="AL807" i="12"/>
  <c r="AL806" i="12"/>
  <c r="AL805" i="12"/>
  <c r="AL804" i="12"/>
  <c r="AL803" i="12"/>
  <c r="AL802" i="12"/>
  <c r="AL801" i="12"/>
  <c r="AL800" i="12"/>
  <c r="AL799" i="12"/>
  <c r="AL798" i="12"/>
  <c r="AL797" i="12"/>
  <c r="AL796" i="12"/>
  <c r="AL795" i="12"/>
  <c r="AL794" i="12"/>
  <c r="AL793" i="12"/>
  <c r="AL792" i="12"/>
  <c r="AL791" i="12"/>
  <c r="AL790" i="12"/>
  <c r="AL789" i="12"/>
  <c r="AL788" i="12"/>
  <c r="AL787" i="12"/>
  <c r="AL786" i="12"/>
  <c r="AL785" i="12"/>
  <c r="AL784" i="12"/>
  <c r="AL783" i="12"/>
  <c r="AL782" i="12"/>
  <c r="AL781" i="12"/>
  <c r="AL780" i="12"/>
  <c r="AL779" i="12"/>
  <c r="AL778" i="12"/>
  <c r="AL777" i="12"/>
  <c r="AL776" i="12"/>
  <c r="AL775" i="12"/>
  <c r="AL774" i="12"/>
  <c r="AL773" i="12"/>
  <c r="AL772" i="12"/>
  <c r="AL771" i="12"/>
  <c r="AL770" i="12"/>
  <c r="AL769" i="12"/>
  <c r="AL768" i="12"/>
  <c r="AL767" i="12"/>
  <c r="AL766" i="12"/>
  <c r="AL765" i="12"/>
  <c r="AL764" i="12"/>
  <c r="AL763" i="12"/>
  <c r="AL762" i="12"/>
  <c r="AL761" i="12"/>
  <c r="AL760" i="12"/>
  <c r="AL759" i="12"/>
  <c r="AL758" i="12"/>
  <c r="AL757" i="12"/>
  <c r="AL756" i="12"/>
  <c r="AL755" i="12"/>
  <c r="AL754" i="12"/>
  <c r="AL753" i="12"/>
  <c r="AL752" i="12"/>
  <c r="AL751" i="12"/>
  <c r="AL750" i="12"/>
  <c r="AL749" i="12"/>
  <c r="AL748" i="12"/>
  <c r="AL747" i="12"/>
  <c r="AL746" i="12"/>
  <c r="AL745" i="12"/>
  <c r="AL744" i="12"/>
  <c r="AL743" i="12"/>
  <c r="AL742" i="12"/>
  <c r="AL741" i="12"/>
  <c r="AL740" i="12"/>
  <c r="AL739" i="12"/>
  <c r="AL738" i="12"/>
  <c r="AL737" i="12"/>
  <c r="AL736" i="12"/>
  <c r="AL735" i="12"/>
  <c r="AL734" i="12"/>
  <c r="AL733" i="12"/>
  <c r="AL732" i="12"/>
  <c r="AL731" i="12"/>
  <c r="AL730" i="12"/>
  <c r="AL729" i="12"/>
  <c r="AL728" i="12"/>
  <c r="AL727" i="12"/>
  <c r="AL726" i="12"/>
  <c r="AL725" i="12"/>
  <c r="AL724" i="12"/>
  <c r="AL723" i="12"/>
  <c r="AL722" i="12"/>
  <c r="AL721" i="12"/>
  <c r="AL720" i="12"/>
  <c r="AL719" i="12"/>
  <c r="AL718" i="12"/>
  <c r="AL717" i="12"/>
  <c r="AL716" i="12"/>
  <c r="AL715" i="12"/>
  <c r="AL714" i="12"/>
  <c r="AL713" i="12"/>
  <c r="AL712" i="12"/>
  <c r="AL711" i="12"/>
  <c r="AL710" i="12"/>
  <c r="AL709" i="12"/>
  <c r="AL708" i="12"/>
  <c r="AL707" i="12"/>
  <c r="AL706" i="12"/>
  <c r="AL705" i="12"/>
  <c r="AL703" i="12"/>
  <c r="AL702" i="12"/>
  <c r="AL701" i="12"/>
  <c r="AL700" i="12"/>
  <c r="AL699" i="12"/>
  <c r="AL698" i="12"/>
  <c r="AL697" i="12"/>
  <c r="AL696" i="12"/>
  <c r="AL695" i="12"/>
  <c r="AL694" i="12"/>
  <c r="AL693" i="12"/>
  <c r="AL692" i="12"/>
  <c r="AL691" i="12"/>
  <c r="AL690" i="12"/>
  <c r="AL689" i="12"/>
  <c r="AL688" i="12"/>
  <c r="AL687" i="12"/>
  <c r="AL686" i="12"/>
  <c r="AL685" i="12"/>
  <c r="AL684" i="12"/>
  <c r="AL683" i="12"/>
  <c r="AL682" i="12"/>
  <c r="AL681" i="12"/>
  <c r="AL680" i="12"/>
  <c r="AL678" i="12"/>
  <c r="AL677" i="12"/>
  <c r="AL676" i="12"/>
  <c r="AL675" i="12"/>
  <c r="AL674" i="12"/>
  <c r="AL673" i="12"/>
  <c r="AL672" i="12"/>
  <c r="AL671" i="12"/>
  <c r="AL670" i="12"/>
  <c r="AL669" i="12"/>
  <c r="AL668" i="12"/>
  <c r="AL667" i="12"/>
  <c r="AL666" i="12"/>
  <c r="AL665" i="12"/>
  <c r="AL664" i="12"/>
  <c r="AL663" i="12"/>
  <c r="AL662" i="12"/>
  <c r="AL661" i="12"/>
  <c r="AL660" i="12"/>
  <c r="AL659" i="12"/>
  <c r="AL658" i="12"/>
  <c r="AL657" i="12"/>
  <c r="AL656" i="12"/>
  <c r="AL655" i="12"/>
  <c r="AL654" i="12"/>
  <c r="AL653" i="12"/>
  <c r="AL652" i="12"/>
  <c r="AL651" i="12"/>
  <c r="AL650" i="12"/>
  <c r="AL649" i="12"/>
  <c r="AL648" i="12"/>
  <c r="AL647" i="12"/>
  <c r="AL646" i="12"/>
  <c r="AL645" i="12"/>
  <c r="AL644" i="12"/>
  <c r="AL643" i="12"/>
  <c r="AL642" i="12"/>
  <c r="AL641" i="12"/>
  <c r="AL640" i="12"/>
  <c r="AL639" i="12"/>
  <c r="AL638" i="12"/>
  <c r="AL637" i="12"/>
  <c r="AL636" i="12"/>
  <c r="AL635" i="12"/>
  <c r="AL634" i="12"/>
  <c r="AL633" i="12"/>
  <c r="AL632" i="12"/>
  <c r="AL631" i="12"/>
  <c r="AL630" i="12"/>
  <c r="AL629" i="12"/>
  <c r="AL628" i="12"/>
  <c r="AL627" i="12"/>
  <c r="AL626" i="12"/>
  <c r="AL625" i="12"/>
  <c r="AL624" i="12"/>
  <c r="AL623" i="12"/>
  <c r="AL622" i="12"/>
  <c r="AL621" i="12"/>
  <c r="AL620" i="12"/>
  <c r="AL619" i="12"/>
  <c r="AL618" i="12"/>
  <c r="AL617" i="12"/>
  <c r="AL616" i="12"/>
  <c r="AL615" i="12"/>
  <c r="AL614" i="12"/>
  <c r="AL613" i="12"/>
  <c r="AL612" i="12"/>
  <c r="AL611" i="12"/>
  <c r="AL610" i="12"/>
  <c r="AL609" i="12"/>
  <c r="AL608" i="12"/>
  <c r="AL607" i="12"/>
  <c r="AL606" i="12"/>
  <c r="AL605" i="12"/>
  <c r="AL604" i="12"/>
  <c r="AL603" i="12"/>
  <c r="AL602" i="12"/>
  <c r="AL601" i="12"/>
  <c r="AL600" i="12"/>
  <c r="AL599" i="12"/>
  <c r="AL598" i="12"/>
  <c r="AL597" i="12"/>
  <c r="AL596" i="12"/>
  <c r="AL595" i="12"/>
  <c r="AL594" i="12"/>
  <c r="AL593" i="12"/>
  <c r="AL592" i="12"/>
  <c r="AL591" i="12"/>
  <c r="AL590" i="12"/>
  <c r="AL589" i="12"/>
  <c r="AL588" i="12"/>
  <c r="AL587" i="12"/>
  <c r="AL586" i="12"/>
  <c r="AL585" i="12"/>
  <c r="AL584" i="12"/>
  <c r="AL583" i="12"/>
  <c r="AL582" i="12"/>
  <c r="AL581" i="12"/>
  <c r="AL580" i="12"/>
  <c r="AL579" i="12"/>
  <c r="AL578" i="12"/>
  <c r="AL577" i="12"/>
  <c r="AL576" i="12"/>
  <c r="AL575" i="12"/>
  <c r="AL574" i="12"/>
  <c r="AL573" i="12"/>
  <c r="AL572" i="12"/>
  <c r="AL571" i="12"/>
  <c r="AL570" i="12"/>
  <c r="AL479" i="12"/>
  <c r="AL454" i="12"/>
  <c r="AL447" i="12"/>
  <c r="AL412" i="12"/>
  <c r="AL378" i="12"/>
  <c r="AL336" i="12"/>
  <c r="AL320" i="12"/>
  <c r="AL5" i="12"/>
  <c r="AL4" i="12"/>
  <c r="AL3" i="12"/>
  <c r="AL2" i="12"/>
  <c r="AK941" i="11"/>
  <c r="AK940" i="11"/>
  <c r="AK939" i="11"/>
  <c r="AK938" i="11"/>
  <c r="AK937" i="11"/>
  <c r="AK936" i="11"/>
  <c r="AK935" i="11"/>
  <c r="AK934" i="11"/>
  <c r="AK933" i="11"/>
  <c r="AK932" i="11"/>
  <c r="AK931" i="11"/>
  <c r="AK930" i="11"/>
  <c r="AK929" i="11"/>
  <c r="AK928" i="11"/>
  <c r="AK927" i="11"/>
  <c r="AK926" i="11"/>
  <c r="AK925" i="11"/>
  <c r="AK924" i="11"/>
  <c r="AK923" i="11"/>
  <c r="AK922" i="11"/>
  <c r="AK921" i="11"/>
  <c r="AK920" i="11"/>
  <c r="AK919" i="11"/>
  <c r="AK918" i="11"/>
  <c r="AK917" i="11"/>
  <c r="AK916" i="11"/>
  <c r="AK915" i="11"/>
  <c r="AK914" i="11"/>
  <c r="AK913" i="11"/>
  <c r="AK912" i="11"/>
  <c r="AK911" i="11"/>
  <c r="AK910" i="11"/>
  <c r="AK909" i="11"/>
  <c r="AK908" i="11"/>
  <c r="AK907" i="11"/>
  <c r="AK906" i="11"/>
  <c r="AK905" i="11"/>
  <c r="AK904" i="11"/>
  <c r="AK903" i="11"/>
  <c r="AK902" i="11"/>
  <c r="AK901" i="11"/>
  <c r="AK900" i="11"/>
  <c r="AK899" i="11"/>
  <c r="AK898" i="11"/>
  <c r="AK897" i="11"/>
  <c r="AK896" i="11"/>
  <c r="AK895" i="11"/>
  <c r="AK894" i="11"/>
  <c r="AK893" i="11"/>
  <c r="AK892" i="11"/>
  <c r="AK891" i="11"/>
  <c r="AK890" i="11"/>
  <c r="AK889" i="11"/>
  <c r="AK888" i="11"/>
  <c r="AK887" i="11"/>
  <c r="AK886" i="11"/>
  <c r="AK885" i="11"/>
  <c r="AK884" i="11"/>
  <c r="AK883" i="11"/>
  <c r="AK882" i="11"/>
  <c r="AK881" i="11"/>
  <c r="AK880" i="11"/>
  <c r="AK879" i="11"/>
  <c r="AK878" i="11"/>
  <c r="AK877" i="11"/>
  <c r="AK876" i="11"/>
  <c r="AK875" i="11"/>
  <c r="AK874" i="11"/>
  <c r="AK873" i="11"/>
  <c r="AK872" i="11"/>
  <c r="AK871" i="11"/>
  <c r="AK870" i="11"/>
  <c r="AK869" i="11"/>
  <c r="AK868" i="11"/>
  <c r="AK867" i="11"/>
  <c r="AK866" i="11"/>
  <c r="AK865" i="11"/>
  <c r="AK864" i="11"/>
  <c r="AK863" i="11"/>
  <c r="AK862" i="11"/>
  <c r="AK861" i="11"/>
  <c r="AK860" i="11"/>
  <c r="AK859" i="11"/>
  <c r="AK858" i="11"/>
  <c r="AK857" i="11"/>
  <c r="AK856" i="11"/>
  <c r="AK855" i="11"/>
  <c r="AK854" i="11"/>
  <c r="AK853" i="11"/>
  <c r="AK852" i="11"/>
  <c r="AK851" i="11"/>
  <c r="AK850" i="11"/>
  <c r="AK849" i="11"/>
  <c r="AK848" i="11"/>
  <c r="AK847" i="11"/>
  <c r="AK846" i="11"/>
  <c r="AK845" i="11"/>
  <c r="AK844" i="11"/>
  <c r="AK843" i="11"/>
  <c r="AK842" i="11"/>
  <c r="AK841" i="11"/>
  <c r="AK840" i="11"/>
  <c r="AK839" i="11"/>
  <c r="AK838" i="11"/>
  <c r="AK837" i="11"/>
  <c r="AK836" i="11"/>
  <c r="AK835" i="11"/>
  <c r="AK834" i="11"/>
  <c r="AK833" i="11"/>
  <c r="AK832" i="11"/>
  <c r="AK831" i="11"/>
  <c r="AK830" i="11"/>
  <c r="AK829" i="11"/>
  <c r="AK828" i="11"/>
  <c r="AK827" i="11"/>
  <c r="AK826" i="11"/>
  <c r="AK825" i="11"/>
  <c r="AK824" i="11"/>
  <c r="AK823" i="11"/>
  <c r="AK822" i="11"/>
  <c r="AK821" i="11"/>
  <c r="AK820" i="11"/>
  <c r="AK819" i="11"/>
  <c r="AK818" i="11"/>
  <c r="AK817" i="11"/>
  <c r="AK816" i="11"/>
  <c r="AK815" i="11"/>
  <c r="AK814" i="11"/>
  <c r="AK813" i="11"/>
  <c r="AK812" i="11"/>
  <c r="AK811" i="11"/>
  <c r="AK810" i="11"/>
  <c r="AK809" i="11"/>
  <c r="AK808" i="11"/>
  <c r="AK807" i="11"/>
  <c r="AK806" i="11"/>
  <c r="AK805" i="11"/>
  <c r="AK804" i="11"/>
  <c r="AK803" i="11"/>
  <c r="AK802" i="11"/>
  <c r="AK801" i="11"/>
  <c r="AK800" i="11"/>
  <c r="AK799" i="11"/>
  <c r="AK798" i="11"/>
  <c r="AK797" i="11"/>
  <c r="AK796" i="11"/>
  <c r="AK795" i="11"/>
  <c r="AK794" i="11"/>
  <c r="AK793" i="11"/>
  <c r="AK792" i="11"/>
  <c r="AK791" i="11"/>
  <c r="AK790" i="11"/>
  <c r="AK789" i="11"/>
  <c r="AK788" i="11"/>
  <c r="AK787" i="11"/>
  <c r="AK786" i="11"/>
  <c r="AK785" i="11"/>
  <c r="AK784" i="11"/>
  <c r="AK783" i="11"/>
  <c r="AK782" i="11"/>
  <c r="AK781" i="11"/>
  <c r="AK780" i="11"/>
  <c r="AK779" i="11"/>
  <c r="AK778" i="11"/>
  <c r="AK777" i="11"/>
  <c r="AK776" i="11"/>
  <c r="AK775" i="11"/>
  <c r="AK774" i="11"/>
  <c r="AK773" i="11"/>
  <c r="AK772" i="11"/>
  <c r="AK771" i="11"/>
  <c r="AK770" i="11"/>
  <c r="AK769" i="11"/>
  <c r="AK768" i="11"/>
  <c r="AK767" i="11"/>
  <c r="AK766" i="11"/>
  <c r="AK765" i="11"/>
  <c r="AK764" i="11"/>
  <c r="AK763" i="11"/>
  <c r="AK762" i="11"/>
  <c r="AK761" i="11"/>
  <c r="AK760" i="11"/>
  <c r="AK759" i="11"/>
  <c r="AK758" i="11"/>
  <c r="AK757" i="11"/>
  <c r="AK756" i="11"/>
  <c r="AK755" i="11"/>
  <c r="AK754" i="11"/>
  <c r="AK753" i="11"/>
  <c r="AK752" i="11"/>
  <c r="AK751" i="11"/>
  <c r="AK750" i="11"/>
  <c r="AK749" i="11"/>
  <c r="AK748" i="11"/>
  <c r="AK747" i="11"/>
  <c r="AK746" i="11"/>
  <c r="AK745" i="11"/>
  <c r="AK744" i="11"/>
  <c r="AK743" i="11"/>
  <c r="AK742" i="11"/>
  <c r="AK741" i="11"/>
  <c r="AK740" i="11"/>
  <c r="AK739" i="11"/>
  <c r="AK738" i="11"/>
  <c r="AK737" i="11"/>
  <c r="AK736" i="11"/>
  <c r="AK735" i="11"/>
  <c r="AK734" i="11"/>
  <c r="AK733" i="11"/>
  <c r="AK732" i="11"/>
  <c r="AK731" i="11"/>
  <c r="AK730" i="11"/>
  <c r="AK729" i="11"/>
  <c r="AK728" i="11"/>
  <c r="AK727" i="11"/>
  <c r="AK726" i="11"/>
  <c r="AK725" i="11"/>
  <c r="AK724" i="11"/>
  <c r="AK723" i="11"/>
  <c r="AK722" i="11"/>
  <c r="AK721" i="11"/>
  <c r="AK720" i="11"/>
  <c r="AK719" i="11"/>
  <c r="AK718" i="11"/>
  <c r="AK717" i="11"/>
  <c r="AK716" i="11"/>
  <c r="AK715" i="11"/>
  <c r="AK714" i="11"/>
  <c r="AK713" i="11"/>
  <c r="AK712" i="11"/>
  <c r="AK711" i="11"/>
  <c r="AK710" i="11"/>
  <c r="AK709" i="11"/>
  <c r="AK708" i="11"/>
  <c r="AK707" i="11"/>
  <c r="AK706" i="11"/>
  <c r="AK705" i="11"/>
  <c r="AK704" i="11"/>
  <c r="AK703" i="11"/>
  <c r="AK702" i="11"/>
  <c r="AK701" i="11"/>
  <c r="AK700" i="11"/>
  <c r="AK699" i="11"/>
  <c r="AK698" i="11"/>
  <c r="AK697" i="11"/>
  <c r="AK696" i="11"/>
  <c r="AK695" i="11"/>
  <c r="AK694" i="11"/>
  <c r="AK693" i="11"/>
  <c r="AK692" i="11"/>
  <c r="AK691" i="11"/>
  <c r="AK690" i="11"/>
  <c r="AK689" i="11"/>
  <c r="AK688" i="11"/>
  <c r="AK687" i="11"/>
  <c r="AK686" i="11"/>
  <c r="AK685" i="11"/>
  <c r="AK684" i="11"/>
  <c r="AK683" i="11"/>
  <c r="AK682" i="11"/>
  <c r="AK681" i="11"/>
  <c r="AK680" i="11"/>
  <c r="AK679" i="11"/>
  <c r="AK678" i="11"/>
  <c r="AK677" i="11"/>
  <c r="AK676" i="11"/>
  <c r="AK675" i="11"/>
  <c r="AK674" i="11"/>
  <c r="AK673" i="11"/>
  <c r="AK672" i="11"/>
  <c r="AK671" i="11"/>
  <c r="AK670" i="11"/>
  <c r="AK669" i="11"/>
  <c r="AK668" i="11"/>
  <c r="AK667" i="11"/>
  <c r="AK666" i="11"/>
  <c r="AK665" i="11"/>
  <c r="AK664" i="11"/>
  <c r="AK663" i="11"/>
  <c r="AK662" i="11"/>
  <c r="AK661" i="11"/>
  <c r="AK660" i="11"/>
  <c r="AK659" i="11"/>
  <c r="AK658" i="11"/>
  <c r="AK657" i="11"/>
  <c r="AK656" i="11"/>
  <c r="AK655" i="11"/>
  <c r="AK654" i="11"/>
  <c r="AK653" i="11"/>
  <c r="AK652" i="11"/>
  <c r="AK651" i="11"/>
  <c r="AK650" i="11"/>
  <c r="AK649" i="11"/>
  <c r="AK648" i="11"/>
  <c r="AK647" i="11"/>
  <c r="AK646" i="11"/>
  <c r="AK645" i="11"/>
  <c r="AK644" i="11"/>
  <c r="AK643" i="11"/>
  <c r="AK642" i="11"/>
  <c r="AK641" i="11"/>
  <c r="AK640" i="11"/>
  <c r="AK639" i="11"/>
  <c r="AK638" i="11"/>
  <c r="AK637" i="11"/>
  <c r="AK636" i="11"/>
  <c r="AK635" i="11"/>
  <c r="AK634" i="11"/>
  <c r="AK633" i="11"/>
  <c r="AK632" i="11"/>
  <c r="AK631" i="11"/>
  <c r="AK630" i="11"/>
  <c r="AK629" i="11"/>
  <c r="AK628" i="11"/>
  <c r="AK627" i="11"/>
  <c r="AK626" i="11"/>
  <c r="AK625" i="11"/>
  <c r="AK624" i="11"/>
  <c r="AK623" i="11"/>
  <c r="AK622" i="11"/>
  <c r="AK621" i="11"/>
  <c r="AK620" i="11"/>
  <c r="AK619" i="11"/>
  <c r="AK618" i="11"/>
  <c r="AK617" i="11"/>
  <c r="AK616" i="11"/>
  <c r="AK615" i="11"/>
  <c r="AK614" i="11"/>
  <c r="AK613" i="11"/>
  <c r="AK612" i="11"/>
  <c r="AK611" i="11"/>
  <c r="AK610" i="11"/>
  <c r="AK609" i="11"/>
  <c r="AK608" i="11"/>
  <c r="AK607" i="11"/>
  <c r="AK606" i="11"/>
  <c r="AK605" i="11"/>
  <c r="AK604" i="11"/>
  <c r="AK603" i="11"/>
  <c r="AK602" i="11"/>
  <c r="AK601" i="11"/>
  <c r="AK600" i="11"/>
  <c r="AK599" i="11"/>
  <c r="AK598" i="11"/>
  <c r="AK597" i="11"/>
  <c r="AK596" i="11"/>
  <c r="AK595" i="11"/>
  <c r="AK594" i="11"/>
  <c r="AK593" i="11"/>
  <c r="AK592" i="11"/>
  <c r="AK591" i="11"/>
  <c r="AK590" i="11"/>
  <c r="AK589" i="11"/>
  <c r="AK588" i="11"/>
  <c r="AK587" i="11"/>
  <c r="AK586" i="11"/>
  <c r="AK585" i="11"/>
  <c r="AK584" i="11"/>
  <c r="AK583" i="11"/>
  <c r="AK582" i="11"/>
  <c r="AK581" i="11"/>
  <c r="AK580" i="11"/>
  <c r="AK579" i="11"/>
  <c r="AK578" i="11"/>
  <c r="AK577" i="11"/>
  <c r="AK576" i="11"/>
  <c r="AK575" i="11"/>
  <c r="AK574" i="11"/>
  <c r="AK573" i="11"/>
  <c r="AK572" i="11"/>
  <c r="AK571" i="11"/>
  <c r="AK570" i="11"/>
  <c r="AK569" i="11"/>
  <c r="AK568" i="11"/>
  <c r="AK567" i="11"/>
  <c r="AK566" i="11"/>
  <c r="AK565" i="11"/>
  <c r="AK564" i="11"/>
  <c r="AK563" i="11"/>
  <c r="AK562" i="11"/>
  <c r="AK561" i="11"/>
  <c r="AK560" i="11"/>
  <c r="AK559" i="11"/>
  <c r="AK558" i="11"/>
  <c r="AK557" i="11"/>
  <c r="AK556" i="11"/>
  <c r="AK555" i="11"/>
  <c r="AK554" i="11"/>
  <c r="AK553" i="11"/>
  <c r="AK552" i="11"/>
  <c r="AK551" i="11"/>
  <c r="AK550" i="11"/>
  <c r="AK549" i="11"/>
  <c r="AK548" i="11"/>
  <c r="AK547" i="11"/>
  <c r="AK546" i="11"/>
  <c r="AK545" i="11"/>
  <c r="AK544" i="11"/>
  <c r="AK543" i="11"/>
  <c r="AK542" i="11"/>
  <c r="AK541" i="11"/>
  <c r="AK540" i="11"/>
  <c r="AK539" i="11"/>
  <c r="AK538" i="11"/>
  <c r="AK537" i="11"/>
  <c r="AK536" i="11"/>
  <c r="AK535" i="11"/>
  <c r="AK534" i="11"/>
  <c r="AK533" i="11"/>
  <c r="AK532" i="11"/>
  <c r="AK531" i="11"/>
  <c r="AK530" i="11"/>
  <c r="AK529" i="11"/>
  <c r="AK528" i="11"/>
  <c r="AK527" i="11"/>
  <c r="AK526" i="11"/>
  <c r="AK525" i="11"/>
  <c r="AK524" i="11"/>
  <c r="AK523" i="11"/>
  <c r="AK522" i="11"/>
  <c r="AK521" i="11"/>
  <c r="AK520" i="11"/>
  <c r="AK519" i="11"/>
  <c r="AK518" i="11"/>
  <c r="AK517" i="11"/>
  <c r="AK516" i="11"/>
  <c r="AK515" i="11"/>
  <c r="AK514" i="11"/>
  <c r="AK513" i="11"/>
  <c r="AK512" i="11"/>
  <c r="AK511" i="11"/>
  <c r="AK510" i="11"/>
  <c r="AK509" i="11"/>
  <c r="AK508" i="11"/>
  <c r="AK507" i="11"/>
  <c r="AK506" i="11"/>
  <c r="AK505" i="11"/>
  <c r="AK504" i="11"/>
  <c r="AK503" i="11"/>
  <c r="AK502" i="11"/>
  <c r="AK501" i="11"/>
  <c r="AK500" i="11"/>
  <c r="AK499" i="11"/>
  <c r="AK498" i="11"/>
  <c r="AK497" i="11"/>
  <c r="AK496" i="11"/>
  <c r="AK495" i="11"/>
  <c r="AK494" i="11"/>
  <c r="AK493" i="11"/>
  <c r="AK492" i="11"/>
  <c r="AK491" i="11"/>
  <c r="AK490" i="11"/>
  <c r="AK489" i="11"/>
  <c r="AK488" i="11"/>
  <c r="AK487" i="11"/>
  <c r="AK486" i="11"/>
  <c r="AK485" i="11"/>
  <c r="AK484" i="11"/>
  <c r="AK483" i="11"/>
  <c r="AK482" i="11"/>
  <c r="AK481" i="11"/>
  <c r="AK480" i="11"/>
  <c r="AK479" i="11"/>
  <c r="AK478" i="11"/>
  <c r="AK477" i="11"/>
  <c r="AK476" i="11"/>
  <c r="AK475" i="11"/>
  <c r="AK474" i="11"/>
  <c r="AK473" i="11"/>
  <c r="AK472" i="11"/>
  <c r="AK471" i="11"/>
  <c r="AK470" i="11"/>
  <c r="AK469" i="11"/>
  <c r="AK468" i="11"/>
  <c r="AK467" i="11"/>
  <c r="AK466" i="11"/>
  <c r="AK465" i="11"/>
  <c r="AK464" i="11"/>
  <c r="AK463" i="11"/>
  <c r="AK462" i="11"/>
  <c r="AK461" i="11"/>
  <c r="AK460" i="11"/>
  <c r="AK459" i="11"/>
  <c r="AK458" i="11"/>
  <c r="AK457" i="11"/>
  <c r="AK456" i="11"/>
  <c r="AK455" i="11"/>
  <c r="AK454" i="11"/>
  <c r="AK453" i="11"/>
  <c r="AK452" i="11"/>
  <c r="AK451" i="11"/>
  <c r="AK450" i="11"/>
  <c r="AK449" i="11"/>
  <c r="AK448" i="11"/>
  <c r="AK447" i="11"/>
  <c r="AK446" i="11"/>
  <c r="AK445" i="11"/>
  <c r="AK444" i="11"/>
  <c r="AK443" i="11"/>
  <c r="AK442" i="11"/>
  <c r="AK441" i="11"/>
  <c r="AK440" i="11"/>
  <c r="AK439" i="11"/>
  <c r="AK438" i="11"/>
  <c r="AK437" i="11"/>
  <c r="AK436" i="11"/>
  <c r="AK435" i="11"/>
  <c r="AK434" i="11"/>
  <c r="AK433" i="11"/>
  <c r="AK432" i="11"/>
  <c r="AK431" i="11"/>
  <c r="AK430" i="11"/>
  <c r="AK429" i="11"/>
  <c r="AK428" i="11"/>
  <c r="AK427" i="11"/>
  <c r="AK426" i="11"/>
  <c r="AK425" i="11"/>
  <c r="AK424" i="11"/>
  <c r="AK423" i="11"/>
  <c r="AK422" i="11"/>
  <c r="AK421" i="11"/>
  <c r="AK420" i="11"/>
  <c r="AK419" i="11"/>
  <c r="AK418" i="11"/>
  <c r="AK417" i="11"/>
  <c r="AK416" i="11"/>
  <c r="AK415" i="11"/>
  <c r="AK414" i="11"/>
  <c r="AK413" i="11"/>
  <c r="AK412" i="11"/>
  <c r="AK411" i="11"/>
  <c r="AK410" i="11"/>
  <c r="AK409" i="11"/>
  <c r="AK408" i="11"/>
  <c r="AK407" i="11"/>
  <c r="AK406" i="11"/>
  <c r="AK405" i="11"/>
  <c r="AK404" i="11"/>
  <c r="AK403" i="11"/>
  <c r="AK402" i="11"/>
  <c r="AK401" i="11"/>
  <c r="AK400" i="11"/>
  <c r="AK399" i="11"/>
  <c r="AK398" i="11"/>
  <c r="AK397" i="11"/>
  <c r="AK396" i="11"/>
  <c r="AK395" i="11"/>
  <c r="AK394" i="11"/>
  <c r="AK393" i="11"/>
  <c r="AK289" i="11"/>
  <c r="AK288" i="11"/>
  <c r="AK287" i="11"/>
  <c r="AK286" i="11"/>
  <c r="AK285" i="11"/>
  <c r="AK284" i="11"/>
  <c r="AK283" i="11"/>
  <c r="AK282" i="11"/>
  <c r="AK281" i="11"/>
  <c r="AK280" i="11"/>
  <c r="AK279" i="11"/>
  <c r="AK278" i="11"/>
  <c r="AK277" i="11"/>
  <c r="AK276" i="11"/>
  <c r="AK275" i="11"/>
  <c r="AK274" i="11"/>
  <c r="AK273" i="11"/>
  <c r="AK272" i="11"/>
  <c r="AK271" i="11"/>
  <c r="AK270" i="11"/>
  <c r="AK269" i="11"/>
  <c r="AK268" i="11"/>
  <c r="AK267" i="11"/>
  <c r="AK266" i="11"/>
  <c r="AK265" i="11"/>
  <c r="AK264" i="11"/>
  <c r="AK263" i="11"/>
  <c r="AK262" i="11"/>
  <c r="AK261" i="11"/>
  <c r="AK260" i="11"/>
  <c r="AK259" i="11"/>
  <c r="AK258" i="11"/>
  <c r="AK257" i="11"/>
  <c r="AK256" i="11"/>
  <c r="AK255" i="11"/>
  <c r="AK254" i="11"/>
  <c r="AK253" i="11"/>
  <c r="AK252" i="11"/>
  <c r="AK251" i="11"/>
  <c r="AK250" i="11"/>
  <c r="AK249" i="11"/>
  <c r="AK248" i="11"/>
  <c r="AK247" i="11"/>
  <c r="AK246" i="11"/>
  <c r="AK245" i="11"/>
  <c r="AK244" i="11"/>
  <c r="AK243" i="11"/>
  <c r="AK242" i="11"/>
  <c r="AK241" i="11"/>
  <c r="AK240" i="11"/>
  <c r="AK239" i="11"/>
  <c r="AK238" i="11"/>
  <c r="AK237" i="11"/>
  <c r="AK236" i="11"/>
  <c r="AK235" i="11"/>
  <c r="AK234" i="11"/>
  <c r="AK233" i="11"/>
  <c r="AK232" i="11"/>
  <c r="AK231" i="11"/>
  <c r="AK230" i="11"/>
  <c r="AK229" i="11"/>
  <c r="AK228" i="11"/>
  <c r="AK227" i="11"/>
  <c r="AK226" i="11"/>
  <c r="AK225" i="11"/>
  <c r="AK224" i="11"/>
  <c r="AK223" i="11"/>
  <c r="AK222" i="11"/>
  <c r="AK221" i="11"/>
  <c r="AK220" i="11"/>
  <c r="AK219" i="11"/>
  <c r="AK218" i="11"/>
  <c r="AK217" i="11"/>
  <c r="AK216" i="11"/>
  <c r="AK215" i="11"/>
  <c r="AK214" i="11"/>
  <c r="AK213" i="11"/>
  <c r="AK212" i="11"/>
  <c r="AK211" i="11"/>
  <c r="AK210" i="11"/>
  <c r="AK209" i="11"/>
  <c r="AK208" i="11"/>
  <c r="AK207" i="11"/>
  <c r="AK206" i="11"/>
  <c r="AK205" i="11"/>
  <c r="AK204" i="11"/>
  <c r="AK203" i="11"/>
  <c r="AK202" i="11"/>
  <c r="AK201" i="11"/>
  <c r="AK200" i="11"/>
  <c r="AK199" i="11"/>
  <c r="AK198" i="11"/>
  <c r="AK197" i="11"/>
  <c r="AK196" i="11"/>
  <c r="AK195" i="11"/>
  <c r="AK194" i="11"/>
  <c r="AK193" i="11"/>
  <c r="AK192" i="11"/>
  <c r="AK191" i="11"/>
  <c r="AK190" i="11"/>
  <c r="AK189" i="11"/>
  <c r="AK188" i="11"/>
  <c r="AK187" i="11"/>
  <c r="AK186" i="11"/>
  <c r="AK185" i="11"/>
  <c r="AK184" i="11"/>
  <c r="AK183" i="11"/>
  <c r="AK182" i="11"/>
  <c r="AK181" i="11"/>
  <c r="AK180" i="11"/>
  <c r="AK179" i="11"/>
  <c r="AK178" i="11"/>
  <c r="AK177" i="11"/>
  <c r="AK176" i="11"/>
  <c r="AK175" i="11"/>
  <c r="AK174" i="11"/>
  <c r="AK173" i="11"/>
  <c r="AK172" i="11"/>
  <c r="AK171" i="11"/>
  <c r="AK170" i="11"/>
  <c r="AK169" i="11"/>
  <c r="AK168" i="11"/>
  <c r="AK167" i="11"/>
  <c r="AK166" i="11"/>
  <c r="AK165" i="11"/>
  <c r="AK164" i="11"/>
  <c r="AK163" i="11"/>
  <c r="AK162" i="11"/>
  <c r="AK161" i="11"/>
  <c r="AK160" i="11"/>
  <c r="AK159" i="11"/>
  <c r="AK158" i="11"/>
  <c r="AK157" i="11"/>
  <c r="AK156" i="11"/>
  <c r="AK155" i="11"/>
  <c r="AK154" i="11"/>
  <c r="AK153" i="11"/>
  <c r="AK152" i="11"/>
  <c r="AK151" i="11"/>
  <c r="AK150" i="11"/>
  <c r="AK149" i="11"/>
  <c r="AK148" i="11"/>
  <c r="AK147" i="11"/>
  <c r="AK146" i="11"/>
  <c r="AK145" i="11"/>
  <c r="AK144" i="11"/>
  <c r="AK143" i="11"/>
  <c r="AK142" i="11"/>
  <c r="AK141" i="11"/>
  <c r="AK140" i="11"/>
  <c r="AK139" i="11"/>
  <c r="AK138" i="11"/>
  <c r="AK137" i="11"/>
  <c r="AK136" i="11"/>
  <c r="AK135" i="11"/>
  <c r="AK134" i="11"/>
  <c r="AK133" i="11"/>
  <c r="AK132" i="11"/>
  <c r="AK131" i="11"/>
  <c r="AK130" i="11"/>
  <c r="AK129" i="11"/>
  <c r="AK128" i="11"/>
  <c r="AK127" i="11"/>
  <c r="AK126" i="11"/>
  <c r="AK125" i="11"/>
  <c r="AK124" i="11"/>
  <c r="AK123" i="11"/>
  <c r="AK122" i="11"/>
  <c r="AK121" i="11"/>
  <c r="AK120" i="11"/>
  <c r="AK119" i="11"/>
  <c r="AK118" i="11"/>
  <c r="AK117" i="11"/>
  <c r="AK116" i="11"/>
  <c r="AK115" i="11"/>
  <c r="AK114" i="11"/>
  <c r="AK113" i="11"/>
  <c r="AK112" i="11"/>
  <c r="AK111" i="11"/>
  <c r="AK110" i="11"/>
  <c r="AK109" i="11"/>
  <c r="AK108" i="11"/>
  <c r="AK107" i="11"/>
  <c r="AK106" i="11"/>
  <c r="AK105" i="11"/>
  <c r="AK104" i="11"/>
  <c r="AK103" i="11"/>
  <c r="AK102" i="11"/>
  <c r="AK101" i="11"/>
  <c r="AK100" i="11"/>
  <c r="AK99" i="11"/>
  <c r="AK98" i="11"/>
  <c r="AK97" i="11"/>
  <c r="AK96" i="11"/>
  <c r="AK95" i="11"/>
  <c r="AK94" i="11"/>
  <c r="AK93" i="11"/>
  <c r="AK92" i="11"/>
  <c r="AK91" i="11"/>
  <c r="AK90" i="11"/>
  <c r="AK89" i="11"/>
  <c r="AK88" i="11"/>
  <c r="AK87" i="11"/>
  <c r="AK86" i="11"/>
  <c r="AK85" i="11"/>
  <c r="AK84" i="11"/>
  <c r="AK83" i="11"/>
  <c r="AK82" i="11"/>
  <c r="AK81" i="11"/>
  <c r="AK80" i="11"/>
  <c r="AK79" i="11"/>
  <c r="AK78" i="11"/>
  <c r="AK77" i="11"/>
  <c r="AK76" i="11"/>
  <c r="AK75" i="11"/>
  <c r="AK74" i="11"/>
  <c r="AK73" i="11"/>
  <c r="AK72" i="11"/>
  <c r="AK71" i="11"/>
  <c r="AK70" i="11"/>
  <c r="AK69" i="11"/>
  <c r="AK68" i="11"/>
  <c r="AK67" i="11"/>
  <c r="AK66" i="11"/>
  <c r="AK65" i="11"/>
  <c r="AK64" i="11"/>
  <c r="AK63" i="11"/>
  <c r="AK62" i="11"/>
  <c r="AK61" i="11"/>
  <c r="AK60" i="11"/>
  <c r="AK59" i="11"/>
  <c r="AK58" i="11"/>
  <c r="AK57" i="11"/>
  <c r="AK56" i="11"/>
  <c r="AK55" i="11"/>
  <c r="AK54" i="11"/>
  <c r="AK53" i="11"/>
  <c r="AK52" i="11"/>
  <c r="AK51" i="11"/>
  <c r="AK50" i="11"/>
  <c r="AK49" i="11"/>
  <c r="AK48" i="11"/>
  <c r="AK47" i="11"/>
  <c r="AK46" i="11"/>
  <c r="AK45" i="11"/>
  <c r="AK44" i="11"/>
  <c r="AK43" i="11"/>
  <c r="AK42" i="11"/>
  <c r="AK41" i="11"/>
  <c r="AK40" i="11"/>
  <c r="AK39" i="11"/>
  <c r="AK38" i="11"/>
  <c r="AK37" i="11"/>
  <c r="AK36" i="11"/>
  <c r="AK35" i="11"/>
  <c r="AK34" i="11"/>
  <c r="AK33" i="11"/>
  <c r="AK32" i="11"/>
  <c r="AK31" i="11"/>
  <c r="AK30" i="11"/>
  <c r="AK29" i="11"/>
  <c r="AK28" i="11"/>
  <c r="AK27" i="11"/>
  <c r="AK26" i="11"/>
  <c r="AK25" i="11"/>
  <c r="AK24" i="11"/>
  <c r="AK23" i="11"/>
  <c r="AK22" i="11"/>
  <c r="AK21" i="11"/>
  <c r="AK20" i="11"/>
  <c r="AK19" i="11"/>
  <c r="AK18" i="11"/>
  <c r="AK17" i="11"/>
  <c r="AK16" i="11"/>
  <c r="AK15" i="11"/>
  <c r="AK14" i="11"/>
  <c r="AK13" i="11"/>
  <c r="AK12" i="11"/>
  <c r="AK11" i="11"/>
  <c r="AK10" i="11"/>
  <c r="AK9" i="11"/>
  <c r="AK8" i="11"/>
  <c r="AK7" i="11"/>
  <c r="AK6" i="11"/>
  <c r="AK5" i="11"/>
  <c r="AK4" i="11"/>
  <c r="AK3" i="11"/>
  <c r="AK2" i="11"/>
  <c r="D13" i="23"/>
  <c r="C12" i="23"/>
  <c r="E12" i="23" s="1"/>
  <c r="C7" i="23"/>
  <c r="C4" i="23"/>
  <c r="L45" i="22"/>
  <c r="K45" i="22"/>
  <c r="J45" i="22"/>
  <c r="I45" i="22"/>
  <c r="H45" i="22"/>
  <c r="G45" i="22"/>
  <c r="F45" i="22"/>
  <c r="E45" i="22"/>
  <c r="D45" i="22"/>
  <c r="C45" i="22"/>
  <c r="L40" i="22"/>
  <c r="K40" i="22"/>
  <c r="G40" i="22"/>
  <c r="L37" i="22"/>
  <c r="K37" i="22"/>
  <c r="J37" i="22"/>
  <c r="I37" i="22"/>
  <c r="H37" i="22"/>
  <c r="G37" i="22"/>
  <c r="F37" i="22"/>
  <c r="E37" i="22"/>
  <c r="D37" i="22"/>
  <c r="C37" i="22"/>
  <c r="C28" i="22"/>
  <c r="C27" i="22"/>
  <c r="C26" i="22"/>
  <c r="J14" i="22"/>
  <c r="L12" i="22"/>
  <c r="K12" i="22"/>
  <c r="J12" i="22"/>
  <c r="I12" i="22"/>
  <c r="H12" i="22"/>
  <c r="G12" i="22"/>
  <c r="F12" i="22"/>
  <c r="E12" i="22"/>
  <c r="L9" i="22"/>
  <c r="K9" i="22"/>
  <c r="J9" i="22"/>
  <c r="I9" i="22"/>
  <c r="H9" i="22"/>
  <c r="G9" i="22"/>
  <c r="F9" i="22"/>
  <c r="E9" i="22"/>
  <c r="D9" i="22"/>
  <c r="C9" i="22"/>
  <c r="L6" i="22"/>
  <c r="L34" i="22" s="1"/>
  <c r="L36" i="22" s="1"/>
  <c r="L39" i="22" s="1"/>
  <c r="K6" i="22"/>
  <c r="J6" i="22"/>
  <c r="J40" i="22" s="1"/>
  <c r="I6" i="22"/>
  <c r="I23" i="22" s="1"/>
  <c r="I38" i="22" s="1"/>
  <c r="H6" i="22"/>
  <c r="H34" i="22" s="1"/>
  <c r="H36" i="22" s="1"/>
  <c r="H39" i="22" s="1"/>
  <c r="G6" i="22"/>
  <c r="G34" i="22" s="1"/>
  <c r="G36" i="22" s="1"/>
  <c r="G39" i="22" s="1"/>
  <c r="E6" i="22"/>
  <c r="E17" i="22" s="1"/>
  <c r="E18" i="22" s="1"/>
  <c r="L5" i="22"/>
  <c r="K5" i="22"/>
  <c r="J5" i="22"/>
  <c r="I5" i="22"/>
  <c r="H5" i="22"/>
  <c r="G5" i="22"/>
  <c r="F5" i="22"/>
  <c r="F6" i="22" s="1"/>
  <c r="E5" i="22"/>
  <c r="L19" i="1"/>
  <c r="K19" i="1"/>
  <c r="J19" i="1"/>
  <c r="I19" i="1"/>
  <c r="H19" i="1"/>
  <c r="G19" i="1"/>
  <c r="F19" i="1"/>
  <c r="E19" i="1"/>
  <c r="D19" i="1"/>
  <c r="C19" i="1"/>
  <c r="C58" i="10" s="1"/>
  <c r="L14" i="1"/>
  <c r="K14" i="1"/>
  <c r="J14" i="1"/>
  <c r="I14" i="1"/>
  <c r="H14" i="1"/>
  <c r="G14" i="1"/>
  <c r="F14" i="1"/>
  <c r="E14" i="1"/>
  <c r="D14" i="1"/>
  <c r="D5" i="22" s="1"/>
  <c r="D6" i="22" s="1"/>
  <c r="D23" i="22" s="1"/>
  <c r="C14" i="1"/>
  <c r="C10" i="1"/>
  <c r="D12" i="4" s="1"/>
  <c r="D38" i="22" l="1"/>
  <c r="C6" i="23"/>
  <c r="F40" i="4"/>
  <c r="G42" i="4" s="1"/>
  <c r="F46" i="4"/>
  <c r="G48" i="4" s="1"/>
  <c r="F43" i="4"/>
  <c r="G45" i="4" s="1"/>
  <c r="AN195" i="19"/>
  <c r="AO195" i="19" s="1"/>
  <c r="AN35" i="19"/>
  <c r="AO35" i="19" s="1"/>
  <c r="AN64" i="19"/>
  <c r="AO64" i="19" s="1"/>
  <c r="AN101" i="19"/>
  <c r="AO101" i="19" s="1"/>
  <c r="AN138" i="19"/>
  <c r="AO138" i="19" s="1"/>
  <c r="AI929" i="11"/>
  <c r="AJ929" i="11" s="1"/>
  <c r="AI849" i="11"/>
  <c r="AJ849" i="11" s="1"/>
  <c r="AN143" i="19"/>
  <c r="AO143" i="19" s="1"/>
  <c r="AN180" i="19"/>
  <c r="AO180" i="19" s="1"/>
  <c r="AN20" i="19"/>
  <c r="AO20" i="19" s="1"/>
  <c r="AN57" i="19"/>
  <c r="AO57" i="19" s="1"/>
  <c r="AN86" i="19"/>
  <c r="AO86" i="19" s="1"/>
  <c r="AI844" i="11"/>
  <c r="AJ844" i="11" s="1"/>
  <c r="AI734" i="11"/>
  <c r="AJ734" i="11" s="1"/>
  <c r="AI684" i="11"/>
  <c r="AJ684" i="11" s="1"/>
  <c r="AI912" i="11"/>
  <c r="AJ912" i="11" s="1"/>
  <c r="AI823" i="11"/>
  <c r="AJ823" i="11" s="1"/>
  <c r="AI776" i="11"/>
  <c r="AJ776" i="11" s="1"/>
  <c r="AI864" i="11"/>
  <c r="AJ864" i="11" s="1"/>
  <c r="AI756" i="11"/>
  <c r="AJ756" i="11" s="1"/>
  <c r="AI780" i="11"/>
  <c r="AJ780" i="11" s="1"/>
  <c r="AI763" i="11"/>
  <c r="AJ763" i="11" s="1"/>
  <c r="AI570" i="11"/>
  <c r="AJ570" i="11" s="1"/>
  <c r="AI530" i="11"/>
  <c r="AJ530" i="11" s="1"/>
  <c r="AI490" i="11"/>
  <c r="AJ490" i="11" s="1"/>
  <c r="AI450" i="11"/>
  <c r="AJ450" i="11" s="1"/>
  <c r="AI410" i="11"/>
  <c r="AJ410" i="11" s="1"/>
  <c r="AI632" i="11"/>
  <c r="AJ632" i="11" s="1"/>
  <c r="AI645" i="11"/>
  <c r="AJ645" i="11" s="1"/>
  <c r="AI479" i="11"/>
  <c r="AJ479" i="11" s="1"/>
  <c r="AI775" i="11"/>
  <c r="AJ775" i="11" s="1"/>
  <c r="AI855" i="11"/>
  <c r="AJ855" i="11" s="1"/>
  <c r="AI513" i="11"/>
  <c r="AJ513" i="11" s="1"/>
  <c r="AI350" i="11"/>
  <c r="AJ350" i="11" s="1"/>
  <c r="AI291" i="11"/>
  <c r="AJ291" i="11" s="1"/>
  <c r="AI599" i="11"/>
  <c r="AJ599" i="11" s="1"/>
  <c r="AI391" i="11"/>
  <c r="AJ391" i="11" s="1"/>
  <c r="AI312" i="11"/>
  <c r="AJ312" i="11" s="1"/>
  <c r="AI245" i="11"/>
  <c r="AJ245" i="11" s="1"/>
  <c r="AI205" i="11"/>
  <c r="AJ205" i="11" s="1"/>
  <c r="AI165" i="11"/>
  <c r="AJ165" i="11" s="1"/>
  <c r="AI125" i="11"/>
  <c r="AJ125" i="11" s="1"/>
  <c r="AI349" i="11"/>
  <c r="AJ349" i="11" s="1"/>
  <c r="AI483" i="11"/>
  <c r="AJ483" i="11" s="1"/>
  <c r="AI264" i="11"/>
  <c r="AJ264" i="11" s="1"/>
  <c r="AI224" i="11"/>
  <c r="AJ224" i="11" s="1"/>
  <c r="AI403" i="11"/>
  <c r="AJ403" i="11" s="1"/>
  <c r="AI184" i="11"/>
  <c r="AJ184" i="11" s="1"/>
  <c r="AI443" i="11"/>
  <c r="AJ443" i="11" s="1"/>
  <c r="AI162" i="11"/>
  <c r="AJ162" i="11" s="1"/>
  <c r="AI65" i="11"/>
  <c r="AJ65" i="11" s="1"/>
  <c r="AI25" i="11"/>
  <c r="AJ25" i="11" s="1"/>
  <c r="AI89" i="11"/>
  <c r="AJ89" i="11" s="1"/>
  <c r="C4" i="10"/>
  <c r="AI286" i="11"/>
  <c r="AJ286" i="11" s="1"/>
  <c r="AI72" i="11"/>
  <c r="AJ72" i="11" s="1"/>
  <c r="AI32" i="11"/>
  <c r="AJ32" i="11" s="1"/>
  <c r="AI497" i="11"/>
  <c r="AJ497" i="11" s="1"/>
  <c r="AI287" i="11"/>
  <c r="AJ287" i="11" s="1"/>
  <c r="AI296" i="11"/>
  <c r="AJ296" i="11" s="1"/>
  <c r="AI201" i="11"/>
  <c r="AJ201" i="11" s="1"/>
  <c r="AI314" i="11"/>
  <c r="AJ314" i="11" s="1"/>
  <c r="AI327" i="11"/>
  <c r="AJ327" i="11" s="1"/>
  <c r="AI356" i="11"/>
  <c r="AJ356" i="11" s="1"/>
  <c r="AI61" i="11"/>
  <c r="AJ61" i="11" s="1"/>
  <c r="AI610" i="11"/>
  <c r="AJ610" i="11" s="1"/>
  <c r="B13" i="4"/>
  <c r="AI19" i="11"/>
  <c r="AJ19" i="11" s="1"/>
  <c r="AI482" i="11"/>
  <c r="AJ482" i="11" s="1"/>
  <c r="AN187" i="19"/>
  <c r="AO187" i="19" s="1"/>
  <c r="AN27" i="19"/>
  <c r="AO27" i="19" s="1"/>
  <c r="AN56" i="19"/>
  <c r="AO56" i="19" s="1"/>
  <c r="AN93" i="19"/>
  <c r="AO93" i="19" s="1"/>
  <c r="AN130" i="19"/>
  <c r="AO130" i="19" s="1"/>
  <c r="AI925" i="11"/>
  <c r="AJ925" i="11" s="1"/>
  <c r="AI845" i="11"/>
  <c r="AJ845" i="11" s="1"/>
  <c r="AN135" i="19"/>
  <c r="AO135" i="19" s="1"/>
  <c r="AN172" i="19"/>
  <c r="AO172" i="19" s="1"/>
  <c r="AN12" i="19"/>
  <c r="AO12" i="19" s="1"/>
  <c r="AN49" i="19"/>
  <c r="AO49" i="19" s="1"/>
  <c r="AN78" i="19"/>
  <c r="AO78" i="19" s="1"/>
  <c r="AI835" i="11"/>
  <c r="AJ835" i="11" s="1"/>
  <c r="AI730" i="11"/>
  <c r="AJ730" i="11" s="1"/>
  <c r="AI682" i="11"/>
  <c r="AJ682" i="11" s="1"/>
  <c r="AI903" i="11"/>
  <c r="AJ903" i="11" s="1"/>
  <c r="AI799" i="11"/>
  <c r="AJ799" i="11" s="1"/>
  <c r="AI771" i="11"/>
  <c r="AJ771" i="11" s="1"/>
  <c r="AI846" i="11"/>
  <c r="AJ846" i="11" s="1"/>
  <c r="AI751" i="11"/>
  <c r="AJ751" i="11" s="1"/>
  <c r="AI747" i="11"/>
  <c r="AJ747" i="11" s="1"/>
  <c r="AI753" i="11"/>
  <c r="AJ753" i="11" s="1"/>
  <c r="AI568" i="11"/>
  <c r="AJ568" i="11" s="1"/>
  <c r="AI528" i="11"/>
  <c r="AJ528" i="11" s="1"/>
  <c r="AI488" i="11"/>
  <c r="AJ488" i="11" s="1"/>
  <c r="AI448" i="11"/>
  <c r="AJ448" i="11" s="1"/>
  <c r="AI408" i="11"/>
  <c r="AJ408" i="11" s="1"/>
  <c r="AI924" i="11"/>
  <c r="AJ924" i="11" s="1"/>
  <c r="AI640" i="11"/>
  <c r="AJ640" i="11" s="1"/>
  <c r="AI471" i="11"/>
  <c r="AJ471" i="11" s="1"/>
  <c r="AI741" i="11"/>
  <c r="AJ741" i="11" s="1"/>
  <c r="AI831" i="11"/>
  <c r="AJ831" i="11" s="1"/>
  <c r="AI505" i="11"/>
  <c r="AJ505" i="11" s="1"/>
  <c r="AI341" i="11"/>
  <c r="AJ341" i="11" s="1"/>
  <c r="AI289" i="11"/>
  <c r="AJ289" i="11" s="1"/>
  <c r="AI581" i="11"/>
  <c r="AJ581" i="11" s="1"/>
  <c r="AI388" i="11"/>
  <c r="AJ388" i="11" s="1"/>
  <c r="AI304" i="11"/>
  <c r="AJ304" i="11" s="1"/>
  <c r="AI243" i="11"/>
  <c r="AJ243" i="11" s="1"/>
  <c r="AI203" i="11"/>
  <c r="AJ203" i="11" s="1"/>
  <c r="AI163" i="11"/>
  <c r="AJ163" i="11" s="1"/>
  <c r="AI123" i="11"/>
  <c r="AJ123" i="11" s="1"/>
  <c r="AI322" i="11"/>
  <c r="AJ322" i="11" s="1"/>
  <c r="AI437" i="11"/>
  <c r="AJ437" i="11" s="1"/>
  <c r="AI262" i="11"/>
  <c r="AJ262" i="11" s="1"/>
  <c r="AI222" i="11"/>
  <c r="AJ222" i="11" s="1"/>
  <c r="AI344" i="11"/>
  <c r="AJ344" i="11" s="1"/>
  <c r="AI176" i="11"/>
  <c r="AJ176" i="11" s="1"/>
  <c r="AI395" i="11"/>
  <c r="AJ395" i="11" s="1"/>
  <c r="AI154" i="11"/>
  <c r="AJ154" i="11" s="1"/>
  <c r="AI63" i="11"/>
  <c r="AJ63" i="11" s="1"/>
  <c r="AI23" i="11"/>
  <c r="AJ23" i="11" s="1"/>
  <c r="AI784" i="11"/>
  <c r="AJ784" i="11" s="1"/>
  <c r="AI930" i="11"/>
  <c r="AJ930" i="11" s="1"/>
  <c r="AI182" i="11"/>
  <c r="AJ182" i="11" s="1"/>
  <c r="AI70" i="11"/>
  <c r="AJ70" i="11" s="1"/>
  <c r="AI30" i="11"/>
  <c r="AJ30" i="11" s="1"/>
  <c r="AI671" i="11"/>
  <c r="AJ671" i="11" s="1"/>
  <c r="AI573" i="11"/>
  <c r="AJ573" i="11" s="1"/>
  <c r="AI241" i="11"/>
  <c r="AJ241" i="11" s="1"/>
  <c r="AI161" i="11"/>
  <c r="AJ161" i="11" s="1"/>
  <c r="AI121" i="11"/>
  <c r="AJ121" i="11" s="1"/>
  <c r="AI260" i="11"/>
  <c r="AJ260" i="11" s="1"/>
  <c r="AI220" i="11"/>
  <c r="AJ220" i="11" s="1"/>
  <c r="AI168" i="11"/>
  <c r="AJ168" i="11" s="1"/>
  <c r="AI146" i="11"/>
  <c r="AJ146" i="11" s="1"/>
  <c r="AI21" i="11"/>
  <c r="AJ21" i="11" s="1"/>
  <c r="AI477" i="11"/>
  <c r="AJ477" i="11" s="1"/>
  <c r="AI174" i="11"/>
  <c r="AJ174" i="11" s="1"/>
  <c r="AI68" i="11"/>
  <c r="AJ68" i="11" s="1"/>
  <c r="AI258" i="11"/>
  <c r="AJ258" i="11" s="1"/>
  <c r="AI113" i="11"/>
  <c r="AJ113" i="11" s="1"/>
  <c r="AI160" i="11"/>
  <c r="AJ160" i="11" s="1"/>
  <c r="AI117" i="11"/>
  <c r="AJ117" i="11" s="1"/>
  <c r="AI59" i="11"/>
  <c r="AJ59" i="11" s="1"/>
  <c r="AI397" i="11"/>
  <c r="AJ397" i="11" s="1"/>
  <c r="AI507" i="11"/>
  <c r="AJ507" i="11" s="1"/>
  <c r="AI166" i="11"/>
  <c r="AJ166" i="11" s="1"/>
  <c r="AI66" i="11"/>
  <c r="AJ66" i="11" s="1"/>
  <c r="AI26" i="11"/>
  <c r="AJ26" i="11" s="1"/>
  <c r="AI562" i="11"/>
  <c r="AJ562" i="11" s="1"/>
  <c r="AI616" i="11"/>
  <c r="AJ616" i="11" s="1"/>
  <c r="AI481" i="11"/>
  <c r="AJ481" i="11" s="1"/>
  <c r="AI323" i="11"/>
  <c r="AJ323" i="11" s="1"/>
  <c r="AI283" i="11"/>
  <c r="AJ283" i="11" s="1"/>
  <c r="AN179" i="19"/>
  <c r="AO179" i="19" s="1"/>
  <c r="AN19" i="19"/>
  <c r="AO19" i="19" s="1"/>
  <c r="AN48" i="19"/>
  <c r="AO48" i="19" s="1"/>
  <c r="AN85" i="19"/>
  <c r="AO85" i="19" s="1"/>
  <c r="AN122" i="19"/>
  <c r="AO122" i="19" s="1"/>
  <c r="AI921" i="11"/>
  <c r="AJ921" i="11" s="1"/>
  <c r="AI841" i="11"/>
  <c r="AJ841" i="11" s="1"/>
  <c r="AN127" i="19"/>
  <c r="AO127" i="19" s="1"/>
  <c r="AN164" i="19"/>
  <c r="AO164" i="19" s="1"/>
  <c r="AN4" i="19"/>
  <c r="AN41" i="19"/>
  <c r="AO41" i="19" s="1"/>
  <c r="AN70" i="19"/>
  <c r="AO70" i="19" s="1"/>
  <c r="AI826" i="11"/>
  <c r="AJ826" i="11" s="1"/>
  <c r="AI726" i="11"/>
  <c r="AJ726" i="11" s="1"/>
  <c r="AI680" i="11"/>
  <c r="AJ680" i="11" s="1"/>
  <c r="AI894" i="11"/>
  <c r="AJ894" i="11" s="1"/>
  <c r="AI709" i="11"/>
  <c r="AJ709" i="11" s="1"/>
  <c r="AI765" i="11"/>
  <c r="AJ765" i="11" s="1"/>
  <c r="AI840" i="11"/>
  <c r="AJ840" i="11" s="1"/>
  <c r="AI745" i="11"/>
  <c r="AJ745" i="11" s="1"/>
  <c r="AI737" i="11"/>
  <c r="AJ737" i="11" s="1"/>
  <c r="AI720" i="11"/>
  <c r="AJ720" i="11" s="1"/>
  <c r="AI566" i="11"/>
  <c r="AJ566" i="11" s="1"/>
  <c r="AI526" i="11"/>
  <c r="AJ526" i="11" s="1"/>
  <c r="AI486" i="11"/>
  <c r="AJ486" i="11" s="1"/>
  <c r="AI446" i="11"/>
  <c r="AJ446" i="11" s="1"/>
  <c r="AI406" i="11"/>
  <c r="AJ406" i="11" s="1"/>
  <c r="AI900" i="11"/>
  <c r="AJ900" i="11" s="1"/>
  <c r="AI624" i="11"/>
  <c r="AJ624" i="11" s="1"/>
  <c r="AI463" i="11"/>
  <c r="AJ463" i="11" s="1"/>
  <c r="AI791" i="11"/>
  <c r="AJ791" i="11" s="1"/>
  <c r="AI334" i="11"/>
  <c r="AJ334" i="11" s="1"/>
  <c r="AI361" i="11"/>
  <c r="AJ361" i="11" s="1"/>
  <c r="AI419" i="11"/>
  <c r="AJ419" i="11" s="1"/>
  <c r="AI28" i="11"/>
  <c r="AJ28" i="11" s="1"/>
  <c r="AI402" i="11"/>
  <c r="AJ402" i="11" s="1"/>
  <c r="AN171" i="19"/>
  <c r="AO171" i="19" s="1"/>
  <c r="AN11" i="19"/>
  <c r="AO11" i="19" s="1"/>
  <c r="AN40" i="19"/>
  <c r="AO40" i="19" s="1"/>
  <c r="AN77" i="19"/>
  <c r="AO77" i="19" s="1"/>
  <c r="AN114" i="19"/>
  <c r="AO114" i="19" s="1"/>
  <c r="AI917" i="11"/>
  <c r="AJ917" i="11" s="1"/>
  <c r="AI837" i="11"/>
  <c r="AJ837" i="11" s="1"/>
  <c r="AN119" i="19"/>
  <c r="AO119" i="19" s="1"/>
  <c r="AN156" i="19"/>
  <c r="AO156" i="19" s="1"/>
  <c r="AN193" i="19"/>
  <c r="AO193" i="19" s="1"/>
  <c r="AN33" i="19"/>
  <c r="AO33" i="19" s="1"/>
  <c r="AN62" i="19"/>
  <c r="AO62" i="19" s="1"/>
  <c r="AI812" i="11"/>
  <c r="AJ812" i="11" s="1"/>
  <c r="AI722" i="11"/>
  <c r="AJ722" i="11" s="1"/>
  <c r="AI678" i="11"/>
  <c r="AJ678" i="11" s="1"/>
  <c r="AI880" i="11"/>
  <c r="AJ880" i="11" s="1"/>
  <c r="AI693" i="11"/>
  <c r="AJ693" i="11" s="1"/>
  <c r="AI760" i="11"/>
  <c r="AJ760" i="11" s="1"/>
  <c r="AI939" i="11"/>
  <c r="AJ939" i="11" s="1"/>
  <c r="AI740" i="11"/>
  <c r="AJ740" i="11" s="1"/>
  <c r="AI689" i="11"/>
  <c r="AJ689" i="11" s="1"/>
  <c r="AI705" i="11"/>
  <c r="AJ705" i="11" s="1"/>
  <c r="AI564" i="11"/>
  <c r="AJ564" i="11" s="1"/>
  <c r="AI524" i="11"/>
  <c r="AJ524" i="11" s="1"/>
  <c r="AI484" i="11"/>
  <c r="AJ484" i="11" s="1"/>
  <c r="AI444" i="11"/>
  <c r="AJ444" i="11" s="1"/>
  <c r="AI404" i="11"/>
  <c r="AJ404" i="11" s="1"/>
  <c r="AI875" i="11"/>
  <c r="AJ875" i="11" s="1"/>
  <c r="AI606" i="11"/>
  <c r="AJ606" i="11" s="1"/>
  <c r="AI455" i="11"/>
  <c r="AJ455" i="11" s="1"/>
  <c r="AI626" i="11"/>
  <c r="AJ626" i="11" s="1"/>
  <c r="AI757" i="11"/>
  <c r="AJ757" i="11" s="1"/>
  <c r="AI489" i="11"/>
  <c r="AJ489" i="11" s="1"/>
  <c r="AI325" i="11"/>
  <c r="AJ325" i="11" s="1"/>
  <c r="AI285" i="11"/>
  <c r="AJ285" i="11" s="1"/>
  <c r="AI565" i="11"/>
  <c r="AJ565" i="11" s="1"/>
  <c r="AI342" i="11"/>
  <c r="AJ342" i="11" s="1"/>
  <c r="AI288" i="11"/>
  <c r="AJ288" i="11" s="1"/>
  <c r="AI239" i="11"/>
  <c r="AJ239" i="11" s="1"/>
  <c r="AI199" i="11"/>
  <c r="AJ199" i="11" s="1"/>
  <c r="AI159" i="11"/>
  <c r="AJ159" i="11" s="1"/>
  <c r="AI119" i="11"/>
  <c r="AJ119" i="11" s="1"/>
  <c r="AI306" i="11"/>
  <c r="AJ306" i="11" s="1"/>
  <c r="AI392" i="11"/>
  <c r="AJ392" i="11" s="1"/>
  <c r="AI218" i="11"/>
  <c r="AJ218" i="11" s="1"/>
  <c r="AI138" i="11"/>
  <c r="AJ138" i="11" s="1"/>
  <c r="AN163" i="19"/>
  <c r="AO163" i="19" s="1"/>
  <c r="AN192" i="19"/>
  <c r="AO192" i="19" s="1"/>
  <c r="AN32" i="19"/>
  <c r="AO32" i="19" s="1"/>
  <c r="AN69" i="19"/>
  <c r="AO69" i="19" s="1"/>
  <c r="AN106" i="19"/>
  <c r="AO106" i="19" s="1"/>
  <c r="AI913" i="11"/>
  <c r="AJ913" i="11" s="1"/>
  <c r="AI833" i="11"/>
  <c r="AJ833" i="11" s="1"/>
  <c r="AN111" i="19"/>
  <c r="AO111" i="19" s="1"/>
  <c r="AN148" i="19"/>
  <c r="AO148" i="19" s="1"/>
  <c r="AN185" i="19"/>
  <c r="AO185" i="19" s="1"/>
  <c r="AN25" i="19"/>
  <c r="AO25" i="19" s="1"/>
  <c r="AN54" i="19"/>
  <c r="AO54" i="19" s="1"/>
  <c r="AI803" i="11"/>
  <c r="AJ803" i="11" s="1"/>
  <c r="AI718" i="11"/>
  <c r="AJ718" i="11" s="1"/>
  <c r="AI676" i="11"/>
  <c r="AJ676" i="11" s="1"/>
  <c r="AI871" i="11"/>
  <c r="AJ871" i="11" s="1"/>
  <c r="AI677" i="11"/>
  <c r="AJ677" i="11" s="1"/>
  <c r="AI755" i="11"/>
  <c r="AJ755" i="11" s="1"/>
  <c r="AI915" i="11"/>
  <c r="AJ915" i="11" s="1"/>
  <c r="AI735" i="11"/>
  <c r="AJ735" i="11" s="1"/>
  <c r="AI681" i="11"/>
  <c r="AJ681" i="11" s="1"/>
  <c r="AI697" i="11"/>
  <c r="AJ697" i="11" s="1"/>
  <c r="AI522" i="11"/>
  <c r="AJ522" i="11" s="1"/>
  <c r="AI442" i="11"/>
  <c r="AJ442" i="11" s="1"/>
  <c r="AI851" i="11"/>
  <c r="AJ851" i="11" s="1"/>
  <c r="AI447" i="11"/>
  <c r="AJ447" i="11" s="1"/>
  <c r="AI699" i="11"/>
  <c r="AJ699" i="11" s="1"/>
  <c r="AN155" i="19"/>
  <c r="AO155" i="19" s="1"/>
  <c r="AN184" i="19"/>
  <c r="AO184" i="19" s="1"/>
  <c r="AN24" i="19"/>
  <c r="AO24" i="19" s="1"/>
  <c r="AN61" i="19"/>
  <c r="AO61" i="19" s="1"/>
  <c r="AN98" i="19"/>
  <c r="AO98" i="19" s="1"/>
  <c r="AI909" i="11"/>
  <c r="AJ909" i="11" s="1"/>
  <c r="AI829" i="11"/>
  <c r="AJ829" i="11" s="1"/>
  <c r="AN103" i="19"/>
  <c r="AO103" i="19" s="1"/>
  <c r="AN140" i="19"/>
  <c r="AO140" i="19" s="1"/>
  <c r="AN177" i="19"/>
  <c r="AO177" i="19" s="1"/>
  <c r="AN17" i="19"/>
  <c r="AO17" i="19" s="1"/>
  <c r="AN46" i="19"/>
  <c r="AO46" i="19" s="1"/>
  <c r="AI794" i="11"/>
  <c r="AJ794" i="11" s="1"/>
  <c r="AI714" i="11"/>
  <c r="AJ714" i="11" s="1"/>
  <c r="AI674" i="11"/>
  <c r="AJ674" i="11" s="1"/>
  <c r="AI862" i="11"/>
  <c r="AJ862" i="11" s="1"/>
  <c r="AI661" i="11"/>
  <c r="AJ661" i="11" s="1"/>
  <c r="AI749" i="11"/>
  <c r="AJ749" i="11" s="1"/>
  <c r="AI891" i="11"/>
  <c r="AJ891" i="11" s="1"/>
  <c r="AI729" i="11"/>
  <c r="AJ729" i="11" s="1"/>
  <c r="AI651" i="11"/>
  <c r="AJ651" i="11" s="1"/>
  <c r="AI667" i="11"/>
  <c r="AJ667" i="11" s="1"/>
  <c r="AI560" i="11"/>
  <c r="AJ560" i="11" s="1"/>
  <c r="AI520" i="11"/>
  <c r="AJ520" i="11" s="1"/>
  <c r="AI480" i="11"/>
  <c r="AJ480" i="11" s="1"/>
  <c r="AI440" i="11"/>
  <c r="AJ440" i="11" s="1"/>
  <c r="AI400" i="11"/>
  <c r="AJ400" i="11" s="1"/>
  <c r="AI819" i="11"/>
  <c r="AJ819" i="11" s="1"/>
  <c r="AI593" i="11"/>
  <c r="AJ593" i="11" s="1"/>
  <c r="AI439" i="11"/>
  <c r="AJ439" i="11" s="1"/>
  <c r="AI613" i="11"/>
  <c r="AJ613" i="11" s="1"/>
  <c r="AI657" i="11"/>
  <c r="AJ657" i="11" s="1"/>
  <c r="AI473" i="11"/>
  <c r="AJ473" i="11" s="1"/>
  <c r="AI321" i="11"/>
  <c r="AJ321" i="11" s="1"/>
  <c r="AI281" i="11"/>
  <c r="AJ281" i="11" s="1"/>
  <c r="AI549" i="11"/>
  <c r="AJ549" i="11" s="1"/>
  <c r="AI331" i="11"/>
  <c r="AJ331" i="11" s="1"/>
  <c r="AI275" i="11"/>
  <c r="AJ275" i="11" s="1"/>
  <c r="AI235" i="11"/>
  <c r="AJ235" i="11" s="1"/>
  <c r="AI195" i="11"/>
  <c r="AJ195" i="11" s="1"/>
  <c r="AI155" i="11"/>
  <c r="AJ155" i="11" s="1"/>
  <c r="AI768" i="11"/>
  <c r="AJ768" i="11" s="1"/>
  <c r="AI290" i="11"/>
  <c r="AJ290" i="11" s="1"/>
  <c r="AI381" i="11"/>
  <c r="AJ381" i="11" s="1"/>
  <c r="AI254" i="11"/>
  <c r="AJ254" i="11" s="1"/>
  <c r="AI214" i="11"/>
  <c r="AJ214" i="11" s="1"/>
  <c r="AI97" i="11"/>
  <c r="AJ97" i="11" s="1"/>
  <c r="AI144" i="11"/>
  <c r="AJ144" i="11" s="1"/>
  <c r="AI101" i="11"/>
  <c r="AJ101" i="11" s="1"/>
  <c r="AI122" i="11"/>
  <c r="AJ122" i="11" s="1"/>
  <c r="AI55" i="11"/>
  <c r="AJ55" i="11" s="1"/>
  <c r="AI15" i="11"/>
  <c r="AJ15" i="11" s="1"/>
  <c r="AI345" i="11"/>
  <c r="AJ345" i="11" s="1"/>
  <c r="AI421" i="11"/>
  <c r="AJ421" i="11" s="1"/>
  <c r="AI150" i="11"/>
  <c r="AJ150" i="11" s="1"/>
  <c r="AI62" i="11"/>
  <c r="AJ62" i="11" s="1"/>
  <c r="AN147" i="19"/>
  <c r="AO147" i="19" s="1"/>
  <c r="AN139" i="19"/>
  <c r="AO139" i="19" s="1"/>
  <c r="AN131" i="19"/>
  <c r="AO131" i="19" s="1"/>
  <c r="AN123" i="19"/>
  <c r="AO123" i="19" s="1"/>
  <c r="AN152" i="19"/>
  <c r="AO152" i="19" s="1"/>
  <c r="AN189" i="19"/>
  <c r="AO189" i="19" s="1"/>
  <c r="AN29" i="19"/>
  <c r="AO29" i="19" s="1"/>
  <c r="AN66" i="19"/>
  <c r="AO66" i="19" s="1"/>
  <c r="AI893" i="11"/>
  <c r="AJ893" i="11" s="1"/>
  <c r="AI813" i="11"/>
  <c r="AJ813" i="11" s="1"/>
  <c r="AN71" i="19"/>
  <c r="AO71" i="19" s="1"/>
  <c r="AN115" i="19"/>
  <c r="AO115" i="19" s="1"/>
  <c r="AN99" i="19"/>
  <c r="AO99" i="19" s="1"/>
  <c r="AN75" i="19"/>
  <c r="AO75" i="19" s="1"/>
  <c r="AN107" i="19"/>
  <c r="AO107" i="19" s="1"/>
  <c r="AN16" i="19"/>
  <c r="AO16" i="19" s="1"/>
  <c r="AN186" i="19"/>
  <c r="AO186" i="19" s="1"/>
  <c r="AI901" i="11"/>
  <c r="AJ901" i="11" s="1"/>
  <c r="AN183" i="19"/>
  <c r="AO183" i="19" s="1"/>
  <c r="AN116" i="19"/>
  <c r="AO116" i="19" s="1"/>
  <c r="AN105" i="19"/>
  <c r="AO105" i="19" s="1"/>
  <c r="AN38" i="19"/>
  <c r="AO38" i="19" s="1"/>
  <c r="AI766" i="11"/>
  <c r="AJ766" i="11" s="1"/>
  <c r="AI688" i="11"/>
  <c r="AJ688" i="11" s="1"/>
  <c r="AI807" i="11"/>
  <c r="AJ807" i="11" s="1"/>
  <c r="AI804" i="11"/>
  <c r="AJ804" i="11" s="1"/>
  <c r="AI860" i="11"/>
  <c r="AJ860" i="11" s="1"/>
  <c r="AI887" i="11"/>
  <c r="AJ887" i="11" s="1"/>
  <c r="AI646" i="11"/>
  <c r="AJ646" i="11" s="1"/>
  <c r="AI546" i="11"/>
  <c r="AJ546" i="11" s="1"/>
  <c r="AI494" i="11"/>
  <c r="AJ494" i="11" s="1"/>
  <c r="AI430" i="11"/>
  <c r="AJ430" i="11" s="1"/>
  <c r="AI683" i="11"/>
  <c r="AJ683" i="11" s="1"/>
  <c r="AI583" i="11"/>
  <c r="AJ583" i="11" s="1"/>
  <c r="AI378" i="11"/>
  <c r="AJ378" i="11" s="1"/>
  <c r="AI879" i="11"/>
  <c r="AJ879" i="11" s="1"/>
  <c r="AI425" i="11"/>
  <c r="AJ425" i="11" s="1"/>
  <c r="AI297" i="11"/>
  <c r="AJ297" i="11" s="1"/>
  <c r="AI525" i="11"/>
  <c r="AJ525" i="11" s="1"/>
  <c r="AI405" i="11"/>
  <c r="AJ405" i="11" s="1"/>
  <c r="AI249" i="11"/>
  <c r="AJ249" i="11" s="1"/>
  <c r="AI189" i="11"/>
  <c r="AJ189" i="11" s="1"/>
  <c r="AI139" i="11"/>
  <c r="AJ139" i="11" s="1"/>
  <c r="AI360" i="11"/>
  <c r="AJ360" i="11" s="1"/>
  <c r="AI340" i="11"/>
  <c r="AJ340" i="11" s="1"/>
  <c r="AI238" i="11"/>
  <c r="AJ238" i="11" s="1"/>
  <c r="AI188" i="11"/>
  <c r="AJ188" i="11" s="1"/>
  <c r="AI120" i="11"/>
  <c r="AJ120" i="11" s="1"/>
  <c r="AI326" i="11"/>
  <c r="AJ326" i="11" s="1"/>
  <c r="AI69" i="11"/>
  <c r="AJ69" i="11" s="1"/>
  <c r="AI9" i="11"/>
  <c r="AJ9" i="11" s="1"/>
  <c r="AI132" i="11"/>
  <c r="AJ132" i="11" s="1"/>
  <c r="AI318" i="11"/>
  <c r="AJ318" i="11" s="1"/>
  <c r="AI56" i="11"/>
  <c r="AJ56" i="11" s="1"/>
  <c r="AI8" i="11"/>
  <c r="AJ8" i="11" s="1"/>
  <c r="AI630" i="11"/>
  <c r="AJ630" i="11" s="1"/>
  <c r="AI567" i="11"/>
  <c r="AJ567" i="11" s="1"/>
  <c r="AI409" i="11"/>
  <c r="AJ409" i="11" s="1"/>
  <c r="AI237" i="11"/>
  <c r="AJ237" i="11" s="1"/>
  <c r="AI298" i="11"/>
  <c r="AJ298" i="11" s="1"/>
  <c r="AI104" i="11"/>
  <c r="AJ104" i="11" s="1"/>
  <c r="AI294" i="11"/>
  <c r="AJ294" i="11" s="1"/>
  <c r="AI5" i="11"/>
  <c r="AJ5" i="11" s="1"/>
  <c r="AI158" i="11"/>
  <c r="AJ158" i="11" s="1"/>
  <c r="AI814" i="11"/>
  <c r="AJ814" i="11" s="1"/>
  <c r="AI183" i="11"/>
  <c r="AJ183" i="11" s="1"/>
  <c r="AI308" i="11"/>
  <c r="AJ308" i="11" s="1"/>
  <c r="AI99" i="11"/>
  <c r="AJ99" i="11" s="1"/>
  <c r="AI53" i="11"/>
  <c r="AJ53" i="11" s="1"/>
  <c r="AI142" i="11"/>
  <c r="AJ142" i="11" s="1"/>
  <c r="AI389" i="11"/>
  <c r="AJ389" i="11" s="1"/>
  <c r="AI347" i="11"/>
  <c r="AJ347" i="11" s="1"/>
  <c r="AI231" i="11"/>
  <c r="AJ231" i="11" s="1"/>
  <c r="AI181" i="11"/>
  <c r="AJ181" i="11" s="1"/>
  <c r="AI882" i="11"/>
  <c r="AJ882" i="11" s="1"/>
  <c r="AI868" i="11"/>
  <c r="AJ868" i="11" s="1"/>
  <c r="AI51" i="11"/>
  <c r="AJ51" i="11" s="1"/>
  <c r="AI98" i="11"/>
  <c r="AJ98" i="11" s="1"/>
  <c r="AN65" i="19"/>
  <c r="AO65" i="19" s="1"/>
  <c r="AI472" i="11"/>
  <c r="AJ472" i="11" s="1"/>
  <c r="AI629" i="11"/>
  <c r="AJ629" i="11" s="1"/>
  <c r="AI795" i="11"/>
  <c r="AJ795" i="11" s="1"/>
  <c r="AI178" i="11"/>
  <c r="AJ178" i="11" s="1"/>
  <c r="AI46" i="11"/>
  <c r="AJ46" i="11" s="1"/>
  <c r="AN157" i="19"/>
  <c r="AO157" i="19" s="1"/>
  <c r="AN9" i="19"/>
  <c r="AO9" i="19" s="1"/>
  <c r="AI742" i="11"/>
  <c r="AJ742" i="11" s="1"/>
  <c r="AI878" i="11"/>
  <c r="AJ878" i="11" s="1"/>
  <c r="AI644" i="11"/>
  <c r="AJ644" i="11" s="1"/>
  <c r="AI534" i="11"/>
  <c r="AJ534" i="11" s="1"/>
  <c r="AI764" i="11"/>
  <c r="AJ764" i="11" s="1"/>
  <c r="AI330" i="11"/>
  <c r="AJ330" i="11" s="1"/>
  <c r="AI748" i="11"/>
  <c r="AJ748" i="11" s="1"/>
  <c r="AI227" i="11"/>
  <c r="AJ227" i="11" s="1"/>
  <c r="AI284" i="11"/>
  <c r="AJ284" i="11" s="1"/>
  <c r="AI822" i="11"/>
  <c r="AJ822" i="11" s="1"/>
  <c r="AI47" i="11"/>
  <c r="AJ47" i="11" s="1"/>
  <c r="AI4" i="11"/>
  <c r="AJ4" i="11" s="1"/>
  <c r="AI44" i="11"/>
  <c r="AJ44" i="11" s="1"/>
  <c r="AN91" i="19"/>
  <c r="AO91" i="19" s="1"/>
  <c r="AN8" i="19"/>
  <c r="AO8" i="19" s="1"/>
  <c r="AN178" i="19"/>
  <c r="AO178" i="19" s="1"/>
  <c r="AI897" i="11"/>
  <c r="AJ897" i="11" s="1"/>
  <c r="AN175" i="19"/>
  <c r="AO175" i="19" s="1"/>
  <c r="AN108" i="19"/>
  <c r="AO108" i="19" s="1"/>
  <c r="AN97" i="19"/>
  <c r="AO97" i="19" s="1"/>
  <c r="AN30" i="19"/>
  <c r="AO30" i="19" s="1"/>
  <c r="AI762" i="11"/>
  <c r="AJ762" i="11" s="1"/>
  <c r="AI686" i="11"/>
  <c r="AJ686" i="11" s="1"/>
  <c r="AI798" i="11"/>
  <c r="AJ798" i="11" s="1"/>
  <c r="AI792" i="11"/>
  <c r="AJ792" i="11" s="1"/>
  <c r="AI842" i="11"/>
  <c r="AJ842" i="11" s="1"/>
  <c r="AI863" i="11"/>
  <c r="AJ863" i="11" s="1"/>
  <c r="AI639" i="11"/>
  <c r="AJ639" i="11" s="1"/>
  <c r="AI544" i="11"/>
  <c r="AJ544" i="11" s="1"/>
  <c r="AI492" i="11"/>
  <c r="AJ492" i="11" s="1"/>
  <c r="AI428" i="11"/>
  <c r="AJ428" i="11" s="1"/>
  <c r="AI653" i="11"/>
  <c r="AJ653" i="11" s="1"/>
  <c r="AI575" i="11"/>
  <c r="AJ575" i="11" s="1"/>
  <c r="AI369" i="11"/>
  <c r="AJ369" i="11" s="1"/>
  <c r="AI642" i="11"/>
  <c r="AJ642" i="11" s="1"/>
  <c r="AI417" i="11"/>
  <c r="AJ417" i="11" s="1"/>
  <c r="AI295" i="11"/>
  <c r="AJ295" i="11" s="1"/>
  <c r="AI517" i="11"/>
  <c r="AJ517" i="11" s="1"/>
  <c r="AI377" i="11"/>
  <c r="AJ377" i="11" s="1"/>
  <c r="AI247" i="11"/>
  <c r="AJ247" i="11" s="1"/>
  <c r="AI187" i="11"/>
  <c r="AJ187" i="11" s="1"/>
  <c r="AI137" i="11"/>
  <c r="AJ137" i="11" s="1"/>
  <c r="AI354" i="11"/>
  <c r="AJ354" i="11" s="1"/>
  <c r="AI324" i="11"/>
  <c r="AJ324" i="11" s="1"/>
  <c r="AI236" i="11"/>
  <c r="AJ236" i="11" s="1"/>
  <c r="AI716" i="11"/>
  <c r="AJ716" i="11" s="1"/>
  <c r="AI115" i="11"/>
  <c r="AJ115" i="11" s="1"/>
  <c r="AI310" i="11"/>
  <c r="AJ310" i="11" s="1"/>
  <c r="AI67" i="11"/>
  <c r="AJ67" i="11" s="1"/>
  <c r="AI7" i="11"/>
  <c r="AJ7" i="11" s="1"/>
  <c r="AI124" i="11"/>
  <c r="AJ124" i="11" s="1"/>
  <c r="AI302" i="11"/>
  <c r="AJ302" i="11" s="1"/>
  <c r="AI54" i="11"/>
  <c r="AJ54" i="11" s="1"/>
  <c r="AI6" i="11"/>
  <c r="AJ6" i="11" s="1"/>
  <c r="AI542" i="11"/>
  <c r="AJ542" i="11" s="1"/>
  <c r="AI426" i="11"/>
  <c r="AJ426" i="11" s="1"/>
  <c r="AI362" i="11"/>
  <c r="AJ362" i="11" s="1"/>
  <c r="AI634" i="11"/>
  <c r="AJ634" i="11" s="1"/>
  <c r="AI293" i="11"/>
  <c r="AJ293" i="11" s="1"/>
  <c r="AI358" i="11"/>
  <c r="AJ358" i="11" s="1"/>
  <c r="AI185" i="11"/>
  <c r="AJ185" i="11" s="1"/>
  <c r="AI135" i="11"/>
  <c r="AJ135" i="11" s="1"/>
  <c r="AI316" i="11"/>
  <c r="AJ316" i="11" s="1"/>
  <c r="AI234" i="11"/>
  <c r="AJ234" i="11" s="1"/>
  <c r="AI106" i="11"/>
  <c r="AJ106" i="11" s="1"/>
  <c r="AI57" i="11"/>
  <c r="AJ57" i="11" s="1"/>
  <c r="AI114" i="11"/>
  <c r="AJ114" i="11" s="1"/>
  <c r="AI52" i="11"/>
  <c r="AJ52" i="11" s="1"/>
  <c r="AI352" i="11"/>
  <c r="AJ352" i="11" s="1"/>
  <c r="AI133" i="11"/>
  <c r="AJ133" i="11" s="1"/>
  <c r="AI232" i="11"/>
  <c r="AJ232" i="11" s="1"/>
  <c r="AI88" i="11"/>
  <c r="AJ88" i="11" s="1"/>
  <c r="AI278" i="11"/>
  <c r="AJ278" i="11" s="1"/>
  <c r="AI107" i="11"/>
  <c r="AJ107" i="11" s="1"/>
  <c r="AI50" i="11"/>
  <c r="AJ50" i="11" s="1"/>
  <c r="C63" i="7"/>
  <c r="AI918" i="11"/>
  <c r="AJ918" i="11" s="1"/>
  <c r="AI131" i="11"/>
  <c r="AJ131" i="11" s="1"/>
  <c r="AI90" i="11"/>
  <c r="AJ90" i="11" s="1"/>
  <c r="AI134" i="11"/>
  <c r="AJ134" i="11" s="1"/>
  <c r="AI940" i="11"/>
  <c r="AJ940" i="11" s="1"/>
  <c r="AI607" i="11"/>
  <c r="AJ607" i="11" s="1"/>
  <c r="AI420" i="11"/>
  <c r="AJ420" i="11" s="1"/>
  <c r="AI773" i="11"/>
  <c r="AJ773" i="11" s="1"/>
  <c r="AI337" i="11"/>
  <c r="AJ337" i="11" s="1"/>
  <c r="AI916" i="11"/>
  <c r="AJ916" i="11" s="1"/>
  <c r="AI229" i="11"/>
  <c r="AJ229" i="11" s="1"/>
  <c r="AI179" i="11"/>
  <c r="AJ179" i="11" s="1"/>
  <c r="AI129" i="11"/>
  <c r="AJ129" i="11" s="1"/>
  <c r="AI292" i="11"/>
  <c r="AJ292" i="11" s="1"/>
  <c r="AI2" i="11"/>
  <c r="AI49" i="11"/>
  <c r="AJ49" i="11" s="1"/>
  <c r="AI374" i="11"/>
  <c r="AJ374" i="11" s="1"/>
  <c r="AI126" i="11"/>
  <c r="AJ126" i="11" s="1"/>
  <c r="AN43" i="19"/>
  <c r="AO43" i="19" s="1"/>
  <c r="AI931" i="11"/>
  <c r="AJ931" i="11" s="1"/>
  <c r="AI664" i="11"/>
  <c r="AJ664" i="11" s="1"/>
  <c r="AI788" i="11"/>
  <c r="AJ788" i="11" s="1"/>
  <c r="AI598" i="11"/>
  <c r="AJ598" i="11" s="1"/>
  <c r="AI470" i="11"/>
  <c r="AJ470" i="11" s="1"/>
  <c r="AI535" i="11"/>
  <c r="AJ535" i="11" s="1"/>
  <c r="AI585" i="11"/>
  <c r="AJ585" i="11" s="1"/>
  <c r="AI373" i="11"/>
  <c r="AJ373" i="11" s="1"/>
  <c r="AI620" i="11"/>
  <c r="AJ620" i="11" s="1"/>
  <c r="AI127" i="11"/>
  <c r="AJ127" i="11" s="1"/>
  <c r="AI633" i="11"/>
  <c r="AJ633" i="11" s="1"/>
  <c r="AI170" i="11"/>
  <c r="AJ170" i="11" s="1"/>
  <c r="AI368" i="11"/>
  <c r="AJ368" i="11" s="1"/>
  <c r="AI118" i="11"/>
  <c r="AJ118" i="11" s="1"/>
  <c r="AN60" i="19"/>
  <c r="AO60" i="19" s="1"/>
  <c r="AN83" i="19"/>
  <c r="AO83" i="19" s="1"/>
  <c r="AN197" i="19"/>
  <c r="AO197" i="19" s="1"/>
  <c r="AN170" i="19"/>
  <c r="AO170" i="19" s="1"/>
  <c r="AI889" i="11"/>
  <c r="AJ889" i="11" s="1"/>
  <c r="AN167" i="19"/>
  <c r="AO167" i="19" s="1"/>
  <c r="AN100" i="19"/>
  <c r="AO100" i="19" s="1"/>
  <c r="AN89" i="19"/>
  <c r="AO89" i="19" s="1"/>
  <c r="AN22" i="19"/>
  <c r="AO22" i="19" s="1"/>
  <c r="AI758" i="11"/>
  <c r="AJ758" i="11" s="1"/>
  <c r="AI672" i="11"/>
  <c r="AJ672" i="11" s="1"/>
  <c r="AI927" i="11"/>
  <c r="AJ927" i="11" s="1"/>
  <c r="AI787" i="11"/>
  <c r="AJ787" i="11" s="1"/>
  <c r="AI836" i="11"/>
  <c r="AJ836" i="11" s="1"/>
  <c r="AI838" i="11"/>
  <c r="AJ838" i="11" s="1"/>
  <c r="AI478" i="11"/>
  <c r="AJ478" i="11" s="1"/>
  <c r="AI648" i="11"/>
  <c r="AJ648" i="11" s="1"/>
  <c r="AI906" i="11"/>
  <c r="AJ906" i="11" s="1"/>
  <c r="AI3" i="11"/>
  <c r="AJ3" i="11" s="1"/>
  <c r="AI230" i="11"/>
  <c r="AJ230" i="11" s="1"/>
  <c r="AI48" i="11"/>
  <c r="AJ48" i="11" s="1"/>
  <c r="AI896" i="11"/>
  <c r="AJ896" i="11" s="1"/>
  <c r="AI590" i="11"/>
  <c r="AJ590" i="11" s="1"/>
  <c r="AI228" i="11"/>
  <c r="AJ228" i="11" s="1"/>
  <c r="AI873" i="11"/>
  <c r="AJ873" i="11" s="1"/>
  <c r="AI418" i="11"/>
  <c r="AJ418" i="11" s="1"/>
  <c r="AI824" i="11"/>
  <c r="AJ824" i="11" s="1"/>
  <c r="AN67" i="19"/>
  <c r="AO67" i="19" s="1"/>
  <c r="AN181" i="19"/>
  <c r="AO181" i="19" s="1"/>
  <c r="AN162" i="19"/>
  <c r="AO162" i="19" s="1"/>
  <c r="AI885" i="11"/>
  <c r="AJ885" i="11" s="1"/>
  <c r="AN159" i="19"/>
  <c r="AO159" i="19" s="1"/>
  <c r="AN92" i="19"/>
  <c r="AO92" i="19" s="1"/>
  <c r="AN81" i="19"/>
  <c r="AO81" i="19" s="1"/>
  <c r="AN14" i="19"/>
  <c r="AO14" i="19" s="1"/>
  <c r="AI754" i="11"/>
  <c r="AJ754" i="11" s="1"/>
  <c r="AI670" i="11"/>
  <c r="AJ670" i="11" s="1"/>
  <c r="AI920" i="11"/>
  <c r="AJ920" i="11" s="1"/>
  <c r="AI781" i="11"/>
  <c r="AJ781" i="11" s="1"/>
  <c r="AI818" i="11"/>
  <c r="AJ818" i="11" s="1"/>
  <c r="AI827" i="11"/>
  <c r="AJ827" i="11" s="1"/>
  <c r="AI623" i="11"/>
  <c r="AJ623" i="11" s="1"/>
  <c r="AI540" i="11"/>
  <c r="AJ540" i="11" s="1"/>
  <c r="AI476" i="11"/>
  <c r="AJ476" i="11" s="1"/>
  <c r="AI424" i="11"/>
  <c r="AJ424" i="11" s="1"/>
  <c r="AI641" i="11"/>
  <c r="AJ641" i="11" s="1"/>
  <c r="AI559" i="11"/>
  <c r="AJ559" i="11" s="1"/>
  <c r="AI353" i="11"/>
  <c r="AJ353" i="11" s="1"/>
  <c r="AI631" i="11"/>
  <c r="AJ631" i="11" s="1"/>
  <c r="AI401" i="11"/>
  <c r="AJ401" i="11" s="1"/>
  <c r="AI279" i="11"/>
  <c r="AJ279" i="11" s="1"/>
  <c r="AI233" i="11"/>
  <c r="AJ233" i="11" s="1"/>
  <c r="AI282" i="11"/>
  <c r="AJ282" i="11" s="1"/>
  <c r="AI586" i="11"/>
  <c r="AJ586" i="11" s="1"/>
  <c r="AI300" i="11"/>
  <c r="AJ300" i="11" s="1"/>
  <c r="AI467" i="11"/>
  <c r="AJ467" i="11" s="1"/>
  <c r="AI666" i="11"/>
  <c r="AJ666" i="11" s="1"/>
  <c r="AI382" i="11"/>
  <c r="AJ382" i="11" s="1"/>
  <c r="AI647" i="11"/>
  <c r="AJ647" i="11" s="1"/>
  <c r="AN90" i="19"/>
  <c r="AO90" i="19" s="1"/>
  <c r="AI226" i="11"/>
  <c r="AJ226" i="11" s="1"/>
  <c r="AN59" i="19"/>
  <c r="AO59" i="19" s="1"/>
  <c r="AN173" i="19"/>
  <c r="AO173" i="19" s="1"/>
  <c r="AN154" i="19"/>
  <c r="AO154" i="19" s="1"/>
  <c r="AI881" i="11"/>
  <c r="AJ881" i="11" s="1"/>
  <c r="AN151" i="19"/>
  <c r="AO151" i="19" s="1"/>
  <c r="AN84" i="19"/>
  <c r="AO84" i="19" s="1"/>
  <c r="AN73" i="19"/>
  <c r="AO73" i="19" s="1"/>
  <c r="AN6" i="19"/>
  <c r="AO6" i="19" s="1"/>
  <c r="AI750" i="11"/>
  <c r="AJ750" i="11" s="1"/>
  <c r="AI668" i="11"/>
  <c r="AJ668" i="11" s="1"/>
  <c r="AI902" i="11"/>
  <c r="AJ902" i="11" s="1"/>
  <c r="AI744" i="11"/>
  <c r="AJ744" i="11" s="1"/>
  <c r="AI811" i="11"/>
  <c r="AJ811" i="11" s="1"/>
  <c r="AI808" i="11"/>
  <c r="AJ808" i="11" s="1"/>
  <c r="AI614" i="11"/>
  <c r="AJ614" i="11" s="1"/>
  <c r="AI538" i="11"/>
  <c r="AJ538" i="11" s="1"/>
  <c r="AI474" i="11"/>
  <c r="AJ474" i="11" s="1"/>
  <c r="AI422" i="11"/>
  <c r="AJ422" i="11" s="1"/>
  <c r="AI800" i="11"/>
  <c r="AJ800" i="11" s="1"/>
  <c r="AI551" i="11"/>
  <c r="AJ551" i="11" s="1"/>
  <c r="AI346" i="11"/>
  <c r="AJ346" i="11" s="1"/>
  <c r="AI608" i="11"/>
  <c r="AJ608" i="11" s="1"/>
  <c r="AI743" i="11"/>
  <c r="AJ743" i="11" s="1"/>
  <c r="AI186" i="11"/>
  <c r="AJ186" i="11" s="1"/>
  <c r="AI543" i="11"/>
  <c r="AJ543" i="11" s="1"/>
  <c r="AI91" i="11"/>
  <c r="AJ91" i="11" s="1"/>
  <c r="AN87" i="19"/>
  <c r="AO87" i="19" s="1"/>
  <c r="AI177" i="11"/>
  <c r="AJ177" i="11" s="1"/>
  <c r="AN51" i="19"/>
  <c r="AO51" i="19" s="1"/>
  <c r="AN165" i="19"/>
  <c r="AO165" i="19" s="1"/>
  <c r="AN146" i="19"/>
  <c r="AO146" i="19" s="1"/>
  <c r="AI877" i="11"/>
  <c r="AJ877" i="11" s="1"/>
  <c r="AN95" i="19"/>
  <c r="AO95" i="19" s="1"/>
  <c r="AN76" i="19"/>
  <c r="AO76" i="19" s="1"/>
  <c r="AI746" i="11"/>
  <c r="AJ746" i="11" s="1"/>
  <c r="AI739" i="11"/>
  <c r="AJ739" i="11" s="1"/>
  <c r="AI793" i="11"/>
  <c r="AJ793" i="11" s="1"/>
  <c r="AI789" i="11"/>
  <c r="AJ789" i="11" s="1"/>
  <c r="AI536" i="11"/>
  <c r="AJ536" i="11" s="1"/>
  <c r="AI328" i="11"/>
  <c r="AJ328" i="11" s="1"/>
  <c r="AN68" i="19"/>
  <c r="AO68" i="19" s="1"/>
  <c r="AI320" i="11"/>
  <c r="AJ320" i="11" s="1"/>
  <c r="AI733" i="11"/>
  <c r="AJ733" i="11" s="1"/>
  <c r="AN176" i="19"/>
  <c r="AO176" i="19" s="1"/>
  <c r="AN149" i="19"/>
  <c r="AO149" i="19" s="1"/>
  <c r="AN82" i="19"/>
  <c r="AO82" i="19" s="1"/>
  <c r="AI869" i="11"/>
  <c r="AJ869" i="11" s="1"/>
  <c r="AN79" i="19"/>
  <c r="AO79" i="19" s="1"/>
  <c r="AN168" i="19"/>
  <c r="AO168" i="19" s="1"/>
  <c r="AN21" i="19"/>
  <c r="AO21" i="19" s="1"/>
  <c r="AI825" i="11"/>
  <c r="AJ825" i="11" s="1"/>
  <c r="AN52" i="19"/>
  <c r="AO52" i="19" s="1"/>
  <c r="AN126" i="19"/>
  <c r="AO126" i="19" s="1"/>
  <c r="AI710" i="11"/>
  <c r="AJ710" i="11" s="1"/>
  <c r="AI848" i="11"/>
  <c r="AJ848" i="11" s="1"/>
  <c r="AI711" i="11"/>
  <c r="AJ711" i="11" s="1"/>
  <c r="AI659" i="11"/>
  <c r="AJ659" i="11" s="1"/>
  <c r="AI576" i="11"/>
  <c r="AJ576" i="11" s="1"/>
  <c r="AI498" i="11"/>
  <c r="AJ498" i="11" s="1"/>
  <c r="AI910" i="11"/>
  <c r="AJ910" i="11" s="1"/>
  <c r="AI588" i="11"/>
  <c r="AJ588" i="11" s="1"/>
  <c r="AI364" i="11"/>
  <c r="AJ364" i="11" s="1"/>
  <c r="AI366" i="11"/>
  <c r="AJ366" i="11" s="1"/>
  <c r="AI617" i="11"/>
  <c r="AJ617" i="11" s="1"/>
  <c r="AI273" i="11"/>
  <c r="AJ273" i="11" s="1"/>
  <c r="AI209" i="11"/>
  <c r="AJ209" i="11" s="1"/>
  <c r="AI892" i="11"/>
  <c r="AJ892" i="11" s="1"/>
  <c r="AI501" i="11"/>
  <c r="AJ501" i="11" s="1"/>
  <c r="AI208" i="11"/>
  <c r="AJ208" i="11" s="1"/>
  <c r="AI152" i="11"/>
  <c r="AJ152" i="11" s="1"/>
  <c r="AI87" i="11"/>
  <c r="AJ87" i="11" s="1"/>
  <c r="AI13" i="11"/>
  <c r="AJ13" i="11" s="1"/>
  <c r="AI116" i="11"/>
  <c r="AJ116" i="11" s="1"/>
  <c r="AI58" i="11"/>
  <c r="AJ58" i="11" s="1"/>
  <c r="AI357" i="11"/>
  <c r="AJ357" i="11" s="1"/>
  <c r="AI271" i="11"/>
  <c r="AJ271" i="11" s="1"/>
  <c r="AI207" i="11"/>
  <c r="AJ207" i="11" s="1"/>
  <c r="AI843" i="11"/>
  <c r="AJ843" i="11" s="1"/>
  <c r="AI206" i="11"/>
  <c r="AJ206" i="11" s="1"/>
  <c r="AI136" i="11"/>
  <c r="AJ136" i="11" s="1"/>
  <c r="AI85" i="11"/>
  <c r="AJ85" i="11" s="1"/>
  <c r="AI11" i="11"/>
  <c r="AJ11" i="11" s="1"/>
  <c r="AI109" i="11"/>
  <c r="AJ109" i="11" s="1"/>
  <c r="AI42" i="11"/>
  <c r="AJ42" i="11" s="1"/>
  <c r="AN110" i="19"/>
  <c r="AO110" i="19" s="1"/>
  <c r="AI830" i="11"/>
  <c r="AJ830" i="11" s="1"/>
  <c r="AI572" i="11"/>
  <c r="AJ572" i="11" s="1"/>
  <c r="AI468" i="11"/>
  <c r="AJ468" i="11" s="1"/>
  <c r="AI806" i="11"/>
  <c r="AJ806" i="11" s="1"/>
  <c r="AI348" i="11"/>
  <c r="AJ348" i="11" s="1"/>
  <c r="AI319" i="11"/>
  <c r="AJ319" i="11" s="1"/>
  <c r="AI604" i="11"/>
  <c r="AJ604" i="11" s="1"/>
  <c r="AI269" i="11"/>
  <c r="AJ269" i="11" s="1"/>
  <c r="AI732" i="11"/>
  <c r="AJ732" i="11" s="1"/>
  <c r="AI351" i="11"/>
  <c r="AJ351" i="11" s="1"/>
  <c r="AI204" i="11"/>
  <c r="AJ204" i="11" s="1"/>
  <c r="AI83" i="11"/>
  <c r="AJ83" i="11" s="1"/>
  <c r="AI100" i="11"/>
  <c r="AJ100" i="11" s="1"/>
  <c r="AI558" i="11"/>
  <c r="AJ558" i="11" s="1"/>
  <c r="AI779" i="11"/>
  <c r="AJ779" i="11" s="1"/>
  <c r="AI339" i="11"/>
  <c r="AJ339" i="11" s="1"/>
  <c r="AI557" i="11"/>
  <c r="AJ557" i="11" s="1"/>
  <c r="AI619" i="11"/>
  <c r="AJ619" i="11" s="1"/>
  <c r="AI202" i="11"/>
  <c r="AJ202" i="11" s="1"/>
  <c r="AI81" i="11"/>
  <c r="AJ81" i="11" s="1"/>
  <c r="AI93" i="11"/>
  <c r="AJ93" i="11" s="1"/>
  <c r="AI499" i="11"/>
  <c r="AJ499" i="11" s="1"/>
  <c r="AI77" i="11"/>
  <c r="AJ77" i="11" s="1"/>
  <c r="AI34" i="11"/>
  <c r="AJ34" i="11" s="1"/>
  <c r="AN50" i="19"/>
  <c r="AO50" i="19" s="1"/>
  <c r="AI612" i="11"/>
  <c r="AJ612" i="11" s="1"/>
  <c r="AI904" i="11"/>
  <c r="AJ904" i="11" s="1"/>
  <c r="AI270" i="11"/>
  <c r="AJ270" i="11" s="1"/>
  <c r="AI393" i="11"/>
  <c r="AJ393" i="11" s="1"/>
  <c r="AN42" i="19"/>
  <c r="AO42" i="19" s="1"/>
  <c r="AI696" i="11"/>
  <c r="AJ696" i="11" s="1"/>
  <c r="AI938" i="11"/>
  <c r="AJ938" i="11" s="1"/>
  <c r="AI870" i="11"/>
  <c r="AJ870" i="11" s="1"/>
  <c r="AI605" i="11"/>
  <c r="AJ605" i="11" s="1"/>
  <c r="AI458" i="11"/>
  <c r="AJ458" i="11" s="1"/>
  <c r="AI431" i="11"/>
  <c r="AJ431" i="11" s="1"/>
  <c r="AI577" i="11"/>
  <c r="AJ577" i="11" s="1"/>
  <c r="AI309" i="11"/>
  <c r="AJ309" i="11" s="1"/>
  <c r="AI509" i="11"/>
  <c r="AJ509" i="11" s="1"/>
  <c r="AI171" i="11"/>
  <c r="AJ171" i="11" s="1"/>
  <c r="AI435" i="11"/>
  <c r="AJ435" i="11" s="1"/>
  <c r="AI268" i="11"/>
  <c r="AJ268" i="11" s="1"/>
  <c r="AI194" i="11"/>
  <c r="AJ194" i="11" s="1"/>
  <c r="AI475" i="11"/>
  <c r="AJ475" i="11" s="1"/>
  <c r="AI367" i="11"/>
  <c r="AJ367" i="11" s="1"/>
  <c r="AN96" i="19"/>
  <c r="AO96" i="19" s="1"/>
  <c r="AI890" i="11"/>
  <c r="AJ890" i="11" s="1"/>
  <c r="AI876" i="11"/>
  <c r="AJ876" i="11" s="1"/>
  <c r="AI589" i="11"/>
  <c r="AJ589" i="11" s="1"/>
  <c r="AI454" i="11"/>
  <c r="AJ454" i="11" s="1"/>
  <c r="AI415" i="11"/>
  <c r="AJ415" i="11" s="1"/>
  <c r="AI445" i="11"/>
  <c r="AJ445" i="11" s="1"/>
  <c r="AI167" i="11"/>
  <c r="AJ167" i="11" s="1"/>
  <c r="AI190" i="11"/>
  <c r="AJ190" i="11" s="1"/>
  <c r="AI102" i="11"/>
  <c r="AJ102" i="11" s="1"/>
  <c r="AN80" i="19"/>
  <c r="AO80" i="19" s="1"/>
  <c r="AN121" i="19"/>
  <c r="AO121" i="19" s="1"/>
  <c r="AI690" i="11"/>
  <c r="AJ690" i="11" s="1"/>
  <c r="AI923" i="11"/>
  <c r="AJ923" i="11" s="1"/>
  <c r="AI452" i="11"/>
  <c r="AJ452" i="11" s="1"/>
  <c r="AI407" i="11"/>
  <c r="AJ407" i="11" s="1"/>
  <c r="AI303" i="11"/>
  <c r="AJ303" i="11" s="1"/>
  <c r="AI253" i="11"/>
  <c r="AJ253" i="11" s="1"/>
  <c r="AI820" i="11"/>
  <c r="AJ820" i="11" s="1"/>
  <c r="AI172" i="11"/>
  <c r="AJ172" i="11" s="1"/>
  <c r="AI16" i="11"/>
  <c r="AJ16" i="11" s="1"/>
  <c r="AN10" i="19"/>
  <c r="AO10" i="19" s="1"/>
  <c r="AN160" i="19"/>
  <c r="AO160" i="19" s="1"/>
  <c r="AN13" i="19"/>
  <c r="AO13" i="19" s="1"/>
  <c r="AI821" i="11"/>
  <c r="AJ821" i="11" s="1"/>
  <c r="AN44" i="19"/>
  <c r="AO44" i="19" s="1"/>
  <c r="AN118" i="19"/>
  <c r="AO118" i="19" s="1"/>
  <c r="AI708" i="11"/>
  <c r="AJ708" i="11" s="1"/>
  <c r="AI839" i="11"/>
  <c r="AJ839" i="11" s="1"/>
  <c r="AI695" i="11"/>
  <c r="AJ695" i="11" s="1"/>
  <c r="AI936" i="11"/>
  <c r="AJ936" i="11" s="1"/>
  <c r="AI574" i="11"/>
  <c r="AJ574" i="11" s="1"/>
  <c r="AI496" i="11"/>
  <c r="AJ496" i="11" s="1"/>
  <c r="AI886" i="11"/>
  <c r="AJ886" i="11" s="1"/>
  <c r="AI527" i="11"/>
  <c r="AJ527" i="11" s="1"/>
  <c r="AI355" i="11"/>
  <c r="AJ355" i="11" s="1"/>
  <c r="AI609" i="11"/>
  <c r="AJ609" i="11" s="1"/>
  <c r="AI386" i="11"/>
  <c r="AJ386" i="11" s="1"/>
  <c r="AI911" i="11"/>
  <c r="AJ911" i="11" s="1"/>
  <c r="AI197" i="11"/>
  <c r="AJ197" i="11" s="1"/>
  <c r="AI128" i="11"/>
  <c r="AJ128" i="11" s="1"/>
  <c r="AI40" i="11"/>
  <c r="AJ40" i="11" s="1"/>
  <c r="AI637" i="11"/>
  <c r="AJ637" i="11" s="1"/>
  <c r="AI511" i="11"/>
  <c r="AJ511" i="11" s="1"/>
  <c r="AI317" i="11"/>
  <c r="AJ317" i="11" s="1"/>
  <c r="AI193" i="11"/>
  <c r="AJ193" i="11" s="1"/>
  <c r="AI343" i="11"/>
  <c r="AJ343" i="11" s="1"/>
  <c r="AI636" i="11"/>
  <c r="AJ636" i="11" s="1"/>
  <c r="AI335" i="11"/>
  <c r="AJ335" i="11" s="1"/>
  <c r="AI38" i="11"/>
  <c r="AJ38" i="11" s="1"/>
  <c r="AI175" i="11"/>
  <c r="AJ175" i="11" s="1"/>
  <c r="AI597" i="11"/>
  <c r="AJ597" i="11" s="1"/>
  <c r="AI493" i="11"/>
  <c r="AJ493" i="11" s="1"/>
  <c r="AN112" i="19"/>
  <c r="AO112" i="19" s="1"/>
  <c r="AI460" i="11"/>
  <c r="AJ460" i="11" s="1"/>
  <c r="AI261" i="11"/>
  <c r="AJ261" i="11" s="1"/>
  <c r="AI96" i="11"/>
  <c r="AJ96" i="11" s="1"/>
  <c r="AN191" i="19"/>
  <c r="AO191" i="19" s="1"/>
  <c r="AI550" i="11"/>
  <c r="AJ550" i="11" s="1"/>
  <c r="AN63" i="19"/>
  <c r="AO63" i="19" s="1"/>
  <c r="AI884" i="11"/>
  <c r="AJ884" i="11" s="1"/>
  <c r="AI548" i="11"/>
  <c r="AJ548" i="11" s="1"/>
  <c r="AI423" i="11"/>
  <c r="AJ423" i="11" s="1"/>
  <c r="AI569" i="11"/>
  <c r="AJ569" i="11" s="1"/>
  <c r="AI257" i="11"/>
  <c r="AJ257" i="11" s="1"/>
  <c r="AI192" i="11"/>
  <c r="AJ192" i="11" s="1"/>
  <c r="AI71" i="11"/>
  <c r="AJ71" i="11" s="1"/>
  <c r="AN26" i="19"/>
  <c r="AO26" i="19" s="1"/>
  <c r="AI561" i="11"/>
  <c r="AJ561" i="11" s="1"/>
  <c r="AI92" i="11"/>
  <c r="AJ92" i="11" s="1"/>
  <c r="AN47" i="19"/>
  <c r="AO47" i="19" s="1"/>
  <c r="AI379" i="11"/>
  <c r="AJ379" i="11" s="1"/>
  <c r="AN113" i="19"/>
  <c r="AO113" i="19" s="1"/>
  <c r="AN144" i="19"/>
  <c r="AO144" i="19" s="1"/>
  <c r="AN5" i="19"/>
  <c r="AO5" i="19" s="1"/>
  <c r="AI817" i="11"/>
  <c r="AJ817" i="11" s="1"/>
  <c r="AN36" i="19"/>
  <c r="AO36" i="19" s="1"/>
  <c r="AI706" i="11"/>
  <c r="AJ706" i="11" s="1"/>
  <c r="AI679" i="11"/>
  <c r="AJ679" i="11" s="1"/>
  <c r="AI519" i="11"/>
  <c r="AJ519" i="11" s="1"/>
  <c r="AI365" i="11"/>
  <c r="AJ365" i="11" s="1"/>
  <c r="AI198" i="11"/>
  <c r="AJ198" i="11" s="1"/>
  <c r="AI797" i="11"/>
  <c r="AJ797" i="11" s="1"/>
  <c r="AI173" i="11"/>
  <c r="AJ173" i="11" s="1"/>
  <c r="AI899" i="11"/>
  <c r="AJ899" i="11" s="1"/>
  <c r="AI713" i="11"/>
  <c r="AJ713" i="11" s="1"/>
  <c r="AI259" i="11"/>
  <c r="AJ259" i="11" s="1"/>
  <c r="AI383" i="11"/>
  <c r="AJ383" i="11" s="1"/>
  <c r="AN34" i="19"/>
  <c r="AO34" i="19" s="1"/>
  <c r="AI596" i="11"/>
  <c r="AJ596" i="11" s="1"/>
  <c r="AI491" i="11"/>
  <c r="AJ491" i="11" s="1"/>
  <c r="AI111" i="11"/>
  <c r="AJ111" i="11" s="1"/>
  <c r="AN129" i="19"/>
  <c r="AO129" i="19" s="1"/>
  <c r="AI256" i="11"/>
  <c r="AJ256" i="11" s="1"/>
  <c r="AI518" i="11"/>
  <c r="AJ518" i="11" s="1"/>
  <c r="AI252" i="11"/>
  <c r="AJ252" i="11" s="1"/>
  <c r="AN136" i="19"/>
  <c r="AO136" i="19" s="1"/>
  <c r="AN194" i="19"/>
  <c r="AO194" i="19" s="1"/>
  <c r="AI809" i="11"/>
  <c r="AJ809" i="11" s="1"/>
  <c r="AN28" i="19"/>
  <c r="AO28" i="19" s="1"/>
  <c r="AN102" i="19"/>
  <c r="AO102" i="19" s="1"/>
  <c r="AI704" i="11"/>
  <c r="AJ704" i="11" s="1"/>
  <c r="AI816" i="11"/>
  <c r="AJ816" i="11" s="1"/>
  <c r="AI663" i="11"/>
  <c r="AJ663" i="11" s="1"/>
  <c r="AI466" i="11"/>
  <c r="AJ466" i="11" s="1"/>
  <c r="AI267" i="11"/>
  <c r="AJ267" i="11" s="1"/>
  <c r="AI888" i="11"/>
  <c r="AJ888" i="11" s="1"/>
  <c r="AI485" i="11"/>
  <c r="AJ485" i="11" s="1"/>
  <c r="AN145" i="19"/>
  <c r="AO145" i="19" s="1"/>
  <c r="AI73" i="11"/>
  <c r="AJ73" i="11" s="1"/>
  <c r="AI932" i="11"/>
  <c r="AJ932" i="11" s="1"/>
  <c r="AI731" i="11"/>
  <c r="AJ731" i="11" s="1"/>
  <c r="AI390" i="11"/>
  <c r="AJ390" i="11" s="1"/>
  <c r="AI20" i="11"/>
  <c r="AJ20" i="11" s="1"/>
  <c r="AN55" i="19"/>
  <c r="AO55" i="19" s="1"/>
  <c r="AI783" i="11"/>
  <c r="AJ783" i="11" s="1"/>
  <c r="AI594" i="11"/>
  <c r="AJ594" i="11" s="1"/>
  <c r="AN128" i="19"/>
  <c r="AO128" i="19" s="1"/>
  <c r="AN74" i="19"/>
  <c r="AO74" i="19" s="1"/>
  <c r="AI805" i="11"/>
  <c r="AJ805" i="11" s="1"/>
  <c r="AN169" i="19"/>
  <c r="AO169" i="19" s="1"/>
  <c r="AN94" i="19"/>
  <c r="AO94" i="19" s="1"/>
  <c r="AI702" i="11"/>
  <c r="AJ702" i="11" s="1"/>
  <c r="AI872" i="11"/>
  <c r="AJ872" i="11" s="1"/>
  <c r="AI919" i="11"/>
  <c r="AJ919" i="11" s="1"/>
  <c r="AI628" i="11"/>
  <c r="AJ628" i="11" s="1"/>
  <c r="AI556" i="11"/>
  <c r="AJ556" i="11" s="1"/>
  <c r="AI464" i="11"/>
  <c r="AJ464" i="11" s="1"/>
  <c r="AI769" i="11"/>
  <c r="AJ769" i="11" s="1"/>
  <c r="AI503" i="11"/>
  <c r="AJ503" i="11" s="1"/>
  <c r="AI332" i="11"/>
  <c r="AJ332" i="11" s="1"/>
  <c r="AI315" i="11"/>
  <c r="AJ315" i="11" s="1"/>
  <c r="AI541" i="11"/>
  <c r="AJ541" i="11" s="1"/>
  <c r="AI265" i="11"/>
  <c r="AJ265" i="11" s="1"/>
  <c r="AI191" i="11"/>
  <c r="AJ191" i="11" s="1"/>
  <c r="AI600" i="11"/>
  <c r="AJ600" i="11" s="1"/>
  <c r="AI274" i="11"/>
  <c r="AJ274" i="11" s="1"/>
  <c r="AI200" i="11"/>
  <c r="AJ200" i="11" s="1"/>
  <c r="AI625" i="11"/>
  <c r="AJ625" i="11" s="1"/>
  <c r="AI79" i="11"/>
  <c r="AJ79" i="11" s="1"/>
  <c r="AI112" i="11"/>
  <c r="AJ112" i="11" s="1"/>
  <c r="AI602" i="11"/>
  <c r="AJ602" i="11" s="1"/>
  <c r="AI36" i="11"/>
  <c r="AJ36" i="11" s="1"/>
  <c r="AN120" i="19"/>
  <c r="AO120" i="19" s="1"/>
  <c r="AN58" i="19"/>
  <c r="AO58" i="19" s="1"/>
  <c r="AI801" i="11"/>
  <c r="AJ801" i="11" s="1"/>
  <c r="AN161" i="19"/>
  <c r="AO161" i="19" s="1"/>
  <c r="AI922" i="11"/>
  <c r="AJ922" i="11" s="1"/>
  <c r="AI700" i="11"/>
  <c r="AJ700" i="11" s="1"/>
  <c r="AI854" i="11"/>
  <c r="AJ854" i="11" s="1"/>
  <c r="AI895" i="11"/>
  <c r="AJ895" i="11" s="1"/>
  <c r="AI621" i="11"/>
  <c r="AJ621" i="11" s="1"/>
  <c r="AI554" i="11"/>
  <c r="AJ554" i="11" s="1"/>
  <c r="AI462" i="11"/>
  <c r="AJ462" i="11" s="1"/>
  <c r="AI736" i="11"/>
  <c r="AJ736" i="11" s="1"/>
  <c r="AI495" i="11"/>
  <c r="AJ495" i="11" s="1"/>
  <c r="AI928" i="11"/>
  <c r="AJ928" i="11" s="1"/>
  <c r="AI313" i="11"/>
  <c r="AJ313" i="11" s="1"/>
  <c r="AI533" i="11"/>
  <c r="AJ533" i="11" s="1"/>
  <c r="AI263" i="11"/>
  <c r="AJ263" i="11" s="1"/>
  <c r="AI272" i="11"/>
  <c r="AJ272" i="11" s="1"/>
  <c r="AI105" i="11"/>
  <c r="AJ105" i="11" s="1"/>
  <c r="AN153" i="19"/>
  <c r="AO153" i="19" s="1"/>
  <c r="AI908" i="11"/>
  <c r="AJ908" i="11" s="1"/>
  <c r="AI698" i="11"/>
  <c r="AJ698" i="11" s="1"/>
  <c r="AI847" i="11"/>
  <c r="AJ847" i="11" s="1"/>
  <c r="AI552" i="11"/>
  <c r="AJ552" i="11" s="1"/>
  <c r="AI727" i="11"/>
  <c r="AJ727" i="11" s="1"/>
  <c r="AI487" i="11"/>
  <c r="AJ487" i="11" s="1"/>
  <c r="AI311" i="11"/>
  <c r="AJ311" i="11" s="1"/>
  <c r="AI592" i="11"/>
  <c r="AJ592" i="11" s="1"/>
  <c r="AI453" i="11"/>
  <c r="AJ453" i="11" s="1"/>
  <c r="AI196" i="11"/>
  <c r="AJ196" i="11" s="1"/>
  <c r="AI75" i="11"/>
  <c r="AJ75" i="11" s="1"/>
  <c r="AI24" i="11"/>
  <c r="AJ24" i="11" s="1"/>
  <c r="AN104" i="19"/>
  <c r="AO104" i="19" s="1"/>
  <c r="AI22" i="11"/>
  <c r="AJ22" i="11" s="1"/>
  <c r="AN137" i="19"/>
  <c r="AO137" i="19" s="1"/>
  <c r="AI694" i="11"/>
  <c r="AJ694" i="11" s="1"/>
  <c r="AI456" i="11"/>
  <c r="AJ456" i="11" s="1"/>
  <c r="AI307" i="11"/>
  <c r="AJ307" i="11" s="1"/>
  <c r="AI266" i="11"/>
  <c r="AJ266" i="11" s="1"/>
  <c r="AI108" i="11"/>
  <c r="AJ108" i="11" s="1"/>
  <c r="AI338" i="11"/>
  <c r="AJ338" i="11" s="1"/>
  <c r="AN88" i="19"/>
  <c r="AO88" i="19" s="1"/>
  <c r="AI692" i="11"/>
  <c r="AJ692" i="11" s="1"/>
  <c r="AI866" i="11"/>
  <c r="AJ866" i="11" s="1"/>
  <c r="AI532" i="11"/>
  <c r="AJ532" i="11" s="1"/>
  <c r="AI721" i="11"/>
  <c r="AJ721" i="11" s="1"/>
  <c r="AI305" i="11"/>
  <c r="AJ305" i="11" s="1"/>
  <c r="AI255" i="11"/>
  <c r="AJ255" i="11" s="1"/>
  <c r="AI384" i="11"/>
  <c r="AJ384" i="11" s="1"/>
  <c r="AI45" i="11"/>
  <c r="AJ45" i="11" s="1"/>
  <c r="AI18" i="11"/>
  <c r="AJ18" i="11" s="1"/>
  <c r="AN18" i="19"/>
  <c r="AO18" i="19" s="1"/>
  <c r="AI907" i="11"/>
  <c r="AJ907" i="11" s="1"/>
  <c r="AI703" i="11"/>
  <c r="AJ703" i="11" s="1"/>
  <c r="AI553" i="11"/>
  <c r="AJ553" i="11" s="1"/>
  <c r="AI427" i="11"/>
  <c r="AJ427" i="11" s="1"/>
  <c r="AI43" i="11"/>
  <c r="AJ43" i="11" s="1"/>
  <c r="AI95" i="11"/>
  <c r="AJ95" i="11" s="1"/>
  <c r="AN72" i="19"/>
  <c r="AO72" i="19" s="1"/>
  <c r="AI169" i="11"/>
  <c r="AJ169" i="11" s="1"/>
  <c r="AI914" i="11"/>
  <c r="AJ914" i="11" s="1"/>
  <c r="AI180" i="11"/>
  <c r="AJ180" i="11" s="1"/>
  <c r="AI867" i="11"/>
  <c r="AJ867" i="11" s="1"/>
  <c r="AI157" i="11"/>
  <c r="AJ157" i="11" s="1"/>
  <c r="AN141" i="19"/>
  <c r="AO141" i="19" s="1"/>
  <c r="AN7" i="19"/>
  <c r="AO7" i="19" s="1"/>
  <c r="AI738" i="11"/>
  <c r="AJ738" i="11" s="1"/>
  <c r="AI777" i="11"/>
  <c r="AJ777" i="11" s="1"/>
  <c r="AI512" i="11"/>
  <c r="AJ512" i="11" s="1"/>
  <c r="AI759" i="11"/>
  <c r="AJ759" i="11" s="1"/>
  <c r="AI449" i="11"/>
  <c r="AJ449" i="11" s="1"/>
  <c r="AI280" i="11"/>
  <c r="AJ280" i="11" s="1"/>
  <c r="AI752" i="11"/>
  <c r="AJ752" i="11" s="1"/>
  <c r="AI413" i="11"/>
  <c r="AJ413" i="11" s="1"/>
  <c r="AI31" i="11"/>
  <c r="AJ31" i="11" s="1"/>
  <c r="AI64" i="11"/>
  <c r="AJ64" i="11" s="1"/>
  <c r="AI375" i="11"/>
  <c r="AJ375" i="11" s="1"/>
  <c r="AI29" i="11"/>
  <c r="AJ29" i="11" s="1"/>
  <c r="AN188" i="19"/>
  <c r="AO188" i="19" s="1"/>
  <c r="AI767" i="11"/>
  <c r="AJ767" i="11" s="1"/>
  <c r="AI508" i="11"/>
  <c r="AJ508" i="11" s="1"/>
  <c r="AI433" i="11"/>
  <c r="AJ433" i="11" s="1"/>
  <c r="AI627" i="11"/>
  <c r="AJ627" i="11" s="1"/>
  <c r="AI14" i="11"/>
  <c r="AJ14" i="11" s="1"/>
  <c r="AI660" i="11"/>
  <c r="AJ660" i="11" s="1"/>
  <c r="AI506" i="11"/>
  <c r="AJ506" i="11" s="1"/>
  <c r="AI301" i="11"/>
  <c r="AJ301" i="11" s="1"/>
  <c r="AI615" i="11"/>
  <c r="AJ615" i="11" s="1"/>
  <c r="AI12" i="11"/>
  <c r="AJ12" i="11" s="1"/>
  <c r="AI724" i="11"/>
  <c r="AJ724" i="11" s="1"/>
  <c r="AI601" i="11"/>
  <c r="AJ601" i="11" s="1"/>
  <c r="AI221" i="11"/>
  <c r="AJ221" i="11" s="1"/>
  <c r="AI333" i="11"/>
  <c r="AJ333" i="11" s="1"/>
  <c r="AI10" i="11"/>
  <c r="AJ10" i="11" s="1"/>
  <c r="AI656" i="11"/>
  <c r="AJ656" i="11" s="1"/>
  <c r="AI719" i="11"/>
  <c r="AJ719" i="11" s="1"/>
  <c r="AI502" i="11"/>
  <c r="AJ502" i="11" s="1"/>
  <c r="AI399" i="11"/>
  <c r="AJ399" i="11" s="1"/>
  <c r="AI219" i="11"/>
  <c r="AJ219" i="11" s="1"/>
  <c r="AI555" i="11"/>
  <c r="AJ555" i="11" s="1"/>
  <c r="AI276" i="11"/>
  <c r="AJ276" i="11" s="1"/>
  <c r="AI156" i="11"/>
  <c r="AJ156" i="11" s="1"/>
  <c r="AN182" i="19"/>
  <c r="AO182" i="19" s="1"/>
  <c r="AI394" i="11"/>
  <c r="AJ394" i="11" s="1"/>
  <c r="AI148" i="11"/>
  <c r="AJ148" i="11" s="1"/>
  <c r="AN174" i="19"/>
  <c r="AO174" i="19" s="1"/>
  <c r="AI691" i="11"/>
  <c r="AJ691" i="11" s="1"/>
  <c r="AI649" i="11"/>
  <c r="AJ649" i="11" s="1"/>
  <c r="AI213" i="11"/>
  <c r="AJ213" i="11" s="1"/>
  <c r="AI937" i="11"/>
  <c r="AJ937" i="11" s="1"/>
  <c r="AI898" i="11"/>
  <c r="AJ898" i="11" s="1"/>
  <c r="AI595" i="11"/>
  <c r="AJ595" i="11" s="1"/>
  <c r="AI248" i="11"/>
  <c r="AJ248" i="11" s="1"/>
  <c r="AI933" i="11"/>
  <c r="AJ933" i="11" s="1"/>
  <c r="AI638" i="11"/>
  <c r="AJ638" i="11" s="1"/>
  <c r="AI905" i="11"/>
  <c r="AJ905" i="11" s="1"/>
  <c r="AI416" i="11"/>
  <c r="AJ416" i="11" s="1"/>
  <c r="AI130" i="11"/>
  <c r="AJ130" i="11" s="1"/>
  <c r="AI859" i="11"/>
  <c r="AJ859" i="11" s="1"/>
  <c r="AI336" i="11"/>
  <c r="AJ336" i="11" s="1"/>
  <c r="AI858" i="11"/>
  <c r="AJ858" i="11" s="1"/>
  <c r="AI147" i="11"/>
  <c r="AJ147" i="11" s="1"/>
  <c r="AI834" i="11"/>
  <c r="AJ834" i="11" s="1"/>
  <c r="AI216" i="11"/>
  <c r="AJ216" i="11" s="1"/>
  <c r="AI582" i="11"/>
  <c r="AJ582" i="11" s="1"/>
  <c r="AI143" i="11"/>
  <c r="AJ143" i="11" s="1"/>
  <c r="AI782" i="11"/>
  <c r="AJ782" i="11" s="1"/>
  <c r="AI39" i="11"/>
  <c r="AJ39" i="11" s="1"/>
  <c r="AI521" i="11"/>
  <c r="AJ521" i="11" s="1"/>
  <c r="AN23" i="19"/>
  <c r="AO23" i="19" s="1"/>
  <c r="AN133" i="19"/>
  <c r="AO133" i="19" s="1"/>
  <c r="AN196" i="19"/>
  <c r="AO196" i="19" s="1"/>
  <c r="AI712" i="11"/>
  <c r="AJ712" i="11" s="1"/>
  <c r="AI772" i="11"/>
  <c r="AJ772" i="11" s="1"/>
  <c r="AI510" i="11"/>
  <c r="AJ510" i="11" s="1"/>
  <c r="AI725" i="11"/>
  <c r="AJ725" i="11" s="1"/>
  <c r="AI441" i="11"/>
  <c r="AJ441" i="11" s="1"/>
  <c r="AI251" i="11"/>
  <c r="AJ251" i="11" s="1"/>
  <c r="AI701" i="11"/>
  <c r="AJ701" i="11" s="1"/>
  <c r="AI60" i="11"/>
  <c r="AJ60" i="11" s="1"/>
  <c r="AI662" i="11"/>
  <c r="AJ662" i="11" s="1"/>
  <c r="AI687" i="11"/>
  <c r="AJ687" i="11" s="1"/>
  <c r="AI225" i="11"/>
  <c r="AJ225" i="11" s="1"/>
  <c r="AI27" i="11"/>
  <c r="AJ27" i="11" s="1"/>
  <c r="AN132" i="19"/>
  <c r="AO132" i="19" s="1"/>
  <c r="AI761" i="11"/>
  <c r="AJ761" i="11" s="1"/>
  <c r="AI655" i="11"/>
  <c r="AJ655" i="11" s="1"/>
  <c r="AI223" i="11"/>
  <c r="AJ223" i="11" s="1"/>
  <c r="AI363" i="11"/>
  <c r="AJ363" i="11" s="1"/>
  <c r="AI504" i="11"/>
  <c r="AJ504" i="11" s="1"/>
  <c r="AI299" i="11"/>
  <c r="AJ299" i="11" s="1"/>
  <c r="AI571" i="11"/>
  <c r="AJ571" i="11" s="1"/>
  <c r="AI164" i="11"/>
  <c r="AJ164" i="11" s="1"/>
  <c r="AN190" i="19"/>
  <c r="AO190" i="19" s="1"/>
  <c r="AI685" i="11"/>
  <c r="AJ685" i="11" s="1"/>
  <c r="AI277" i="11"/>
  <c r="AJ277" i="11" s="1"/>
  <c r="AI861" i="11"/>
  <c r="AJ861" i="11" s="1"/>
  <c r="AI398" i="11"/>
  <c r="AJ398" i="11" s="1"/>
  <c r="AI145" i="11"/>
  <c r="AJ145" i="11" s="1"/>
  <c r="AI853" i="11"/>
  <c r="AJ853" i="11" s="1"/>
  <c r="AI547" i="11"/>
  <c r="AJ547" i="11" s="1"/>
  <c r="AI212" i="11"/>
  <c r="AJ212" i="11" s="1"/>
  <c r="AI580" i="11"/>
  <c r="AJ580" i="11" s="1"/>
  <c r="AI141" i="11"/>
  <c r="AJ141" i="11" s="1"/>
  <c r="AN31" i="19"/>
  <c r="AO31" i="19" s="1"/>
  <c r="AI515" i="11"/>
  <c r="AJ515" i="11" s="1"/>
  <c r="AI465" i="11"/>
  <c r="AJ465" i="11" s="1"/>
  <c r="AI635" i="11"/>
  <c r="AJ635" i="11" s="1"/>
  <c r="AN15" i="19"/>
  <c r="AO15" i="19" s="1"/>
  <c r="AI451" i="11"/>
  <c r="AJ451" i="11" s="1"/>
  <c r="AN125" i="19"/>
  <c r="AO125" i="19" s="1"/>
  <c r="AI372" i="11"/>
  <c r="AJ372" i="11" s="1"/>
  <c r="AI715" i="11"/>
  <c r="AJ715" i="11" s="1"/>
  <c r="AI654" i="11"/>
  <c r="AJ654" i="11" s="1"/>
  <c r="AI217" i="11"/>
  <c r="AJ217" i="11" s="1"/>
  <c r="AI618" i="11"/>
  <c r="AJ618" i="11" s="1"/>
  <c r="AI652" i="11"/>
  <c r="AJ652" i="11" s="1"/>
  <c r="AI385" i="11"/>
  <c r="AJ385" i="11" s="1"/>
  <c r="AI669" i="11"/>
  <c r="AJ669" i="11" s="1"/>
  <c r="AI523" i="11"/>
  <c r="AJ523" i="11" s="1"/>
  <c r="AI611" i="11"/>
  <c r="AJ611" i="11" s="1"/>
  <c r="AN166" i="19"/>
  <c r="AO166" i="19" s="1"/>
  <c r="AI429" i="11"/>
  <c r="AJ429" i="11" s="1"/>
  <c r="AI411" i="11"/>
  <c r="AJ411" i="11" s="1"/>
  <c r="AN150" i="19"/>
  <c r="AO150" i="19" s="1"/>
  <c r="AI329" i="11"/>
  <c r="AJ329" i="11" s="1"/>
  <c r="AI151" i="11"/>
  <c r="AJ151" i="11" s="1"/>
  <c r="AN134" i="19"/>
  <c r="AO134" i="19" s="1"/>
  <c r="AI371" i="11"/>
  <c r="AJ371" i="11" s="1"/>
  <c r="AI790" i="11"/>
  <c r="AJ790" i="11" s="1"/>
  <c r="AI537" i="11"/>
  <c r="AJ537" i="11" s="1"/>
  <c r="AN39" i="19"/>
  <c r="AO39" i="19" s="1"/>
  <c r="AI587" i="11"/>
  <c r="AJ587" i="11" s="1"/>
  <c r="AI516" i="11"/>
  <c r="AJ516" i="11" s="1"/>
  <c r="AI514" i="11"/>
  <c r="AJ514" i="11" s="1"/>
  <c r="AI461" i="11"/>
  <c r="AJ461" i="11" s="1"/>
  <c r="AN117" i="19"/>
  <c r="AO117" i="19" s="1"/>
  <c r="AI17" i="11"/>
  <c r="AJ17" i="11" s="1"/>
  <c r="AI500" i="11"/>
  <c r="AJ500" i="11" s="1"/>
  <c r="AI539" i="11"/>
  <c r="AJ539" i="11" s="1"/>
  <c r="AN37" i="19"/>
  <c r="AO37" i="19" s="1"/>
  <c r="AI436" i="11"/>
  <c r="AJ436" i="11" s="1"/>
  <c r="AI926" i="11"/>
  <c r="AJ926" i="11" s="1"/>
  <c r="AI376" i="11"/>
  <c r="AJ376" i="11" s="1"/>
  <c r="AI387" i="11"/>
  <c r="AJ387" i="11" s="1"/>
  <c r="AI865" i="11"/>
  <c r="AJ865" i="11" s="1"/>
  <c r="AI579" i="11"/>
  <c r="AJ579" i="11" s="1"/>
  <c r="AI857" i="11"/>
  <c r="AJ857" i="11" s="1"/>
  <c r="AI84" i="11"/>
  <c r="AJ84" i="11" s="1"/>
  <c r="AI41" i="11"/>
  <c r="AJ41" i="11" s="1"/>
  <c r="AI810" i="11"/>
  <c r="AJ810" i="11" s="1"/>
  <c r="AI578" i="11"/>
  <c r="AJ578" i="11" s="1"/>
  <c r="AI723" i="11"/>
  <c r="AJ723" i="11" s="1"/>
  <c r="AI584" i="11"/>
  <c r="AJ584" i="11" s="1"/>
  <c r="AI832" i="11"/>
  <c r="AJ832" i="11" s="1"/>
  <c r="AI33" i="11"/>
  <c r="AJ33" i="11" s="1"/>
  <c r="AN109" i="19"/>
  <c r="AO109" i="19" s="1"/>
  <c r="AN124" i="19"/>
  <c r="AO124" i="19" s="1"/>
  <c r="AI658" i="11"/>
  <c r="AJ658" i="11" s="1"/>
  <c r="AI438" i="11"/>
  <c r="AJ438" i="11" s="1"/>
  <c r="AI215" i="11"/>
  <c r="AJ215" i="11" s="1"/>
  <c r="AI140" i="11"/>
  <c r="AJ140" i="11" s="1"/>
  <c r="AI941" i="11"/>
  <c r="AJ941" i="11" s="1"/>
  <c r="AI603" i="11"/>
  <c r="AJ603" i="11" s="1"/>
  <c r="AI250" i="11"/>
  <c r="AJ250" i="11" s="1"/>
  <c r="AN158" i="19"/>
  <c r="AO158" i="19" s="1"/>
  <c r="AI211" i="11"/>
  <c r="AJ211" i="11" s="1"/>
  <c r="AI396" i="11"/>
  <c r="AJ396" i="11" s="1"/>
  <c r="AI153" i="11"/>
  <c r="AJ153" i="11" s="1"/>
  <c r="AN142" i="19"/>
  <c r="AO142" i="19" s="1"/>
  <c r="AI622" i="11"/>
  <c r="AJ622" i="11" s="1"/>
  <c r="AI414" i="11"/>
  <c r="AJ414" i="11" s="1"/>
  <c r="AI149" i="11"/>
  <c r="AJ149" i="11" s="1"/>
  <c r="AI852" i="11"/>
  <c r="AJ852" i="11" s="1"/>
  <c r="AI240" i="11"/>
  <c r="AJ240" i="11" s="1"/>
  <c r="AI591" i="11"/>
  <c r="AJ591" i="11" s="1"/>
  <c r="AI94" i="11"/>
  <c r="AJ94" i="11" s="1"/>
  <c r="AI934" i="11"/>
  <c r="AJ934" i="11" s="1"/>
  <c r="AI82" i="11"/>
  <c r="AJ82" i="11" s="1"/>
  <c r="AI529" i="11"/>
  <c r="AJ529" i="11" s="1"/>
  <c r="AI210" i="11"/>
  <c r="AJ210" i="11" s="1"/>
  <c r="AI778" i="11"/>
  <c r="AJ778" i="11" s="1"/>
  <c r="AI78" i="11"/>
  <c r="AJ78" i="11" s="1"/>
  <c r="AI856" i="11"/>
  <c r="AJ856" i="11" s="1"/>
  <c r="AI35" i="11"/>
  <c r="AJ35" i="11" s="1"/>
  <c r="AI717" i="11"/>
  <c r="AJ717" i="11" s="1"/>
  <c r="AI785" i="11"/>
  <c r="AJ785" i="11" s="1"/>
  <c r="AN53" i="19"/>
  <c r="AO53" i="19" s="1"/>
  <c r="AI675" i="11"/>
  <c r="AJ675" i="11" s="1"/>
  <c r="AI434" i="11"/>
  <c r="AJ434" i="11" s="1"/>
  <c r="AI359" i="11"/>
  <c r="AJ359" i="11" s="1"/>
  <c r="AI432" i="11"/>
  <c r="AJ432" i="11" s="1"/>
  <c r="AI883" i="11"/>
  <c r="AJ883" i="11" s="1"/>
  <c r="AI370" i="11"/>
  <c r="AJ370" i="11" s="1"/>
  <c r="AI380" i="11"/>
  <c r="AJ380" i="11" s="1"/>
  <c r="AI110" i="11"/>
  <c r="AJ110" i="11" s="1"/>
  <c r="AI412" i="11"/>
  <c r="AJ412" i="11" s="1"/>
  <c r="AI103" i="11"/>
  <c r="AJ103" i="11" s="1"/>
  <c r="AI545" i="11"/>
  <c r="AJ545" i="11" s="1"/>
  <c r="AI786" i="11"/>
  <c r="AJ786" i="11" s="1"/>
  <c r="AI531" i="11"/>
  <c r="AJ531" i="11" s="1"/>
  <c r="AI80" i="11"/>
  <c r="AJ80" i="11" s="1"/>
  <c r="AI665" i="11"/>
  <c r="AJ665" i="11" s="1"/>
  <c r="AI774" i="11"/>
  <c r="AJ774" i="11" s="1"/>
  <c r="AI76" i="11"/>
  <c r="AJ76" i="11" s="1"/>
  <c r="AI457" i="11"/>
  <c r="AJ457" i="11" s="1"/>
  <c r="AI74" i="11"/>
  <c r="AJ74" i="11" s="1"/>
  <c r="AN45" i="19"/>
  <c r="AO45" i="19" s="1"/>
  <c r="AI707" i="11"/>
  <c r="AJ707" i="11" s="1"/>
  <c r="AI650" i="11"/>
  <c r="AJ650" i="11" s="1"/>
  <c r="AI459" i="11"/>
  <c r="AJ459" i="11" s="1"/>
  <c r="AI935" i="11"/>
  <c r="AJ935" i="11" s="1"/>
  <c r="AI643" i="11"/>
  <c r="AJ643" i="11" s="1"/>
  <c r="AI874" i="11"/>
  <c r="AJ874" i="11" s="1"/>
  <c r="AI246" i="11"/>
  <c r="AJ246" i="11" s="1"/>
  <c r="AI850" i="11"/>
  <c r="AJ850" i="11" s="1"/>
  <c r="AI244" i="11"/>
  <c r="AJ244" i="11" s="1"/>
  <c r="AI815" i="11"/>
  <c r="AJ815" i="11" s="1"/>
  <c r="AI242" i="11"/>
  <c r="AJ242" i="11" s="1"/>
  <c r="AI796" i="11"/>
  <c r="AJ796" i="11" s="1"/>
  <c r="AI86" i="11"/>
  <c r="AJ86" i="11" s="1"/>
  <c r="AI563" i="11"/>
  <c r="AJ563" i="11" s="1"/>
  <c r="AI828" i="11"/>
  <c r="AJ828" i="11" s="1"/>
  <c r="AI673" i="11"/>
  <c r="AJ673" i="11" s="1"/>
  <c r="AI728" i="11"/>
  <c r="AJ728" i="11" s="1"/>
  <c r="AI37" i="11"/>
  <c r="AJ37" i="11" s="1"/>
  <c r="AI469" i="11"/>
  <c r="AJ469" i="11" s="1"/>
  <c r="AI770" i="11"/>
  <c r="AJ770" i="11" s="1"/>
  <c r="AI802" i="11"/>
  <c r="AJ802" i="11" s="1"/>
  <c r="C18" i="23"/>
  <c r="C5" i="22"/>
  <c r="C6" i="22" s="1"/>
  <c r="C34" i="22" s="1"/>
  <c r="C36" i="22" s="1"/>
  <c r="C39" i="22" s="1"/>
  <c r="H19" i="4"/>
  <c r="F37" i="4"/>
  <c r="C5" i="23"/>
  <c r="F34" i="22"/>
  <c r="F36" i="22" s="1"/>
  <c r="F39" i="22" s="1"/>
  <c r="F14" i="22"/>
  <c r="F40" i="22"/>
  <c r="F23" i="22"/>
  <c r="F38" i="22" s="1"/>
  <c r="F17" i="22"/>
  <c r="F18" i="22" s="1"/>
  <c r="F19" i="22"/>
  <c r="F20" i="22" s="1"/>
  <c r="F13" i="22"/>
  <c r="E19" i="22"/>
  <c r="E20" i="22" s="1"/>
  <c r="J13" i="22"/>
  <c r="J17" i="22"/>
  <c r="J18" i="22" s="1"/>
  <c r="J19" i="22"/>
  <c r="J20" i="22" s="1"/>
  <c r="J23" i="22"/>
  <c r="J38" i="22" s="1"/>
  <c r="E23" i="22"/>
  <c r="E38" i="22" s="1"/>
  <c r="H14" i="22"/>
  <c r="I14" i="22"/>
  <c r="G13" i="22"/>
  <c r="G17" i="22"/>
  <c r="G18" i="22" s="1"/>
  <c r="H19" i="22"/>
  <c r="H20" i="22" s="1"/>
  <c r="K34" i="22"/>
  <c r="K36" i="22" s="1"/>
  <c r="K39" i="22" s="1"/>
  <c r="K13" i="22"/>
  <c r="K17" i="22"/>
  <c r="K18" i="22" s="1"/>
  <c r="K19" i="22"/>
  <c r="K20" i="22" s="1"/>
  <c r="K23" i="22"/>
  <c r="K38" i="22" s="1"/>
  <c r="L13" i="22"/>
  <c r="L17" i="22"/>
  <c r="L18" i="22" s="1"/>
  <c r="L19" i="22"/>
  <c r="L20" i="22" s="1"/>
  <c r="L23" i="22"/>
  <c r="L38" i="22" s="1"/>
  <c r="E40" i="22"/>
  <c r="I34" i="22"/>
  <c r="I36" i="22" s="1"/>
  <c r="I39" i="22" s="1"/>
  <c r="G19" i="22"/>
  <c r="G20" i="22" s="1"/>
  <c r="G23" i="22"/>
  <c r="G38" i="22" s="1"/>
  <c r="J34" i="22"/>
  <c r="J36" i="22" s="1"/>
  <c r="J39" i="22" s="1"/>
  <c r="H13" i="22"/>
  <c r="H17" i="22"/>
  <c r="H18" i="22" s="1"/>
  <c r="H23" i="22"/>
  <c r="H38" i="22" s="1"/>
  <c r="D14" i="22"/>
  <c r="E14" i="22"/>
  <c r="H40" i="22"/>
  <c r="I40" i="22"/>
  <c r="G14" i="22"/>
  <c r="K14" i="22"/>
  <c r="D34" i="22"/>
  <c r="D36" i="22" s="1"/>
  <c r="D39" i="22" s="1"/>
  <c r="L14" i="22"/>
  <c r="E34" i="22"/>
  <c r="E36" i="22" s="1"/>
  <c r="E39" i="22" s="1"/>
  <c r="D13" i="22"/>
  <c r="D19" i="22"/>
  <c r="D20" i="22" s="1"/>
  <c r="E13" i="22"/>
  <c r="I13" i="22"/>
  <c r="I17" i="22"/>
  <c r="I18" i="22" s="1"/>
  <c r="I19" i="22"/>
  <c r="I20" i="22" s="1"/>
  <c r="C14" i="22" l="1"/>
  <c r="D40" i="22"/>
  <c r="C59" i="10"/>
  <c r="C60" i="10" s="1"/>
  <c r="C9" i="10"/>
  <c r="C73" i="10"/>
  <c r="I24" i="10"/>
  <c r="D24" i="10"/>
  <c r="C5" i="10"/>
  <c r="AJ2" i="11"/>
  <c r="C22" i="1"/>
  <c r="C19" i="22"/>
  <c r="C20" i="22" s="1"/>
  <c r="C13" i="22"/>
  <c r="AO4" i="19"/>
  <c r="C25" i="1"/>
  <c r="H44" i="22"/>
  <c r="C44" i="22"/>
  <c r="L44" i="22"/>
  <c r="F44" i="22"/>
  <c r="K44" i="22"/>
  <c r="I44" i="22"/>
  <c r="J44" i="22"/>
  <c r="E44" i="22"/>
  <c r="G44" i="22"/>
  <c r="D44" i="22"/>
  <c r="D36" i="10"/>
  <c r="D25" i="10"/>
  <c r="H16" i="22"/>
  <c r="J15" i="22"/>
  <c r="H15" i="22"/>
  <c r="E16" i="22"/>
  <c r="C15" i="22"/>
  <c r="E15" i="22"/>
  <c r="C16" i="22"/>
  <c r="G16" i="22"/>
  <c r="L16" i="22"/>
  <c r="D15" i="22"/>
  <c r="L15" i="22"/>
  <c r="D16" i="22"/>
  <c r="F15" i="22"/>
  <c r="K16" i="22"/>
  <c r="K15" i="22"/>
  <c r="I15" i="22"/>
  <c r="I16" i="22"/>
  <c r="G15" i="22"/>
  <c r="J16" i="22"/>
  <c r="F16" i="22"/>
  <c r="D17" i="22" l="1"/>
  <c r="D18" i="22" s="1"/>
  <c r="F25" i="10"/>
  <c r="C75" i="10"/>
  <c r="I47" i="2"/>
  <c r="I39" i="2"/>
  <c r="I38" i="2"/>
  <c r="I37" i="2"/>
  <c r="H35" i="1"/>
  <c r="I48" i="2"/>
  <c r="I35" i="2"/>
  <c r="I44" i="2"/>
  <c r="I40" i="2"/>
  <c r="I41" i="2"/>
  <c r="I43" i="2"/>
  <c r="I45" i="2"/>
  <c r="I46" i="2"/>
  <c r="I34" i="2"/>
  <c r="I42" i="2"/>
  <c r="I36" i="2"/>
  <c r="H36" i="1"/>
  <c r="H39" i="1"/>
  <c r="H37" i="1"/>
  <c r="H38" i="1"/>
  <c r="K7" i="2"/>
  <c r="Z21" i="5"/>
  <c r="K14" i="2"/>
  <c r="Z36" i="5"/>
  <c r="K6" i="2"/>
  <c r="Z31" i="5"/>
  <c r="K19" i="2"/>
  <c r="Z26" i="5"/>
  <c r="K11" i="2"/>
  <c r="K13" i="2"/>
  <c r="Z30" i="8"/>
  <c r="Z23" i="4"/>
  <c r="K10" i="2"/>
  <c r="K12" i="2"/>
  <c r="Z20" i="4"/>
  <c r="K9" i="2"/>
  <c r="Z31" i="8"/>
  <c r="K15" i="2"/>
  <c r="Z32" i="8"/>
  <c r="K17" i="2"/>
  <c r="K16" i="2"/>
  <c r="K8" i="2"/>
  <c r="Z26" i="4"/>
  <c r="K18" i="2"/>
  <c r="Z74" i="7"/>
  <c r="Z72" i="7"/>
  <c r="K20" i="2"/>
  <c r="Z73" i="7"/>
  <c r="B77" i="10"/>
  <c r="F24" i="10"/>
  <c r="D33" i="10"/>
  <c r="C17" i="22"/>
  <c r="C18" i="22" s="1"/>
  <c r="C23" i="22" s="1"/>
  <c r="F31" i="10" l="1"/>
  <c r="I15" i="2"/>
  <c r="H15" i="2"/>
  <c r="G15" i="2"/>
  <c r="F15" i="2"/>
  <c r="D15" i="2"/>
  <c r="C15" i="2"/>
  <c r="B15" i="2"/>
  <c r="E39" i="1"/>
  <c r="F39" i="1"/>
  <c r="C39" i="1"/>
  <c r="D39" i="1"/>
  <c r="B39" i="1"/>
  <c r="F9" i="2"/>
  <c r="H9" i="2"/>
  <c r="I9" i="2"/>
  <c r="B9" i="2"/>
  <c r="D9" i="2"/>
  <c r="C9" i="2"/>
  <c r="G9" i="2"/>
  <c r="D36" i="2"/>
  <c r="F36" i="2"/>
  <c r="C36" i="2"/>
  <c r="B36" i="2"/>
  <c r="G36" i="2"/>
  <c r="E36" i="2"/>
  <c r="J73" i="7"/>
  <c r="B73" i="7"/>
  <c r="K73" i="7"/>
  <c r="H73" i="7"/>
  <c r="G73" i="7"/>
  <c r="D73" i="7"/>
  <c r="L73" i="7"/>
  <c r="F22" i="4"/>
  <c r="D21" i="4"/>
  <c r="B20" i="4"/>
  <c r="D20" i="4"/>
  <c r="C21" i="4"/>
  <c r="C20" i="4"/>
  <c r="E22" i="4"/>
  <c r="B21" i="4"/>
  <c r="B22" i="4"/>
  <c r="C22" i="4"/>
  <c r="F21" i="4"/>
  <c r="D22" i="4"/>
  <c r="G20" i="4"/>
  <c r="G22" i="4" s="1"/>
  <c r="H22" i="4" s="1"/>
  <c r="G11" i="23" s="1"/>
  <c r="E21" i="4"/>
  <c r="H21" i="4"/>
  <c r="H20" i="4"/>
  <c r="E20" i="4"/>
  <c r="F20" i="4"/>
  <c r="E42" i="2"/>
  <c r="B42" i="2"/>
  <c r="C42" i="2"/>
  <c r="D42" i="2"/>
  <c r="G42" i="2"/>
  <c r="F42" i="2"/>
  <c r="G31" i="8"/>
  <c r="D31" i="8"/>
  <c r="B31" i="8"/>
  <c r="K31" i="8"/>
  <c r="J31" i="8"/>
  <c r="I31" i="8"/>
  <c r="H31" i="8"/>
  <c r="D36" i="1"/>
  <c r="C36" i="1"/>
  <c r="F36" i="1"/>
  <c r="B36" i="1"/>
  <c r="E36" i="1"/>
  <c r="D12" i="2"/>
  <c r="F12" i="2"/>
  <c r="B12" i="2"/>
  <c r="I12" i="2"/>
  <c r="H12" i="2"/>
  <c r="G12" i="2"/>
  <c r="C12" i="2"/>
  <c r="B34" i="2"/>
  <c r="G34" i="2"/>
  <c r="F34" i="2"/>
  <c r="E34" i="2"/>
  <c r="C34" i="2"/>
  <c r="D34" i="2"/>
  <c r="B24" i="4"/>
  <c r="F24" i="4"/>
  <c r="C23" i="4"/>
  <c r="H23" i="4"/>
  <c r="F23" i="4"/>
  <c r="E24" i="4"/>
  <c r="C24" i="4"/>
  <c r="E23" i="4"/>
  <c r="E25" i="4"/>
  <c r="D23" i="4"/>
  <c r="H24" i="4"/>
  <c r="F25" i="4"/>
  <c r="B25" i="4"/>
  <c r="D24" i="4"/>
  <c r="D25" i="4"/>
  <c r="B23" i="4"/>
  <c r="C25" i="4"/>
  <c r="G23" i="4"/>
  <c r="G25" i="4" s="1"/>
  <c r="H25" i="4" s="1"/>
  <c r="G12" i="23" s="1"/>
  <c r="E45" i="2"/>
  <c r="D45" i="2"/>
  <c r="C45" i="2"/>
  <c r="B45" i="2"/>
  <c r="F45" i="2"/>
  <c r="G45" i="2"/>
  <c r="D10" i="2"/>
  <c r="C10" i="2"/>
  <c r="B10" i="2"/>
  <c r="I10" i="2"/>
  <c r="H10" i="2"/>
  <c r="G10" i="2"/>
  <c r="F10" i="2"/>
  <c r="F46" i="2"/>
  <c r="E46" i="2"/>
  <c r="D46" i="2"/>
  <c r="C46" i="2"/>
  <c r="B46" i="2"/>
  <c r="G46" i="2"/>
  <c r="C74" i="10"/>
  <c r="F37" i="10"/>
  <c r="G38" i="10" s="1"/>
  <c r="G47" i="10" s="1"/>
  <c r="G48" i="10" s="1"/>
  <c r="G49" i="10" s="1"/>
  <c r="G50" i="10" s="1"/>
  <c r="G51" i="10" s="1"/>
  <c r="I30" i="8"/>
  <c r="J30" i="8"/>
  <c r="H30" i="8"/>
  <c r="G30" i="8"/>
  <c r="D30" i="8"/>
  <c r="B30" i="8"/>
  <c r="K30" i="8"/>
  <c r="B43" i="2"/>
  <c r="C43" i="2"/>
  <c r="G43" i="2"/>
  <c r="F43" i="2"/>
  <c r="D43" i="2"/>
  <c r="E43" i="2"/>
  <c r="B11" i="2"/>
  <c r="I11" i="2"/>
  <c r="F11" i="2"/>
  <c r="H11" i="2"/>
  <c r="G11" i="2"/>
  <c r="C11" i="2"/>
  <c r="D11" i="2"/>
  <c r="G40" i="2"/>
  <c r="B40" i="2"/>
  <c r="F40" i="2"/>
  <c r="E40" i="2"/>
  <c r="D40" i="2"/>
  <c r="C40" i="2"/>
  <c r="C26" i="5"/>
  <c r="B27" i="5"/>
  <c r="C28" i="5"/>
  <c r="B29" i="5"/>
  <c r="D27" i="5"/>
  <c r="B26" i="5"/>
  <c r="F29" i="5"/>
  <c r="F28" i="5"/>
  <c r="E28" i="5"/>
  <c r="C27" i="5"/>
  <c r="E26" i="5"/>
  <c r="F27" i="5"/>
  <c r="B28" i="5"/>
  <c r="F26" i="5"/>
  <c r="E29" i="5"/>
  <c r="C29" i="5"/>
  <c r="E27" i="5"/>
  <c r="D26" i="5"/>
  <c r="D29" i="5" s="1"/>
  <c r="H29" i="5" s="1"/>
  <c r="I27" i="5" s="1"/>
  <c r="D44" i="2"/>
  <c r="F44" i="2"/>
  <c r="C44" i="2"/>
  <c r="B44" i="2"/>
  <c r="G44" i="2"/>
  <c r="E44" i="2"/>
  <c r="B41" i="2"/>
  <c r="E41" i="2"/>
  <c r="C41" i="2"/>
  <c r="G41" i="2"/>
  <c r="F41" i="2"/>
  <c r="D41" i="2"/>
  <c r="I20" i="2"/>
  <c r="H20" i="2"/>
  <c r="G20" i="2"/>
  <c r="F20" i="2"/>
  <c r="D20" i="2"/>
  <c r="B20" i="2"/>
  <c r="C20" i="2"/>
  <c r="D19" i="2"/>
  <c r="B19" i="2"/>
  <c r="F19" i="2"/>
  <c r="I19" i="2"/>
  <c r="H19" i="2"/>
  <c r="G19" i="2"/>
  <c r="C19" i="2"/>
  <c r="B35" i="2"/>
  <c r="C35" i="2"/>
  <c r="E35" i="2"/>
  <c r="G35" i="2"/>
  <c r="F35" i="2"/>
  <c r="D35" i="2"/>
  <c r="E34" i="5"/>
  <c r="E31" i="5"/>
  <c r="B31" i="5"/>
  <c r="D31" i="5"/>
  <c r="C34" i="5"/>
  <c r="E32" i="5"/>
  <c r="C31" i="5"/>
  <c r="F34" i="5"/>
  <c r="D32" i="5"/>
  <c r="F33" i="5"/>
  <c r="B34" i="5"/>
  <c r="F31" i="5"/>
  <c r="C33" i="5"/>
  <c r="C32" i="5"/>
  <c r="E33" i="5"/>
  <c r="B32" i="5"/>
  <c r="B33" i="5"/>
  <c r="F32" i="5"/>
  <c r="C48" i="2"/>
  <c r="F48" i="2"/>
  <c r="E48" i="2"/>
  <c r="B48" i="2"/>
  <c r="G48" i="2"/>
  <c r="D48" i="2"/>
  <c r="K72" i="7"/>
  <c r="D72" i="7"/>
  <c r="B72" i="7"/>
  <c r="H72" i="7"/>
  <c r="G72" i="7"/>
  <c r="L72" i="7"/>
  <c r="J72" i="7"/>
  <c r="B74" i="7"/>
  <c r="L74" i="7"/>
  <c r="K74" i="7"/>
  <c r="H74" i="7"/>
  <c r="D74" i="7"/>
  <c r="G74" i="7"/>
  <c r="J74" i="7"/>
  <c r="C6" i="2"/>
  <c r="F6" i="2"/>
  <c r="B6" i="2"/>
  <c r="H6" i="2"/>
  <c r="I6" i="2"/>
  <c r="G6" i="2"/>
  <c r="D6" i="2"/>
  <c r="E35" i="1"/>
  <c r="D35" i="1"/>
  <c r="C35" i="1"/>
  <c r="B35" i="1"/>
  <c r="F35" i="1"/>
  <c r="F36" i="5"/>
  <c r="E36" i="5"/>
  <c r="F37" i="5"/>
  <c r="D36" i="5"/>
  <c r="D39" i="5" s="1"/>
  <c r="H39" i="5" s="1"/>
  <c r="I37" i="5" s="1"/>
  <c r="I39" i="5" s="1"/>
  <c r="B37" i="5"/>
  <c r="C39" i="5"/>
  <c r="E37" i="5"/>
  <c r="D37" i="5"/>
  <c r="C38" i="5"/>
  <c r="C36" i="5"/>
  <c r="B39" i="5"/>
  <c r="F39" i="5"/>
  <c r="B36" i="5"/>
  <c r="C37" i="5"/>
  <c r="F38" i="5"/>
  <c r="E38" i="5"/>
  <c r="E39" i="5"/>
  <c r="B38" i="5"/>
  <c r="D37" i="2"/>
  <c r="B37" i="2"/>
  <c r="F37" i="2"/>
  <c r="E37" i="2"/>
  <c r="G37" i="2"/>
  <c r="C37" i="2"/>
  <c r="F26" i="4"/>
  <c r="F28" i="4"/>
  <c r="H26" i="4"/>
  <c r="G26" i="4"/>
  <c r="G28" i="4" s="1"/>
  <c r="H28" i="4" s="1"/>
  <c r="G13" i="23" s="1"/>
  <c r="B26" i="4"/>
  <c r="B28" i="4"/>
  <c r="E27" i="4"/>
  <c r="E26" i="4"/>
  <c r="H27" i="4"/>
  <c r="D27" i="4"/>
  <c r="D28" i="4"/>
  <c r="D26" i="4"/>
  <c r="E28" i="4"/>
  <c r="C27" i="4"/>
  <c r="C28" i="4"/>
  <c r="C26" i="4"/>
  <c r="B27" i="4"/>
  <c r="F27" i="4"/>
  <c r="B14" i="2"/>
  <c r="I14" i="2"/>
  <c r="D14" i="2"/>
  <c r="C14" i="2"/>
  <c r="G14" i="2"/>
  <c r="F14" i="2"/>
  <c r="H14" i="2"/>
  <c r="F38" i="2"/>
  <c r="E38" i="2"/>
  <c r="G38" i="2"/>
  <c r="D38" i="2"/>
  <c r="C38" i="2"/>
  <c r="B38" i="2"/>
  <c r="F39" i="2"/>
  <c r="E39" i="2"/>
  <c r="D39" i="2"/>
  <c r="C39" i="2"/>
  <c r="B39" i="2"/>
  <c r="G39" i="2"/>
  <c r="I16" i="2"/>
  <c r="H16" i="2"/>
  <c r="F16" i="2"/>
  <c r="G16" i="2"/>
  <c r="D16" i="2"/>
  <c r="C16" i="2"/>
  <c r="B16" i="2"/>
  <c r="G47" i="2"/>
  <c r="B47" i="2"/>
  <c r="F47" i="2"/>
  <c r="E47" i="2"/>
  <c r="D47" i="2"/>
  <c r="C47" i="2"/>
  <c r="H13" i="2"/>
  <c r="B13" i="2"/>
  <c r="F13" i="2"/>
  <c r="D13" i="2"/>
  <c r="G13" i="2"/>
  <c r="I13" i="2"/>
  <c r="C13" i="2"/>
  <c r="D21" i="5"/>
  <c r="B21" i="5"/>
  <c r="B23" i="5"/>
  <c r="F21" i="5"/>
  <c r="C24" i="5"/>
  <c r="E22" i="5"/>
  <c r="F24" i="5"/>
  <c r="C21" i="5"/>
  <c r="D22" i="5"/>
  <c r="B24" i="5"/>
  <c r="F23" i="5"/>
  <c r="C22" i="5"/>
  <c r="E23" i="5"/>
  <c r="B22" i="5"/>
  <c r="C23" i="5"/>
  <c r="E21" i="5"/>
  <c r="E24" i="5"/>
  <c r="F22" i="5"/>
  <c r="I17" i="2"/>
  <c r="F17" i="2"/>
  <c r="D17" i="2"/>
  <c r="C17" i="2"/>
  <c r="B17" i="2"/>
  <c r="G17" i="2"/>
  <c r="H17" i="2"/>
  <c r="D38" i="1"/>
  <c r="C38" i="1"/>
  <c r="B38" i="1"/>
  <c r="F38" i="1"/>
  <c r="E38" i="1"/>
  <c r="F18" i="2"/>
  <c r="B18" i="2"/>
  <c r="D18" i="2"/>
  <c r="G18" i="2"/>
  <c r="C18" i="2"/>
  <c r="I18" i="2"/>
  <c r="H18" i="2"/>
  <c r="D8" i="2"/>
  <c r="B8" i="2"/>
  <c r="I8" i="2"/>
  <c r="H8" i="2"/>
  <c r="F8" i="2"/>
  <c r="C8" i="2"/>
  <c r="G8" i="2"/>
  <c r="I7" i="2"/>
  <c r="G7" i="2"/>
  <c r="F7" i="2"/>
  <c r="D7" i="2"/>
  <c r="E7" i="2" s="1"/>
  <c r="C7" i="2"/>
  <c r="B7" i="2"/>
  <c r="H7" i="2"/>
  <c r="D32" i="8"/>
  <c r="J32" i="8"/>
  <c r="H32" i="8"/>
  <c r="B32" i="8"/>
  <c r="I32" i="8"/>
  <c r="G32" i="8"/>
  <c r="K32" i="8"/>
  <c r="C37" i="1"/>
  <c r="E37" i="1"/>
  <c r="B37" i="1"/>
  <c r="F37" i="1"/>
  <c r="D37" i="1"/>
  <c r="C25" i="22"/>
  <c r="C29" i="22" s="1"/>
  <c r="C38" i="22"/>
  <c r="C40" i="22" s="1"/>
  <c r="D24" i="5" l="1"/>
  <c r="H24" i="5" s="1"/>
  <c r="I22" i="5" s="1"/>
  <c r="D34" i="5"/>
  <c r="H34" i="5" s="1"/>
  <c r="I32" i="5" s="1"/>
  <c r="E18" i="2"/>
  <c r="E11" i="2"/>
  <c r="E12" i="2"/>
  <c r="E10" i="2"/>
  <c r="E13" i="2"/>
  <c r="F62" i="10"/>
  <c r="F61" i="10"/>
  <c r="F60" i="10"/>
  <c r="G52" i="10"/>
  <c r="C5" i="9"/>
  <c r="G57" i="2"/>
  <c r="G56" i="2"/>
  <c r="G54" i="2"/>
  <c r="G53" i="2"/>
  <c r="G52" i="2"/>
  <c r="G55" i="2"/>
  <c r="G51" i="2"/>
  <c r="E9" i="2"/>
  <c r="E16" i="2"/>
  <c r="E14" i="2"/>
  <c r="E17" i="2"/>
  <c r="C11" i="23"/>
  <c r="E11" i="23" s="1"/>
  <c r="E15" i="2"/>
  <c r="E8" i="2"/>
  <c r="E19" i="2"/>
  <c r="D27" i="2"/>
  <c r="D29" i="2"/>
  <c r="E6" i="2"/>
  <c r="D23" i="2"/>
  <c r="D24" i="2"/>
  <c r="D26" i="2"/>
  <c r="D25" i="2"/>
  <c r="D28" i="2"/>
  <c r="E20" i="2"/>
  <c r="C10" i="23"/>
  <c r="E10" i="23" s="1"/>
  <c r="C30" i="22"/>
  <c r="C31" i="22"/>
  <c r="G63" i="10" l="1"/>
  <c r="E25" i="2"/>
  <c r="E28" i="2"/>
  <c r="E27" i="2"/>
  <c r="E29" i="2"/>
  <c r="E24" i="2"/>
  <c r="E23" i="2"/>
  <c r="E26" i="2"/>
  <c r="E13" i="23"/>
  <c r="C15" i="23" s="1"/>
  <c r="C16" i="23" s="1"/>
  <c r="C17" i="23" s="1"/>
  <c r="C63" i="10" l="1"/>
  <c r="G64" i="10"/>
  <c r="G69" i="10" l="1"/>
  <c r="G70" i="10" s="1"/>
  <c r="C6" i="9"/>
  <c r="G65" i="10"/>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<sst xmlns="http://schemas.openxmlformats.org/spreadsheetml/2006/main" count="53092" uniqueCount="10777">
  <si>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</si>
  <si>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</si>
  <si>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</si>
  <si>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</si>
  <si>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</si>
  <si>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</si>
  <si>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Property Address</t>
  </si>
  <si>
    <t>City</t>
  </si>
  <si>
    <t>OCC Code</t>
  </si>
  <si>
    <t>Building Size (SF)</t>
  </si>
  <si>
    <t>Site / Land Size (SF)</t>
  </si>
  <si>
    <t>Zoning</t>
  </si>
  <si>
    <t>Condition</t>
  </si>
  <si>
    <t>Quality</t>
  </si>
  <si>
    <t>Year Built (YOC)</t>
  </si>
  <si>
    <t>Size Match Tolerance (+/-)</t>
  </si>
  <si>
    <t>AUTOMATED COMP MATCHING</t>
  </si>
  <si>
    <t>Matching Sales Comps found:</t>
  </si>
  <si>
    <t>Matching Expense Comps found:</t>
  </si>
  <si>
    <t>Matching Rent Comps (Income tab):</t>
  </si>
  <si>
    <t>Not yet automated</t>
  </si>
  <si>
    <t>Land Comps:</t>
  </si>
  <si>
    <t>Pending</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</si>
  <si>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</si>
  <si>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</si>
  <si>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</si>
  <si>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</si>
  <si>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</si>
  <si>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</si>
  <si>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</si>
  <si>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</si>
  <si>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</si>
  <si>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</si>
  <si>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</si>
  <si>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</si>
  <si>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</si>
  <si>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</si>
  <si>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</si>
  <si>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</si>
  <si>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</si>
  <si>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</si>
  <si>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</si>
  <si>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</si>
  <si>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</si>
  <si>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</si>
  <si>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</si>
  <si>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</si>
  <si>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</si>
  <si>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</si>
  <si>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</si>
  <si>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</si>
  <si>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</si>
  <si>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</si>
  <si>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</si>
  <si>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</si>
  <si>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</si>
  <si>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</si>
  <si>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</si>
  <si>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</si>
  <si>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</si>
  <si>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</si>
  <si>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</si>
  <si>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</si>
  <si>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</si>
  <si>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</si>
  <si>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</si>
  <si>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</si>
  <si>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</si>
  <si>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</si>
  <si>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</si>
  <si>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</si>
  <si>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</si>
  <si>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</si>
  <si>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</si>
  <si>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</si>
  <si>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</si>
  <si>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</si>
  <si>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</si>
  <si>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</si>
  <si>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</si>
  <si>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</si>
  <si>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</si>
  <si>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</si>
  <si>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</si>
  <si>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</si>
  <si>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</si>
  <si>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</si>
  <si>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</si>
  <si>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</si>
  <si>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</si>
  <si>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</si>
  <si>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</si>
  <si>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</si>
  <si>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</si>
  <si>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</si>
  <si>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</si>
  <si>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</si>
  <si>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</si>
  <si>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</si>
  <si>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</si>
  <si>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</si>
  <si>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</si>
  <si>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</si>
  <si>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</si>
  <si>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</si>
  <si>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</si>
  <si>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</si>
  <si>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</si>
  <si>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</si>
  <si>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</si>
  <si>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</si>
  <si>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</si>
  <si>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</si>
  <si>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</si>
  <si>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</si>
  <si>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</si>
  <si>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</si>
  <si>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</si>
  <si>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</si>
  <si>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</si>
  <si>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</si>
  <si>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</si>
  <si>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</si>
  <si>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</si>
  <si>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</si>
  <si>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</si>
  <si>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</si>
  <si>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</si>
  <si>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</si>
  <si>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</si>
  <si>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</si>
  <si>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</si>
  <si>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</si>
  <si>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</si>
  <si>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</si>
  <si>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</si>
  <si>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</si>
  <si>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</si>
  <si>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</si>
  <si>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</si>
  <si>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</si>
  <si>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</si>
  <si>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</si>
  <si>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</si>
  <si>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</si>
  <si>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</si>
  <si>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</si>
  <si>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</si>
  <si>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</si>
  <si>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</si>
  <si>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</si>
  <si>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</si>
  <si>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</si>
  <si>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</si>
  <si>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</si>
  <si>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</si>
  <si>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</si>
  <si>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</si>
  <si>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</si>
  <si>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</si>
  <si>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</si>
  <si>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</si>
  <si>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</si>
  <si>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</si>
  <si>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</si>
  <si>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</si>
  <si>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</si>
  <si>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</si>
  <si>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</si>
  <si>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</si>
  <si>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</si>
  <si>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</si>
  <si>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</si>
  <si>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</si>
  <si>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</si>
  <si>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</si>
  <si>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</si>
  <si>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</si>
  <si>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</si>
  <si>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</si>
  <si>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</si>
  <si>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</si>
  <si>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</si>
  <si>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</si>
  <si>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</si>
  <si>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</si>
  <si>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</si>
  <si>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</si>
  <si>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</si>
  <si>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</si>
  <si>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</si>
  <si>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</si>
  <si>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</si>
  <si>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</si>
  <si>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</si>
  <si>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</si>
  <si>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</si>
  <si>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</si>
  <si>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</si>
  <si>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</si>
  <si>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</si>
  <si>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</si>
  <si>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</si>
  <si>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</si>
  <si>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</si>
  <si>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</si>
  <si>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</si>
  <si>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</si>
  <si>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</si>
  <si>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</si>
  <si>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</si>
  <si>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</si>
  <si>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</si>
  <si>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</si>
  <si>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</si>
  <si>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</si>
  <si>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</si>
  <si>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</si>
  <si>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</si>
  <si>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</si>
  <si>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</si>
  <si>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</si>
  <si>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</si>
  <si>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</si>
  <si>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</si>
  <si>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</si>
  <si>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</si>
  <si>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</si>
  <si>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</si>
  <si>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</si>
  <si>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</si>
  <si>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</si>
  <si>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</si>
  <si>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</si>
  <si>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</si>
  <si>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</si>
  <si>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</si>
  <si>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</si>
  <si>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</si>
  <si>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</si>
  <si>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</si>
  <si>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</si>
  <si>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</si>
  <si>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</si>
  <si>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</si>
  <si>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</si>
  <si>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</si>
  <si>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</si>
  <si>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</si>
  <si>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</si>
  <si>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</si>
  <si>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</si>
  <si>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</si>
  <si>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</si>
  <si>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</si>
  <si>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</si>
  <si>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</si>
  <si>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</si>
  <si>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</si>
  <si>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</si>
  <si>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</si>
  <si>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</si>
  <si>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</si>
  <si>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</si>
  <si>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</si>
  <si>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</si>
  <si>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</si>
  <si>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</si>
  <si>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</si>
  <si>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</si>
  <si>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</si>
  <si>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</si>
  <si>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</si>
  <si>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</si>
  <si>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</si>
  <si>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</si>
  <si>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</si>
  <si>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</si>
  <si>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</si>
  <si>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</si>
  <si>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</si>
  <si>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</si>
  <si>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</si>
  <si>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</si>
  <si>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</si>
  <si>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</si>
  <si>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</si>
  <si>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</si>
  <si>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</si>
  <si>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</si>
  <si>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</si>
  <si>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</si>
  <si>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</si>
  <si>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</si>
  <si>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</si>
  <si>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</si>
  <si>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</si>
  <si>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</si>
  <si>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</si>
  <si>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</si>
  <si>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</si>
  <si>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</si>
  <si>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</si>
  <si>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</si>
  <si>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</si>
  <si>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</si>
  <si>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</si>
  <si>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</si>
  <si>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</si>
  <si>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</si>
  <si>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</si>
  <si>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</si>
  <si>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</si>
  <si>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</si>
  <si>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</si>
  <si>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</si>
  <si>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</si>
  <si>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</si>
  <si>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</si>
  <si>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</si>
  <si>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</si>
  <si>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</si>
  <si>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</si>
  <si>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</si>
  <si>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</si>
  <si>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</si>
  <si>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</si>
  <si>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</si>
  <si>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</si>
  <si>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</si>
  <si>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</si>
  <si>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</si>
  <si>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</si>
  <si>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</si>
  <si>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</si>
  <si>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</si>
  <si>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</si>
  <si>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</si>
  <si>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</si>
  <si>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</si>
  <si>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</si>
  <si>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</si>
  <si>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</si>
  <si>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</si>
  <si>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</si>
  <si>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</si>
  <si>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</si>
  <si>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</si>
  <si>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</si>
  <si>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</si>
  <si>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</si>
  <si>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</si>
  <si>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</si>
  <si>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</si>
  <si>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</si>
  <si>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</si>
  <si>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</si>
  <si>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</si>
  <si>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</si>
  <si>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</si>
  <si>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</si>
  <si>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</si>
  <si>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</si>
  <si>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</si>
  <si>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</si>
  <si>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</si>
  <si>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</si>
  <si>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</si>
  <si>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</si>
  <si>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</si>
  <si>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</si>
  <si>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</si>
  <si>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</si>
  <si>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</si>
  <si>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</si>
  <si>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</si>
  <si>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</si>
  <si>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</si>
  <si>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</si>
  <si>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</si>
  <si>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</si>
  <si>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</si>
  <si>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</si>
  <si>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</si>
  <si>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</si>
  <si>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</si>
  <si>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</si>
  <si>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</si>
  <si>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</si>
  <si>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</si>
  <si>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</si>
  <si>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</si>
  <si>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</si>
  <si>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</si>
  <si>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</si>
  <si>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</si>
  <si>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</si>
  <si>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</si>
  <si>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</si>
  <si>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</si>
  <si>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</si>
  <si>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</si>
  <si>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</si>
  <si>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</si>
  <si>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</si>
  <si>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</si>
  <si>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</si>
  <si>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</si>
  <si>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</si>
  <si>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</si>
  <si>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</si>
  <si>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</si>
  <si>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</si>
  <si>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</si>
  <si>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</si>
  <si>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</si>
  <si>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</si>
  <si>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</si>
  <si>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</si>
  <si>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</si>
  <si>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</si>
  <si>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</si>
  <si>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</si>
  <si>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</si>
  <si>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</si>
  <si>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</si>
  <si>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</si>
  <si>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</si>
  <si>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</si>
  <si>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</si>
  <si>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</si>
  <si>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</si>
  <si>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</si>
  <si>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</si>
  <si>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</si>
  <si>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</si>
  <si>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</si>
  <si>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</si>
  <si>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</si>
  <si>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</si>
  <si>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</si>
  <si>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</si>
  <si>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</si>
  <si>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</si>
  <si>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</si>
  <si>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</si>
  <si>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</si>
  <si>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</si>
  <si>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</si>
  <si>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</si>
  <si>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</si>
  <si>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</si>
  <si>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</si>
  <si>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</si>
  <si>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</si>
  <si>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</si>
  <si>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</si>
  <si>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</si>
  <si>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</si>
  <si>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</si>
  <si>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</si>
  <si>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</si>
  <si>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</si>
  <si>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</si>
  <si>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</si>
  <si>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</si>
  <si>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</si>
  <si>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</si>
  <si>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</si>
  <si>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</si>
  <si>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</si>
  <si>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</si>
  <si>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</si>
  <si>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</si>
  <si>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</si>
  <si>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</si>
  <si>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</si>
  <si>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</si>
  <si>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</si>
  <si>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</si>
  <si>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</si>
  <si>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</si>
  <si>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</si>
  <si>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</si>
  <si>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</si>
  <si>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</si>
  <si>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</si>
  <si>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</si>
  <si>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</si>
  <si>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</si>
  <si>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</si>
  <si>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</si>
  <si>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</si>
  <si>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</si>
  <si>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</si>
  <si>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</si>
  <si>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</si>
  <si>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</si>
  <si>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</si>
  <si>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</si>
  <si>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</si>
  <si>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</si>
  <si>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</si>
  <si>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</si>
  <si>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</si>
  <si>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</si>
  <si>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</si>
  <si>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</si>
  <si>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</si>
  <si>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</si>
  <si>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</si>
  <si>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</si>
  <si>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</si>
  <si>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</si>
  <si>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</si>
  <si>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</si>
  <si>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</si>
  <si>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</si>
  <si>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</si>
  <si>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</si>
  <si>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</si>
  <si>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</si>
  <si>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</si>
  <si>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</si>
  <si>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</si>
  <si>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</si>
  <si>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</si>
  <si>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</si>
  <si>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</si>
  <si>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</si>
  <si>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</si>
  <si>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</si>
  <si>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</si>
  <si>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</si>
  <si>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</si>
  <si>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</si>
  <si>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</si>
  <si>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</si>
  <si>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</si>
  <si>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</si>
  <si>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</si>
  <si>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</si>
  <si>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</si>
  <si>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</si>
  <si>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</si>
  <si>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</si>
  <si>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</si>
  <si>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</si>
  <si>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</si>
  <si>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</si>
  <si>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</si>
  <si>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</si>
  <si>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</si>
  <si>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</si>
  <si>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</si>
  <si>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</si>
  <si>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</si>
  <si>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</si>
  <si>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</si>
  <si>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</si>
  <si>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</si>
  <si>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</si>
  <si>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</si>
  <si>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</si>
  <si>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</si>
  <si>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</si>
  <si>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</si>
  <si>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</si>
  <si>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</si>
  <si>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</si>
  <si>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</si>
  <si>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</si>
  <si>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</si>
  <si>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</si>
  <si>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</si>
  <si>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</si>
  <si>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</si>
  <si>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</si>
  <si>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</si>
  <si>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</si>
  <si>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</si>
  <si>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</si>
  <si>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</si>
  <si>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</si>
  <si>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</si>
  <si>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</si>
  <si>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</si>
  <si>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</si>
  <si>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</si>
  <si>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</si>
  <si>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</si>
  <si>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</si>
  <si>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</si>
  <si>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</si>
  <si>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</si>
  <si>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</si>
  <si>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</si>
  <si>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</si>
  <si>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</si>
  <si>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</si>
  <si>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</si>
  <si>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</si>
  <si>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</si>
  <si>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</si>
  <si>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</si>
  <si>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</si>
  <si>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</si>
  <si>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</si>
  <si>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</si>
  <si>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</si>
  <si>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</si>
  <si>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</si>
  <si>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</si>
  <si>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</si>
  <si>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</si>
  <si>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</si>
  <si>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</si>
  <si>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</si>
  <si>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</si>
  <si>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</si>
  <si>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</si>
  <si>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</si>
  <si>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</si>
  <si>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</si>
  <si>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</si>
  <si>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</si>
  <si>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</si>
  <si>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</si>
  <si>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</si>
  <si>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</si>
  <si>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</si>
  <si>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</si>
  <si>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</si>
  <si>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</si>
  <si>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</si>
  <si>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</si>
  <si>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</si>
  <si>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</si>
  <si>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</si>
  <si>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</si>
  <si>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</si>
  <si>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</si>
  <si>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</si>
  <si>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</si>
  <si>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</si>
  <si>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</si>
  <si>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</si>
  <si>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</si>
  <si>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</si>
  <si>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</si>
  <si>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</si>
  <si>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</si>
  <si>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</si>
  <si>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</si>
  <si>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</si>
  <si>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</si>
  <si>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</si>
  <si>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</si>
  <si>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</si>
  <si>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</si>
  <si>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</si>
  <si>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</si>
  <si>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</si>
  <si>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</si>
  <si>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</si>
  <si>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</si>
  <si>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</si>
  <si>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</si>
  <si>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</si>
  <si>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</si>
  <si>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</si>
  <si>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</si>
  <si>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</si>
  <si>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</si>
  <si>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</si>
  <si>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</si>
  <si>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</si>
  <si>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</si>
  <si>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</si>
  <si>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</si>
  <si>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</si>
  <si>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</si>
  <si>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</si>
  <si>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</si>
  <si>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</si>
  <si>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</si>
  <si>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</si>
  <si>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</si>
  <si>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</si>
  <si>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</si>
  <si>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</si>
  <si>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</si>
  <si>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</si>
  <si>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</si>
  <si>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</si>
  <si>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</si>
  <si>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</si>
  <si>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</si>
  <si>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</si>
  <si>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</si>
  <si>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</si>
  <si>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</si>
  <si>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</si>
  <si>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</si>
  <si>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</si>
  <si>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</si>
  <si>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</si>
  <si>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</si>
  <si>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</si>
  <si>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</si>
  <si>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</si>
  <si>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</si>
  <si>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</si>
  <si>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</si>
  <si>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</si>
  <si>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</si>
  <si>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</si>
  <si>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</si>
  <si>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</si>
  <si>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</si>
  <si>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</si>
  <si>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</si>
  <si>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</si>
  <si>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</si>
  <si>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</si>
  <si>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</si>
  <si>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</si>
  <si>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</si>
  <si>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</si>
  <si>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</si>
  <si>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</si>
  <si>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</si>
  <si>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</si>
  <si>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</si>
  <si>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</si>
  <si>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</si>
  <si>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</si>
  <si>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</si>
  <si>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</si>
  <si>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</si>
  <si>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</si>
  <si>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</si>
  <si>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</si>
  <si>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</si>
  <si>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</si>
  <si>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</si>
  <si>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</si>
  <si>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</si>
  <si>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</si>
  <si>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</si>
  <si>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</si>
  <si>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</si>
  <si>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</si>
  <si>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</si>
  <si>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</si>
  <si>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</si>
  <si>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</si>
  <si>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</si>
  <si>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</si>
  <si>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</si>
  <si>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</si>
  <si>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</si>
  <si>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</si>
  <si>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</si>
  <si>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</si>
  <si>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</si>
  <si>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</si>
  <si>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</si>
  <si>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</si>
  <si>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</si>
  <si>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</si>
  <si>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</si>
  <si>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</si>
  <si>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</si>
  <si>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</si>
  <si>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</si>
  <si>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</si>
  <si>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</si>
  <si>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</si>
  <si>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</si>
  <si>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</si>
  <si>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</si>
  <si>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</si>
  <si>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</si>
  <si>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</si>
  <si>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</si>
  <si>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</si>
  <si>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</si>
  <si>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</si>
  <si>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</si>
  <si>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</si>
  <si>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</si>
  <si>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</si>
  <si>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</si>
  <si>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</si>
  <si>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</si>
  <si>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</si>
  <si>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</si>
  <si>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</si>
  <si>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</si>
  <si>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</si>
  <si>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</si>
  <si>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</si>
  <si>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</si>
  <si>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</si>
  <si>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</si>
  <si>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</si>
  <si>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</si>
  <si>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</si>
  <si>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</si>
  <si>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</si>
  <si>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</si>
  <si>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</si>
  <si>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</si>
  <si>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</si>
  <si>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</si>
  <si>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</si>
  <si>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</si>
  <si>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</si>
  <si>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</si>
  <si>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</si>
  <si>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</si>
  <si>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</si>
  <si>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</si>
  <si>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</si>
  <si>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</si>
  <si>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</si>
  <si>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</si>
  <si>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</si>
  <si>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</si>
  <si>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</si>
  <si>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</si>
  <si>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</si>
  <si>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</si>
  <si>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</si>
  <si>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</si>
  <si>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</si>
  <si>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</si>
  <si>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</si>
  <si>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</si>
  <si>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</si>
  <si>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</si>
  <si>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</si>
  <si>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</si>
  <si>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</si>
  <si>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</si>
  <si>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</si>
  <si>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</si>
  <si>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</si>
  <si>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</si>
  <si>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</si>
  <si>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</si>
  <si>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</si>
  <si>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</si>
  <si>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</si>
  <si>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</si>
  <si>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</si>
  <si>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</si>
  <si>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</si>
  <si>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</si>
  <si>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</si>
  <si>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</si>
  <si>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</si>
  <si>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</si>
  <si>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</si>
  <si>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</si>
  <si>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</si>
  <si>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</si>
  <si>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</si>
  <si>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</si>
  <si>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</si>
  <si>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</si>
  <si>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</si>
  <si>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</si>
  <si>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</si>
  <si>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</si>
  <si>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</si>
  <si>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</si>
  <si>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</si>
  <si>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</si>
  <si>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</si>
  <si>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</si>
  <si>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</si>
  <si>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</si>
  <si>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</si>
  <si>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</si>
  <si>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</si>
  <si>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</si>
  <si>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</si>
  <si>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</si>
  <si>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</si>
  <si>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</si>
  <si>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</si>
  <si>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</si>
  <si>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</si>
  <si>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</si>
  <si>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</si>
  <si>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</si>
  <si>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</si>
  <si>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</si>
  <si>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</si>
  <si>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</si>
  <si>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</si>
  <si>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</si>
  <si>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</si>
  <si>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</si>
  <si>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</si>
  <si>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</si>
  <si>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</si>
  <si>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</si>
  <si>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</si>
  <si>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</si>
  <si>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</si>
  <si>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</si>
  <si>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</si>
  <si>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</si>
  <si>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</si>
  <si>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</si>
  <si>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</si>
  <si>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</si>
  <si>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</si>
  <si>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</si>
  <si>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</si>
  <si>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</si>
  <si>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</si>
  <si>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</si>
  <si>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</si>
  <si>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</si>
  <si>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</si>
  <si>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</si>
  <si>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</si>
  <si>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</si>
  <si>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</si>
  <si>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</si>
  <si>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</si>
  <si>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</si>
  <si>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</si>
  <si>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</si>
  <si>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</si>
  <si>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</si>
  <si>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</si>
  <si>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</si>
  <si>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</si>
  <si>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</si>
  <si>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</si>
  <si>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</si>
  <si>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</si>
  <si>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</si>
  <si>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</si>
  <si>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</si>
  <si>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</si>
  <si>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</si>
  <si>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</si>
  <si>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</si>
  <si>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</si>
  <si>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</si>
  <si>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</si>
  <si>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</si>
  <si>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</si>
  <si>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</si>
  <si>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</si>
  <si>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</si>
  <si>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</si>
  <si>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</si>
  <si>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</si>
  <si>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</si>
  <si>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</si>
  <si>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</si>
  <si>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</si>
  <si>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</si>
  <si>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</si>
  <si>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</si>
  <si>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</si>
  <si>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</si>
  <si>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</si>
  <si>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</si>
  <si>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</si>
  <si>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</si>
  <si>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</si>
  <si>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</si>
  <si>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</si>
  <si>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</si>
  <si>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</si>
  <si>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</si>
  <si>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</si>
  <si>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</si>
  <si>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</si>
  <si>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</si>
  <si>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</si>
  <si>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</si>
  <si>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</si>
  <si>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</si>
  <si>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</si>
  <si>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</si>
  <si>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</si>
  <si>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</si>
  <si>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</si>
  <si>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</si>
  <si>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</si>
  <si>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</si>
  <si>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</si>
  <si>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</si>
  <si>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</si>
  <si>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</si>
  <si>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</si>
  <si>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</si>
  <si>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</si>
  <si>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</si>
  <si>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</si>
  <si>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</si>
  <si>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</si>
  <si>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</si>
  <si>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</si>
  <si>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</si>
  <si>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</si>
  <si>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</si>
  <si>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</si>
  <si>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</si>
  <si>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</si>
  <si>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</si>
  <si>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</si>
  <si>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</si>
  <si>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</si>
  <si>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</si>
  <si>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</si>
  <si>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</si>
  <si>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</si>
  <si>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</si>
  <si>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</si>
  <si>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</si>
  <si>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</si>
  <si>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</si>
  <si>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</si>
  <si>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</si>
  <si>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</si>
  <si>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</si>
  <si>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</si>
  <si>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</si>
  <si>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</si>
  <si>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</si>
  <si>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</si>
  <si>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</si>
  <si>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</si>
  <si>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</si>
  <si>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</si>
  <si>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</si>
  <si>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</si>
  <si>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</si>
  <si>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</si>
  <si>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</si>
  <si>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</si>
  <si>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</si>
  <si>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</si>
  <si>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</si>
  <si>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</si>
  <si>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</si>
  <si>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</si>
  <si>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</si>
  <si>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</si>
  <si>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</si>
  <si>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</si>
  <si>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</si>
  <si>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</si>
  <si>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</si>
  <si>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</si>
  <si>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</si>
  <si>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</si>
  <si>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</si>
  <si>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</si>
  <si>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</si>
  <si>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</si>
  <si>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</si>
  <si>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</si>
  <si>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</si>
  <si>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</si>
  <si>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</si>
  <si>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</si>
  <si>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</si>
  <si>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</si>
  <si>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</si>
  <si>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</si>
  <si>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</si>
  <si>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</si>
  <si>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</si>
  <si>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</si>
  <si>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</si>
  <si>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</si>
  <si>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</si>
  <si>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</si>
  <si>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</si>
  <si>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</si>
  <si>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</si>
  <si>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</si>
  <si>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</si>
  <si>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</si>
  <si>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</si>
  <si>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</si>
  <si>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</si>
  <si>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</si>
  <si>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</si>
  <si>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</si>
  <si>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</si>
  <si>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</si>
  <si>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</si>
  <si>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</si>
  <si>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</si>
  <si>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</si>
  <si>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</si>
  <si>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</si>
  <si>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</si>
  <si>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</si>
  <si>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</si>
  <si>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</si>
  <si>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</si>
  <si>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</si>
  <si>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</si>
  <si>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</si>
  <si>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</si>
  <si>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</si>
  <si>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</si>
  <si>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</si>
  <si>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</si>
  <si>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</si>
  <si>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</si>
  <si>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</si>
  <si>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</si>
  <si>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</si>
  <si>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</si>
  <si>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</si>
  <si>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</si>
  <si>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</si>
  <si>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</si>
  <si>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</si>
  <si>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</si>
  <si>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</si>
  <si>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</si>
  <si>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</si>
  <si>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</si>
  <si>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</si>
  <si>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</si>
  <si>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</si>
  <si>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</si>
  <si>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</si>
  <si>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</si>
  <si>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</si>
  <si>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</si>
  <si>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</si>
  <si>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</si>
  <si>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</si>
  <si>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</si>
  <si>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</si>
  <si>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</si>
  <si>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</si>
  <si>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</si>
  <si>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</si>
  <si>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</si>
  <si>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</si>
  <si>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</si>
  <si>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</si>
  <si>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</si>
  <si>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</si>
  <si>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</si>
  <si>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</si>
  <si>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</si>
  <si>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</si>
  <si>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</si>
  <si>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</si>
  <si>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</si>
  <si>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</si>
  <si>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</si>
  <si>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</si>
  <si>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</si>
  <si>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</si>
  <si>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</si>
  <si>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</si>
  <si>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</si>
  <si>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</si>
  <si>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</si>
  <si>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</si>
  <si>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</si>
  <si>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</si>
  <si>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</si>
  <si>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</si>
  <si>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</si>
  <si>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</si>
  <si>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</si>
  <si>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</si>
  <si>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</si>
  <si>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</si>
  <si>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</si>
  <si>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</si>
  <si>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</si>
  <si>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</si>
  <si>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</si>
  <si>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</si>
  <si>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</si>
  <si>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</si>
  <si>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</si>
  <si>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</si>
  <si>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</si>
  <si>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</si>
  <si>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</si>
  <si>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</si>
  <si>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</si>
  <si>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</si>
  <si>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</si>
  <si>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</si>
  <si>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</si>
  <si>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</si>
  <si>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</si>
  <si>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</si>
  <si>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</si>
  <si>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</si>
  <si>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</si>
  <si>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</si>
  <si>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</si>
  <si>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</si>
  <si>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</si>
  <si>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</si>
  <si>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</si>
  <si>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</si>
  <si>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</si>
  <si>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</si>
  <si>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</si>
  <si>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</si>
  <si>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</si>
  <si>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</si>
  <si>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</si>
  <si>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</si>
  <si>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</si>
  <si>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</si>
  <si>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</si>
  <si>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</si>
  <si>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</si>
  <si>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</si>
  <si>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</si>
  <si>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</si>
  <si>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</si>
  <si>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</si>
  <si>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</si>
  <si>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</si>
  <si>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</si>
  <si>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</si>
  <si>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</si>
  <si>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</si>
  <si>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</si>
  <si>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</si>
  <si>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</si>
  <si>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</si>
  <si>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</si>
  <si>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</si>
  <si>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</si>
  <si>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</si>
  <si>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</si>
  <si>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</si>
  <si>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</si>
  <si>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</si>
  <si>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</si>
  <si>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</si>
  <si>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</si>
  <si>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</si>
  <si>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</si>
  <si>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</si>
  <si>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</si>
  <si>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</si>
  <si>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</si>
  <si>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</si>
  <si>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</si>
  <si>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</si>
  <si>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</si>
  <si>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</si>
  <si>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</si>
  <si>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</si>
  <si>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</si>
  <si>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</si>
  <si>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</si>
  <si>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</si>
  <si>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</si>
  <si>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</si>
  <si>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</si>
  <si>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</si>
  <si>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</si>
  <si>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</si>
  <si>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</si>
  <si>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</si>
  <si>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</si>
  <si>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</si>
  <si>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</si>
  <si>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</si>
  <si>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</si>
  <si>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</si>
  <si>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</si>
  <si>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</si>
  <si>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</si>
  <si>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</si>
  <si>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</si>
  <si>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</si>
  <si>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</si>
  <si>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</si>
  <si>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</si>
  <si>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</si>
  <si>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</si>
  <si>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</si>
  <si>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</si>
  <si>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</si>
  <si>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</si>
  <si>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</si>
  <si>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</si>
  <si>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</si>
  <si>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</si>
  <si>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</si>
  <si>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</si>
  <si>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</si>
  <si>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</si>
  <si>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</si>
  <si>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</si>
  <si>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</si>
  <si>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</si>
  <si>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</si>
  <si>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</si>
  <si>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</si>
  <si>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</si>
  <si>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</si>
  <si>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</si>
  <si>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</si>
  <si>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</si>
  <si>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</si>
  <si>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</si>
  <si>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</si>
  <si>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</si>
  <si>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</si>
  <si>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</si>
  <si>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</si>
  <si>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</si>
  <si>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</si>
  <si>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</si>
  <si>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</si>
  <si>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</si>
  <si>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</si>
  <si>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</si>
  <si>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</si>
  <si>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</si>
  <si>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</si>
  <si>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</si>
  <si>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</si>
  <si>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</si>
  <si>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</si>
  <si>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</si>
  <si>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</si>
  <si>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</si>
  <si>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</si>
  <si>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</si>
  <si>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</si>
  <si>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</si>
  <si>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</si>
  <si>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</si>
  <si>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</si>
  <si>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</si>
  <si>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</si>
  <si>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</si>
  <si>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</si>
  <si>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</si>
  <si>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</si>
  <si>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</si>
  <si>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</si>
  <si>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</si>
  <si>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</si>
  <si>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</si>
  <si>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</si>
  <si>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</si>
  <si>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</si>
  <si>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</si>
  <si>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</si>
  <si>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</si>
  <si>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</si>
  <si>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</si>
  <si>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</si>
  <si>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</si>
  <si>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</si>
  <si>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</si>
  <si>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</si>
  <si>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</si>
  <si>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</si>
  <si>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</si>
  <si>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</si>
  <si>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</si>
  <si>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</si>
  <si>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</si>
  <si>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</si>
  <si>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</si>
  <si>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</si>
  <si>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</si>
  <si>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</si>
  <si>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</si>
  <si>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</si>
  <si>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</si>
  <si>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</si>
  <si>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</si>
  <si>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</si>
  <si>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</si>
  <si>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</si>
  <si>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</si>
  <si>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</si>
  <si>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</si>
  <si>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</si>
  <si>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</si>
  <si>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</si>
  <si>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</si>
  <si>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</si>
  <si>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</si>
  <si>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</si>
  <si>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</si>
  <si>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</si>
  <si>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</si>
  <si>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</si>
  <si>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</si>
  <si>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</si>
  <si>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</si>
  <si>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</si>
  <si>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</si>
  <si>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</si>
  <si>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</si>
  <si>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</si>
  <si>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</si>
  <si>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</si>
  <si>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</si>
  <si>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</si>
  <si>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</si>
  <si>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</si>
  <si>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</si>
  <si>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</si>
  <si>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</si>
  <si>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</si>
  <si>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</si>
  <si>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</si>
  <si>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</si>
  <si>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</si>
  <si>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</si>
  <si>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</si>
  <si>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</si>
  <si>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</si>
  <si>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</si>
  <si>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</si>
  <si>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</si>
  <si>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</si>
  <si>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</si>
  <si>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</si>
  <si>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</si>
  <si>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</si>
  <si>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</si>
  <si>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</si>
  <si>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</si>
  <si>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</si>
  <si>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</si>
  <si>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</si>
  <si>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</si>
  <si>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</si>
  <si>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</si>
  <si>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</si>
  <si>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</si>
  <si>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</si>
  <si>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</si>
  <si>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</si>
  <si>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</si>
  <si>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</si>
  <si>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</si>
  <si>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</si>
  <si>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</si>
  <si>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</si>
  <si>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</si>
  <si>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</si>
  <si>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</si>
  <si>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</si>
  <si>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</si>
  <si>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</si>
  <si>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</si>
  <si>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</si>
  <si>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</si>
  <si>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</si>
  <si>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</si>
  <si>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</si>
  <si>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</si>
  <si>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</si>
  <si>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</si>
  <si>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</si>
  <si>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</si>
  <si>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</si>
  <si>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</si>
  <si>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</si>
  <si>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</si>
  <si>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</si>
  <si>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</si>
  <si>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</si>
  <si>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</si>
  <si>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</si>
  <si>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</si>
  <si>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</si>
  <si>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</si>
  <si>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</si>
  <si>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</si>
  <si>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</si>
  <si>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</si>
  <si>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</si>
  <si>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</si>
  <si>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</si>
  <si>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</si>
  <si>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</si>
  <si>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</si>
  <si>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</si>
  <si>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</si>
  <si>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</si>
  <si>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</si>
  <si>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</si>
  <si>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</si>
  <si>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</si>
  <si>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</si>
  <si>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</si>
  <si>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</si>
  <si>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</si>
  <si>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</si>
  <si>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</si>
  <si>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</si>
  <si>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</si>
  <si>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</si>
  <si>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</si>
  <si>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</si>
  <si>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</si>
  <si>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</si>
  <si>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</si>
  <si>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</si>
  <si>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</si>
  <si>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</si>
  <si>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</si>
  <si>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</si>
  <si>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</si>
  <si>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</si>
  <si>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</si>
  <si>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</si>
  <si>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</si>
  <si>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</si>
  <si>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</si>
  <si>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</si>
  <si>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</si>
  <si>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</si>
  <si>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</si>
  <si>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</si>
  <si>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</si>
  <si>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</si>
  <si>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</si>
  <si>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</si>
  <si>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</si>
  <si>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</si>
  <si>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</si>
  <si>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</si>
  <si>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</si>
  <si>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</si>
  <si>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</si>
  <si>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</si>
  <si>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</si>
  <si>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</si>
  <si>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</si>
  <si>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</si>
  <si>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</si>
  <si>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</si>
  <si>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</si>
  <si>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</si>
  <si>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</si>
  <si>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</si>
  <si>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</si>
  <si>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</si>
  <si>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</si>
  <si>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</si>
  <si>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</si>
  <si>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</si>
  <si>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</si>
  <si>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</si>
  <si>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</si>
  <si>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</si>
  <si>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</si>
  <si>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</si>
  <si>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</si>
  <si>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</si>
  <si>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</si>
  <si>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</si>
  <si>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</si>
  <si>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</si>
  <si>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</si>
  <si>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</si>
  <si>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</si>
  <si>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</si>
  <si>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</si>
  <si>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</si>
  <si>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</si>
  <si>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</si>
  <si>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</si>
  <si>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</si>
  <si>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</si>
  <si>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</si>
  <si>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</si>
  <si>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</si>
  <si>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</si>
  <si>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</si>
  <si>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</si>
  <si>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</si>
  <si>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</si>
  <si>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</si>
  <si>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</si>
  <si>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</si>
  <si>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</si>
  <si>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</si>
  <si>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</si>
  <si>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</si>
  <si>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</si>
  <si>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</si>
  <si>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</si>
  <si>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</si>
  <si>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</si>
  <si>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</si>
  <si>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</si>
  <si>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</si>
  <si>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</si>
  <si>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</si>
  <si>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</si>
  <si>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</si>
  <si>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</si>
  <si>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</si>
  <si>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</si>
  <si>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</si>
  <si>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</si>
  <si>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</si>
  <si>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</si>
  <si>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</si>
  <si>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</si>
  <si>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</si>
  <si>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</si>
  <si>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</si>
  <si>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</si>
  <si>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</si>
  <si>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</si>
  <si>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</si>
  <si>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</si>
  <si>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</si>
  <si>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</si>
  <si>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</si>
  <si>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</si>
  <si>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</si>
  <si>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</si>
  <si>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</si>
  <si>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</si>
  <si>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</si>
  <si>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</si>
  <si>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</si>
  <si>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</si>
  <si>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</si>
  <si>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</si>
  <si>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</si>
  <si>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</si>
  <si>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</si>
  <si>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</si>
  <si>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</si>
  <si>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</si>
  <si>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</si>
  <si>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</si>
  <si>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</si>
  <si>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</si>
  <si>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</si>
  <si>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</si>
  <si>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</si>
  <si>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</si>
  <si>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</si>
  <si>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</si>
  <si>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</si>
  <si>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</si>
  <si>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</si>
  <si>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</si>
  <si>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</si>
  <si>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</si>
  <si>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</si>
  <si>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</si>
  <si>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</si>
  <si>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</si>
  <si>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</si>
  <si>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</si>
  <si>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</si>
  <si>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</si>
  <si>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</si>
  <si>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</si>
  <si>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</si>
  <si>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</si>
  <si>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</si>
  <si>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</si>
  <si>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</si>
  <si>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</si>
  <si>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</si>
  <si>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</si>
  <si>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</si>
  <si>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</si>
  <si>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</si>
  <si>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</si>
  <si>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</si>
  <si>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</si>
  <si>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</si>
  <si>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</si>
  <si>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</si>
  <si>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</si>
  <si>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</si>
  <si>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</si>
  <si>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</si>
  <si>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</si>
  <si>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</si>
  <si>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</si>
  <si>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</si>
  <si>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</si>
  <si>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</si>
  <si>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</si>
  <si>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</si>
  <si>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</si>
  <si>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</si>
  <si>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</si>
  <si>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</si>
  <si>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</si>
  <si>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</si>
  <si>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</si>
  <si>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</si>
  <si>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</si>
  <si>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</si>
  <si>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</si>
  <si>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</si>
  <si>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</si>
  <si>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</si>
  <si>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</si>
  <si>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</si>
  <si>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</si>
  <si>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</si>
  <si>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</si>
  <si>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</si>
  <si>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</si>
  <si>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</si>
  <si>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</si>
  <si>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</si>
  <si>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</si>
  <si>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</si>
  <si>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</si>
  <si>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</si>
  <si>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</si>
  <si>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</si>
  <si>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</si>
  <si>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</si>
  <si>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</si>
  <si>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</si>
  <si>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</si>
  <si>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</si>
  <si>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</si>
  <si>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</si>
  <si>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</si>
  <si>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</si>
  <si>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</si>
  <si>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</si>
  <si>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</si>
  <si>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</si>
  <si>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</si>
  <si>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</si>
  <si>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</si>
  <si>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</si>
  <si>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</si>
  <si>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</si>
  <si>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</si>
  <si>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</si>
  <si>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</si>
  <si>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</si>
  <si>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</si>
  <si>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</si>
  <si>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</si>
  <si>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</si>
  <si>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</si>
  <si>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</si>
  <si>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</si>
  <si>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</si>
  <si>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</si>
  <si>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</si>
  <si>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</si>
  <si>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</si>
  <si>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</si>
  <si>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</si>
  <si>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</si>
  <si>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</si>
  <si>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</si>
  <si>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</si>
  <si>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</si>
  <si>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</si>
  <si>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</si>
  <si>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</si>
  <si>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</si>
  <si>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</si>
  <si>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</si>
  <si>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</si>
  <si>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</si>
  <si>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</si>
  <si>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</si>
  <si>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</si>
  <si>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</si>
  <si>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</si>
  <si>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</si>
  <si>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</si>
  <si>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</si>
  <si>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</si>
  <si>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</si>
  <si>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</si>
  <si>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</si>
  <si>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</si>
  <si>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</si>
  <si>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</si>
  <si>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</si>
  <si>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</si>
  <si>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</si>
  <si>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</si>
  <si>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</si>
  <si>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</si>
  <si>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</si>
  <si>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</si>
  <si>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</si>
  <si>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</si>
  <si>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</si>
  <si>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</si>
  <si>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</si>
  <si>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</si>
  <si>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</si>
  <si>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</si>
  <si>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</si>
  <si>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</si>
  <si>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</si>
  <si>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</si>
  <si>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</si>
  <si>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</si>
  <si>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</si>
  <si>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</si>
  <si>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</si>
  <si>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</si>
  <si>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</si>
  <si>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</si>
  <si>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</si>
  <si>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</si>
  <si>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</si>
  <si>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</si>
  <si>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</si>
  <si>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</si>
  <si>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</si>
  <si>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</si>
  <si>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</si>
  <si>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</si>
  <si>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</si>
  <si>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</si>
  <si>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</si>
  <si>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</si>
  <si>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</si>
  <si>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</si>
  <si>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</si>
  <si>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</si>
  <si>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</si>
  <si>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</si>
  <si>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</si>
  <si>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</si>
  <si>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</si>
  <si>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</si>
  <si>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</si>
  <si>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</si>
  <si>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</si>
  <si>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</si>
  <si>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</si>
  <si>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</si>
  <si>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</si>
  <si>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</si>
  <si>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</si>
  <si>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</si>
  <si>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</si>
  <si>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</si>
  <si>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</si>
  <si>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</si>
  <si>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</si>
  <si>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</si>
  <si>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</si>
  <si>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</si>
  <si>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</si>
  <si>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</si>
  <si>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</si>
  <si>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</si>
  <si>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</si>
  <si>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</si>
  <si>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</si>
  <si>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</si>
  <si>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</si>
  <si>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</si>
  <si>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</si>
  <si>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</si>
  <si>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</si>
  <si>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</si>
  <si>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</si>
  <si>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</si>
  <si>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</si>
  <si>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</si>
  <si>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</si>
  <si>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</si>
  <si>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</si>
  <si>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</si>
  <si>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</si>
  <si>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</si>
  <si>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</si>
  <si>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</si>
  <si>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</si>
  <si>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</si>
  <si>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</si>
  <si>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</si>
  <si>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</si>
  <si>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</si>
  <si>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</si>
  <si>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</si>
  <si>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</si>
  <si>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</si>
  <si>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</si>
  <si>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</si>
  <si>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</si>
  <si>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</si>
  <si>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</si>
  <si>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</si>
  <si>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</si>
  <si>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</si>
  <si>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</si>
  <si>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</si>
  <si>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</si>
  <si>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</si>
  <si>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</si>
  <si>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</si>
  <si>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</si>
  <si>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</si>
  <si>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</si>
  <si>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</si>
  <si>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</si>
  <si>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</si>
  <si>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</si>
  <si>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</si>
  <si>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</si>
  <si>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</si>
  <si>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</si>
  <si>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</si>
  <si>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</si>
  <si>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</si>
  <si>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</si>
  <si>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</si>
  <si>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</si>
  <si>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</si>
  <si>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</si>
  <si>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</si>
  <si>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</si>
  <si>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</si>
  <si>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</si>
  <si>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</si>
  <si>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</si>
  <si>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</si>
  <si>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</si>
  <si>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</si>
  <si>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</si>
  <si>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</si>
  <si>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</si>
  <si>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</si>
  <si>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</si>
  <si>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</si>
  <si>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</si>
  <si>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</si>
  <si>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</si>
  <si>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</si>
  <si>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</si>
  <si>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</si>
  <si>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</si>
  <si>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</si>
  <si>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</si>
  <si>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</si>
  <si>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</si>
  <si>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</si>
  <si>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</si>
  <si>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</si>
  <si>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</si>
  <si>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</si>
  <si>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</si>
  <si>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</si>
  <si>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</si>
  <si>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</si>
  <si>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</si>
  <si>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</si>
  <si>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</si>
  <si>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</si>
  <si>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</si>
  <si>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</si>
  <si>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</si>
  <si>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</si>
  <si>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</si>
  <si>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</si>
  <si>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</si>
  <si>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</si>
  <si>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</si>
  <si>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</si>
  <si>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</si>
  <si>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</si>
  <si>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</si>
  <si>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</si>
  <si>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</si>
  <si>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</si>
  <si>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</si>
  <si>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</si>
  <si>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</si>
  <si>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</si>
  <si>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</si>
  <si>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</si>
  <si>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</si>
  <si>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</si>
  <si>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</si>
  <si>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</si>
  <si>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</si>
  <si>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</si>
  <si>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</si>
  <si>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</si>
  <si>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</si>
  <si>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</si>
  <si>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</si>
  <si>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</si>
  <si>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</si>
  <si>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</si>
  <si>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</si>
  <si>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</si>
  <si>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</si>
  <si>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</si>
  <si>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</si>
  <si>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</si>
  <si>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</si>
  <si>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</si>
  <si>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</si>
  <si>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</si>
  <si>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</si>
  <si>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</si>
  <si>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</si>
  <si>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</si>
  <si>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</si>
  <si>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</si>
  <si>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</si>
  <si>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</si>
  <si>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</si>
  <si>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</si>
  <si>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</si>
  <si>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</si>
  <si>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</si>
  <si>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</si>
  <si>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</si>
  <si>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</si>
  <si>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</si>
  <si>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</si>
  <si>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</si>
  <si>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</si>
  <si>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</si>
  <si>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</si>
  <si>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</si>
  <si>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</si>
  <si>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</si>
  <si>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</si>
  <si>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</si>
  <si>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</si>
  <si>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</si>
  <si>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</si>
  <si>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</si>
  <si>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</si>
  <si>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</si>
  <si>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</si>
  <si>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</si>
  <si>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</si>
  <si>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</si>
  <si>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</si>
  <si>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</si>
  <si>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</si>
  <si>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</si>
  <si>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</si>
  <si>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</si>
  <si>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</si>
  <si>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</si>
  <si>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</si>
  <si>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</si>
  <si>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</si>
  <si>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</si>
  <si>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</si>
  <si>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</si>
  <si>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</si>
  <si>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</si>
  <si>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</si>
  <si>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</si>
  <si>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</si>
  <si>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</si>
  <si>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</si>
  <si>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</si>
  <si>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</si>
  <si>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</si>
  <si>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</si>
  <si>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</si>
  <si>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</si>
  <si>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</si>
  <si>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</si>
  <si>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</si>
  <si>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</si>
  <si>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</si>
  <si>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</si>
  <si>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</si>
  <si>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</si>
  <si>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</si>
  <si>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</si>
  <si>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</si>
  <si>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</si>
  <si>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</si>
  <si>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</si>
  <si>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</si>
  <si>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</si>
  <si>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</si>
  <si>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</si>
  <si>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</si>
  <si>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</si>
  <si>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</si>
  <si>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</si>
  <si>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</si>
  <si>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</si>
  <si>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</si>
  <si>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</si>
  <si>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</si>
  <si>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</si>
  <si>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</si>
  <si>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</si>
  <si>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</si>
  <si>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</si>
  <si>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</si>
  <si>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</si>
  <si>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</si>
  <si>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</si>
  <si>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</si>
  <si>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</si>
  <si>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</si>
  <si>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</si>
  <si>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</si>
  <si>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</si>
  <si>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</si>
  <si>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</si>
  <si>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</si>
  <si>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</si>
  <si>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</si>
  <si>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</si>
  <si>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</si>
  <si>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</si>
  <si>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</si>
  <si>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</si>
  <si>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</si>
  <si>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</si>
  <si>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</si>
  <si>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</si>
  <si>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</si>
  <si>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</si>
  <si>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</si>
  <si>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</si>
  <si>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</si>
  <si>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</si>
  <si>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</si>
  <si>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</si>
  <si>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</si>
  <si>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</si>
  <si>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</si>
  <si>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</si>
  <si>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</si>
  <si>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</si>
  <si>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</si>
  <si>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</si>
  <si>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</si>
  <si>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</si>
  <si>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</si>
  <si>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</si>
  <si>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</si>
  <si>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</si>
  <si>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</si>
  <si>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</si>
  <si>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</si>
  <si>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</si>
  <si>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</si>
  <si>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</si>
  <si>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</si>
  <si>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</si>
  <si>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</si>
  <si>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</si>
  <si>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</si>
  <si>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</si>
  <si>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</si>
  <si>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</si>
  <si>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</si>
  <si>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</si>
  <si>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</si>
  <si>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</si>
  <si>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</si>
  <si>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</si>
  <si>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</si>
  <si>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</si>
  <si>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</si>
  <si>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</si>
  <si>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</si>
  <si>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</si>
  <si>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</si>
  <si>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</si>
  <si>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</si>
  <si>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</si>
  <si>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</si>
  <si>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</si>
  <si>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</si>
  <si>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</si>
  <si>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</si>
  <si>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</si>
  <si>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</si>
  <si>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</si>
  <si>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</si>
  <si>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</si>
  <si>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</si>
  <si>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</si>
  <si>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</si>
  <si>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</si>
  <si>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</si>
  <si>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</si>
  <si>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</si>
  <si>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</si>
  <si>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</si>
  <si>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</si>
  <si>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</si>
  <si>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</si>
  <si>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</si>
  <si>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</si>
  <si>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</si>
  <si>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</si>
  <si>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</si>
  <si>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</si>
  <si>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</si>
  <si>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</si>
  <si>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</si>
  <si>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</si>
  <si>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</si>
  <si>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</si>
  <si>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</si>
  <si>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</si>
  <si>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</si>
  <si>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</si>
  <si>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</si>
  <si>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</si>
  <si>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</si>
  <si>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</si>
  <si>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</si>
  <si>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</si>
  <si>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</si>
  <si>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</si>
  <si>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</si>
  <si>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</si>
  <si>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</si>
  <si>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</si>
  <si>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</si>
  <si>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</si>
  <si>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</si>
  <si>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</si>
  <si>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</si>
  <si>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</si>
  <si>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</si>
  <si>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</si>
  <si>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</si>
  <si>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</si>
  <si>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</si>
  <si>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</si>
  <si>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</si>
  <si>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</si>
  <si>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</si>
  <si>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</si>
  <si>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</si>
  <si>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</si>
  <si>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</si>
  <si>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</si>
  <si>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</si>
  <si>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</si>
  <si>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</si>
  <si>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</si>
  <si>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</si>
  <si>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</si>
  <si>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</si>
  <si>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</si>
  <si>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</si>
  <si>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</si>
  <si>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</si>
  <si>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</si>
  <si>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</si>
  <si>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</si>
  <si>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</si>
  <si>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</si>
  <si>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</si>
  <si>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</si>
  <si>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</si>
  <si>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</si>
  <si>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</si>
  <si>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</si>
  <si>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</si>
  <si>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</si>
  <si>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</si>
  <si>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</si>
  <si>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</si>
  <si>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</si>
  <si>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</si>
  <si>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</si>
  <si>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</si>
  <si>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</si>
  <si>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</si>
  <si>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</si>
  <si>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</si>
  <si>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</si>
  <si>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</si>
  <si>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</si>
  <si>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</si>
  <si>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</si>
  <si>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</si>
  <si>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</si>
  <si>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</si>
  <si>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</si>
  <si>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</si>
  <si>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</si>
  <si>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</si>
  <si>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</si>
  <si>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</si>
  <si>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</si>
  <si>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</si>
  <si>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</si>
  <si>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</si>
  <si>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</si>
  <si>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</si>
  <si>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</si>
  <si>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</si>
  <si>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</si>
  <si>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</si>
  <si>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</si>
  <si>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</si>
  <si>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</si>
  <si>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</si>
  <si>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</si>
  <si>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</si>
  <si>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</si>
  <si>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</si>
  <si>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</si>
  <si>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</si>
  <si>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</si>
  <si>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</si>
  <si>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</si>
  <si>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</si>
  <si>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</si>
  <si>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</si>
  <si>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</si>
  <si>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</si>
  <si>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</si>
  <si>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</si>
  <si>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</si>
  <si>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</si>
  <si>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</si>
  <si>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</si>
  <si>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</si>
  <si>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</si>
  <si>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</si>
  <si>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</si>
  <si>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</si>
  <si>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</si>
  <si>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</si>
  <si>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</si>
  <si>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</si>
  <si>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</si>
  <si>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</si>
  <si>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</si>
  <si>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</si>
  <si>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</si>
  <si>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</si>
  <si>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</si>
  <si>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</si>
  <si>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</si>
  <si>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</si>
  <si>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</si>
  <si>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</si>
  <si>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</si>
  <si>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</si>
  <si>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</si>
  <si>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</si>
  <si>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</si>
  <si>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</si>
  <si>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</si>
  <si>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</si>
  <si>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</si>
  <si>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</si>
  <si>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</si>
  <si>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</si>
  <si>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</si>
  <si>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</si>
  <si>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</si>
  <si>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</si>
  <si>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</si>
  <si>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</si>
  <si>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</si>
  <si>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</si>
  <si>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</si>
  <si>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</si>
  <si>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</si>
  <si>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</si>
  <si>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</si>
  <si>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</si>
  <si>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</si>
  <si>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</si>
  <si>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</si>
  <si>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</si>
  <si>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</si>
  <si>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</si>
  <si>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</si>
  <si>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</si>
  <si>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</si>
  <si>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</si>
  <si>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</si>
  <si>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</si>
  <si>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</si>
  <si>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</si>
  <si>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</si>
  <si>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</si>
  <si>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</si>
  <si>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</si>
  <si>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</si>
  <si>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</si>
  <si>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</si>
  <si>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</si>
  <si>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</si>
  <si>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</si>
  <si>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</si>
  <si>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</si>
  <si>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</si>
  <si>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</si>
  <si>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</si>
  <si>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</si>
  <si>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</si>
  <si>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</si>
  <si>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</si>
  <si>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</si>
  <si>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</si>
  <si>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</si>
  <si>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</si>
  <si>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</si>
  <si>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</si>
  <si>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</si>
  <si>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</si>
  <si>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</si>
  <si>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</si>
  <si>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</si>
  <si>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</si>
  <si>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</si>
  <si>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</si>
  <si>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</si>
  <si>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</si>
  <si>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</si>
  <si>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</si>
  <si>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</si>
  <si>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</si>
  <si>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</si>
  <si>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</si>
  <si>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</si>
  <si>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</si>
  <si>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</si>
  <si>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</si>
  <si>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</si>
  <si>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</si>
  <si>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</si>
  <si>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</si>
  <si>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</si>
  <si>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</si>
  <si>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</si>
  <si>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</si>
  <si>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</si>
  <si>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</si>
  <si>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</si>
  <si>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</si>
  <si>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</si>
  <si>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</si>
  <si>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</si>
  <si>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</si>
  <si>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</si>
  <si>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</si>
  <si>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</si>
  <si>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</si>
  <si>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</si>
  <si>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</si>
  <si>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</si>
  <si>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</si>
  <si>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</si>
  <si>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</si>
  <si>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</si>
  <si>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</si>
  <si>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</si>
  <si>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</si>
  <si>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</si>
  <si>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</si>
  <si>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</si>
  <si>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</si>
  <si>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</si>
  <si>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</si>
  <si>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</si>
  <si>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</si>
  <si>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</si>
  <si>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</si>
  <si>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</si>
  <si>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</si>
  <si>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</si>
  <si>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</si>
  <si>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</si>
  <si>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</si>
  <si>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</si>
  <si>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</si>
  <si>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</si>
  <si>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</si>
  <si>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</si>
  <si>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</si>
  <si>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</si>
  <si>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</si>
  <si>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</si>
  <si>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</si>
  <si>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</si>
  <si>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</si>
  <si>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</si>
  <si>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</si>
  <si>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</si>
  <si>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</si>
  <si>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</si>
  <si>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</si>
  <si>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</si>
  <si>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</si>
  <si>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</si>
  <si>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</si>
  <si>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</si>
  <si>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</si>
  <si>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</si>
  <si>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</si>
  <si>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</si>
  <si>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</si>
  <si>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</si>
  <si>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</si>
  <si>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</si>
  <si>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</si>
  <si>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</si>
  <si>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</si>
  <si>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</si>
  <si>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</si>
  <si>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</si>
  <si>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</si>
  <si>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</si>
  <si>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</si>
  <si>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</si>
  <si>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</si>
  <si>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</si>
  <si>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</si>
  <si>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</si>
  <si>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</si>
  <si>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</si>
  <si>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</si>
  <si>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</si>
  <si>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</si>
  <si>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</si>
  <si>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</si>
  <si>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</si>
  <si>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</si>
  <si>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</si>
  <si>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</si>
  <si>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</si>
  <si>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</si>
  <si>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</si>
  <si>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</si>
  <si>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</si>
  <si>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</si>
  <si>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</si>
  <si>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</si>
  <si>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</si>
  <si>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</si>
  <si>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</si>
  <si>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</si>
  <si>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</si>
  <si>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</si>
  <si>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</si>
  <si>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</si>
  <si>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</si>
  <si>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</si>
  <si>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</si>
  <si>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</si>
  <si>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</si>
  <si>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</si>
  <si>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</si>
  <si>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</si>
  <si>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</si>
  <si>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</si>
  <si>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</si>
  <si>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</si>
  <si>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</si>
  <si>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</si>
  <si>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</si>
  <si>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</si>
  <si>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</si>
  <si>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</si>
  <si>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</si>
  <si>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</si>
  <si>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</si>
  <si>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</si>
  <si>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</si>
  <si>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</si>
  <si>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</si>
  <si>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</si>
  <si>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</si>
  <si>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</si>
  <si>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</si>
  <si>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</si>
  <si>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</si>
  <si>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</si>
  <si>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</si>
  <si>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</si>
  <si>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</si>
  <si>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</si>
  <si>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</si>
  <si>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</si>
  <si>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</si>
  <si>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</si>
  <si>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</si>
  <si>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</si>
  <si>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</si>
  <si>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</si>
  <si>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</si>
  <si>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</si>
  <si>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</si>
  <si>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</si>
  <si>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</si>
  <si>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</si>
  <si>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</si>
  <si>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</si>
  <si>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</si>
  <si>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</si>
  <si>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</si>
  <si>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</si>
  <si>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</si>
  <si>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</si>
  <si>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</si>
  <si>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</si>
  <si>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</si>
  <si>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</si>
  <si>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</si>
  <si>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</si>
  <si>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</si>
  <si>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</si>
  <si>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</si>
  <si>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</si>
  <si>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</si>
  <si>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</si>
  <si>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</si>
  <si>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</si>
  <si>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</si>
  <si>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</si>
  <si>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</si>
  <si>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</si>
  <si>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</si>
  <si>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</si>
  <si>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</si>
  <si>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</si>
  <si>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</si>
  <si>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</si>
  <si>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</si>
  <si>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</si>
  <si>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</si>
  <si>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</si>
  <si>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</si>
  <si>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</si>
  <si>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</si>
  <si>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</si>
  <si>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</si>
  <si>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</si>
  <si>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</si>
  <si>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</si>
  <si>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</si>
  <si>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</si>
  <si>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</si>
  <si>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</si>
  <si>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</si>
  <si>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</si>
  <si>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</si>
  <si>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</si>
  <si>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</si>
  <si>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</si>
  <si>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</si>
  <si>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</si>
  <si>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</si>
  <si>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</si>
  <si>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</si>
  <si>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</si>
  <si>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</si>
  <si>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</si>
  <si>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</si>
  <si>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</si>
  <si>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</si>
  <si>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</si>
  <si>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</si>
  <si>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</si>
  <si>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</si>
  <si>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</si>
  <si>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</si>
  <si>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</si>
  <si>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</si>
  <si>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</si>
  <si>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</si>
  <si>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</si>
  <si>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</si>
  <si>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</si>
  <si>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</si>
  <si>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</si>
  <si>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</si>
  <si>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</si>
  <si>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</si>
  <si>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</si>
  <si>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</si>
  <si>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</si>
  <si>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</si>
  <si>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</si>
  <si>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</si>
  <si>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</si>
  <si>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</si>
  <si>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</si>
  <si>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</si>
  <si>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</si>
  <si>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</si>
  <si>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</si>
  <si>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</si>
  <si>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</si>
  <si>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</si>
  <si>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</si>
  <si>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</si>
  <si>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</si>
  <si>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</si>
  <si>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</si>
  <si>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</si>
  <si>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</si>
  <si>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</si>
  <si>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</si>
  <si>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</si>
  <si>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</si>
  <si>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</si>
  <si>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</si>
  <si>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</si>
  <si>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</si>
  <si>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</si>
  <si>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</si>
  <si>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</si>
  <si>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</si>
  <si>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</si>
  <si>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</si>
  <si>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</si>
  <si>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</si>
  <si>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</si>
  <si>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</si>
  <si>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</si>
  <si>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</si>
  <si>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</si>
  <si>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</si>
  <si>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</si>
  <si>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</si>
  <si>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</si>
  <si>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</si>
  <si>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</si>
  <si>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</si>
  <si>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</si>
  <si>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</si>
  <si>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</si>
  <si>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</si>
  <si>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</si>
  <si>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</si>
  <si>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</si>
  <si>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</si>
  <si>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</si>
  <si>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</si>
  <si>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</si>
  <si>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</si>
  <si>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</si>
  <si>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</si>
  <si>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</si>
  <si>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</si>
  <si>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</si>
  <si>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</si>
  <si>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</si>
  <si>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</si>
  <si>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</si>
  <si>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</si>
  <si>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</si>
  <si>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</si>
  <si>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</si>
  <si>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</si>
  <si>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</si>
  <si>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</si>
  <si>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</si>
  <si>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</si>
  <si>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</si>
  <si>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</si>
  <si>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</si>
  <si>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</si>
  <si>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</si>
  <si>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</si>
  <si>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</si>
  <si>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</si>
  <si>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</si>
  <si>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</si>
  <si>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</si>
  <si>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</si>
  <si>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</si>
  <si>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</si>
  <si>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</si>
  <si>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</si>
  <si>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</si>
  <si>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</si>
  <si>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</si>
  <si>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</si>
  <si>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</si>
  <si>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</si>
  <si>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</si>
  <si>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</si>
  <si>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</si>
  <si>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</si>
  <si>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</si>
  <si>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</si>
  <si>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</si>
  <si>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</si>
  <si>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</si>
  <si>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</si>
  <si>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</si>
  <si>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</si>
  <si>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</si>
  <si>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</si>
  <si>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</si>
  <si>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</si>
  <si>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</si>
  <si>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</si>
  <si>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</si>
  <si>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</si>
  <si>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</si>
  <si>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</si>
  <si>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</si>
  <si>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</si>
  <si>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</si>
  <si>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</si>
  <si>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</si>
  <si>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</si>
  <si>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</si>
  <si>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</si>
  <si>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</si>
  <si>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</si>
  <si>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</si>
  <si>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</si>
  <si>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</si>
  <si>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</si>
  <si>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</si>
  <si>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</si>
  <si>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</si>
  <si>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</si>
  <si>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</si>
  <si>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</si>
  <si>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</si>
  <si>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</si>
  <si>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</si>
  <si>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</si>
  <si>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</si>
  <si>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</si>
  <si>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</si>
  <si>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</si>
  <si>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</si>
  <si>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</si>
  <si>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</si>
  <si>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</si>
  <si>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</si>
  <si>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</si>
  <si>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</si>
  <si>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</si>
  <si>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</si>
  <si>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</si>
  <si>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</si>
  <si>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</si>
  <si>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</si>
  <si>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</si>
  <si>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</si>
  <si>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</si>
  <si>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</si>
  <si>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</si>
  <si>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</si>
  <si>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</si>
  <si>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</si>
  <si>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</si>
  <si>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</si>
  <si>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</si>
  <si>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</si>
  <si>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</si>
  <si>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</si>
  <si>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</si>
  <si>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</si>
  <si>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</si>
  <si>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</si>
  <si>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</si>
  <si>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</si>
  <si>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</si>
  <si>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</si>
  <si>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</si>
  <si>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</si>
  <si>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</si>
  <si>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</si>
  <si>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</si>
  <si>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</si>
  <si>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</si>
  <si>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</si>
  <si>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</si>
  <si>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</si>
  <si>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</si>
  <si>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</si>
  <si>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</si>
  <si>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</si>
  <si>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</si>
  <si>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</si>
  <si>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</si>
  <si>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</si>
  <si>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</si>
  <si>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</si>
  <si>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</si>
  <si>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</si>
  <si>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</si>
  <si>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</si>
  <si>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</si>
  <si>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</si>
  <si>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</si>
  <si>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</si>
  <si>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</si>
  <si>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</si>
  <si>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</si>
  <si>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</si>
  <si>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</si>
  <si>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</si>
  <si>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</si>
  <si>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</si>
  <si>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</si>
  <si>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</si>
  <si>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</si>
  <si>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</si>
  <si>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</si>
  <si>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</si>
  <si>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</si>
  <si>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</si>
  <si>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</si>
  <si>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</si>
  <si>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</si>
  <si>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</si>
  <si>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</si>
  <si>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</si>
  <si>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</si>
  <si>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</si>
  <si>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</si>
  <si>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</si>
  <si>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</si>
  <si>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</si>
  <si>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</si>
  <si>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</si>
  <si>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</si>
  <si>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</si>
  <si>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</si>
  <si>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</si>
  <si>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</si>
  <si>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</si>
  <si>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</si>
  <si>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</si>
  <si>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</si>
  <si>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</si>
  <si>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</si>
  <si>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</si>
  <si>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</si>
  <si>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</si>
  <si>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</si>
  <si>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</si>
  <si>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</si>
  <si>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</si>
  <si>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</si>
  <si>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</si>
  <si>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</si>
  <si>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</si>
  <si>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</si>
  <si>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</si>
  <si>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</si>
  <si>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</si>
  <si>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</si>
  <si>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</si>
  <si>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</si>
  <si>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</si>
  <si>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</si>
  <si>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</si>
  <si>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</si>
  <si>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</si>
  <si>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</si>
  <si>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</si>
  <si>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</si>
  <si>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</si>
  <si>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</si>
  <si>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</si>
  <si>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</si>
  <si>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</si>
  <si>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</si>
  <si>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</si>
  <si>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</si>
  <si>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</si>
  <si>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</si>
  <si>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</si>
  <si>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</si>
  <si>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</si>
  <si>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</si>
  <si>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</si>
  <si>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</si>
  <si>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</si>
  <si>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</si>
  <si>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</si>
  <si>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</si>
  <si>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</si>
  <si>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</si>
  <si>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</si>
  <si>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</si>
  <si>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</si>
  <si>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</si>
  <si>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</si>
  <si>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</si>
  <si>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</si>
  <si>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</si>
  <si>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</si>
  <si>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</si>
  <si>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</si>
  <si>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</si>
  <si>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</si>
  <si>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</si>
  <si>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</si>
  <si>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</si>
  <si>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</si>
  <si>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</si>
  <si>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</si>
  <si>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</si>
  <si>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</si>
  <si>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</si>
  <si>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</si>
  <si>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</si>
  <si>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</si>
  <si>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</si>
  <si>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</si>
  <si>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</si>
  <si>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</si>
  <si>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</si>
  <si>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</si>
  <si>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</si>
  <si>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</si>
  <si>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</si>
  <si>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</si>
  <si>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</si>
  <si>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</si>
  <si>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</si>
  <si>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</si>
  <si>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</si>
  <si>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</si>
  <si>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</si>
  <si>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</si>
  <si>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</si>
  <si>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</si>
  <si>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</si>
  <si>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</si>
  <si>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</si>
  <si>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</si>
  <si>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</si>
  <si>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</si>
  <si>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</si>
  <si>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</si>
  <si>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</si>
  <si>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</si>
  <si>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</si>
  <si>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</si>
  <si>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</si>
  <si>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</si>
  <si>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</si>
  <si>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</si>
  <si>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</si>
  <si>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</si>
  <si>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</si>
  <si>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</si>
  <si>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</si>
  <si>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</si>
  <si>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</si>
  <si>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</si>
  <si>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</si>
  <si>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</si>
  <si>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</si>
  <si>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</si>
  <si>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</si>
  <si>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</si>
  <si>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</si>
  <si>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</si>
  <si>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</si>
  <si>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</si>
  <si>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</si>
  <si>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</si>
  <si>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</si>
  <si>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</si>
  <si>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</si>
  <si>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</si>
  <si>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</si>
  <si>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</si>
  <si>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</si>
  <si>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</si>
  <si>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</si>
  <si>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</si>
  <si>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</si>
  <si>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</si>
  <si>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</si>
  <si>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</si>
  <si>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</si>
  <si>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</si>
  <si>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</si>
  <si>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</si>
  <si>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</si>
  <si>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</si>
  <si>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</si>
  <si>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</si>
  <si>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</si>
  <si>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</si>
  <si>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</si>
  <si>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</si>
  <si>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</si>
  <si>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</si>
  <si>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</si>
  <si>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</si>
  <si>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</si>
  <si>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</si>
  <si>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</si>
  <si>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</si>
  <si>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</si>
  <si>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</si>
  <si>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</si>
  <si>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</si>
  <si>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</si>
  <si>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</si>
  <si>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</si>
  <si>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</si>
  <si>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</si>
  <si>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</si>
  <si>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</si>
  <si>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</si>
  <si>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</si>
  <si>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</si>
  <si>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</si>
  <si>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</si>
  <si>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</si>
  <si>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</si>
  <si>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</si>
  <si>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</si>
  <si>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</si>
  <si>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</si>
  <si>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</si>
  <si>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</si>
  <si>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</si>
  <si>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</si>
  <si>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</si>
  <si>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</si>
  <si>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</si>
  <si>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</si>
  <si>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</si>
  <si>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</si>
  <si>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</si>
  <si>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</si>
  <si>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</si>
  <si>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</si>
  <si>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</si>
  <si>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</si>
  <si>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</si>
  <si>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</si>
  <si>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</si>
  <si>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</si>
  <si>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</si>
  <si>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</si>
  <si>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</si>
  <si>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</si>
  <si>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</si>
  <si>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</si>
  <si>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</si>
  <si>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</si>
  <si>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</si>
  <si>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</si>
  <si>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</si>
  <si>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</si>
  <si>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</si>
  <si>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</si>
  <si>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</si>
  <si>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</si>
  <si>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</si>
  <si>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</si>
  <si>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</si>
  <si>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</si>
  <si>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</si>
  <si>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</si>
  <si>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</si>
  <si>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</si>
  <si>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</si>
  <si>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</si>
  <si>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</si>
  <si>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</si>
  <si>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</si>
  <si>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</si>
  <si>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</si>
  <si>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</si>
  <si>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</si>
  <si>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</si>
  <si>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</si>
  <si>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</si>
  <si>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</si>
  <si>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</si>
  <si>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</si>
  <si>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</si>
  <si>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</si>
  <si>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</si>
  <si>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</si>
  <si>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</si>
  <si>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</si>
  <si>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</si>
  <si>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</si>
  <si>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</si>
  <si>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</si>
  <si>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</si>
  <si>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</si>
  <si>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</si>
  <si>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</si>
  <si>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</si>
  <si>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</si>
  <si>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</si>
  <si>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</si>
  <si>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</si>
  <si>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</si>
  <si>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</si>
  <si>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</si>
  <si>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</si>
  <si>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</si>
  <si>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</si>
  <si>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</si>
  <si>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</si>
  <si>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</si>
  <si>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</si>
  <si>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</si>
  <si>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</si>
  <si>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</si>
  <si>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</si>
  <si>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</si>
  <si>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</si>
  <si>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</si>
  <si>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</si>
  <si>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</si>
  <si>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</si>
  <si>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</si>
  <si>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</si>
  <si>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</si>
  <si>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</si>
  <si>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</si>
  <si>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</si>
  <si>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</si>
  <si>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</si>
  <si>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</si>
  <si>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</si>
  <si>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</si>
  <si>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</si>
  <si>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</si>
  <si>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</si>
  <si>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</si>
  <si>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</si>
  <si>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</si>
  <si>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</si>
  <si>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</si>
  <si>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</si>
  <si>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</si>
  <si>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</si>
  <si>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</si>
  <si>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</si>
  <si>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</si>
  <si>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</si>
  <si>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</si>
  <si>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</si>
  <si>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</si>
  <si>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</si>
  <si>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</si>
  <si>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</si>
  <si>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</si>
  <si>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</si>
  <si>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</si>
  <si>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</si>
  <si>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</si>
  <si>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</si>
  <si>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</si>
  <si>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</si>
  <si>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</si>
  <si>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</si>
  <si>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</si>
  <si>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</si>
  <si>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</si>
  <si>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</si>
  <si>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</si>
  <si>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</si>
  <si>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</si>
  <si>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</si>
  <si>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</si>
  <si>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</si>
  <si>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</si>
  <si>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</si>
  <si>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</si>
  <si>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</si>
  <si>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</si>
  <si>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</si>
  <si>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</si>
  <si>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</si>
  <si>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</si>
  <si>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</si>
  <si>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</si>
  <si>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</si>
  <si>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</si>
  <si>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</si>
  <si>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</si>
  <si>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</si>
  <si>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</si>
  <si>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</si>
  <si>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</si>
  <si>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</si>
  <si>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</si>
  <si>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</si>
  <si>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</si>
  <si>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</si>
  <si>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</si>
  <si>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</si>
  <si>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</si>
  <si>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</si>
  <si>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</si>
  <si>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</si>
  <si>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</si>
  <si>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</si>
  <si>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</si>
  <si>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</si>
  <si>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</si>
  <si>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</si>
  <si>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</si>
  <si>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</si>
  <si>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</si>
  <si>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</si>
  <si>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</si>
  <si>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</si>
  <si>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</si>
  <si>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</si>
  <si>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</si>
  <si>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</si>
  <si>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</si>
  <si>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</si>
  <si>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</si>
  <si>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</si>
  <si>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</si>
  <si>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</si>
  <si>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</si>
  <si>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</si>
  <si>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</si>
  <si>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</si>
  <si>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</si>
  <si>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</si>
  <si>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</si>
  <si>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</si>
  <si>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</si>
  <si>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</si>
  <si>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</si>
  <si>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</si>
  <si>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</si>
  <si>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</si>
  <si>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</si>
  <si>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</si>
  <si>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</si>
  <si>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</si>
  <si>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</si>
  <si>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</si>
  <si>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</si>
  <si>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</si>
  <si>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</si>
  <si>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</si>
  <si>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</si>
  <si>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</si>
  <si>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</si>
  <si>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</si>
  <si>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</si>
  <si>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</si>
  <si>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</si>
  <si>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</si>
  <si>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</si>
  <si>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</si>
  <si>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</si>
  <si>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</si>
  <si>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</si>
  <si>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</si>
  <si>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</si>
  <si>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</si>
  <si>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</si>
  <si>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</si>
  <si>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</si>
  <si>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</si>
  <si>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</si>
  <si>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</si>
  <si>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</si>
  <si>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</si>
  <si>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</si>
  <si>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</si>
  <si>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</si>
  <si>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</si>
  <si>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</si>
  <si>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</si>
  <si>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</si>
  <si>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</si>
  <si>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</si>
  <si>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</si>
  <si>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</si>
  <si>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</si>
  <si>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</si>
  <si>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</si>
  <si>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</si>
  <si>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</si>
  <si>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</si>
  <si>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</si>
  <si>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</si>
  <si>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</si>
  <si>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</si>
  <si>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</si>
  <si>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</si>
  <si>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</si>
  <si>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</si>
  <si>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</si>
  <si>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</si>
  <si>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</si>
  <si>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</si>
  <si>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</si>
  <si>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</si>
  <si>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</si>
  <si>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</si>
  <si>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</si>
  <si>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</si>
  <si>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</si>
  <si>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</si>
  <si>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</si>
  <si>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</si>
  <si>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</si>
  <si>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</si>
  <si>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</si>
  <si>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</si>
  <si>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</si>
  <si>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</si>
  <si>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</si>
  <si>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</si>
  <si>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</si>
  <si>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</si>
  <si>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</si>
  <si>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</si>
  <si>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</si>
  <si>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</si>
  <si>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</si>
  <si>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</si>
  <si>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</si>
  <si>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</si>
  <si>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</si>
  <si>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</si>
  <si>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</si>
  <si>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</si>
  <si>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</si>
  <si>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</si>
  <si>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</si>
  <si>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</si>
  <si>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</si>
  <si>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</si>
  <si>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</si>
  <si>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</si>
  <si>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</si>
  <si>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</si>
  <si>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</si>
  <si>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</si>
  <si>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</si>
  <si>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</si>
  <si>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</si>
  <si>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</si>
  <si>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</si>
  <si>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</si>
  <si>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</si>
  <si>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</si>
  <si>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</si>
  <si>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</si>
  <si>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</si>
  <si>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</si>
  <si>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</si>
  <si>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</si>
  <si>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</si>
  <si>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</si>
  <si>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</si>
  <si>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</si>
  <si>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</si>
  <si>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</si>
  <si>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</si>
  <si>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</si>
  <si>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</si>
  <si>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</si>
  <si>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</si>
  <si>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</si>
  <si>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</si>
  <si>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</si>
  <si>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</si>
  <si>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</si>
  <si>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</si>
  <si>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</si>
  <si>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</si>
  <si>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</si>
  <si>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</si>
  <si>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</si>
  <si>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</si>
  <si>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</si>
  <si>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</si>
  <si>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</si>
  <si>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</si>
  <si>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</si>
  <si>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</si>
  <si>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</si>
  <si>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</si>
  <si>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</si>
  <si>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</si>
  <si>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</si>
  <si>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</si>
  <si>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</si>
  <si>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</si>
  <si>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</si>
  <si>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</si>
  <si>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</si>
  <si>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</si>
  <si>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</si>
  <si>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</si>
  <si>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</si>
  <si>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</si>
  <si>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</si>
  <si>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</si>
  <si>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</si>
  <si>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</si>
  <si>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</si>
  <si>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</si>
  <si>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</si>
  <si>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</si>
  <si>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</si>
  <si>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</si>
  <si>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</si>
  <si>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</si>
  <si>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</si>
  <si>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</si>
  <si>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</si>
  <si>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</si>
  <si>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</si>
  <si>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</si>
  <si>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</si>
  <si>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</si>
  <si>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</si>
  <si>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</si>
  <si>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</si>
  <si>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</si>
  <si>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</si>
  <si>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</si>
  <si>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</si>
  <si>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</si>
  <si>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</si>
  <si>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</si>
  <si>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</si>
  <si>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</si>
  <si>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</si>
  <si>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</si>
  <si>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</si>
  <si>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</si>
  <si>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</si>
  <si>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</si>
  <si>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</si>
  <si>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</si>
  <si>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</si>
  <si>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</si>
  <si>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</si>
  <si>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</si>
  <si>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</si>
  <si>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</si>
  <si>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</si>
  <si>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</si>
  <si>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</si>
  <si>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</si>
  <si>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</si>
  <si>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</si>
  <si>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</si>
  <si>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</si>
  <si>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</si>
  <si>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</si>
  <si>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</si>
  <si>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</si>
  <si>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</si>
  <si>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</si>
  <si>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</si>
  <si>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</si>
  <si>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</si>
  <si>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</si>
  <si>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</si>
  <si>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</si>
  <si>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</si>
  <si>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</si>
  <si>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</si>
  <si>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</si>
  <si>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</si>
  <si>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</si>
  <si>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</si>
  <si>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</si>
  <si>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</si>
  <si>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</si>
  <si>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</si>
  <si>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</si>
  <si>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</si>
  <si>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</si>
  <si>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</si>
  <si>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</si>
  <si>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</si>
  <si>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</si>
  <si>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</si>
  <si>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</si>
  <si>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</si>
  <si>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</si>
  <si>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</si>
  <si>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</si>
  <si>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</si>
  <si>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</si>
  <si>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</si>
  <si>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</si>
  <si>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</si>
  <si>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</si>
  <si>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</si>
  <si>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</si>
  <si>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</si>
  <si>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</si>
  <si>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</si>
  <si>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</si>
  <si>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</si>
  <si>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</si>
  <si>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</si>
  <si>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</si>
  <si>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</si>
  <si>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</si>
  <si>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</si>
  <si>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</si>
  <si>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</si>
  <si>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</si>
  <si>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</si>
  <si>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</si>
  <si>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</si>
  <si>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</si>
  <si>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</si>
  <si>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</si>
  <si>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</si>
  <si>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</si>
  <si>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</si>
  <si>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</si>
  <si>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</si>
  <si>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</si>
  <si>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</si>
  <si>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</si>
  <si>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</si>
  <si>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</si>
  <si>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</si>
  <si>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</si>
  <si>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</si>
  <si>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</si>
  <si>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</si>
  <si>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</si>
  <si>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</si>
  <si>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</si>
  <si>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</si>
  <si>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</si>
  <si>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</si>
  <si>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</si>
  <si>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</si>
  <si>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</si>
  <si>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</si>
  <si>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</si>
  <si>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</si>
  <si>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</si>
  <si>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</si>
  <si>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</si>
  <si>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</si>
  <si>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</si>
  <si>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</si>
  <si>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</si>
  <si>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</si>
  <si>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</si>
  <si>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</si>
  <si>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</si>
  <si>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</si>
  <si>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</si>
  <si>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</si>
  <si>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</si>
  <si>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</si>
  <si>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</si>
  <si>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</si>
  <si>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</si>
  <si>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</si>
  <si>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</si>
  <si>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</si>
  <si>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</si>
  <si>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</si>
  <si>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</si>
  <si>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</si>
  <si>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</si>
  <si>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</si>
  <si>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</si>
  <si>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</si>
  <si>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</si>
  <si>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</si>
  <si>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</si>
  <si>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</si>
  <si>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</si>
  <si>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</si>
  <si>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</si>
  <si>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</si>
  <si>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</si>
  <si>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</si>
  <si>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</si>
  <si>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</si>
  <si>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</si>
  <si>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</si>
  <si>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</si>
  <si>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</si>
  <si>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</si>
  <si>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</si>
  <si>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</si>
  <si>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</si>
  <si>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</si>
  <si>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</si>
  <si>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</si>
  <si>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</si>
  <si>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</si>
  <si>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</si>
  <si>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</si>
  <si>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</si>
  <si>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</si>
  <si>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</si>
  <si>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</si>
  <si>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</si>
  <si>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</si>
  <si>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</si>
  <si>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</si>
  <si>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</si>
  <si>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</si>
  <si>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</si>
  <si>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</si>
  <si>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</si>
  <si>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</si>
  <si>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</si>
  <si>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</si>
  <si>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</si>
  <si>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</si>
  <si>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</si>
  <si>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</si>
  <si>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</si>
  <si>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</si>
  <si>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</si>
  <si>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</si>
  <si>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</si>
  <si>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</si>
  <si>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</si>
  <si>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</si>
  <si>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</si>
  <si>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</si>
  <si>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</si>
  <si>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</si>
  <si>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</si>
  <si>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</si>
  <si>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</si>
  <si>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</si>
  <si>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</si>
  <si>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</si>
  <si>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</si>
  <si>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</si>
  <si>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</si>
  <si>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</si>
  <si>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</si>
  <si>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</si>
  <si>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</si>
  <si>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</si>
  <si>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</si>
  <si>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</si>
  <si>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</si>
  <si>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</si>
  <si>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</si>
  <si>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</si>
  <si>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</si>
  <si>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</si>
  <si>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</si>
  <si>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</si>
  <si>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</si>
  <si>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</si>
  <si>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</si>
  <si>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</si>
  <si>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</si>
  <si>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</si>
  <si>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</si>
  <si>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</si>
  <si>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</si>
  <si>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</si>
  <si>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</si>
  <si>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</si>
  <si>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</si>
  <si>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</si>
  <si>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</si>
  <si>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</si>
  <si>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</si>
  <si>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</si>
  <si>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</si>
  <si>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</si>
  <si>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</si>
  <si>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</si>
  <si>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</si>
  <si>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</si>
  <si>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</si>
  <si>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</si>
  <si>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</si>
  <si>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</si>
  <si>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</si>
  <si>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</si>
  <si>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</si>
  <si>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</si>
  <si>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</si>
  <si>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</si>
  <si>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</si>
  <si>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</si>
  <si>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</si>
  <si>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</si>
  <si>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</si>
  <si>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</si>
  <si>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</si>
  <si>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</si>
  <si>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</si>
  <si>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</si>
  <si>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</si>
  <si>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</si>
  <si>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</si>
  <si>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</si>
  <si>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</si>
  <si>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</si>
  <si>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</si>
  <si>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</si>
  <si>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</si>
  <si>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</si>
  <si>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</si>
  <si>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</si>
  <si>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</si>
  <si>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</si>
  <si>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</si>
  <si>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</si>
  <si>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</si>
  <si>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</si>
  <si>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</si>
  <si>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</si>
  <si>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</si>
  <si>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</si>
  <si>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</si>
  <si>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</si>
  <si>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</si>
  <si>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</si>
  <si>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</si>
  <si>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</si>
  <si>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</si>
  <si>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</si>
  <si>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</si>
  <si>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</si>
  <si>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</si>
  <si>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</si>
  <si>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</si>
  <si>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</si>
  <si>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</si>
  <si>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</si>
  <si>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</si>
  <si>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</si>
  <si>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</si>
  <si>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</si>
  <si>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</si>
  <si>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</si>
  <si>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</si>
  <si>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</si>
  <si>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</si>
  <si>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</si>
  <si>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</si>
  <si>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</si>
  <si>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</si>
  <si>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</si>
  <si>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</si>
  <si>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</si>
  <si>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</si>
  <si>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</si>
  <si>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</si>
  <si>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</si>
  <si>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</si>
  <si>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</si>
  <si>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</si>
  <si>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</si>
  <si>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</si>
  <si>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</si>
  <si>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</si>
  <si>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</si>
  <si>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</si>
  <si>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</si>
  <si>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</si>
  <si>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</si>
  <si>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</si>
  <si>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</si>
  <si>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</si>
  <si>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</si>
  <si>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</si>
  <si>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</si>
  <si>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</si>
  <si>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</si>
  <si>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</si>
  <si>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</si>
  <si>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</si>
  <si>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</si>
  <si>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</si>
  <si>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</si>
  <si>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</si>
  <si>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</si>
  <si>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</si>
  <si>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</si>
  <si>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</si>
  <si>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</si>
  <si>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</si>
  <si>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</si>
  <si>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</si>
  <si>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</si>
  <si>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</si>
  <si>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</si>
  <si>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</si>
  <si>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</si>
  <si>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</si>
  <si>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</si>
  <si>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</si>
  <si>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</si>
  <si>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</si>
  <si>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</si>
  <si>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</si>
  <si>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</si>
  <si>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</si>
  <si>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</si>
  <si>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</si>
  <si>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</si>
  <si>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</si>
  <si>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</si>
  <si>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</si>
  <si>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</si>
  <si>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</si>
  <si>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</si>
  <si>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</si>
  <si>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</si>
  <si>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</si>
  <si>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</si>
  <si>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</si>
  <si>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</si>
  <si>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</si>
  <si>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</si>
  <si>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</si>
  <si>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</si>
  <si>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</si>
  <si>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</si>
  <si>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</si>
  <si>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</si>
  <si>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</si>
  <si>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</si>
  <si>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</si>
  <si>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</si>
  <si>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</si>
  <si>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</si>
  <si>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</si>
  <si>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</si>
  <si>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</si>
  <si>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</si>
  <si>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</si>
  <si>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</si>
  <si>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</si>
  <si>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</si>
  <si>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</si>
  <si>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</si>
  <si>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</si>
  <si>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</si>
  <si>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</si>
  <si>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</si>
  <si>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</si>
  <si>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</si>
  <si>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</si>
  <si>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</si>
  <si>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</si>
  <si>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</si>
  <si>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</si>
  <si>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</si>
  <si>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</si>
  <si>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</si>
  <si>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</si>
  <si>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</si>
  <si>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</si>
  <si>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</si>
  <si>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</si>
  <si>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</si>
  <si>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</si>
  <si>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</si>
  <si>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</si>
  <si>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</si>
  <si>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</si>
  <si>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</si>
  <si>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</si>
  <si>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</si>
  <si>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</si>
  <si>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</si>
  <si>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</si>
  <si>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</si>
  <si>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</si>
  <si>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</si>
  <si>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</si>
  <si>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</si>
  <si>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</si>
  <si>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</si>
  <si>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</si>
  <si>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</si>
  <si>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</si>
  <si>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</si>
  <si>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</si>
  <si>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</si>
  <si>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</si>
  <si>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</si>
  <si>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</si>
  <si>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</si>
  <si>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</si>
  <si>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</si>
  <si>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</si>
  <si>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</si>
  <si>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</si>
  <si>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</si>
  <si>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</si>
  <si>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</si>
  <si>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</si>
  <si>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</si>
  <si>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</si>
  <si>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</si>
  <si>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</si>
  <si>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</si>
  <si>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</si>
  <si>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</si>
  <si>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</si>
  <si>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</si>
  <si>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</si>
  <si>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</si>
  <si>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</si>
  <si>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</si>
  <si>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</si>
  <si>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</si>
  <si>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</si>
  <si>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</si>
  <si>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</si>
  <si>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</si>
  <si>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</si>
  <si>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</si>
  <si>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</si>
  <si>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</si>
  <si>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</si>
  <si>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</si>
  <si>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</si>
  <si>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</si>
  <si>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</si>
  <si>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</si>
  <si>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</si>
  <si>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</si>
  <si>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</si>
  <si>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</si>
  <si>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</si>
  <si>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</si>
  <si>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</si>
  <si>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</si>
  <si>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</si>
  <si>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</si>
  <si>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</si>
  <si>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</si>
  <si>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</si>
  <si>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</si>
  <si>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</si>
  <si>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</si>
  <si>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</si>
  <si>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</si>
  <si>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</si>
  <si>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</si>
  <si>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</si>
  <si>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</si>
  <si>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</si>
  <si>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</si>
  <si>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</si>
  <si>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</si>
  <si>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</si>
  <si>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</si>
  <si>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</si>
  <si>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</si>
  <si>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</si>
  <si>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</si>
  <si>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</si>
  <si>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</si>
  <si>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</si>
  <si>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</si>
  <si>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</si>
  <si>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</si>
  <si>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</si>
  <si>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</si>
  <si>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</si>
  <si>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</si>
  <si>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</si>
  <si>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</si>
  <si>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</si>
  <si>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</si>
  <si>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</si>
  <si>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</si>
  <si>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</si>
  <si>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</si>
  <si>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</si>
  <si>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</si>
  <si>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</si>
  <si>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</si>
  <si>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</si>
  <si>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</si>
  <si>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</si>
  <si>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</si>
  <si>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</si>
  <si>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</si>
  <si>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</si>
  <si>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</si>
  <si>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</si>
  <si>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</si>
  <si>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</si>
  <si>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</si>
  <si>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</si>
  <si>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</si>
  <si>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</si>
  <si>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</si>
  <si>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</si>
  <si>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</si>
  <si>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</si>
  <si>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</si>
  <si>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</si>
  <si>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</si>
  <si>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</si>
  <si>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</si>
  <si>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</si>
  <si>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</si>
  <si>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</si>
  <si>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</si>
  <si>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</si>
  <si>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</si>
  <si>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</si>
  <si>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</si>
  <si>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</si>
  <si>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</si>
  <si>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</si>
  <si>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</si>
  <si>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</si>
  <si>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</si>
  <si>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</si>
  <si>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</si>
  <si>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</si>
  <si>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</si>
  <si>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</si>
  <si>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</si>
  <si>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</si>
  <si>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</si>
  <si>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</si>
  <si>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</si>
  <si>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</si>
  <si>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</si>
  <si>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</si>
  <si>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</si>
  <si>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</si>
  <si>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</si>
  <si>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</si>
  <si>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</si>
  <si>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</si>
  <si>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</si>
  <si>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</si>
  <si>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</si>
  <si>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</si>
  <si>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</si>
  <si>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</si>
  <si>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</si>
  <si>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</si>
  <si>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</si>
  <si>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</si>
  <si>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</si>
  <si>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</si>
  <si>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</si>
  <si>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</si>
  <si>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</si>
  <si>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</si>
  <si>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</si>
  <si>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</si>
  <si>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</si>
  <si>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</si>
  <si>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</si>
  <si>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</si>
  <si>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</si>
  <si>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</si>
  <si>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</si>
  <si>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</si>
  <si>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</si>
  <si>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</si>
  <si>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</si>
  <si>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</si>
  <si>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</si>
  <si>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</si>
  <si>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</si>
  <si>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</si>
  <si>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</si>
  <si>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</si>
  <si>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</si>
  <si>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</si>
  <si>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</si>
  <si>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</si>
  <si>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</si>
  <si>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</si>
  <si>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</si>
  <si>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</si>
  <si>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</si>
  <si>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</si>
  <si>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</si>
  <si>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</si>
  <si>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</si>
  <si>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</si>
  <si>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</si>
  <si>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</si>
  <si>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</si>
  <si>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</si>
  <si>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</si>
  <si>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</si>
  <si>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</si>
  <si>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</si>
  <si>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</si>
  <si>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</si>
  <si>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</si>
  <si>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</si>
  <si>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</si>
  <si>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</si>
  <si>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</si>
  <si>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</si>
  <si>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</si>
  <si>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</si>
  <si>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</si>
  <si>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</si>
  <si>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</si>
  <si>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</si>
  <si>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</si>
  <si>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</si>
  <si>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</si>
  <si>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</si>
  <si>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</si>
  <si>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</si>
  <si>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</si>
  <si>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</si>
  <si>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</si>
  <si>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</si>
  <si>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</si>
  <si>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</si>
  <si>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</si>
  <si>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</si>
  <si>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</si>
  <si>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</si>
  <si>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</si>
  <si>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</si>
  <si>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</si>
  <si>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</si>
  <si>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</si>
  <si>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</si>
  <si>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</si>
  <si>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</si>
  <si>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</si>
  <si>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</si>
  <si>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</si>
  <si>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</si>
  <si>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</si>
  <si>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</si>
  <si>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</si>
  <si>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</si>
  <si>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</si>
  <si>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</si>
  <si>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</si>
  <si>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</si>
  <si>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</si>
  <si>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</si>
  <si>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</si>
  <si>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</si>
  <si>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</si>
  <si>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</si>
  <si>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</si>
  <si>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</si>
  <si>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</si>
  <si>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</si>
  <si>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</si>
  <si>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</si>
  <si>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</si>
  <si>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</si>
  <si>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</si>
  <si>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</si>
  <si>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</si>
  <si>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</si>
  <si>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</si>
  <si>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</si>
  <si>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</si>
  <si>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</si>
  <si>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</si>
  <si>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</si>
  <si>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</si>
  <si>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</si>
  <si>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</si>
  <si>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</si>
  <si>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</si>
  <si>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</si>
  <si>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</si>
  <si>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</si>
  <si>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</si>
  <si>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</si>
  <si>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</si>
  <si>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</si>
  <si>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</si>
  <si>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</si>
  <si>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</si>
  <si>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</si>
  <si>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</si>
  <si>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</si>
  <si>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</si>
  <si>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</si>
  <si>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</si>
  <si>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</si>
  <si>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</si>
  <si>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</si>
  <si>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</si>
  <si>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</si>
  <si>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</si>
  <si>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</si>
  <si>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</si>
  <si>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</si>
  <si>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</si>
  <si>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</si>
  <si>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</si>
  <si>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</si>
  <si>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</si>
  <si>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</si>
  <si>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</si>
  <si>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</si>
  <si>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</si>
  <si>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</si>
  <si>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</si>
  <si>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</si>
  <si>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</si>
  <si>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</si>
  <si>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</si>
  <si>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</si>
  <si>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</si>
  <si>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</si>
  <si>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</si>
  <si>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</si>
  <si>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</si>
  <si>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</si>
  <si>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</si>
  <si>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</si>
  <si>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</si>
  <si>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</si>
  <si>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</si>
  <si>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</si>
  <si>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</si>
  <si>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</si>
  <si>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</si>
  <si>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</si>
  <si>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</si>
  <si>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</si>
  <si>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</si>
  <si>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</si>
  <si>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</si>
  <si>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</si>
  <si>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</si>
  <si>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</si>
  <si>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</si>
  <si>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</si>
  <si>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</si>
  <si>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</si>
  <si>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</si>
  <si>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</si>
  <si>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</si>
  <si>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</si>
  <si>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</si>
  <si>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</si>
  <si>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</si>
  <si>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</si>
  <si>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</si>
  <si>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</si>
  <si>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</si>
  <si>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</si>
  <si>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</si>
  <si>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</si>
  <si>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</si>
  <si>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</si>
  <si>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</si>
  <si>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</si>
  <si>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</si>
  <si>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</si>
  <si>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</si>
  <si>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</si>
  <si>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</si>
  <si>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</si>
  <si>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</si>
  <si>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</si>
  <si>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</si>
  <si>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</si>
  <si>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</si>
  <si>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</si>
  <si>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</si>
  <si>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</si>
  <si>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</si>
  <si>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</si>
  <si>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</si>
  <si>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</si>
  <si>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</si>
  <si>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</si>
  <si>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</si>
  <si>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</si>
  <si>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</si>
  <si>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</si>
  <si>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</si>
  <si>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</si>
  <si>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</si>
  <si>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</si>
  <si>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</si>
  <si>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</si>
  <si>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</si>
  <si>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</si>
  <si>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</si>
  <si>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</si>
  <si>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</si>
  <si>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</si>
  <si>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</si>
  <si>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</si>
  <si>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</si>
  <si>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</si>
  <si>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</si>
  <si>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</si>
  <si>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</si>
  <si>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</si>
  <si>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</si>
  <si>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</si>
  <si>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</si>
  <si>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</si>
  <si>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</si>
  <si>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</si>
  <si>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</si>
  <si>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</si>
  <si>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</si>
  <si>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</si>
  <si>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</si>
  <si>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</si>
  <si>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</si>
  <si>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</si>
  <si>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</si>
  <si>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</si>
  <si>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</si>
  <si>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</si>
  <si>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</si>
  <si>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</si>
  <si>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</si>
  <si>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</si>
  <si>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</si>
  <si>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</si>
  <si>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</si>
  <si>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</si>
  <si>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</si>
  <si>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</si>
  <si>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</si>
  <si>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</si>
  <si>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</si>
  <si>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</si>
  <si>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</si>
  <si>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</si>
  <si>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</si>
  <si>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</si>
  <si>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</si>
  <si>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</si>
  <si>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</si>
  <si>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</si>
  <si>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</si>
  <si>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</si>
  <si>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</si>
  <si>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</si>
  <si>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</si>
  <si>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</si>
  <si>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</si>
  <si>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</si>
  <si>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</si>
  <si>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</si>
  <si>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</si>
  <si>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</si>
  <si>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</si>
  <si>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</si>
  <si>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</si>
  <si>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</si>
  <si>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</si>
  <si>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</si>
  <si>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</si>
  <si>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</si>
  <si>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</si>
  <si>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</si>
  <si>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</si>
  <si>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</si>
  <si>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</si>
  <si>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</si>
  <si>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</si>
  <si>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</si>
  <si>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</si>
  <si>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</si>
  <si>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</si>
  <si>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</si>
  <si>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</si>
  <si>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</si>
  <si>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</si>
  <si>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</si>
  <si>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</si>
  <si>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</si>
  <si>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</si>
  <si>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</si>
  <si>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</si>
  <si>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</si>
  <si>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</si>
  <si>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</si>
  <si>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</si>
  <si>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</si>
  <si>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</si>
  <si>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</si>
  <si>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</si>
  <si>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</si>
  <si>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</si>
  <si>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</si>
  <si>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</si>
  <si>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</si>
  <si>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</si>
  <si>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</si>
  <si>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</si>
  <si>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</si>
  <si>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</si>
  <si>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</si>
  <si>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</si>
  <si>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</si>
  <si>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</si>
  <si>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</si>
  <si>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</si>
  <si>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</si>
  <si>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</si>
  <si>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</si>
  <si>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</si>
  <si>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</si>
  <si>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</si>
  <si>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</si>
  <si>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</si>
  <si>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</si>
  <si>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</si>
  <si>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</si>
  <si>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</si>
  <si>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</si>
  <si>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</si>
  <si>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</si>
  <si>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</si>
  <si>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</si>
  <si>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</si>
  <si>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</si>
  <si>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</si>
  <si>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</si>
  <si>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</si>
  <si>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</si>
  <si>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</si>
  <si>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</si>
  <si>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</si>
  <si>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</si>
  <si>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</si>
  <si>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</si>
  <si>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</si>
  <si>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</si>
  <si>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</si>
  <si>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</si>
  <si>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</si>
  <si>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</si>
  <si>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</si>
  <si>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</si>
  <si>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</si>
  <si>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</si>
  <si>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</si>
  <si>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</si>
  <si>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</si>
  <si>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</si>
  <si>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</si>
  <si>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</si>
  <si>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</si>
  <si>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</si>
  <si>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</si>
  <si>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</si>
  <si>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</si>
  <si>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</si>
  <si>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</si>
  <si>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</si>
  <si>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</si>
  <si>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</si>
  <si>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</si>
  <si>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</si>
  <si>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</si>
  <si>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</si>
  <si>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</si>
  <si>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</si>
  <si>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</si>
  <si>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</si>
  <si>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</si>
  <si>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</si>
  <si>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</si>
  <si>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</si>
  <si>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</si>
  <si>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</si>
  <si>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</si>
  <si>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</si>
  <si>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</si>
  <si>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</si>
  <si>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</si>
  <si>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</si>
  <si>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</si>
  <si>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</si>
  <si>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</si>
  <si>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</si>
  <si>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</si>
  <si>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</si>
  <si>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</si>
  <si>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</si>
  <si>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</si>
  <si>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</si>
  <si>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</si>
  <si>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</si>
  <si>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</si>
  <si>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</si>
  <si>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</si>
  <si>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</si>
  <si>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</si>
  <si>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</si>
  <si>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</si>
  <si>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</si>
  <si>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</si>
  <si>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</si>
  <si>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</si>
  <si>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</si>
  <si>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</si>
  <si>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</si>
  <si>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</si>
  <si>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</si>
  <si>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</si>
  <si>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</si>
  <si>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</si>
  <si>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</si>
  <si>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</si>
  <si>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</si>
  <si>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</si>
  <si>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</si>
  <si>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</si>
  <si>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</si>
  <si>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</si>
  <si>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</si>
  <si>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</si>
  <si>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</si>
  <si>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</si>
  <si>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</si>
  <si>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</si>
  <si>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</si>
  <si>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</si>
  <si>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</si>
  <si>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</si>
  <si>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</si>
  <si>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</si>
  <si>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</si>
  <si>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</si>
  <si>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</si>
  <si>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</si>
  <si>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</si>
  <si>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</si>
  <si>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</si>
  <si>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</si>
  <si>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</si>
  <si>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</si>
  <si>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</si>
  <si>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</si>
  <si>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</si>
  <si>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</si>
  <si>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</si>
  <si>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</si>
  <si>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</si>
  <si>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</si>
  <si>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</si>
  <si>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</si>
  <si>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</si>
  <si>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</si>
  <si>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</si>
  <si>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</si>
  <si>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</si>
  <si>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</si>
  <si>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</si>
  <si>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</si>
  <si>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</si>
  <si>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</si>
  <si>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</si>
  <si>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</si>
  <si>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</si>
  <si>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</si>
  <si>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</si>
  <si>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</si>
  <si>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</si>
  <si>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</si>
  <si>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</si>
  <si>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</si>
  <si>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</si>
  <si>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</si>
  <si>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</si>
  <si>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</si>
  <si>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</si>
  <si>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</si>
  <si>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</si>
  <si>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</si>
  <si>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</si>
  <si>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</si>
  <si>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</si>
  <si>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</si>
  <si>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</si>
  <si>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</si>
  <si>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</si>
  <si>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</si>
  <si>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</si>
  <si>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</si>
  <si>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</si>
  <si>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</si>
  <si>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</si>
  <si>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</si>
  <si>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</si>
  <si>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</si>
  <si>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</si>
  <si>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</si>
  <si>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</si>
  <si>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</si>
  <si>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</si>
  <si>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</si>
  <si>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</si>
  <si>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</si>
  <si>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</si>
  <si>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</si>
  <si>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</si>
  <si>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</si>
  <si>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</si>
  <si>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</si>
  <si>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</si>
  <si>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</si>
  <si>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</si>
  <si>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</si>
  <si>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</si>
  <si>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</si>
  <si>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</si>
  <si>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</si>
  <si>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</si>
  <si>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</si>
  <si>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</si>
  <si>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</si>
  <si>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</si>
  <si>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</si>
  <si>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</si>
  <si>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</si>
  <si>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</si>
  <si>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</si>
  <si>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</si>
  <si>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</si>
  <si>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</si>
  <si>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</si>
  <si>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</si>
  <si>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</si>
  <si>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</si>
  <si>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</si>
  <si>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</si>
  <si>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</si>
  <si>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</si>
  <si>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</si>
  <si>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</si>
  <si>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</si>
  <si>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</si>
  <si>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</si>
  <si>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</si>
  <si>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</si>
  <si>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</si>
  <si>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</si>
  <si>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</si>
  <si>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</si>
  <si>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</si>
  <si>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</si>
  <si>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</si>
  <si>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</si>
  <si>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</si>
  <si>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</si>
  <si>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</si>
  <si>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</si>
  <si>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</si>
  <si>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</si>
  <si>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</si>
  <si>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</si>
  <si>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</si>
  <si>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</si>
  <si>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</si>
  <si>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</si>
  <si>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</si>
  <si>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</si>
  <si>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</si>
  <si>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</si>
  <si>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</si>
  <si>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</si>
  <si>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</si>
  <si>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</si>
  <si>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</si>
  <si>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</si>
  <si>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</si>
  <si>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</si>
  <si>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</si>
  <si>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</si>
  <si>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</si>
  <si>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</si>
  <si>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</si>
  <si>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</si>
  <si>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</si>
  <si>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</si>
  <si>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</si>
  <si>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</si>
  <si>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</si>
  <si>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</si>
  <si>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</si>
  <si>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</si>
  <si>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</si>
  <si>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</si>
  <si>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</si>
  <si>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</si>
  <si>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</si>
  <si>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</si>
  <si>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</si>
  <si>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</si>
  <si>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</si>
  <si>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</si>
  <si>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</si>
  <si>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</si>
  <si>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</si>
  <si>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</si>
  <si>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</si>
  <si>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</si>
  <si>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</si>
  <si>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</si>
  <si>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</si>
  <si>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</si>
  <si>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</si>
  <si>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</si>
  <si>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</si>
  <si>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</si>
  <si>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</si>
  <si>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</si>
  <si>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</si>
  <si>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</si>
  <si>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</si>
  <si>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</si>
  <si>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</si>
  <si>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</si>
  <si>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</si>
  <si>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</si>
  <si>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</si>
  <si>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</si>
  <si>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</si>
  <si>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</si>
  <si>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</si>
  <si>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</si>
  <si>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</si>
  <si>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</si>
  <si>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</si>
  <si>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</si>
  <si>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</si>
  <si>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</si>
  <si>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</si>
  <si>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</si>
  <si>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</si>
  <si>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</si>
  <si>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</si>
  <si>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</si>
  <si>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</si>
  <si>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</si>
  <si>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</si>
  <si>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</si>
  <si>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</si>
  <si>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</si>
  <si>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</si>
  <si>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</si>
  <si>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</si>
  <si>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</si>
  <si>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</si>
  <si>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</si>
  <si>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</si>
  <si>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</si>
  <si>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</si>
  <si>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</si>
  <si>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</si>
  <si>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</si>
  <si>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</si>
  <si>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</si>
  <si>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</si>
  <si>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</si>
  <si>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</si>
  <si>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</si>
  <si>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</si>
  <si>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</si>
  <si>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</si>
  <si>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</si>
  <si>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</si>
  <si>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</si>
  <si>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</si>
  <si>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</si>
  <si>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</si>
  <si>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</si>
  <si>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</si>
  <si>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</si>
  <si>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</si>
  <si>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</si>
  <si>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</si>
  <si>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</si>
  <si>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</si>
  <si>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</si>
  <si>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</si>
  <si>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</si>
  <si>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</si>
  <si>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</si>
  <si>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</si>
  <si>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</si>
  <si>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</si>
  <si>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</si>
  <si>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</si>
  <si>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</si>
  <si>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</si>
  <si>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</si>
  <si>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</si>
  <si>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</si>
  <si>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</si>
  <si>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</si>
  <si>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</si>
  <si>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</si>
  <si>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</si>
  <si>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</si>
  <si>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</si>
  <si>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</si>
  <si>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</si>
  <si>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</si>
  <si>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</si>
  <si>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</si>
  <si>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</si>
  <si>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</si>
  <si>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</si>
  <si>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</si>
  <si>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</si>
  <si>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</si>
  <si>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</si>
  <si>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</si>
  <si>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</si>
  <si>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</si>
  <si>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</si>
  <si>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</si>
  <si>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</si>
  <si>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</si>
  <si>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</si>
  <si>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</si>
  <si>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</si>
  <si>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</si>
  <si>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</si>
  <si>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</si>
  <si>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</si>
  <si>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</si>
  <si>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</si>
  <si>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</si>
  <si>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</si>
  <si>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</si>
  <si>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</si>
  <si>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</si>
  <si>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</si>
  <si>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</si>
  <si>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</si>
  <si>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</si>
  <si>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</si>
  <si>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</si>
  <si>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</si>
  <si>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</si>
  <si>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</si>
  <si>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</si>
  <si>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</si>
  <si>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</si>
  <si>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</si>
  <si>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</si>
  <si>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</si>
  <si>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</si>
  <si>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</si>
  <si>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</si>
  <si>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</si>
  <si>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</si>
  <si>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</si>
  <si>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</si>
  <si>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</si>
  <si>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</si>
  <si>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</si>
  <si>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</si>
  <si>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</si>
  <si>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</si>
  <si>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</si>
  <si>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</si>
  <si>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</si>
  <si>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</si>
  <si>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</si>
  <si>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</si>
  <si>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</si>
  <si>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</si>
  <si>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</si>
  <si>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</si>
  <si>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</si>
  <si>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</si>
  <si>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</si>
  <si>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</si>
  <si>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</si>
  <si>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</si>
  <si>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</si>
  <si>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</si>
  <si>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</si>
  <si>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</si>
  <si>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</si>
  <si>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</si>
  <si>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</si>
  <si>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</si>
  <si>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</si>
  <si>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</si>
  <si>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</si>
  <si>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</si>
  <si>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</si>
  <si>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</si>
  <si>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</si>
  <si>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</si>
  <si>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</si>
  <si>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</si>
  <si>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</si>
  <si>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</si>
  <si>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</si>
  <si>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</si>
  <si>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</si>
  <si>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</si>
  <si>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</si>
  <si>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</si>
  <si>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</si>
  <si>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</si>
  <si>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</si>
  <si>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</si>
  <si>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</si>
  <si>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</si>
  <si>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</si>
  <si>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</si>
  <si>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</si>
  <si>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</si>
  <si>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</si>
  <si>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</si>
  <si>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</si>
  <si>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</si>
  <si>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</si>
  <si>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</si>
  <si>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</si>
  <si>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</si>
  <si>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</si>
  <si>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</si>
  <si>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</si>
  <si>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</si>
  <si>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</si>
  <si>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</si>
  <si>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</si>
  <si>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</si>
  <si>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</si>
  <si>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</si>
  <si>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</si>
  <si>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</si>
  <si>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</si>
  <si>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</si>
  <si>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</si>
  <si>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</si>
  <si>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</si>
  <si>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</si>
  <si>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</si>
  <si>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</si>
  <si>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</si>
  <si>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</si>
  <si>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</si>
  <si>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</si>
  <si>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</si>
  <si>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</si>
  <si>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</si>
  <si>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</si>
  <si>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</si>
  <si>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</si>
  <si>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</si>
  <si>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</si>
  <si>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</si>
  <si>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</si>
  <si>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</si>
  <si>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</si>
  <si>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</si>
  <si>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</si>
  <si>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</si>
  <si>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</si>
  <si>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</si>
  <si>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</si>
  <si>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</si>
  <si>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</si>
  <si>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</si>
  <si>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</si>
  <si>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</si>
  <si>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</si>
  <si>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</si>
  <si>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</si>
  <si>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</si>
  <si>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</si>
  <si>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</si>
  <si>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</si>
  <si>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</si>
  <si>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</si>
  <si>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</si>
  <si>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</si>
  <si>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</si>
  <si>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</si>
  <si>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</si>
  <si>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</si>
  <si>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</si>
  <si>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</si>
  <si>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</si>
  <si>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</si>
  <si>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</si>
  <si>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</si>
  <si>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</si>
  <si>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</si>
  <si>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</si>
  <si>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</si>
  <si>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</si>
  <si>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</si>
  <si>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</si>
  <si>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</si>
  <si>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</si>
  <si>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</si>
  <si>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</si>
  <si>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</si>
  <si>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</si>
  <si>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</si>
  <si>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</si>
  <si>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</si>
  <si>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</si>
  <si>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</si>
  <si>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</si>
  <si>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</si>
  <si>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</si>
  <si>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</si>
  <si>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</si>
  <si>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</si>
  <si>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</si>
  <si>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</si>
  <si>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</si>
  <si>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</si>
  <si>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</si>
  <si>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</si>
  <si>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</si>
  <si>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</si>
  <si>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</si>
  <si>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</si>
  <si>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</si>
  <si>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</si>
  <si>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</si>
  <si>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</si>
  <si>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</si>
  <si>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</si>
  <si>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</si>
  <si>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</si>
  <si>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</si>
  <si>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</si>
  <si>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</si>
  <si>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</si>
  <si>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</si>
  <si>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</si>
  <si>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</si>
  <si>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</si>
  <si>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</si>
  <si>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</si>
  <si>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</si>
  <si>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</si>
  <si>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</si>
  <si>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</si>
  <si>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</si>
  <si>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</si>
  <si>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</si>
  <si>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</si>
  <si>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</si>
  <si>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</si>
  <si>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</si>
  <si>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</si>
  <si>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</si>
  <si>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</si>
  <si>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</si>
  <si>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</si>
  <si>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</si>
  <si>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</si>
  <si>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</si>
  <si>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</si>
  <si>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</si>
  <si>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</si>
  <si>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</si>
  <si>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</si>
  <si>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</si>
  <si>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</si>
  <si>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</si>
  <si>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</si>
  <si>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</si>
  <si>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</si>
  <si>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</si>
  <si>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</si>
  <si>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</si>
  <si>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</si>
  <si>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</si>
  <si>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</si>
  <si>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</si>
  <si>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</si>
  <si>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</si>
  <si>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</si>
  <si>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</si>
  <si>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</si>
  <si>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</si>
  <si>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</si>
  <si>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</si>
  <si>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</si>
  <si>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</si>
  <si>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</si>
  <si>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</si>
  <si>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</si>
  <si>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</si>
  <si>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</si>
  <si>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</si>
  <si>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</si>
  <si>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</si>
  <si>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</si>
  <si>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</si>
  <si>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</si>
  <si>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</si>
  <si>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</si>
  <si>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</si>
  <si>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</si>
  <si>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</si>
  <si>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</si>
  <si>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</si>
  <si>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</si>
  <si>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</si>
  <si>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</si>
  <si>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</si>
  <si>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</si>
  <si>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</si>
  <si>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</si>
  <si>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</si>
  <si>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</si>
  <si>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</si>
  <si>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</si>
  <si>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</si>
  <si>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</si>
  <si>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</si>
  <si>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</si>
  <si>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</si>
  <si>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</si>
  <si>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</si>
  <si>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</si>
  <si>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</si>
  <si>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</si>
  <si>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</si>
  <si>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</si>
  <si>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</si>
  <si>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</si>
  <si>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</si>
  <si>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</si>
  <si>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</si>
  <si>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</si>
  <si>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</si>
  <si>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</si>
  <si>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</si>
  <si>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</si>
  <si>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</si>
  <si>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</si>
  <si>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</si>
  <si>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</si>
  <si>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</si>
  <si>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</si>
  <si>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</si>
  <si>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</si>
  <si>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</si>
  <si>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</si>
  <si>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</si>
  <si>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</si>
  <si>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</si>
  <si>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</si>
  <si>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</si>
  <si>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</si>
  <si>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</si>
  <si>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</si>
  <si>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</si>
  <si>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</si>
  <si>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</si>
  <si>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</si>
  <si>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</si>
  <si>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</si>
  <si>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</si>
  <si>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</si>
  <si>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</si>
  <si>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</si>
  <si>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</si>
  <si>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</si>
  <si>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</si>
  <si>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</si>
  <si>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</si>
  <si>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</si>
  <si>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</si>
  <si>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</si>
  <si>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</si>
  <si>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</si>
  <si>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</si>
  <si>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</si>
  <si>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</si>
  <si>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</si>
  <si>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</si>
  <si>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</si>
  <si>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</si>
  <si>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</si>
  <si>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</si>
  <si>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</si>
  <si>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</si>
  <si>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</si>
  <si>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</si>
  <si>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</si>
  <si>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</si>
  <si>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</si>
  <si>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</si>
  <si>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</si>
  <si>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</si>
  <si>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</si>
  <si>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</si>
  <si>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</si>
  <si>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</si>
  <si>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</si>
  <si>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</si>
  <si>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</si>
  <si>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</si>
  <si>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</si>
  <si>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</si>
  <si>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</si>
  <si>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</si>
  <si>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</si>
  <si>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</si>
  <si>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</si>
  <si>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</si>
  <si>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</si>
  <si>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</si>
  <si>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</si>
  <si>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</si>
  <si>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</si>
  <si>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</si>
  <si>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</si>
  <si>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</si>
  <si>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</si>
  <si>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</si>
  <si>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</si>
  <si>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</si>
  <si>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</si>
  <si>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</si>
  <si>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</si>
  <si>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</si>
  <si>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</si>
  <si>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</si>
  <si>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</si>
  <si>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</si>
  <si>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</si>
  <si>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</si>
  <si>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</si>
  <si>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</si>
  <si>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</si>
  <si>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</si>
  <si>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</si>
  <si>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</si>
  <si>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</si>
  <si>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</si>
  <si>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</si>
  <si>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</si>
  <si>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</si>
  <si>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</si>
  <si>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</si>
  <si>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</si>
  <si>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</si>
  <si>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</si>
  <si>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</si>
  <si>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</si>
  <si>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</si>
  <si>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</si>
  <si>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</si>
  <si>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</si>
  <si>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</si>
  <si>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</si>
  <si>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</si>
  <si>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</si>
  <si>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</si>
  <si>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</si>
  <si>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</si>
  <si>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</si>
  <si>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</si>
  <si>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</si>
  <si>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</si>
  <si>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</si>
  <si>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</si>
  <si>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</si>
  <si>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</si>
  <si>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</si>
  <si>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</si>
  <si>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</si>
  <si>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</si>
  <si>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</si>
  <si>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</si>
  <si>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</si>
  <si>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</si>
  <si>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</si>
  <si>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</si>
  <si>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</si>
  <si>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</si>
  <si>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</si>
  <si>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</si>
  <si>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</si>
  <si>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</si>
  <si>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</si>
  <si>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</si>
  <si>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</si>
  <si>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</si>
  <si>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</si>
  <si>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</si>
  <si>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</si>
  <si>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</si>
  <si>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</si>
  <si>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</si>
  <si>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</si>
  <si>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</si>
  <si>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</si>
  <si>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</si>
  <si>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</si>
  <si>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</si>
  <si>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</si>
  <si>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</si>
  <si>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</si>
  <si>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</si>
  <si>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</si>
  <si>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</si>
  <si>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</si>
  <si>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</si>
  <si>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</si>
  <si>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</si>
  <si>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</si>
  <si>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</si>
  <si>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</si>
  <si>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</si>
  <si>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</si>
  <si>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</si>
  <si>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</si>
  <si>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</si>
  <si>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</si>
  <si>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</si>
  <si>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</si>
  <si>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</si>
  <si>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</si>
  <si>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</si>
  <si>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</si>
  <si>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</si>
  <si>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</si>
  <si>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</si>
  <si>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</si>
  <si>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</si>
  <si>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</si>
  <si>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</si>
  <si>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</si>
  <si>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</si>
  <si>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</si>
  <si>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</si>
  <si>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</si>
  <si>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</si>
  <si>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</si>
  <si>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</si>
  <si>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</si>
  <si>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</si>
  <si>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</si>
  <si>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</si>
  <si>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</si>
  <si>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</si>
  <si>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</si>
  <si>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</si>
  <si>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</si>
  <si>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</si>
  <si>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</si>
  <si>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</si>
  <si>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</si>
  <si>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</si>
  <si>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</si>
  <si>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</si>
  <si>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</si>
  <si>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</si>
  <si>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</si>
  <si>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</si>
  <si>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</si>
  <si>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</si>
  <si>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</si>
  <si>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</si>
  <si>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</si>
  <si>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</si>
  <si>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</si>
  <si>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</si>
  <si>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</si>
  <si>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</si>
  <si>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</si>
  <si>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</si>
  <si>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</si>
  <si>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</si>
  <si>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</si>
  <si>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</si>
  <si>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</si>
  <si>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</si>
  <si>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</si>
  <si>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</si>
  <si>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</si>
  <si>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</si>
  <si>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</si>
  <si>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</si>
  <si>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</si>
  <si>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</si>
  <si>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</si>
  <si>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</si>
  <si>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</si>
  <si>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</si>
  <si>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</si>
  <si>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</si>
  <si>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</si>
  <si>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</si>
  <si>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</si>
  <si>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</si>
  <si>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</si>
  <si>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</si>
  <si>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</si>
  <si>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</si>
  <si>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</si>
  <si>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</si>
  <si>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</si>
  <si>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</si>
  <si>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</si>
  <si>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</si>
  <si>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</si>
  <si>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</si>
  <si>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</si>
  <si>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</si>
  <si>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</si>
  <si>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</si>
  <si>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</si>
  <si>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</si>
  <si>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</si>
  <si>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</si>
  <si>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</si>
  <si>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</si>
  <si>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</si>
  <si>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</si>
  <si>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</si>
  <si>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</si>
  <si>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</si>
  <si>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</si>
  <si>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</si>
  <si>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</si>
  <si>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</si>
  <si>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</si>
  <si>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</si>
  <si>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</si>
  <si>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</si>
  <si>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</si>
  <si>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</si>
  <si>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</si>
  <si>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</si>
  <si>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</si>
  <si>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</si>
  <si>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</si>
  <si>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</si>
  <si>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</si>
  <si>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</si>
  <si>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</si>
  <si>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</si>
  <si>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</si>
  <si>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</si>
  <si>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</si>
  <si>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</si>
  <si>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</si>
  <si>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</si>
  <si>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</si>
  <si>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</si>
  <si>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</si>
  <si>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</si>
  <si>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</si>
  <si>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</si>
  <si>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</si>
  <si>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</si>
  <si>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</si>
  <si>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</si>
  <si>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</si>
  <si>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</si>
  <si>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</si>
  <si>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</si>
  <si>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</si>
  <si>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</si>
  <si>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</si>
  <si>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</si>
  <si>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</si>
  <si>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</si>
  <si>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</si>
  <si>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</si>
  <si>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</si>
  <si>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</si>
  <si>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</si>
  <si>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</si>
  <si>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</si>
  <si>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</si>
  <si>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</si>
  <si>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</si>
  <si>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</si>
  <si>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</si>
  <si>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</si>
  <si>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</si>
  <si>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</si>
  <si>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</si>
  <si>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</si>
  <si>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</si>
  <si>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</si>
  <si>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</si>
  <si>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</si>
  <si>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</si>
  <si>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</si>
  <si>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</si>
  <si>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</si>
  <si>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</si>
  <si>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</si>
  <si>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</si>
  <si>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</si>
  <si>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</si>
  <si>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</si>
  <si>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</si>
  <si>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</si>
  <si>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</si>
  <si>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</si>
  <si>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</si>
  <si>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</si>
  <si>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</si>
  <si>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</si>
  <si>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</si>
  <si>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</si>
  <si>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</si>
  <si>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</si>
  <si>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</si>
  <si>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</si>
  <si>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</si>
  <si>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</si>
  <si>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</si>
  <si>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</si>
  <si>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</si>
  <si>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</si>
  <si>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</si>
  <si>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</si>
  <si>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</si>
  <si>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</si>
  <si>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</si>
  <si>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</si>
  <si>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</si>
  <si>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</si>
  <si>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</si>
  <si>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</si>
  <si>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</si>
  <si>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</si>
  <si>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</si>
  <si>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</si>
  <si>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</si>
  <si>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</si>
  <si>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</si>
  <si>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</si>
  <si>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</si>
  <si>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</si>
  <si>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</si>
  <si>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</si>
  <si>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</si>
  <si>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</si>
  <si>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</si>
  <si>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</si>
  <si>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</si>
  <si>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</si>
  <si>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</si>
  <si>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</si>
  <si>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</si>
  <si>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</si>
  <si>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</si>
  <si>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</si>
  <si>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</si>
  <si>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</si>
  <si>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</si>
  <si>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</si>
  <si>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</si>
  <si>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</si>
  <si>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</si>
  <si>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</si>
  <si>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</si>
  <si>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</si>
  <si>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</si>
  <si>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</si>
  <si>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</si>
  <si>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</si>
  <si>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</si>
  <si>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</si>
  <si>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</si>
  <si>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</si>
  <si>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</si>
  <si>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</si>
  <si>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</si>
  <si>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</si>
  <si>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</si>
  <si>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</si>
  <si>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</si>
  <si>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</si>
  <si>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</si>
  <si>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</si>
  <si>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</si>
  <si>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</si>
  <si>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</si>
  <si>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</si>
  <si>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</si>
  <si>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</si>
  <si>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</si>
  <si>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</si>
  <si>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</si>
  <si>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</si>
  <si>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</si>
  <si>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</si>
  <si>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</si>
  <si>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</si>
  <si>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</si>
  <si>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</si>
  <si>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</si>
  <si>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</si>
  <si>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</si>
  <si>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</si>
  <si>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</si>
  <si>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</si>
  <si>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</si>
  <si>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</si>
  <si>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</si>
  <si>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</si>
  <si>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</si>
  <si>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</si>
  <si>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</si>
  <si>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</si>
  <si>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</si>
  <si>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</si>
  <si>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</si>
  <si>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</si>
  <si>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</si>
  <si>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</si>
  <si>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</si>
  <si>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</si>
  <si>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</si>
  <si>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</si>
  <si>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</si>
  <si>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</si>
  <si>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</si>
  <si>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</si>
  <si>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</si>
  <si>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</si>
  <si>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</si>
  <si>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</si>
  <si>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</si>
  <si>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</si>
  <si>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</si>
  <si>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</si>
  <si>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</si>
  <si>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</si>
  <si>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</si>
  <si>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</si>
  <si>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</si>
  <si>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</si>
  <si>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</si>
  <si>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</si>
  <si>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</si>
  <si>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</si>
  <si>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</si>
  <si>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</si>
  <si>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</si>
  <si>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</si>
  <si>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</si>
  <si>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</si>
  <si>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</si>
  <si>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</si>
  <si>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</si>
  <si>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</si>
  <si>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</si>
  <si>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</si>
  <si>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</si>
  <si>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</si>
  <si>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</si>
  <si>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</si>
  <si>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</si>
  <si>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</si>
  <si>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</si>
  <si>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</si>
  <si>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</si>
  <si>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</si>
  <si>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</si>
  <si>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</si>
  <si>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</si>
  <si>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</si>
  <si>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</si>
  <si>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</si>
  <si>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</si>
  <si>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</si>
  <si>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</si>
  <si>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</si>
  <si>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</si>
  <si>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</si>
  <si>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</si>
  <si>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</si>
  <si>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</si>
  <si>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</si>
  <si>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</si>
  <si>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</si>
  <si>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</si>
  <si>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</si>
  <si>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</si>
  <si>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</si>
  <si>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</si>
  <si>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</si>
  <si>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</si>
  <si>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</si>
  <si>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</si>
  <si>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</si>
  <si>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</si>
  <si>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</si>
  <si>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</si>
  <si>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</si>
  <si>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</si>
  <si>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</si>
  <si>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</si>
  <si>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</si>
  <si>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</si>
  <si>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</si>
  <si>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</si>
  <si>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</si>
  <si>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</si>
  <si>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</si>
  <si>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</si>
  <si>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</si>
  <si>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</si>
  <si>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</si>
  <si>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</si>
  <si>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</si>
  <si>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</si>
  <si>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</si>
  <si>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</si>
  <si>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</si>
  <si>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</si>
  <si>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</si>
  <si>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</si>
  <si>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</si>
  <si>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</si>
  <si>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</si>
  <si>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</si>
  <si>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</si>
  <si>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</si>
  <si>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</si>
  <si>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</si>
  <si>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</si>
  <si>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</si>
  <si>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</si>
  <si>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</si>
  <si>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</si>
  <si>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</si>
  <si>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</si>
  <si>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</si>
  <si>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</si>
  <si>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</si>
  <si>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</si>
  <si>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</si>
  <si>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</si>
  <si>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</si>
  <si>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</si>
  <si>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</si>
  <si>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</si>
  <si>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</si>
  <si>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</si>
  <si>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</si>
  <si>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</si>
  <si>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</si>
  <si>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</si>
  <si>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</si>
  <si>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</si>
  <si>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</si>
  <si>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</si>
  <si>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</si>
  <si>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</si>
  <si>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</si>
  <si>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</si>
  <si>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</si>
  <si>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</si>
  <si>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</si>
  <si>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</si>
  <si>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</si>
  <si>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</si>
  <si>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</si>
  <si>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</si>
  <si>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</si>
  <si>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</si>
  <si>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</si>
  <si>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</si>
  <si>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</si>
  <si>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</si>
  <si>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</si>
  <si>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</si>
  <si>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</si>
  <si>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</si>
  <si>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</si>
  <si>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</si>
  <si>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</si>
  <si>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</si>
  <si>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</si>
  <si>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</si>
  <si>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</si>
  <si>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</si>
  <si>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</si>
  <si>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</si>
  <si>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</si>
  <si>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</si>
  <si>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</si>
  <si>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</si>
  <si>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</si>
  <si>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</si>
  <si>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</si>
  <si>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</si>
  <si>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</si>
  <si>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</si>
  <si>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</si>
  <si>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</si>
  <si>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</si>
  <si>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</si>
  <si>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</si>
  <si>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</si>
  <si>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</si>
  <si>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</si>
  <si>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</si>
  <si>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</si>
  <si>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</si>
  <si>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</si>
  <si>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</si>
  <si>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</si>
  <si>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</si>
  <si>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</si>
  <si>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</si>
  <si>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</si>
  <si>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</si>
  <si>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</si>
  <si>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</si>
  <si>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</si>
  <si>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</si>
  <si>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</si>
  <si>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</si>
  <si>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</si>
  <si>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</si>
  <si>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</si>
  <si>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</si>
  <si>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</si>
  <si>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</si>
  <si>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</si>
  <si>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</si>
  <si>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</si>
  <si>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</si>
  <si>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</si>
  <si>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</si>
  <si>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</si>
  <si>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</si>
  <si>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</si>
  <si>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</si>
  <si>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</si>
  <si>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</si>
  <si>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</si>
  <si>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</si>
  <si>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</si>
  <si>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</si>
  <si>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</si>
  <si>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</si>
  <si>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</si>
  <si>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</si>
  <si>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</si>
  <si>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</si>
  <si>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</si>
  <si>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</si>
  <si>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</si>
  <si>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</si>
  <si>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</si>
  <si>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</si>
  <si>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</si>
  <si>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</si>
  <si>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</si>
  <si>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</si>
  <si>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</si>
  <si>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</si>
  <si>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</si>
  <si>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</si>
  <si>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</si>
  <si>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</si>
  <si>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</si>
  <si>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</si>
  <si>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</si>
  <si>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</si>
  <si>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</si>
  <si>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</si>
  <si>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</si>
  <si>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</si>
  <si>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</si>
  <si>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</si>
  <si>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</si>
  <si>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</si>
  <si>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</si>
  <si>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</si>
  <si>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</si>
  <si>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</si>
  <si>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</si>
  <si>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</si>
  <si>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</si>
  <si>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</si>
  <si>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</si>
  <si>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</si>
  <si>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</si>
  <si>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</si>
  <si>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</si>
  <si>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</si>
  <si>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</si>
  <si>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</si>
  <si>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</si>
  <si>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</si>
  <si>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</si>
  <si>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</si>
  <si>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</si>
  <si>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</si>
  <si>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</si>
  <si>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</si>
  <si>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</si>
  <si>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</si>
  <si>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</si>
  <si>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</si>
  <si>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</si>
  <si>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</si>
  <si>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</si>
  <si>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</si>
  <si>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</si>
  <si>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</si>
  <si>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</si>
  <si>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</si>
  <si>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</si>
  <si>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</si>
  <si>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</si>
  <si>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</si>
  <si>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</si>
  <si>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</si>
  <si>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</si>
  <si>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</si>
  <si>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</si>
  <si>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</si>
  <si>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</si>
  <si>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</si>
  <si>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</si>
  <si>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</si>
  <si>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</si>
  <si>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</si>
  <si>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</si>
  <si>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</si>
  <si>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</si>
  <si>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</si>
  <si>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</si>
  <si>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</si>
  <si>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</si>
  <si>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</si>
  <si>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</si>
  <si>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</si>
  <si>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</si>
  <si>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</si>
  <si>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</si>
  <si>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</si>
  <si>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</si>
  <si>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</si>
  <si>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</si>
  <si>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</si>
  <si>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</si>
  <si>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</si>
  <si>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</si>
  <si>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</si>
  <si>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</si>
  <si>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</si>
  <si>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</si>
  <si>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</si>
  <si>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</si>
  <si>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</si>
  <si>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</si>
  <si>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</si>
  <si>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</si>
  <si>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</si>
  <si>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</si>
  <si>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</si>
  <si>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</si>
  <si>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</si>
  <si>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</si>
  <si>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</si>
  <si>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</si>
  <si>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</si>
  <si>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</si>
  <si>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</si>
  <si>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</si>
  <si>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</si>
  <si>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</si>
  <si>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</si>
  <si>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</si>
  <si>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</si>
  <si>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</si>
  <si>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</si>
  <si>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</si>
  <si>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</si>
  <si>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</si>
  <si>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</si>
  <si>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</si>
  <si>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</si>
  <si>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</si>
  <si>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</si>
  <si>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</si>
  <si>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</si>
  <si>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</si>
  <si>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</si>
  <si>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</si>
  <si>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</si>
  <si>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</si>
  <si>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</si>
  <si>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</si>
  <si>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</si>
  <si>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</si>
  <si>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</si>
  <si>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</si>
  <si>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</si>
  <si>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</si>
  <si>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</si>
  <si>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</si>
  <si>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</si>
  <si>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</si>
  <si>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</si>
  <si>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</si>
  <si>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</si>
  <si>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</si>
  <si>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</si>
  <si>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</si>
  <si>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</si>
  <si>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</si>
  <si>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</si>
  <si>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</si>
  <si>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</si>
  <si>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</si>
  <si>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</si>
  <si>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</si>
  <si>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</si>
  <si>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</si>
  <si>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</si>
  <si>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</si>
  <si>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</si>
  <si>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</si>
  <si>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</si>
  <si>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</si>
  <si>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</si>
  <si>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</si>
  <si>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</si>
  <si>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</si>
  <si>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</si>
  <si>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</si>
  <si>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</si>
  <si>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</si>
  <si>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</si>
  <si>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</si>
  <si>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</si>
  <si>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</si>
  <si>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</si>
  <si>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</si>
  <si>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</si>
  <si>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</si>
  <si>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</si>
  <si>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</si>
  <si>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</si>
  <si>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</si>
  <si>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</si>
  <si>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</si>
  <si>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</si>
  <si>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</si>
  <si>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</si>
  <si>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</si>
  <si>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</si>
  <si>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</si>
  <si>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</si>
  <si>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</si>
  <si>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</si>
  <si>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</si>
  <si>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</si>
  <si>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</si>
  <si>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</si>
  <si>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</si>
  <si>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</si>
  <si>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</si>
  <si>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</si>
  <si>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</si>
  <si>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</si>
  <si>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</si>
  <si>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</si>
  <si>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</si>
  <si>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</si>
  <si>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</si>
  <si>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</si>
  <si>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</si>
  <si>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</si>
  <si>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</si>
  <si>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</si>
  <si>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</si>
  <si>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</si>
  <si>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</si>
  <si>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</si>
  <si>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</si>
  <si>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</si>
  <si>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</si>
  <si>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</si>
  <si>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</si>
  <si>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</si>
  <si>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</si>
  <si>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</si>
  <si>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</si>
  <si>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</si>
  <si>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</si>
  <si>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</si>
  <si>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</si>
  <si>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</si>
  <si>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</si>
  <si>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</si>
  <si>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</si>
  <si>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</si>
  <si>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</si>
  <si>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</si>
  <si>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</si>
  <si>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</si>
  <si>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</si>
  <si>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</si>
  <si>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</si>
  <si>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</si>
  <si>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</si>
  <si>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</si>
  <si>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</si>
  <si>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</si>
  <si>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</si>
  <si>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</si>
  <si>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</si>
  <si>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</si>
  <si>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</si>
  <si>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</si>
  <si>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</si>
  <si>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</si>
  <si>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</si>
  <si>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</si>
  <si>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</si>
  <si>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</si>
  <si>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</si>
  <si>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</si>
  <si>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</si>
  <si>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</si>
  <si>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</si>
  <si>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</si>
  <si>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</si>
  <si>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</si>
  <si>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</si>
  <si>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</si>
  <si>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</si>
  <si>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</si>
  <si>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</si>
  <si>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</si>
  <si>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</si>
  <si>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</si>
  <si>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</si>
  <si>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</si>
  <si>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</si>
  <si>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</si>
  <si>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</si>
  <si>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</si>
  <si>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</si>
  <si>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</si>
  <si>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</si>
  <si>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</si>
  <si>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</si>
  <si>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</si>
  <si>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</si>
  <si>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</si>
  <si>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</si>
  <si>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</si>
  <si>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</si>
  <si>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</si>
  <si>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</si>
  <si>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</si>
  <si>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</si>
  <si>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</si>
  <si>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</si>
  <si>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</si>
  <si>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</si>
  <si>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</si>
  <si>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</si>
  <si>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</si>
  <si>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</si>
  <si>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</si>
  <si>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</si>
  <si>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</si>
  <si>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</si>
  <si>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</si>
  <si>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</si>
  <si>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</si>
  <si>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</si>
  <si>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</si>
  <si>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</si>
  <si>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</si>
  <si>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</si>
  <si>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</si>
  <si>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</si>
  <si>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</si>
  <si>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</si>
  <si>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</si>
  <si>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</si>
  <si>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</si>
  <si>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</si>
  <si>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</si>
  <si>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</si>
  <si>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</si>
  <si>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</si>
  <si>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</si>
  <si>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</si>
  <si>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</si>
  <si>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</si>
  <si>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</si>
  <si>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</si>
  <si>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</si>
  <si>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</si>
  <si>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</si>
  <si>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</si>
  <si>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</si>
  <si>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</si>
  <si>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</si>
  <si>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</si>
  <si>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</si>
  <si>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</si>
  <si>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</si>
  <si>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</si>
  <si>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</si>
  <si>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</si>
  <si>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</si>
  <si>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</si>
  <si>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</si>
  <si>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</si>
  <si>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</si>
  <si>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</si>
  <si>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</si>
  <si>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</si>
  <si>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</si>
  <si>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</si>
  <si>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</si>
  <si>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</si>
  <si>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</si>
  <si>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</si>
  <si>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</si>
  <si>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</si>
  <si>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</si>
  <si>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</si>
  <si>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</si>
  <si>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</si>
  <si>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</si>
  <si>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</si>
  <si>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</si>
  <si>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</si>
  <si>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</si>
  <si>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</si>
  <si>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</si>
  <si>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</si>
  <si>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</si>
  <si>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</si>
  <si>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</si>
  <si>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</si>
  <si>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</si>
  <si>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</si>
  <si>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</si>
  <si>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</si>
  <si>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</si>
  <si>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</si>
  <si>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</si>
  <si>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</si>
  <si>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</si>
  <si>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</si>
  <si>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</si>
  <si>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</si>
  <si>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</si>
  <si>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</si>
  <si>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</si>
  <si>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</si>
  <si>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</si>
  <si>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</si>
  <si>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</si>
  <si>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</si>
  <si>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</si>
  <si>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</si>
  <si>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</si>
  <si>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</si>
  <si>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</si>
  <si>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</si>
  <si>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</si>
  <si>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</si>
  <si>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</si>
  <si>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</si>
  <si>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</si>
  <si>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</si>
  <si>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</si>
  <si>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</si>
  <si>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</si>
  <si>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</si>
  <si>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</si>
  <si>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</si>
  <si>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</si>
  <si>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</si>
  <si>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</si>
  <si>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</si>
  <si>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</si>
  <si>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</si>
  <si>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</si>
  <si>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</si>
  <si>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</si>
  <si>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</si>
  <si>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</si>
  <si>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</si>
  <si>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</si>
  <si>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</si>
  <si>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</si>
  <si>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</si>
  <si>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</si>
  <si>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</si>
  <si>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</si>
  <si>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</si>
  <si>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</si>
  <si>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</si>
  <si>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</si>
  <si>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</si>
  <si>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</si>
  <si>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</si>
  <si>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</si>
  <si>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</si>
  <si>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</si>
  <si>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</si>
  <si>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</si>
  <si>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</si>
  <si>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</si>
  <si>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</si>
  <si>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</si>
  <si>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</si>
  <si>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</si>
  <si>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</si>
  <si>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</si>
  <si>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</si>
  <si>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</si>
  <si>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</si>
  <si>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</si>
  <si>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</si>
  <si>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</si>
  <si>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</si>
  <si>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</si>
  <si>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</si>
  <si>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</si>
  <si>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</si>
  <si>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</si>
  <si>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</si>
  <si>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</si>
  <si>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</si>
  <si>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</si>
  <si>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</si>
  <si>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</si>
  <si>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</si>
  <si>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</si>
  <si>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</si>
  <si>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</si>
  <si>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</si>
  <si>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</si>
  <si>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</si>
  <si>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</si>
  <si>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</si>
  <si>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</si>
  <si>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</si>
  <si>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</si>
  <si>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</si>
  <si>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</si>
  <si>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</si>
  <si>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</si>
  <si>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</si>
  <si>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</si>
  <si>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</si>
  <si>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</si>
  <si>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</si>
  <si>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</si>
  <si>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</si>
  <si>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</si>
  <si>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</si>
  <si>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</si>
  <si>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</si>
  <si>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</si>
  <si>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</si>
  <si>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</si>
  <si>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</si>
  <si>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</si>
  <si>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</si>
  <si>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</si>
  <si>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</si>
  <si>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</si>
  <si>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</si>
  <si>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</si>
  <si>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</si>
  <si>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</si>
  <si>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</si>
  <si>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</si>
  <si>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</si>
  <si>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</si>
  <si>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</si>
  <si>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</si>
  <si>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</si>
  <si>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</si>
  <si>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</si>
  <si>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</si>
  <si>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</si>
  <si>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</si>
  <si>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</si>
  <si>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</si>
  <si>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</si>
  <si>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</si>
  <si>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</si>
  <si>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</si>
  <si>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</si>
  <si>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</si>
  <si>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</si>
  <si>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</si>
  <si>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</si>
  <si>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</si>
  <si>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</si>
  <si>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</si>
  <si>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</si>
  <si>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</si>
  <si>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</si>
  <si>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</si>
  <si>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</si>
  <si>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</si>
  <si>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</si>
  <si>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</si>
  <si>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</si>
  <si>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</si>
  <si>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</si>
  <si>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</si>
  <si>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</si>
  <si>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</si>
  <si>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</si>
  <si>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</si>
  <si>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</si>
  <si>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</si>
  <si>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</si>
  <si>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</si>
  <si>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</si>
  <si>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</si>
  <si>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</si>
  <si>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</si>
  <si>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</si>
  <si>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</si>
  <si>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</si>
  <si>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</si>
  <si>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</si>
  <si>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</si>
  <si>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</si>
  <si>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</si>
  <si>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</si>
  <si>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</si>
  <si>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</si>
  <si>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</si>
  <si>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</si>
  <si>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</si>
  <si>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</si>
  <si>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</si>
  <si>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</si>
  <si>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</si>
  <si>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</si>
  <si>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</si>
  <si>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</si>
  <si>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</si>
  <si>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</si>
  <si>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</si>
  <si>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</si>
  <si>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</si>
  <si>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</si>
  <si>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</si>
  <si>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</si>
  <si>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</si>
  <si>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</si>
  <si>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</si>
  <si>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</si>
  <si>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</si>
  <si>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</si>
  <si>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</si>
  <si>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</si>
  <si>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</si>
  <si>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</si>
  <si>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</si>
  <si>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</si>
  <si>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</si>
  <si>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</si>
  <si>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</si>
  <si>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</si>
  <si>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</si>
  <si>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</si>
  <si>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</si>
  <si>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</si>
  <si>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</si>
  <si>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</si>
  <si>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</si>
  <si>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</si>
  <si>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</si>
  <si>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</si>
  <si>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</si>
  <si>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</si>
  <si>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</si>
  <si>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</si>
  <si>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</si>
  <si>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</si>
  <si>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</si>
  <si>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</si>
  <si>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</si>
  <si>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</si>
  <si>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</si>
  <si>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</si>
  <si>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</si>
  <si>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</si>
  <si>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</si>
  <si>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</si>
  <si>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</si>
  <si>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</si>
  <si>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</si>
  <si>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</si>
  <si>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</si>
  <si>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</si>
  <si>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</si>
  <si>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</si>
  <si>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</si>
  <si>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</si>
  <si>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</si>
  <si>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</si>
  <si>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</si>
  <si>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</si>
  <si>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</si>
  <si>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</si>
  <si>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</si>
  <si>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</si>
  <si>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</si>
  <si>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</si>
  <si>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</si>
  <si>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</si>
  <si>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</si>
  <si>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</si>
  <si>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</si>
  <si>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</si>
  <si>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</si>
  <si>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</si>
  <si>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</si>
  <si>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</si>
  <si>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</si>
  <si>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</si>
  <si>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</si>
  <si>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</si>
  <si>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</si>
  <si>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</si>
  <si>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</si>
  <si>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</si>
  <si>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</si>
  <si>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</si>
  <si>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</si>
  <si>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</si>
  <si>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</si>
  <si>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</si>
  <si>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</si>
  <si>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</si>
  <si>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</si>
  <si>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</si>
  <si>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</si>
  <si>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</si>
  <si>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</si>
  <si>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</si>
  <si>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</si>
  <si>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</si>
  <si>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</si>
  <si>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</si>
  <si>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</si>
  <si>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</si>
  <si>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</si>
  <si>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</si>
  <si>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</si>
  <si>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</si>
  <si>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</si>
  <si>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</si>
  <si>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</si>
  <si>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</si>
  <si>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</si>
  <si>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</si>
  <si>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</si>
  <si>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</si>
  <si>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</si>
  <si>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</si>
  <si>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</si>
  <si>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</si>
  <si>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</si>
  <si>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</si>
  <si>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</si>
  <si>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</si>
  <si>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</si>
  <si>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</si>
  <si>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</si>
  <si>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</si>
  <si>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</si>
  <si>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</si>
  <si>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</si>
  <si>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</si>
  <si>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</si>
  <si>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</si>
  <si>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</si>
  <si>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</si>
  <si>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</si>
  <si>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</si>
  <si>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</si>
  <si>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</si>
  <si>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</si>
  <si>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</si>
  <si>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</si>
  <si>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</si>
  <si>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</si>
  <si>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</si>
  <si>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</si>
  <si>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</si>
  <si>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</si>
  <si>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</si>
  <si>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</si>
  <si>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</si>
  <si>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</si>
  <si>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</si>
  <si>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</si>
  <si>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</si>
  <si>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</si>
  <si>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</si>
  <si>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</si>
  <si>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</si>
  <si>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</si>
  <si>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</si>
  <si>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</si>
  <si>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</si>
  <si>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</si>
  <si>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</si>
  <si>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</si>
  <si>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</si>
  <si>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</si>
  <si>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</si>
  <si>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</si>
  <si>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</si>
  <si>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</si>
  <si>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</si>
  <si>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</si>
  <si>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</si>
  <si>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</si>
  <si>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</si>
  <si>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</si>
  <si>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</si>
  <si>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</si>
  <si>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</si>
  <si>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</si>
  <si>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</si>
  <si>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</si>
  <si>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</si>
  <si>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</si>
  <si>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</si>
  <si>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</si>
  <si>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</si>
  <si>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</si>
  <si>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</si>
  <si>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</si>
  <si>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</si>
  <si>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</si>
  <si>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</si>
  <si>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</si>
  <si>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</si>
  <si>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</si>
  <si>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</si>
  <si>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</si>
  <si>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</si>
  <si>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</si>
  <si>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</si>
  <si>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</si>
  <si>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</si>
  <si>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</si>
  <si>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</si>
  <si>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</si>
  <si>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</si>
  <si>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</si>
  <si>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</si>
  <si>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</si>
  <si>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</si>
  <si>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</si>
  <si>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</si>
  <si>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</si>
  <si>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</si>
  <si>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</si>
  <si>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</si>
  <si>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</si>
  <si>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</si>
  <si>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</si>
  <si>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</si>
  <si>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</si>
  <si>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</si>
  <si>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</si>
  <si>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</si>
  <si>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</si>
  <si>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</si>
  <si>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</si>
  <si>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</si>
  <si>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</si>
  <si>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</si>
  <si>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</si>
  <si>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</si>
  <si>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</si>
  <si>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</si>
  <si>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</si>
  <si>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</si>
  <si>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</si>
  <si>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</si>
  <si>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</si>
  <si>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</si>
  <si>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</si>
  <si>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</si>
  <si>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</si>
  <si>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</si>
  <si>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</si>
  <si>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</si>
  <si>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</si>
  <si>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</si>
  <si>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</si>
  <si>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</si>
  <si>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</si>
  <si>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</si>
  <si>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</si>
  <si>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</si>
  <si>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</si>
  <si>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</si>
  <si>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</si>
  <si>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</si>
  <si>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</si>
  <si>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</si>
  <si>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</si>
  <si>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</si>
  <si>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</si>
  <si>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</si>
  <si>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</si>
  <si>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</si>
  <si>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</si>
  <si>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</si>
  <si>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</si>
  <si>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</si>
  <si>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</si>
  <si>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</si>
  <si>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</si>
  <si>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</si>
  <si>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</si>
  <si>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</si>
  <si>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</si>
  <si>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</si>
  <si>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</si>
  <si>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</si>
  <si>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</si>
  <si>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</si>
  <si>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</si>
  <si>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</si>
  <si>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</si>
  <si>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</si>
  <si>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</si>
  <si>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</si>
  <si>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</si>
  <si>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</si>
  <si>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</si>
  <si>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</si>
  <si>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</si>
  <si>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</si>
  <si>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</si>
  <si>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</si>
  <si>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</si>
  <si>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</si>
  <si>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</si>
  <si>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</si>
  <si>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</si>
  <si>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</si>
  <si>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</si>
  <si>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</si>
  <si>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</si>
  <si>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</si>
  <si>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</si>
  <si>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</si>
  <si>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</si>
  <si>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</si>
  <si>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</si>
  <si>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</si>
  <si>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</si>
  <si>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</si>
  <si>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</si>
  <si>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</si>
  <si>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</si>
  <si>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</si>
  <si>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</si>
  <si>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</si>
  <si>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</si>
  <si>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</si>
  <si>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</si>
  <si>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</si>
  <si>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</si>
  <si>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</si>
  <si>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</si>
  <si>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</si>
  <si>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</si>
  <si>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</si>
  <si>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</si>
  <si>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</si>
  <si>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</si>
  <si>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</si>
  <si>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</si>
  <si>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</si>
  <si>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</si>
  <si>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</si>
  <si>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</si>
  <si>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</si>
  <si>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</si>
  <si>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</si>
  <si>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</si>
  <si>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</si>
  <si>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</si>
  <si>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</si>
  <si>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</si>
  <si>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</si>
  <si>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</si>
  <si>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</si>
  <si>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</si>
  <si>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</si>
  <si>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</si>
  <si>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</si>
  <si>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</si>
  <si>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</si>
  <si>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</si>
  <si>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</si>
  <si>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</si>
  <si>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</si>
  <si>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</si>
  <si>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</si>
  <si>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</si>
  <si>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</si>
  <si>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</si>
  <si>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</si>
  <si>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</si>
  <si>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</si>
  <si>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</si>
  <si>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</si>
  <si>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</si>
  <si>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</si>
  <si>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</si>
  <si>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</si>
  <si>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</si>
  <si>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</si>
  <si>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</si>
  <si>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</si>
  <si>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</si>
  <si>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</si>
  <si>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</si>
  <si>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</si>
  <si>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</si>
  <si>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</si>
  <si>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</si>
  <si>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</si>
  <si>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</si>
  <si>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</si>
  <si>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</si>
  <si>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</si>
  <si>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</si>
  <si>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</si>
  <si>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</si>
  <si>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</si>
  <si>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</si>
  <si>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</si>
  <si>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</si>
  <si>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</si>
  <si>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</si>
  <si>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</si>
  <si>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</si>
  <si>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</si>
  <si>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</si>
  <si>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</si>
  <si>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</si>
  <si>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</si>
  <si>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</si>
  <si>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</si>
  <si>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</si>
  <si>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</si>
  <si>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</si>
  <si>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</si>
  <si>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</si>
  <si>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</si>
  <si>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</si>
  <si>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</si>
  <si>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</si>
  <si>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</si>
  <si>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</si>
  <si>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</si>
  <si>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</si>
  <si>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</si>
  <si>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</si>
  <si>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</si>
  <si>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</si>
  <si>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</si>
  <si>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</si>
  <si>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</si>
  <si>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</si>
  <si>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</si>
  <si>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</si>
  <si>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</si>
  <si>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</si>
  <si>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</si>
  <si>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</si>
  <si>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</si>
  <si>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</si>
  <si>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</si>
  <si>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</si>
  <si>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</si>
  <si>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</si>
  <si>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</si>
  <si>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</si>
  <si>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</si>
  <si>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</si>
  <si>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</si>
  <si>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</si>
  <si>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</si>
  <si>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</si>
  <si>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</si>
  <si>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</si>
  <si>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</si>
  <si>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</si>
  <si>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</si>
  <si>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</si>
  <si>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</si>
  <si>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</si>
  <si>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</si>
  <si>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</si>
  <si>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</si>
  <si>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</si>
  <si>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</si>
  <si>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</si>
  <si>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</si>
  <si>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</si>
  <si>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</si>
  <si>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</si>
  <si>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</si>
  <si>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</si>
  <si>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</si>
  <si>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</si>
  <si>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</si>
  <si>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</si>
  <si>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</si>
  <si>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</si>
  <si>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</si>
  <si>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</si>
  <si>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</si>
  <si>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</si>
  <si>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</si>
  <si>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</si>
  <si>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</si>
  <si>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</si>
  <si>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</si>
  <si>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</si>
  <si>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</si>
  <si>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</si>
  <si>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</si>
  <si>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</si>
  <si>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</si>
  <si>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</si>
  <si>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</si>
  <si>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</si>
  <si>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</si>
  <si>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</si>
  <si>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</si>
  <si>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</si>
  <si>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</si>
  <si>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</si>
  <si>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</si>
  <si>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</si>
  <si>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</si>
  <si>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</si>
  <si>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</si>
  <si>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</si>
  <si>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</si>
  <si>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</si>
  <si>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</si>
  <si>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</si>
  <si>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</si>
  <si>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</si>
  <si>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</si>
  <si>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</si>
  <si>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</si>
  <si>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</si>
  <si>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</si>
  <si>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</si>
  <si>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</si>
  <si>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</si>
  <si>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</si>
  <si>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</si>
  <si>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</si>
  <si>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</si>
  <si>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</si>
  <si>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</si>
  <si>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</si>
  <si>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</si>
  <si>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</si>
  <si>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</si>
  <si>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</si>
  <si>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</si>
  <si>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</si>
  <si>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</si>
  <si>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</si>
  <si>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</si>
  <si>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</si>
  <si>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</si>
  <si>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</si>
  <si>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</si>
  <si>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</si>
  <si>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</si>
  <si>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</si>
  <si>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</si>
  <si>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</si>
  <si>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</si>
  <si>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</si>
  <si>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</si>
  <si>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</si>
  <si>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</si>
  <si>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</si>
  <si>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</si>
  <si>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</si>
  <si>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</si>
  <si>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</si>
  <si>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</si>
  <si>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</si>
  <si>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</si>
  <si>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</si>
  <si>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</si>
  <si>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</si>
  <si>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</si>
  <si>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</si>
  <si>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</si>
  <si>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</si>
  <si>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</si>
  <si>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</si>
  <si>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</si>
  <si>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</si>
  <si>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</si>
  <si>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</si>
  <si>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</si>
  <si>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</si>
  <si>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</si>
  <si>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</si>
  <si>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</si>
  <si>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</si>
  <si>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</si>
  <si>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</si>
  <si>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</si>
  <si>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</si>
  <si>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</si>
  <si>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</si>
  <si>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</si>
  <si>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</si>
  <si>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</si>
  <si>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</si>
  <si>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</si>
  <si>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</si>
  <si>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</si>
  <si>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</si>
  <si>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</si>
  <si>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</si>
  <si>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</si>
  <si>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</si>
  <si>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</si>
  <si>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</si>
  <si>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</si>
  <si>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</si>
  <si>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</si>
  <si>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</si>
  <si>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</si>
  <si>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</si>
  <si>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</si>
  <si>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</si>
  <si>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</si>
  <si>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</si>
  <si>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</si>
  <si>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</si>
  <si>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</si>
  <si>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</si>
  <si>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</si>
  <si>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</si>
  <si>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</si>
  <si>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</si>
  <si>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</si>
  <si>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</si>
  <si>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</si>
  <si>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</si>
  <si>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</si>
  <si>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</si>
  <si>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</si>
  <si>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</si>
  <si>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</si>
  <si>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</si>
  <si>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</si>
  <si>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</si>
  <si>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</si>
  <si>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</si>
  <si>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</si>
  <si>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</si>
  <si>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</si>
  <si>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</si>
  <si>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</si>
  <si>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</si>
  <si>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</si>
  <si>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</si>
  <si>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</si>
  <si>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</si>
  <si>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</si>
  <si>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</si>
  <si>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</si>
  <si>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</si>
  <si>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</si>
  <si>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</si>
  <si>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</si>
  <si>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</si>
  <si>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</si>
  <si>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</si>
  <si>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</si>
  <si>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</si>
  <si>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</si>
  <si>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</si>
  <si>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</si>
  <si>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</si>
  <si>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</si>
  <si>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</si>
  <si>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</si>
  <si>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</si>
  <si>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</si>
  <si>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</si>
  <si>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</si>
  <si>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</si>
  <si>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</si>
  <si>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</si>
  <si>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</si>
  <si>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</si>
  <si>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</si>
  <si>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</si>
  <si>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</si>
  <si>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</si>
  <si>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</si>
  <si>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</si>
  <si>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</si>
  <si>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</si>
  <si>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</si>
  <si>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</si>
  <si>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</si>
  <si>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</si>
  <si>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</si>
  <si>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</si>
  <si>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</si>
  <si>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</si>
  <si>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</si>
  <si>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</si>
  <si>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</si>
  <si>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</si>
  <si>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</si>
  <si>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</si>
  <si>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</si>
  <si>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</si>
  <si>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</si>
  <si>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</si>
  <si>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</si>
  <si>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</si>
  <si>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</si>
  <si>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</si>
  <si>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</si>
  <si>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</si>
  <si>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</si>
  <si>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</si>
  <si>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</si>
  <si>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</si>
  <si>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</si>
  <si>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</si>
  <si>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</si>
  <si>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</si>
  <si>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</si>
  <si>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</si>
  <si>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</si>
  <si>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</si>
  <si>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</si>
  <si>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</si>
  <si>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</si>
  <si>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</si>
  <si>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</si>
  <si>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</si>
  <si>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</si>
  <si>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</si>
  <si>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</si>
  <si>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</si>
  <si>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</si>
  <si>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</si>
  <si>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</si>
  <si>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</si>
  <si>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</si>
  <si>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</si>
  <si>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</si>
  <si>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</si>
  <si>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</si>
  <si>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</si>
  <si>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</si>
  <si>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</si>
  <si>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</si>
  <si>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</si>
  <si>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</si>
  <si>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</si>
  <si>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</si>
  <si>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</si>
  <si>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</si>
  <si>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</si>
  <si>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</si>
  <si>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</si>
  <si>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</si>
  <si>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</si>
  <si>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</si>
  <si>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</si>
  <si>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</si>
  <si>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</si>
  <si>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</si>
  <si>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</si>
  <si>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</si>
  <si>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</si>
  <si>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</si>
  <si>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</si>
  <si>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</si>
  <si>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</si>
  <si>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</si>
  <si>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</si>
  <si>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</si>
  <si>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</si>
  <si>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</si>
  <si>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</si>
  <si>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</si>
  <si>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</si>
  <si>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</si>
  <si>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</si>
  <si>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</si>
  <si>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</si>
  <si>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</si>
  <si>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</si>
  <si>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</si>
  <si>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</si>
  <si>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</si>
  <si>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</si>
  <si>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</si>
  <si>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</si>
  <si>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</si>
  <si>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</si>
  <si>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</si>
  <si>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</si>
  <si>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</si>
  <si>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</si>
  <si>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</si>
  <si>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</si>
  <si>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</si>
  <si>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</si>
  <si>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</si>
  <si>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</si>
  <si>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</si>
  <si>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</si>
  <si>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</si>
  <si>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</si>
  <si>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</si>
  <si>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</si>
  <si>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</si>
  <si>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</si>
  <si>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</si>
  <si>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</si>
  <si>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</si>
  <si>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</si>
  <si>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</si>
  <si>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</si>
  <si>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</si>
  <si>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</si>
  <si>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</si>
  <si>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</si>
  <si>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</si>
  <si>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</si>
  <si>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</si>
  <si>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</si>
  <si>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</si>
  <si>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</si>
  <si>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</si>
  <si>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</si>
  <si>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</si>
  <si>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</si>
  <si>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</si>
  <si>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</si>
  <si>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</si>
  <si>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</si>
  <si>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</si>
  <si>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</si>
  <si>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</si>
  <si>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</si>
  <si>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</si>
  <si>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</si>
  <si>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</si>
  <si>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</si>
  <si>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</si>
  <si>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</si>
  <si>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</si>
  <si>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</si>
  <si>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</si>
  <si>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</si>
  <si>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</si>
  <si>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</si>
  <si>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</si>
  <si>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</si>
  <si>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</si>
  <si>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</si>
  <si>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</si>
  <si>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</si>
  <si>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</si>
  <si>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</si>
  <si>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</si>
  <si>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</si>
  <si>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</si>
  <si>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</si>
  <si>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</si>
  <si>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</si>
  <si>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</si>
  <si>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</si>
  <si>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</si>
  <si>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</si>
  <si>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</si>
  <si>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</si>
  <si>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</si>
  <si>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</si>
  <si>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</si>
  <si>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</si>
  <si>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</si>
  <si>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</si>
  <si>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</si>
  <si>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</si>
  <si>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</si>
  <si>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</si>
  <si>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</si>
  <si>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</si>
  <si>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</si>
  <si>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</si>
  <si>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</si>
  <si>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</si>
  <si>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</si>
  <si>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</si>
  <si>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</si>
  <si>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</si>
  <si>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</si>
  <si>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</si>
  <si>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</si>
  <si>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</si>
  <si>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</si>
  <si>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</si>
  <si>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</si>
  <si>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</si>
  <si>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</si>
  <si>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</si>
  <si>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</si>
  <si>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</si>
  <si>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</si>
  <si>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</si>
  <si>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</si>
  <si>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</si>
  <si>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</si>
  <si>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</si>
  <si>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</si>
  <si>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</si>
  <si>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</si>
  <si>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</si>
  <si>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</si>
  <si>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</si>
  <si>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</si>
  <si>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</si>
  <si>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</si>
  <si>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</si>
  <si>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</si>
  <si>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</si>
  <si>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</si>
  <si>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</si>
  <si>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</si>
  <si>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</si>
  <si>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</si>
  <si>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</si>
  <si>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</si>
  <si>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</si>
  <si>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</si>
  <si>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</si>
  <si>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</si>
  <si>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</si>
  <si>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</si>
  <si>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</si>
  <si>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</si>
  <si>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</si>
  <si>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</si>
  <si>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</si>
  <si>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</si>
  <si>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</si>
  <si>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</si>
  <si>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</si>
  <si>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</si>
  <si>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</si>
  <si>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</si>
  <si>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</si>
  <si>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</si>
  <si>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</si>
  <si>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</si>
  <si>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</si>
  <si>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</si>
  <si>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</si>
  <si>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</si>
  <si>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</si>
  <si>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</si>
  <si>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</si>
  <si>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</si>
  <si>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</si>
  <si>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</si>
  <si>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</si>
  <si>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</si>
  <si>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</si>
  <si>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</si>
  <si>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</si>
  <si>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</si>
  <si>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</si>
  <si>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</si>
  <si>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</si>
  <si>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</si>
  <si>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</si>
  <si>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</si>
  <si>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</si>
  <si>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</si>
  <si>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</si>
  <si>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</si>
  <si>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</si>
  <si>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</si>
  <si>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</si>
  <si>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</si>
  <si>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</si>
  <si>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</si>
  <si>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</si>
  <si>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</si>
  <si>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</si>
  <si>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</si>
  <si>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</si>
  <si>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</si>
  <si>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</si>
  <si>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</si>
  <si>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</si>
  <si>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</si>
  <si>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</si>
  <si>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</si>
  <si>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</si>
  <si>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</si>
  <si>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</si>
  <si>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</si>
  <si>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</si>
  <si>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</si>
  <si>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</si>
  <si>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</si>
  <si>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</si>
  <si>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</si>
  <si>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</si>
  <si>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</si>
  <si>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</si>
  <si>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</si>
  <si>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</si>
  <si>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</si>
  <si>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</si>
  <si>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</si>
  <si>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</si>
  <si>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</si>
  <si>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</si>
  <si>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</si>
  <si>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</si>
  <si>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</si>
  <si>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</si>
  <si>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</si>
  <si>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</si>
  <si>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</si>
  <si>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</si>
  <si>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</si>
  <si>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</si>
  <si>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</si>
  <si>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</si>
  <si>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</si>
  <si>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</si>
  <si>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</si>
  <si>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</si>
  <si>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</si>
  <si>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</si>
  <si>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</si>
  <si>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</si>
  <si>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</si>
  <si>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</si>
  <si>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</si>
  <si>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</si>
  <si>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</si>
  <si>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</si>
  <si>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</si>
  <si>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</si>
  <si>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</si>
  <si>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</si>
  <si>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</si>
  <si>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</si>
  <si>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</si>
  <si>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</si>
  <si>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</si>
  <si>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</si>
  <si>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</si>
  <si>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</si>
  <si>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</si>
  <si>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</si>
  <si>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</si>
  <si>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</si>
  <si>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</si>
  <si>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</si>
  <si>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</si>
  <si>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</si>
  <si>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</si>
  <si>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</si>
  <si>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</si>
  <si>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</si>
  <si>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</si>
  <si>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</si>
  <si>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</si>
  <si>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</si>
  <si>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</si>
  <si>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</si>
  <si>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</si>
  <si>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</si>
  <si>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</si>
  <si>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</si>
  <si>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</si>
  <si>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</si>
  <si>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</si>
  <si>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</si>
  <si>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</si>
  <si>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</si>
  <si>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</si>
  <si>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</si>
  <si>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</si>
  <si>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</si>
  <si>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</si>
  <si>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</si>
  <si>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</si>
  <si>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</si>
  <si>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</si>
  <si>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</si>
  <si>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</si>
  <si>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</si>
  <si>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</si>
  <si>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</si>
  <si>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</si>
  <si>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</si>
  <si>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</si>
  <si>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</si>
  <si>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</si>
  <si>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</si>
  <si>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</si>
  <si>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</si>
  <si>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</si>
  <si>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</si>
  <si>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</si>
  <si>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</si>
  <si>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</si>
  <si>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</si>
  <si>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</si>
  <si>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</si>
  <si>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</si>
  <si>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</si>
  <si>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</si>
  <si>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</si>
  <si>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</si>
  <si>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</si>
  <si>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</si>
  <si>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</si>
  <si>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</si>
  <si>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</si>
  <si>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</si>
  <si>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</si>
  <si>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</si>
  <si>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</si>
  <si>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</si>
  <si>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</si>
  <si>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</si>
  <si>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</si>
  <si>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</si>
  <si>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</si>
  <si>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</si>
  <si>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</si>
  <si>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</si>
  <si>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</si>
  <si>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</si>
  <si>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</si>
  <si>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</si>
  <si>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</si>
  <si>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</si>
  <si>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</si>
  <si>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</si>
  <si>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</si>
  <si>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</si>
  <si>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</si>
  <si>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</si>
  <si>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</si>
  <si>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</si>
  <si>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</si>
  <si>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</si>
  <si>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</si>
  <si>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</si>
  <si>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</si>
  <si>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</si>
  <si>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</si>
  <si>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</si>
  <si>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</si>
  <si>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</si>
  <si>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</si>
  <si>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</si>
  <si>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</si>
  <si>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</si>
  <si>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</si>
  <si>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</si>
  <si>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</si>
  <si>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</si>
  <si>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</si>
  <si>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</si>
  <si>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</si>
  <si>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</si>
  <si>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</si>
  <si>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</si>
  <si>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</si>
  <si>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</si>
  <si>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</si>
  <si>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</si>
  <si>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</si>
  <si>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</si>
  <si>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</si>
  <si>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</si>
  <si>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</si>
  <si>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</si>
  <si>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</si>
  <si>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</si>
  <si>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</si>
  <si>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</si>
  <si>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</si>
  <si>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</si>
  <si>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</si>
  <si>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</si>
  <si>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</si>
  <si>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</si>
  <si>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</si>
  <si>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</si>
  <si>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</si>
  <si>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</si>
  <si>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</si>
  <si>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</si>
  <si>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</si>
  <si>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</si>
  <si>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</si>
  <si>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</si>
  <si>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</si>
  <si>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</si>
  <si>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</si>
  <si>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</si>
  <si>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</si>
  <si>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</si>
  <si>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</si>
  <si>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</si>
  <si>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</si>
  <si>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</si>
  <si>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</si>
  <si>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</si>
  <si>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</si>
  <si>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</si>
  <si>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</si>
  <si>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</si>
  <si>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</si>
  <si>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</si>
  <si>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</si>
  <si>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</si>
  <si>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</si>
  <si>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</si>
  <si>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</si>
  <si>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</si>
  <si>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</si>
  <si>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</si>
  <si>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</si>
  <si>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</si>
  <si>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</si>
  <si>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</si>
  <si>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</si>
  <si>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</si>
  <si>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</si>
  <si>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</si>
  <si>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</si>
  <si>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</si>
  <si>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</si>
  <si>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</si>
  <si>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</si>
  <si>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</si>
  <si>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</si>
  <si>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</si>
  <si>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</si>
  <si>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</si>
  <si>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</si>
  <si>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</si>
  <si>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</si>
  <si>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</si>
  <si>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</si>
  <si>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</si>
  <si>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</si>
  <si>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</si>
  <si>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</si>
  <si>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</si>
  <si>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</si>
  <si>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</si>
  <si>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</si>
  <si>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</si>
  <si>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</si>
  <si>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</si>
  <si>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</si>
  <si>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</si>
  <si>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</si>
  <si>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</si>
  <si>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</si>
  <si>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</si>
  <si>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</si>
  <si>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</si>
  <si>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</si>
  <si>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</si>
  <si>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</si>
  <si>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</si>
  <si>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</si>
  <si>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</si>
  <si>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</si>
  <si>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</si>
  <si>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</si>
  <si>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</si>
  <si>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</si>
  <si>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</si>
  <si>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</si>
  <si>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</si>
  <si>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</si>
  <si>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</si>
  <si>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</si>
  <si>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</si>
  <si>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</si>
  <si>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</si>
  <si>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</si>
  <si>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</si>
  <si>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</si>
  <si>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</si>
  <si>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</si>
  <si>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</si>
  <si>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</si>
  <si>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</si>
  <si>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</si>
  <si>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</si>
  <si>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</si>
  <si>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</si>
  <si>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</si>
  <si>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</si>
  <si>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</si>
  <si>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</si>
  <si>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</si>
  <si>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</si>
  <si>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</si>
  <si>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</si>
  <si>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</si>
  <si>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</si>
  <si>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</si>
  <si>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</si>
  <si>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</si>
  <si>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</si>
  <si>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</si>
  <si>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</si>
  <si>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</si>
  <si>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</si>
  <si>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</si>
  <si>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</si>
  <si>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</si>
  <si>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</si>
  <si>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</si>
  <si>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</si>
  <si>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</si>
  <si>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</si>
  <si>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</si>
  <si>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</si>
  <si>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</si>
  <si>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</si>
  <si>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</si>
  <si>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</si>
  <si>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</si>
  <si>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</si>
  <si>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</si>
  <si>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</si>
  <si>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</si>
  <si>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</si>
  <si>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</si>
  <si>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</si>
  <si>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</si>
  <si>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</si>
  <si>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</si>
  <si>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</si>
  <si>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</si>
  <si>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</si>
  <si>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</si>
  <si>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</si>
  <si>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</si>
  <si>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</si>
  <si>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</si>
  <si>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</si>
  <si>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</si>
  <si>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</si>
  <si>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</si>
  <si>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</si>
  <si>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</si>
  <si>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</si>
  <si>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</si>
  <si>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</si>
  <si>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</si>
  <si>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</si>
  <si>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</si>
  <si>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</si>
  <si>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</si>
  <si>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</si>
  <si>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</si>
  <si>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</si>
  <si>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</si>
  <si>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</si>
  <si>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</si>
  <si>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</si>
  <si>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</si>
  <si>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</si>
  <si>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</si>
  <si>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</si>
  <si>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</si>
  <si>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</si>
  <si>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</si>
  <si>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</si>
  <si>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</si>
  <si>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</si>
  <si>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</si>
  <si>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</si>
  <si>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</si>
  <si>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</si>
  <si>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</si>
  <si>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</si>
  <si>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</si>
  <si>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</si>
  <si>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</si>
  <si>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</si>
  <si>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</si>
  <si>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</si>
  <si>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</si>
  <si>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</si>
  <si>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</si>
  <si>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</si>
  <si>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</si>
  <si>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</si>
  <si>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</si>
  <si>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</si>
  <si>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</si>
  <si>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</si>
  <si>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</si>
  <si>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</si>
  <si>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</si>
  <si>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</si>
  <si>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</si>
  <si>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</si>
  <si>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</si>
  <si>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</si>
  <si>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</si>
  <si>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</si>
  <si>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</si>
  <si>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</si>
  <si>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</si>
  <si>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</si>
  <si>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</si>
  <si>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</si>
  <si>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</si>
  <si>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</si>
  <si>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</si>
  <si>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</si>
  <si>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</si>
  <si>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</si>
  <si>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</si>
  <si>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</si>
  <si>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</si>
  <si>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</si>
  <si>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</si>
  <si>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</si>
  <si>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</si>
  <si>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</si>
  <si>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</si>
  <si>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</si>
  <si>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</si>
  <si>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</si>
  <si>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</si>
  <si>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</si>
  <si>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</si>
  <si>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</si>
  <si>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</si>
  <si>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</si>
  <si>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</si>
  <si>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</si>
  <si>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</si>
  <si>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</si>
  <si>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</si>
  <si>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</si>
  <si>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</si>
  <si>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</si>
  <si>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</si>
  <si>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</si>
  <si>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</si>
  <si>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</si>
  <si>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</si>
  <si>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</si>
  <si>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</si>
  <si>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</si>
  <si>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</si>
  <si>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</si>
  <si>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</si>
  <si>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</si>
  <si>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</si>
  <si>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</si>
  <si>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</si>
  <si>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</si>
  <si>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</si>
  <si>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</si>
  <si>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</si>
  <si>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</si>
  <si>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</si>
  <si>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</si>
  <si>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</si>
  <si>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</si>
  <si>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</si>
  <si>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</si>
  <si>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</si>
  <si>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</si>
  <si>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</si>
  <si>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</si>
  <si>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</si>
  <si>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</si>
  <si>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</si>
  <si>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</si>
  <si>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</si>
  <si>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</si>
  <si>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</si>
  <si>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</si>
  <si>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</si>
  <si>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</si>
  <si>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</si>
  <si>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</si>
  <si>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</si>
  <si>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</si>
  <si>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</si>
  <si>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</si>
  <si>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</si>
  <si>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</si>
  <si>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</si>
  <si>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</si>
  <si>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</si>
  <si>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</si>
  <si>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</si>
  <si>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</si>
  <si>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</si>
  <si>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</si>
  <si>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</si>
  <si>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</si>
  <si>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</si>
  <si>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</si>
  <si>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</si>
  <si>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</si>
  <si>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</si>
  <si>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</si>
  <si>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</si>
  <si>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</si>
  <si>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</si>
  <si>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</si>
  <si>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</si>
  <si>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</si>
  <si>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</si>
  <si>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</si>
  <si>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</si>
  <si>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</si>
  <si>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</si>
  <si>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</si>
  <si>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</si>
  <si>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</si>
  <si>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</si>
  <si>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</si>
  <si>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</si>
  <si>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</si>
  <si>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</si>
  <si>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</si>
  <si>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</si>
  <si>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</si>
  <si>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</si>
  <si>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</si>
  <si>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</si>
  <si>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</si>
  <si>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</si>
  <si>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</si>
  <si>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</si>
  <si>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</si>
  <si>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</si>
  <si>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</si>
  <si>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</si>
  <si>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</si>
  <si>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</si>
  <si>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</si>
  <si>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</si>
  <si>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</si>
  <si>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</si>
  <si>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</si>
  <si>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</si>
  <si>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</si>
  <si>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</si>
  <si>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</si>
  <si>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</si>
  <si>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</si>
  <si>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</si>
  <si>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</si>
  <si>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</si>
  <si>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</si>
  <si>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</si>
  <si>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</si>
  <si>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</si>
  <si>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</si>
  <si>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</si>
  <si>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</si>
  <si>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</si>
  <si>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</si>
  <si>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</si>
  <si>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</si>
  <si>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</si>
  <si>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</si>
  <si>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</si>
  <si>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</si>
  <si>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</si>
  <si>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</si>
  <si>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</si>
  <si>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</si>
  <si>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</si>
  <si>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</si>
  <si>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</si>
  <si>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</si>
  <si>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</si>
  <si>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</si>
  <si>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</si>
  <si>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</si>
  <si>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</si>
  <si>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</si>
  <si>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</si>
  <si>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</si>
  <si>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</si>
  <si>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</si>
  <si>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</si>
  <si>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</si>
  <si>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</si>
  <si>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</si>
  <si>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</si>
  <si>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</si>
  <si>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</si>
  <si>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</si>
  <si>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</si>
  <si>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</si>
  <si>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</si>
  <si>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</si>
  <si>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</si>
  <si>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</si>
  <si>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</si>
  <si>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</si>
  <si>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</si>
  <si>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</si>
  <si>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</si>
  <si>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</si>
  <si>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</si>
  <si>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</si>
  <si>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</si>
  <si>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</si>
  <si>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</si>
  <si>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</si>
  <si>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</si>
  <si>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</si>
  <si>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</si>
  <si>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</si>
  <si>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</si>
  <si>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</si>
  <si>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</si>
  <si>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</si>
  <si>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</si>
  <si>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</si>
  <si>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</si>
  <si>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</si>
  <si>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</si>
  <si>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</si>
  <si>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</si>
  <si>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</si>
  <si>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</si>
  <si>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</si>
  <si>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</si>
  <si>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</si>
  <si>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</si>
  <si>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</si>
  <si>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</si>
  <si>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</si>
  <si>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</si>
  <si>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</si>
  <si>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</si>
  <si>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</si>
  <si>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</si>
  <si>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</si>
  <si>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</si>
  <si>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</si>
  <si>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</si>
  <si>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</si>
  <si>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</si>
  <si>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</si>
  <si>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</si>
  <si>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</si>
  <si>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</si>
  <si>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</si>
  <si>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</si>
  <si>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</si>
  <si>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</si>
  <si>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</si>
  <si>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</si>
  <si>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</si>
  <si>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</si>
  <si>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</si>
  <si>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</si>
  <si>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</si>
  <si>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</si>
  <si>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</si>
  <si>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</si>
  <si>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</si>
  <si>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</si>
  <si>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</si>
  <si>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</si>
  <si>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</si>
  <si>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</si>
  <si>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</si>
  <si>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</si>
  <si>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</si>
  <si>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</si>
  <si>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</si>
  <si>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</si>
  <si>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</si>
  <si>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</si>
  <si>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</si>
  <si>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</si>
  <si>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</si>
  <si>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</si>
  <si>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</si>
  <si>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</si>
  <si>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</si>
  <si>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</si>
  <si>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</si>
  <si>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</si>
  <si>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</si>
  <si>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</si>
  <si>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</si>
  <si>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</si>
  <si>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</si>
  <si>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</si>
  <si>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</si>
  <si>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</si>
  <si>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</si>
  <si>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</si>
  <si>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</si>
  <si>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</si>
  <si>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</si>
  <si>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</si>
  <si>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</si>
  <si>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</si>
  <si>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</si>
  <si>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</si>
  <si>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</si>
  <si>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</si>
  <si>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</si>
  <si>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</si>
  <si>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</si>
  <si>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</si>
  <si>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</si>
  <si>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</si>
  <si>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</si>
  <si>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</si>
  <si>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</si>
  <si>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</si>
  <si>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</si>
  <si>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</si>
  <si>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</si>
  <si>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</si>
  <si>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</si>
  <si>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</si>
  <si>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</si>
  <si>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</si>
  <si>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</si>
  <si>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</si>
  <si>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</si>
  <si>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</si>
  <si>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</si>
  <si>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</si>
  <si>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</si>
  <si>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</si>
  <si>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</si>
  <si>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</si>
  <si>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</si>
  <si>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</si>
  <si>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</si>
  <si>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</si>
  <si>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</si>
  <si>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</si>
  <si>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</si>
  <si>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</si>
  <si>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</si>
  <si>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</si>
  <si>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</si>
  <si>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</si>
  <si>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</si>
  <si>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</si>
  <si>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</si>
  <si>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</si>
  <si>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</si>
  <si>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</si>
  <si>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</si>
  <si>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</si>
  <si>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</si>
  <si>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</si>
  <si>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</si>
  <si>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</si>
  <si>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</si>
  <si>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</si>
  <si>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</si>
  <si>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</si>
  <si>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</si>
  <si>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</si>
  <si>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</si>
  <si>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</si>
  <si>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</si>
  <si>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</si>
  <si>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</si>
  <si>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</si>
  <si>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</si>
  <si>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</si>
  <si>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</si>
  <si>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</si>
  <si>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</si>
  <si>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</si>
  <si>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</si>
  <si>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</si>
  <si>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</si>
  <si>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</si>
  <si>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</si>
  <si>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</si>
  <si>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</si>
  <si>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</si>
  <si>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</si>
  <si>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</si>
  <si>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</si>
  <si>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</si>
  <si>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</si>
  <si>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</si>
  <si>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</si>
  <si>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</si>
  <si>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</si>
  <si>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</si>
  <si>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</si>
  <si>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</si>
  <si>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</si>
  <si>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</si>
  <si>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</si>
  <si>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</si>
  <si>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</si>
  <si>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</si>
  <si>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</si>
  <si>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</si>
  <si>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</si>
  <si>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</si>
  <si>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</si>
  <si>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</si>
  <si>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</si>
  <si>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</si>
  <si>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</si>
  <si>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</si>
  <si>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</si>
  <si>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</si>
  <si>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</si>
  <si>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</si>
  <si>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</si>
  <si>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</si>
  <si>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</si>
  <si>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</si>
  <si>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</si>
  <si>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</si>
  <si>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</si>
  <si>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</si>
  <si>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</si>
  <si>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</si>
  <si>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</si>
  <si>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</si>
  <si>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</si>
  <si>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</si>
  <si>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</si>
  <si>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</si>
  <si>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</si>
  <si>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</si>
  <si>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</si>
  <si>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</si>
  <si>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</si>
  <si>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</si>
  <si>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</si>
  <si>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</si>
  <si>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</si>
  <si>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</si>
  <si>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</si>
  <si>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</si>
  <si>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</si>
  <si>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</si>
  <si>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</si>
  <si>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</si>
  <si>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</si>
  <si>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</si>
  <si>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</si>
  <si>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</si>
  <si>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</si>
  <si>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</si>
  <si>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</si>
  <si>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</si>
  <si>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</si>
  <si>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</si>
  <si>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</si>
  <si>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</si>
  <si>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</si>
  <si>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</si>
  <si>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</si>
  <si>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</si>
  <si>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</si>
  <si>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</si>
  <si>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</si>
  <si>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</si>
  <si>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</si>
  <si>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</si>
  <si>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</si>
  <si>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</si>
  <si>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</si>
  <si>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</si>
  <si>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</si>
  <si>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</si>
  <si>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</si>
  <si>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</si>
  <si>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</si>
  <si>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</si>
  <si>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</si>
  <si>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</si>
  <si>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</si>
  <si>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</si>
  <si>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</si>
  <si>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</si>
  <si>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</si>
  <si>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</si>
  <si>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</si>
  <si>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</si>
  <si>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</si>
  <si>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</si>
  <si>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</si>
  <si>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</si>
  <si>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</si>
  <si>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</si>
  <si>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</si>
  <si>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</si>
  <si>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</si>
  <si>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</si>
  <si>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</si>
  <si>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</si>
  <si>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</si>
  <si>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</si>
  <si>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</si>
  <si>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</si>
  <si>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</si>
  <si>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</si>
  <si>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</si>
  <si>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</si>
  <si>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</si>
  <si>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</si>
  <si>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</si>
  <si>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</si>
  <si>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</si>
  <si>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</si>
  <si>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</si>
  <si>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</si>
  <si>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</si>
  <si>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</si>
  <si>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</si>
  <si>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</si>
  <si>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</si>
  <si>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</si>
  <si>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</si>
  <si>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</si>
  <si>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</si>
  <si>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</si>
  <si>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</si>
  <si>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</si>
  <si>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</si>
  <si>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</si>
  <si>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</si>
  <si>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</si>
  <si>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</si>
  <si>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</si>
  <si>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</si>
  <si>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</si>
  <si>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</si>
  <si>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</si>
  <si>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</si>
  <si>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</si>
  <si>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</si>
  <si>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</si>
  <si>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</si>
  <si>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</si>
  <si>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</si>
  <si>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</si>
  <si>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</si>
  <si>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</si>
  <si>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</si>
  <si>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</si>
  <si>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</si>
  <si>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</si>
  <si>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</si>
  <si>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</si>
  <si>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</si>
  <si>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</si>
  <si>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</si>
  <si>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</si>
  <si>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</si>
  <si>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</si>
  <si>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</si>
  <si>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</si>
  <si>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</si>
  <si>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</si>
  <si>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</si>
  <si>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</si>
  <si>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</si>
  <si>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</si>
  <si>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</si>
  <si>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</si>
  <si>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</si>
  <si>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</si>
  <si>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</si>
  <si>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</si>
  <si>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</si>
  <si>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</si>
  <si>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</si>
  <si>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</si>
  <si>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</si>
  <si>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</si>
  <si>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</si>
  <si>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</si>
  <si>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</si>
  <si>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</si>
  <si>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</si>
  <si>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</si>
  <si>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</si>
  <si>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</si>
  <si>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</si>
  <si>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</si>
  <si>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</si>
  <si>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</si>
  <si>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</si>
  <si>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</si>
  <si>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</si>
  <si>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</si>
  <si>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</si>
  <si>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</si>
  <si>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</si>
  <si>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</si>
  <si>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</si>
  <si>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</si>
  <si>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</si>
  <si>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</si>
  <si>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</si>
  <si>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</si>
  <si>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</si>
  <si>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</si>
  <si>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</si>
  <si>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</si>
  <si>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</si>
  <si>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</si>
  <si>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</si>
  <si>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</si>
  <si>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</si>
  <si>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</si>
  <si>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</si>
  <si>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</si>
  <si>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</si>
  <si>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</si>
  <si>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</si>
  <si>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</si>
  <si>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</si>
  <si>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</si>
  <si>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</si>
  <si>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</si>
  <si>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</si>
  <si>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</si>
  <si>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</si>
  <si>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</si>
  <si>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</si>
  <si>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</si>
  <si>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</si>
  <si>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</si>
  <si>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</si>
  <si>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</si>
  <si>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</si>
  <si>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</si>
  <si>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</si>
  <si>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</si>
  <si>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</si>
  <si>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</si>
  <si>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</si>
  <si>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</si>
  <si>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</si>
  <si>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</si>
  <si>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</si>
  <si>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</si>
  <si>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</si>
  <si>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</si>
  <si>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</si>
  <si>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</si>
  <si>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</si>
  <si>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</si>
  <si>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</si>
  <si>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</si>
  <si>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</si>
  <si>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</si>
  <si>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</si>
  <si>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</si>
  <si>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</si>
  <si>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</si>
  <si>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</si>
  <si>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</si>
  <si>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</si>
  <si>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</si>
  <si>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</si>
  <si>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</si>
  <si>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</si>
  <si>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</si>
  <si>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</si>
  <si>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</si>
  <si>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</si>
  <si>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</si>
  <si>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</si>
  <si>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</si>
  <si>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</si>
  <si>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</si>
  <si>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</si>
  <si>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</si>
  <si>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</si>
  <si>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</si>
  <si>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</si>
  <si>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</si>
  <si>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</si>
  <si>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</si>
  <si>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</si>
  <si>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</si>
  <si>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</si>
  <si>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</si>
  <si>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</si>
  <si>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</si>
  <si>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</si>
  <si>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</si>
  <si>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</si>
  <si>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</si>
  <si>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</si>
  <si>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</si>
  <si>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</si>
  <si>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</si>
  <si>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</si>
  <si>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</si>
  <si>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</si>
  <si>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</si>
  <si>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</si>
  <si>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</si>
  <si>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</si>
  <si>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</si>
  <si>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</si>
  <si>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</si>
  <si>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</si>
  <si>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</si>
  <si>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</si>
  <si>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</si>
  <si>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</si>
  <si>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</si>
  <si>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</si>
  <si>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</si>
  <si>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</si>
  <si>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</si>
  <si>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</si>
  <si>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</si>
  <si>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</si>
  <si>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</si>
  <si>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</si>
  <si>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</si>
  <si>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</si>
  <si>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</si>
  <si>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</si>
  <si>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</si>
  <si>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</si>
  <si>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</si>
  <si>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</si>
  <si>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</si>
  <si>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</si>
  <si>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</si>
  <si>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</si>
  <si>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</si>
  <si>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</si>
  <si>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</si>
  <si>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</si>
  <si>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</si>
  <si>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</si>
  <si>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</si>
  <si>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</si>
  <si>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</si>
  <si>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</si>
  <si>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</si>
  <si>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</si>
  <si>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</si>
  <si>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</si>
  <si>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</si>
  <si>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</si>
  <si>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</si>
  <si>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</si>
  <si>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</si>
  <si>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</si>
  <si>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</si>
  <si>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</si>
  <si>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</si>
  <si>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</si>
  <si>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</si>
  <si>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</si>
  <si>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</si>
  <si>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</si>
  <si>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</si>
  <si>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</si>
  <si>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</si>
  <si>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</si>
  <si>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</si>
  <si>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</si>
  <si>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</si>
  <si>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</si>
  <si>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</si>
  <si>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</si>
  <si>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</si>
  <si>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</si>
  <si>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</si>
  <si>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</si>
  <si>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</si>
  <si>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</si>
  <si>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</si>
  <si>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</si>
  <si>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</si>
  <si>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</si>
  <si>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</si>
  <si>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</si>
  <si>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</si>
  <si>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</si>
  <si>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</si>
  <si>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</si>
  <si>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</si>
  <si>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</si>
  <si>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</si>
  <si>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</si>
  <si>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</si>
  <si>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</si>
  <si>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</si>
  <si>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</si>
  <si>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</si>
  <si>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</si>
  <si>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</si>
  <si>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</si>
  <si>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</si>
  <si>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</si>
  <si>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</si>
  <si>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</si>
  <si>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</si>
  <si>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</si>
  <si>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</si>
  <si>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</si>
  <si>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</si>
  <si>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</si>
  <si>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</si>
  <si>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</si>
  <si>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</si>
  <si>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</si>
  <si>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</si>
  <si>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</si>
  <si>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</si>
  <si>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</si>
  <si>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</si>
  <si>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</si>
  <si>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</si>
  <si>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</si>
  <si>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</si>
  <si>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</si>
  <si>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</si>
  <si>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</si>
  <si>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</si>
  <si>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</si>
  <si>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</si>
  <si>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</si>
  <si>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</si>
  <si>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</si>
  <si>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</si>
  <si>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</si>
  <si>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</si>
  <si>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</si>
  <si>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</si>
  <si>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</si>
  <si>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</si>
  <si>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</si>
  <si>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</si>
  <si>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</si>
  <si>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</si>
  <si>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</si>
  <si>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</si>
  <si>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</si>
  <si>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</si>
  <si>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</si>
  <si>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</si>
  <si>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</si>
  <si>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</si>
  <si>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</si>
  <si>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</si>
  <si>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</si>
  <si>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</si>
  <si>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</si>
  <si>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</si>
  <si>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</si>
  <si>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</si>
  <si>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</si>
  <si>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</si>
  <si>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</si>
  <si>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</si>
  <si>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</si>
  <si>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</si>
  <si>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</si>
  <si>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</si>
  <si>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</si>
  <si>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</si>
  <si>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</si>
  <si>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</si>
  <si>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</si>
  <si>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</si>
  <si>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</si>
  <si>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</si>
  <si>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</si>
  <si>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</si>
  <si>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</si>
  <si>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</si>
  <si>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</si>
  <si>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</si>
  <si>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</si>
  <si>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</si>
  <si>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</si>
  <si>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</si>
  <si>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</si>
  <si>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</si>
  <si>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</si>
  <si>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</si>
  <si>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</si>
  <si>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</si>
  <si>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</si>
  <si>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</si>
  <si>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</si>
  <si>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</si>
  <si>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</si>
  <si>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</si>
  <si>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</si>
  <si>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</si>
  <si>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</si>
  <si>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</si>
  <si>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</si>
  <si>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</si>
  <si>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</si>
  <si>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</si>
  <si>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</si>
  <si>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</si>
  <si>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</si>
  <si>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</si>
  <si>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</si>
  <si>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</si>
  <si>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</si>
  <si>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</si>
  <si>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</si>
  <si>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</si>
  <si>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</si>
  <si>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</si>
  <si>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</si>
  <si>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</si>
  <si>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</si>
  <si>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</si>
  <si>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</si>
  <si>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</si>
  <si>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</si>
  <si>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</si>
  <si>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</si>
  <si>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</si>
  <si>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</si>
  <si>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</si>
  <si>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</si>
  <si>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</si>
  <si>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</si>
  <si>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</si>
  <si>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</si>
  <si>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</si>
  <si>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</si>
  <si>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</si>
  <si>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</si>
  <si>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</si>
  <si>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</si>
  <si>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</si>
  <si>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</si>
  <si>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</si>
  <si>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</si>
  <si>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</si>
  <si>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</si>
  <si>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</si>
  <si>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</si>
  <si>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</si>
  <si>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</si>
  <si>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</si>
  <si>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</si>
  <si>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</si>
  <si>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</si>
  <si>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</si>
  <si>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</si>
  <si>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</si>
  <si>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</si>
  <si>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</si>
  <si>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</si>
  <si>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</si>
  <si>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</si>
  <si>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</si>
  <si>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</si>
  <si>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</si>
  <si>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</si>
  <si>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</si>
  <si>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</si>
  <si>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</si>
  <si>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</si>
  <si>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</si>
  <si>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</si>
  <si>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</si>
  <si>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</si>
  <si>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</si>
  <si>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</si>
  <si>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</si>
  <si>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</si>
  <si>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</si>
  <si>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</si>
  <si>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</si>
  <si>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</si>
  <si>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</si>
  <si>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</si>
  <si>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</si>
  <si>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</si>
  <si>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</si>
  <si>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</si>
  <si>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</si>
  <si>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</si>
  <si>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</si>
  <si>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</si>
  <si>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</si>
  <si>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</si>
  <si>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</si>
  <si>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</si>
  <si>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</si>
  <si>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</si>
  <si>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</si>
  <si>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</si>
  <si>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</si>
  <si>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</si>
  <si>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</si>
  <si>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</si>
  <si>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</si>
  <si>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</si>
  <si>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</si>
  <si>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</si>
  <si>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</si>
  <si>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</si>
  <si>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</si>
  <si>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</si>
  <si>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</si>
  <si>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</si>
  <si>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</si>
  <si>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</si>
  <si>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</si>
  <si>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</si>
  <si>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</si>
  <si>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</si>
  <si>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</si>
  <si>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</si>
  <si>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</si>
  <si>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</si>
  <si>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</si>
  <si>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</si>
  <si>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</si>
  <si>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</si>
  <si>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</si>
  <si>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</si>
  <si>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</si>
  <si>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</si>
  <si>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</si>
  <si>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</si>
  <si>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</si>
  <si>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</si>
  <si>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</si>
  <si>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</si>
  <si>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</si>
  <si>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</si>
  <si>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</si>
  <si>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</si>
  <si>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</si>
  <si>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</si>
  <si>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</si>
  <si>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</si>
  <si>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</si>
  <si>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</si>
  <si>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</si>
  <si>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</si>
  <si>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</si>
  <si>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</si>
  <si>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</si>
  <si>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</si>
  <si>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</si>
  <si>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</si>
  <si>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</si>
  <si>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</si>
  <si>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</si>
  <si>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</si>
  <si>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</si>
  <si>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</si>
  <si>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</si>
  <si>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</si>
  <si>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</si>
  <si>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</si>
  <si>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</si>
  <si>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</si>
  <si>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</si>
  <si>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</si>
  <si>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</si>
  <si>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</si>
  <si>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</si>
  <si>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</si>
  <si>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</si>
  <si>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</si>
  <si>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</si>
  <si>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</si>
  <si>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</si>
  <si>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</si>
  <si>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</si>
  <si>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</si>
  <si>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</si>
  <si>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</si>
  <si>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</si>
  <si>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</si>
  <si>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</si>
  <si>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</si>
  <si>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</si>
  <si>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</si>
  <si>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</si>
  <si>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</si>
  <si>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</si>
  <si>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</si>
  <si>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</si>
  <si>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</si>
  <si>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</si>
  <si>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</si>
  <si>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</si>
  <si>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</si>
  <si>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</si>
  <si>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</si>
  <si>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</si>
  <si>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</si>
  <si>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</si>
  <si>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</si>
  <si>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</si>
  <si>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</si>
  <si>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</si>
  <si>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</si>
  <si>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</si>
  <si>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</si>
  <si>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</si>
  <si>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</si>
  <si>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</si>
  <si>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</si>
  <si>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</si>
  <si>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</si>
  <si>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</si>
  <si>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</si>
  <si>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</si>
  <si>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</si>
  <si>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</si>
  <si>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</si>
  <si>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</si>
  <si>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</si>
  <si>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</si>
  <si>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</si>
  <si>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</si>
  <si>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</si>
  <si>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</si>
  <si>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</si>
  <si>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</si>
  <si>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</si>
  <si>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</si>
  <si>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</si>
  <si>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</si>
  <si>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</si>
  <si>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</si>
  <si>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</si>
  <si>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</si>
  <si>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</si>
  <si>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</si>
  <si>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</si>
  <si>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</si>
  <si>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</si>
  <si>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</si>
  <si>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</si>
  <si>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</si>
  <si>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</si>
  <si>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</si>
  <si>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</si>
  <si>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</si>
  <si>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</si>
  <si>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</si>
  <si>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</si>
  <si>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</si>
  <si>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</si>
  <si>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</si>
  <si>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</si>
  <si>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</si>
  <si>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</si>
  <si>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</si>
  <si>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</si>
  <si>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</si>
  <si>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</si>
  <si>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</si>
  <si>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</si>
  <si>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</si>
  <si>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</si>
  <si>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</si>
  <si>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</si>
  <si>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</si>
  <si>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</si>
  <si>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</si>
  <si>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</si>
  <si>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</si>
  <si>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</si>
  <si>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</si>
  <si>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</si>
  <si>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</si>
  <si>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</si>
  <si>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</si>
  <si>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</si>
  <si>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</si>
  <si>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</si>
  <si>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</si>
  <si>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</si>
  <si>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</si>
  <si>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</si>
  <si>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</si>
  <si>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</si>
  <si>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</si>
  <si>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</si>
  <si>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</si>
  <si>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</si>
  <si>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</si>
  <si>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</si>
  <si>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</si>
  <si>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</si>
  <si>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</si>
  <si>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</si>
  <si>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</si>
  <si>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</si>
  <si>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</si>
  <si>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</si>
  <si>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</si>
  <si>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</si>
  <si>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</si>
  <si>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</si>
  <si>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</si>
  <si>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</si>
  <si>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</si>
  <si>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</si>
  <si>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</si>
  <si>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</si>
  <si>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</si>
  <si>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</si>
  <si>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</si>
  <si>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</si>
  <si>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</si>
  <si>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</si>
  <si>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</si>
  <si>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</si>
  <si>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</si>
  <si>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</si>
  <si>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</si>
  <si>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</si>
  <si>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</si>
  <si>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</si>
  <si>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</si>
  <si>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</si>
  <si>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</si>
  <si>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</si>
  <si>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</si>
  <si>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</si>
  <si>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</si>
  <si>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</si>
  <si>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</si>
  <si>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</si>
  <si>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</si>
  <si>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</si>
  <si>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</si>
  <si>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</si>
  <si>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</si>
  <si>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</si>
  <si>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</si>
  <si>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</si>
  <si>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</si>
  <si>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</si>
  <si>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</si>
  <si>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</si>
  <si>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</si>
  <si>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</si>
  <si>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</si>
  <si>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</si>
  <si>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</si>
  <si>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</si>
  <si>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</si>
  <si>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</si>
  <si>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</si>
  <si>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</si>
  <si>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</si>
  <si>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</si>
  <si>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</si>
  <si>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</si>
  <si>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</si>
  <si>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</si>
  <si>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</si>
  <si>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</si>
  <si>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</si>
  <si>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</si>
  <si>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</si>
  <si>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</si>
  <si>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</si>
  <si>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</si>
  <si>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</si>
  <si>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</si>
  <si>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</si>
  <si>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</si>
  <si>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</si>
  <si>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</si>
  <si>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</si>
  <si>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</si>
  <si>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</si>
  <si>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</si>
  <si>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</si>
  <si>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</si>
  <si>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</si>
  <si>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</si>
  <si>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</si>
  <si>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</si>
  <si>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</si>
  <si>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</si>
  <si>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</si>
  <si>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</si>
  <si>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</si>
  <si>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</si>
  <si>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</si>
  <si>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</si>
  <si>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</si>
  <si>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</si>
  <si>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</si>
  <si>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</si>
  <si>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</si>
  <si>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</si>
  <si>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</si>
  <si>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</si>
  <si>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</si>
  <si>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</si>
  <si>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</si>
  <si>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</si>
  <si>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</si>
  <si>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</si>
  <si>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</si>
  <si>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</si>
  <si>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</si>
  <si>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</si>
  <si>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</si>
  <si>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</si>
  <si>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</si>
  <si>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</si>
  <si>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</si>
  <si>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</si>
  <si>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</si>
  <si>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</si>
  <si>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</si>
  <si>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</si>
  <si>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</si>
  <si>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</si>
  <si>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</si>
  <si>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</si>
  <si>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</si>
  <si>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</si>
  <si>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</si>
  <si>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</si>
  <si>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</si>
  <si>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</si>
  <si>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</si>
  <si>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</si>
  <si>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</si>
  <si>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</si>
  <si>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</si>
  <si>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</si>
  <si>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</si>
  <si>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</si>
  <si>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</si>
  <si>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</si>
  <si>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</si>
  <si>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</si>
  <si>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</si>
  <si>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</si>
  <si>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</si>
  <si>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</si>
  <si>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</si>
  <si>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</si>
  <si>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</si>
  <si>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</si>
  <si>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</si>
  <si>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</si>
  <si>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</si>
  <si>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</si>
  <si>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</si>
  <si>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</si>
  <si>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</si>
  <si>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</si>
  <si>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</si>
  <si>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</si>
  <si>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</si>
  <si>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</si>
  <si>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</si>
  <si>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</si>
  <si>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</si>
  <si>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</si>
  <si>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</si>
  <si>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</si>
  <si>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</si>
  <si>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</si>
  <si>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</si>
  <si>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</si>
  <si>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</si>
  <si>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</si>
  <si>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</si>
  <si>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</si>
  <si>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</si>
  <si>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</si>
  <si>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</si>
  <si>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</si>
  <si>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</si>
  <si>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</si>
  <si>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</si>
  <si>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</si>
  <si>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</si>
  <si>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</si>
  <si>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</si>
  <si>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</si>
  <si>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</si>
  <si>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</si>
  <si>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</si>
  <si>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</si>
  <si>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</si>
  <si>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</si>
  <si>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</si>
  <si>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</si>
  <si>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</si>
  <si>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</si>
  <si>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</si>
  <si>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</si>
  <si>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</si>
  <si>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</si>
  <si>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</si>
  <si>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</si>
  <si>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</si>
  <si>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</si>
  <si>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</si>
  <si>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</si>
  <si>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</si>
  <si>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</si>
  <si>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</si>
  <si>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</si>
  <si>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</si>
  <si>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</si>
  <si>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</si>
  <si>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</si>
  <si>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</si>
  <si>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</si>
  <si>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</si>
  <si>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</si>
  <si>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</si>
  <si>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</si>
  <si>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</si>
  <si>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</si>
  <si>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</si>
  <si>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</si>
  <si>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</si>
  <si>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</si>
  <si>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</si>
  <si>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</si>
  <si>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</si>
  <si>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</si>
  <si>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</si>
  <si>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</si>
  <si>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</si>
  <si>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</si>
  <si>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</si>
  <si>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</si>
  <si>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</si>
  <si>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</si>
  <si>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</si>
  <si>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</si>
  <si>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</si>
  <si>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</si>
  <si>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</si>
  <si>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</si>
  <si>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</si>
  <si>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</si>
  <si>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</si>
  <si>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</si>
  <si>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</si>
  <si>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</si>
  <si>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</si>
  <si>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</si>
  <si>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</si>
  <si>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</si>
  <si>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</si>
  <si>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</si>
  <si>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</si>
  <si>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</si>
  <si>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</si>
  <si>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</si>
  <si>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</si>
  <si>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</si>
  <si>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</si>
  <si>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</si>
  <si>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</si>
  <si>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</si>
  <si>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</si>
  <si>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</si>
  <si>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</si>
  <si>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</si>
  <si>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</si>
  <si>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</si>
  <si>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</si>
  <si>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</si>
  <si>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</si>
  <si>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</si>
  <si>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</si>
  <si>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</si>
  <si>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</si>
  <si>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</si>
  <si>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</si>
  <si>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</si>
  <si>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</si>
  <si>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</si>
  <si>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</si>
  <si>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</si>
  <si>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</si>
  <si>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</si>
  <si>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</si>
  <si>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</si>
  <si>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</si>
  <si>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</si>
  <si>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</si>
  <si>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</si>
  <si>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</si>
  <si>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</si>
  <si>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</si>
  <si>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</si>
  <si>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</si>
  <si>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</si>
  <si>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</si>
  <si>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</si>
  <si>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</si>
  <si>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</si>
  <si>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</si>
  <si>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</si>
  <si>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</si>
  <si>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</si>
  <si>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</si>
  <si>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</si>
  <si>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</si>
  <si>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</si>
  <si>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</si>
  <si>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</si>
  <si>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</si>
  <si>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</si>
  <si>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</si>
  <si>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</si>
  <si>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</si>
  <si>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</si>
  <si>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</si>
  <si>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</si>
  <si>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</si>
  <si>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</si>
  <si>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</si>
  <si>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</si>
  <si>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</si>
  <si>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</si>
  <si>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</si>
  <si>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</si>
  <si>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</si>
  <si>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</si>
  <si>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</si>
  <si>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</si>
  <si>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</si>
  <si>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</si>
  <si>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</si>
  <si>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</si>
  <si>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</si>
  <si>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</si>
  <si>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</si>
  <si>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</si>
  <si>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</si>
  <si>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</si>
  <si>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</si>
  <si>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</si>
  <si>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</si>
  <si>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</si>
  <si>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</si>
  <si>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</si>
  <si>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</si>
  <si>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</si>
  <si>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</si>
  <si>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</si>
  <si>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</si>
  <si>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</si>
  <si>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</si>
  <si>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</si>
  <si>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</si>
  <si>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</si>
  <si>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</si>
  <si>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</si>
  <si>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</si>
  <si>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</si>
  <si>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</si>
  <si>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</si>
  <si>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</si>
  <si>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</si>
  <si>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</si>
  <si>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</si>
  <si>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</si>
  <si>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</si>
  <si>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</si>
  <si>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</si>
  <si>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</si>
  <si>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</si>
  <si>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</si>
  <si>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</si>
  <si>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</si>
  <si>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</si>
  <si>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</si>
  <si>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</si>
  <si>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</si>
  <si>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</si>
  <si>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</si>
  <si>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</si>
  <si>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</si>
  <si>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</si>
  <si>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</si>
  <si>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</si>
  <si>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</si>
  <si>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</si>
  <si>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</si>
  <si>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</si>
  <si>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</si>
  <si>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</si>
  <si>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</si>
  <si>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</si>
  <si>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</si>
  <si>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</si>
  <si>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</si>
  <si>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</si>
  <si>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</si>
  <si>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</si>
  <si>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</si>
  <si>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</si>
  <si>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</si>
  <si>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</si>
  <si>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</si>
  <si>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</si>
  <si>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</si>
  <si>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</si>
  <si>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</si>
  <si>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</si>
  <si>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</si>
  <si>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</si>
  <si>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</si>
  <si>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</si>
  <si>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</si>
  <si>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</si>
  <si>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</si>
  <si>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</si>
  <si>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</si>
  <si>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</si>
  <si>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</si>
  <si>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</si>
  <si>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</si>
  <si>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</si>
  <si>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</si>
  <si>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</si>
  <si>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</si>
  <si>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</si>
  <si>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</si>
  <si>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</si>
  <si>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</si>
  <si>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</si>
  <si>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</si>
  <si>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</si>
  <si>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</si>
  <si>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</si>
  <si>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</si>
  <si>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</si>
  <si>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</si>
  <si>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</si>
  <si>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</si>
  <si>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</si>
  <si>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</si>
  <si>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</si>
  <si>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</si>
  <si>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</si>
  <si>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</si>
  <si>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</si>
  <si>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</si>
  <si>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</si>
  <si>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</si>
  <si>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</si>
  <si>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</si>
  <si>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</si>
  <si>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</si>
  <si>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</si>
  <si>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</si>
  <si>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</si>
  <si>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</si>
  <si>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</si>
  <si>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</si>
  <si>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</si>
  <si>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</si>
  <si>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</si>
  <si>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</si>
  <si>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</si>
  <si>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</si>
  <si>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</si>
  <si>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</si>
  <si>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</si>
  <si>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</si>
  <si>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</si>
  <si>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</si>
  <si>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</si>
  <si>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</si>
  <si>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</si>
  <si>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</si>
  <si>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</si>
  <si>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</si>
  <si>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</si>
  <si>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</si>
  <si>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</si>
  <si>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</si>
  <si>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</si>
  <si>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</si>
  <si>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</si>
  <si>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</si>
  <si>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</si>
  <si>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</si>
  <si>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</si>
  <si>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</si>
  <si>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</si>
  <si>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</si>
  <si>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</si>
  <si>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</si>
  <si>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</si>
  <si>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</si>
  <si>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</si>
  <si>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</si>
  <si>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</si>
  <si>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</si>
  <si>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</si>
  <si>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</si>
  <si>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</si>
  <si>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</si>
  <si>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</si>
  <si>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</si>
  <si>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</si>
  <si>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</si>
  <si>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</si>
  <si>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</si>
  <si>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</si>
  <si>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</si>
  <si>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</si>
  <si>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</si>
  <si>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</si>
  <si>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</si>
  <si>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</si>
  <si>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</si>
  <si>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</si>
  <si>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</si>
  <si>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</si>
  <si>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</si>
  <si>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</si>
  <si>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</si>
  <si>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</si>
  <si>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</si>
  <si>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</si>
  <si>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</si>
  <si>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</si>
  <si>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</si>
  <si>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</si>
  <si>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</si>
  <si>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</si>
  <si>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</si>
  <si>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</si>
  <si>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</si>
  <si>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</si>
  <si>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</si>
  <si>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</si>
  <si>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</si>
  <si>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</si>
  <si>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</si>
  <si>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</si>
  <si>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</si>
  <si>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</si>
  <si>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</si>
  <si>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</si>
  <si>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</si>
  <si>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</si>
  <si>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</si>
  <si>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</si>
  <si>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</si>
  <si>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</si>
  <si>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</si>
  <si>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</si>
  <si>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</si>
  <si>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</si>
  <si>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</si>
  <si>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</si>
  <si>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</si>
  <si>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</si>
  <si>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</si>
  <si>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</si>
  <si>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</si>
  <si>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</si>
  <si>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</si>
  <si>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</si>
  <si>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</si>
  <si>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</si>
  <si>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</si>
  <si>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</si>
  <si>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</si>
  <si>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</si>
  <si>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</si>
  <si>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</si>
  <si>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</si>
  <si>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</si>
  <si>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</si>
  <si>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</si>
  <si>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</si>
  <si>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</si>
  <si>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</si>
  <si>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</si>
  <si>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</si>
  <si>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</si>
  <si>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</si>
  <si>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</si>
  <si>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</si>
  <si>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</si>
  <si>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</si>
  <si>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</si>
  <si>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</si>
  <si>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</si>
  <si>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</si>
  <si>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</si>
  <si>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</si>
  <si>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</si>
  <si>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</si>
  <si>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</si>
  <si>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</si>
  <si>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</si>
  <si>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</si>
  <si>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</si>
  <si>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</si>
  <si>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</si>
  <si>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</si>
  <si>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</si>
  <si>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</si>
  <si>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</si>
  <si>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</si>
  <si>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</si>
  <si>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</si>
  <si>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</si>
  <si>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</si>
  <si>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</si>
  <si>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</si>
  <si>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</si>
  <si>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</si>
  <si>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</si>
  <si>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</si>
  <si>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</si>
  <si>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</si>
  <si>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</si>
  <si>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</si>
  <si>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</si>
  <si>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</si>
  <si>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</si>
  <si>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</si>
  <si>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</si>
  <si>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</si>
  <si>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</si>
  <si>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</si>
  <si>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</si>
  <si>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</si>
  <si>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</si>
  <si>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</si>
  <si>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</si>
  <si>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</si>
  <si>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</si>
  <si>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</si>
  <si>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</si>
  <si>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</si>
  <si>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</si>
  <si>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</si>
  <si>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</si>
  <si>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</si>
  <si>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</si>
  <si>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</si>
  <si>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</si>
  <si>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</si>
  <si>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</si>
  <si>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</si>
  <si>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</si>
  <si>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</si>
  <si>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</si>
  <si>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</si>
  <si>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</si>
  <si>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</si>
  <si>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</si>
  <si>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</si>
  <si>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</si>
  <si>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</si>
  <si>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</si>
  <si>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</si>
  <si>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</si>
  <si>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</si>
  <si>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</si>
  <si>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</si>
  <si>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</si>
  <si>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</si>
  <si>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</si>
  <si>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</si>
  <si>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</si>
  <si>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</si>
  <si>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</si>
  <si>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</si>
  <si>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</si>
  <si>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</si>
  <si>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</si>
  <si>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</si>
  <si>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</si>
  <si>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</si>
  <si>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</si>
  <si>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</si>
  <si>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</si>
  <si>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</si>
  <si>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</si>
  <si>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</si>
  <si>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</si>
  <si>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</si>
  <si>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</si>
  <si>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</si>
  <si>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</si>
  <si>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</si>
  <si>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</si>
  <si>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</si>
  <si>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</si>
  <si>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</si>
  <si>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</si>
  <si>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</si>
  <si>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</si>
  <si>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</si>
  <si>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</si>
  <si>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</si>
  <si>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</si>
  <si>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</si>
  <si>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</si>
  <si>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</si>
  <si>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</si>
  <si>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</si>
  <si>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</si>
  <si>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</si>
  <si>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</si>
  <si>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</si>
  <si>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</si>
  <si>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</si>
  <si>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</si>
  <si>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</si>
  <si>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</si>
  <si>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</si>
  <si>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</si>
  <si>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</si>
  <si>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</si>
  <si>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</si>
  <si>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</si>
  <si>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</si>
  <si>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</si>
  <si>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</si>
  <si>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</si>
  <si>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</si>
  <si>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</si>
  <si>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</si>
  <si>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</si>
  <si>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</si>
  <si>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</si>
  <si>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</si>
  <si>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</si>
  <si>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</si>
  <si>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</si>
  <si>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</si>
  <si>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</si>
  <si>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</si>
  <si>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</si>
  <si>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</si>
  <si>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</si>
  <si>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</si>
  <si>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</si>
  <si>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</si>
  <si>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</si>
  <si>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</si>
  <si>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</si>
  <si>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</si>
  <si>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</si>
  <si>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</si>
  <si>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</si>
  <si>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</si>
  <si>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</si>
  <si>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</si>
  <si>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</si>
  <si>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</si>
  <si>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</si>
  <si>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</si>
  <si>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</si>
  <si>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</si>
  <si>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</si>
  <si>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</si>
  <si>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</si>
  <si>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</si>
  <si>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</si>
  <si>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</si>
  <si>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</si>
  <si>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</si>
  <si>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</si>
  <si>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</si>
  <si>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</si>
  <si>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</si>
  <si>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</si>
  <si>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</si>
  <si>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</si>
  <si>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</si>
  <si>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</si>
  <si>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</si>
  <si>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</si>
  <si>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</si>
  <si>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</si>
  <si>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</si>
  <si>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</si>
  <si>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</si>
  <si>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</si>
  <si>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</si>
  <si>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</si>
  <si>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</si>
  <si>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</si>
  <si>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</si>
  <si>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</si>
  <si>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</si>
  <si>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</si>
  <si>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</si>
  <si>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</si>
  <si>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</si>
  <si>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</si>
  <si>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</si>
  <si>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</si>
  <si>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</si>
  <si>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</si>
  <si>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</si>
  <si>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</si>
  <si>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</si>
  <si>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</si>
  <si>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</si>
  <si>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</si>
  <si>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</si>
  <si>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</si>
  <si>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</si>
  <si>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</si>
  <si>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</si>
  <si>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</si>
  <si>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</si>
  <si>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</si>
  <si>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</si>
  <si>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</si>
  <si>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</si>
  <si>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</si>
  <si>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</si>
  <si>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</si>
  <si>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</si>
  <si>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</si>
  <si>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</si>
  <si>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</si>
  <si>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</si>
  <si>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</si>
  <si>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</si>
  <si>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</si>
  <si>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</si>
  <si>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</si>
  <si>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</si>
  <si>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</si>
  <si>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</si>
  <si>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</si>
  <si>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</si>
  <si>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</si>
  <si>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</si>
  <si>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</si>
  <si>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</si>
  <si>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</si>
  <si>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</si>
  <si>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</si>
  <si>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</si>
  <si>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</si>
  <si>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</si>
  <si>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</si>
  <si>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</si>
  <si>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</si>
  <si>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</si>
  <si>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</si>
  <si>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</si>
  <si>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</si>
  <si>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</si>
  <si>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</si>
  <si>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</si>
  <si>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</si>
  <si>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</si>
  <si>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</si>
  <si>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</si>
  <si>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</si>
  <si>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</si>
  <si>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</si>
  <si>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</si>
  <si>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</si>
  <si>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</si>
  <si>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</si>
  <si>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</si>
  <si>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</si>
  <si>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</si>
  <si>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</si>
  <si>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</si>
  <si>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</si>
  <si>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</si>
  <si>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</si>
  <si>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</si>
  <si>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</si>
  <si>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</si>
  <si>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</si>
  <si>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</si>
  <si>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</si>
  <si>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</si>
  <si>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</si>
  <si>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</si>
  <si>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</si>
  <si>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</si>
  <si>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</si>
  <si>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</si>
  <si>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</si>
  <si>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</si>
  <si>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</si>
  <si>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</si>
  <si>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</si>
  <si>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</si>
  <si>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</si>
  <si>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</si>
  <si>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</si>
  <si>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</si>
  <si>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</si>
  <si>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</si>
  <si>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</si>
  <si>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</si>
  <si>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</si>
  <si>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</si>
  <si>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</si>
  <si>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</si>
  <si>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</si>
  <si>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</si>
  <si>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</si>
  <si>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</si>
  <si>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</si>
  <si>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</si>
  <si>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</si>
  <si>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</si>
  <si>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</si>
  <si>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</si>
  <si>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</si>
  <si>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</si>
  <si>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</si>
  <si>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</si>
  <si>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</si>
  <si>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</si>
  <si>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</si>
  <si>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</si>
  <si>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</si>
  <si>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</si>
  <si>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</si>
  <si>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</si>
  <si>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</si>
  <si>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</si>
  <si>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</si>
  <si>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</si>
  <si>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</si>
  <si>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</si>
  <si>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</si>
  <si>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</si>
  <si>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</si>
  <si>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</si>
  <si>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</si>
  <si>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</si>
  <si>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</si>
  <si>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</si>
  <si>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</si>
  <si>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</si>
  <si>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</si>
  <si>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</si>
  <si>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</si>
  <si>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</si>
  <si>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</si>
  <si>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</si>
  <si>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</si>
  <si>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</si>
  <si>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</si>
  <si>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</si>
  <si>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</si>
  <si>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</si>
  <si>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</si>
  <si>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</si>
  <si>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</si>
  <si>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</si>
  <si>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</si>
  <si>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</si>
  <si>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</si>
  <si>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</si>
  <si>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</si>
  <si>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</si>
  <si>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</si>
  <si>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</si>
  <si>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</si>
  <si>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</si>
  <si>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</si>
  <si>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</si>
  <si>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</si>
  <si>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</si>
  <si>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</si>
  <si>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</si>
  <si>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</si>
  <si>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</si>
  <si>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</si>
  <si>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</si>
  <si>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</si>
  <si>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</si>
  <si>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</si>
  <si>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</si>
  <si>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</si>
  <si>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</si>
  <si>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</si>
  <si>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</si>
  <si>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</si>
  <si>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</si>
  <si>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</si>
  <si>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</si>
  <si>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</si>
  <si>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</si>
  <si>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</si>
  <si>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</si>
  <si>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</si>
  <si>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</si>
  <si>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</si>
  <si>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</si>
  <si>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</si>
  <si>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</si>
  <si>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</si>
  <si>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</si>
  <si>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</si>
  <si>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</si>
  <si>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</si>
  <si>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</si>
  <si>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</si>
  <si>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</si>
  <si>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</si>
  <si>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</si>
  <si>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</si>
  <si>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</si>
  <si>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</si>
  <si>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</si>
  <si>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</si>
  <si>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</si>
  <si>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</si>
  <si>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</si>
  <si>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</si>
  <si>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</si>
  <si>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</si>
  <si>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</si>
  <si>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</si>
  <si>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</si>
  <si>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</si>
  <si>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</si>
  <si>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</si>
  <si>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</si>
  <si>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</si>
  <si>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</si>
  <si>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</si>
  <si>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</si>
  <si>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</si>
  <si>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</si>
  <si>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</si>
  <si>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</si>
  <si>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</si>
  <si>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</si>
  <si>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</si>
  <si>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</si>
  <si>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</si>
  <si>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</si>
  <si>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</si>
  <si>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</si>
  <si>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</si>
  <si>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</si>
  <si>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</si>
  <si>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</si>
  <si>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</si>
  <si>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</si>
  <si>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</si>
  <si>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</si>
  <si>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</si>
  <si>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</si>
  <si>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</si>
  <si>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</si>
  <si>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</si>
  <si>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</si>
  <si>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</si>
  <si>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</si>
  <si>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</si>
  <si>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</si>
  <si>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</si>
  <si>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</si>
  <si>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</si>
  <si>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</si>
  <si>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</si>
  <si>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</si>
  <si>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</si>
  <si>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</si>
  <si>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</si>
  <si>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</si>
  <si>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</si>
  <si>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</si>
  <si>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</si>
  <si>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</si>
  <si>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</si>
  <si>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</si>
  <si>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</si>
  <si>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</si>
  <si>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</si>
  <si>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</si>
  <si>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</si>
  <si>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</si>
  <si>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</si>
  <si>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</si>
  <si>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</si>
  <si>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</si>
  <si>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</si>
  <si>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</si>
  <si>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</si>
  <si>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</si>
  <si>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</si>
  <si>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</si>
  <si>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</si>
  <si>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</si>
  <si>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</si>
  <si>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</si>
  <si>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</si>
  <si>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</si>
  <si>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</si>
  <si>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</si>
  <si>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</si>
  <si>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</si>
  <si>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</si>
  <si>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</si>
  <si>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</si>
  <si>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</si>
  <si>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</si>
  <si>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</si>
  <si>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</si>
  <si>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</si>
  <si>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</si>
  <si>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</si>
  <si>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</si>
  <si>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</si>
  <si>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</si>
  <si>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</si>
  <si>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</si>
  <si>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</si>
  <si>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</si>
  <si>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</si>
  <si>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</si>
  <si>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</si>
  <si>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</si>
  <si>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</si>
  <si>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</si>
  <si>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</si>
  <si>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</si>
  <si>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</si>
  <si>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</si>
  <si>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</si>
  <si>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</si>
  <si>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</si>
  <si>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</si>
  <si>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</si>
  <si>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</si>
  <si>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</si>
  <si>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</si>
  <si>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</si>
  <si>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</si>
  <si>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</si>
  <si>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</si>
  <si>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</si>
  <si>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</si>
  <si>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</si>
  <si>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</si>
  <si>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</si>
  <si>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</si>
  <si>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</si>
  <si>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</si>
  <si>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</si>
  <si>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</si>
  <si>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</si>
  <si>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</si>
  <si>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</si>
  <si>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</si>
  <si>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</si>
  <si>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</si>
  <si>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</si>
  <si>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</si>
  <si>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</si>
  <si>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</si>
  <si>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</si>
  <si>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</si>
  <si>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</si>
  <si>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</si>
  <si>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</si>
  <si>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</si>
  <si>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</si>
  <si>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</si>
  <si>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</si>
  <si>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</si>
  <si>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</si>
  <si>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</si>
  <si>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</si>
  <si>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</si>
  <si>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</si>
  <si>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</si>
  <si>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</si>
  <si>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</si>
  <si>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</si>
  <si>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</si>
  <si>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</si>
  <si>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</si>
  <si>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</si>
  <si>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</si>
  <si>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</si>
  <si>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</si>
  <si>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</si>
  <si>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</si>
  <si>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</si>
  <si>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</si>
  <si>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</si>
  <si>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</si>
  <si>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</si>
  <si>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</si>
  <si>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</si>
  <si>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</si>
  <si>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</si>
  <si>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</si>
  <si>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</si>
  <si>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</si>
  <si>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</si>
  <si>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</si>
  <si>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</si>
  <si>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</si>
  <si>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</si>
  <si>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</si>
  <si>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</si>
  <si>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</si>
  <si>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</si>
  <si>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</si>
  <si>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</si>
  <si>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</si>
  <si>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</si>
  <si>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</si>
  <si>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</si>
  <si>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</si>
  <si>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</si>
  <si>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</si>
  <si>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</si>
  <si>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</si>
  <si>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</si>
  <si>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</si>
  <si>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</si>
  <si>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</si>
  <si>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</si>
  <si>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</si>
  <si>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</si>
  <si>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</si>
  <si>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</si>
  <si>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</si>
  <si>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</si>
  <si>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</si>
  <si>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</si>
  <si>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</si>
  <si>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</si>
  <si>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</si>
  <si>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</si>
  <si>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</si>
  <si>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</si>
  <si>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</si>
  <si>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</si>
  <si>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</si>
  <si>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</si>
  <si>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</si>
  <si>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</si>
  <si>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</si>
  <si>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</si>
  <si>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</si>
  <si>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</si>
  <si>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</si>
  <si>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</si>
  <si>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</si>
  <si>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</si>
  <si>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</si>
  <si>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</si>
  <si>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</si>
  <si>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</si>
  <si>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</si>
  <si>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</si>
  <si>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</si>
  <si>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</si>
  <si>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</si>
  <si>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</si>
  <si>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</si>
  <si>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</si>
  <si>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</si>
  <si>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</si>
  <si>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</si>
  <si>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</si>
  <si>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</si>
  <si>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</si>
  <si>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</si>
  <si>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</si>
  <si>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</si>
  <si>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</si>
  <si>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</si>
  <si>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</si>
  <si>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</si>
  <si>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</si>
  <si>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</si>
  <si>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</si>
  <si>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</si>
  <si>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</si>
  <si>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</si>
  <si>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</si>
  <si>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</si>
  <si>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</si>
  <si>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</si>
  <si>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</si>
  <si>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</si>
  <si>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</si>
  <si>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</si>
  <si>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</si>
  <si>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</si>
  <si>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</si>
  <si>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</si>
  <si>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</si>
  <si>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</si>
  <si>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</si>
  <si>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</si>
  <si>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</si>
  <si>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</si>
  <si>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</si>
  <si>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</si>
  <si>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</si>
  <si>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</si>
  <si>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</si>
  <si>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</si>
  <si>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</si>
  <si>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</si>
  <si>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</si>
  <si>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</si>
  <si>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</si>
  <si>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</si>
  <si>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</si>
  <si>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</si>
  <si>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</si>
  <si>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</si>
  <si>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</si>
  <si>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</si>
  <si>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</si>
  <si>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</si>
  <si>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</si>
  <si>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</si>
  <si>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</si>
  <si>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</si>
  <si>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</si>
  <si>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</si>
  <si>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</si>
  <si>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</si>
  <si>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</si>
  <si>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</si>
  <si>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</si>
  <si>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</si>
  <si>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</si>
  <si>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</si>
  <si>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</si>
  <si>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</si>
  <si>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</si>
  <si>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</si>
  <si>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</si>
  <si>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</si>
  <si>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</si>
  <si>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</si>
  <si>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</si>
  <si>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</si>
  <si>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</si>
  <si>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</si>
  <si>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</si>
  <si>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</si>
  <si>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</si>
  <si>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</si>
  <si>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</si>
  <si>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</si>
  <si>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</si>
  <si>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</si>
  <si>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</si>
  <si>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</si>
  <si>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</si>
  <si>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</si>
  <si>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</si>
  <si>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</si>
  <si>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</si>
  <si>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</si>
  <si>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</si>
  <si>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</si>
  <si>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</si>
  <si>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</si>
  <si>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</si>
  <si>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</si>
  <si>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</si>
  <si>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</si>
  <si>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</si>
  <si>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</si>
  <si>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</si>
  <si>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</si>
  <si>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</si>
  <si>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</si>
  <si>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</si>
  <si>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</si>
  <si>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</si>
  <si>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</si>
  <si>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</si>
  <si>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</si>
  <si>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</si>
  <si>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</si>
  <si>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</si>
  <si>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</si>
  <si>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</si>
  <si>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</si>
  <si>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</si>
  <si>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</si>
  <si>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</si>
  <si>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</si>
  <si>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</si>
  <si>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</si>
  <si>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</si>
  <si>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</si>
  <si>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</si>
  <si>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</si>
  <si>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</si>
  <si>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</si>
  <si>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</si>
  <si>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</si>
  <si>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</si>
  <si>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</si>
  <si>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</si>
  <si>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</si>
  <si>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</si>
  <si>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</si>
  <si>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</si>
  <si>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</si>
  <si>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</si>
  <si>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</si>
  <si>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</si>
  <si>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</si>
  <si>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</si>
  <si>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</si>
  <si>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</si>
  <si>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</si>
  <si>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</si>
  <si>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</si>
  <si>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</si>
  <si>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</si>
  <si>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</si>
  <si>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</si>
  <si>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</si>
  <si>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</si>
  <si>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</si>
  <si>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</si>
  <si>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</si>
  <si>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</si>
  <si>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</si>
  <si>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</si>
  <si>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</si>
  <si>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</si>
  <si>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Number of Buildings (1-10)</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</si>
  <si>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</si>
  <si>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</si>
  <si>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</si>
  <si>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</si>
  <si>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</si>
  <si>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</si>
  <si>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</si>
  <si>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</si>
  <si>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</si>
  <si>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</si>
  <si>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</si>
  <si>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</si>
  <si>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Code (parsed, auto)</t>
  </si>
  <si>
    <t>Actual Age (yrs, auto)</t>
  </si>
  <si>
    <t>Units / Keys (# - for MF / hotel)</t>
  </si>
  <si>
    <t>-&gt; The closest matches auto-populate WO, BAA Market, BOCC, and Appeal (Best Match #1 = closest by size to Building 1). This count is for reference.</t>
  </si>
  <si>
    <t>-&gt; The 5 closest matches auto-populate the Top Expense Comps table below.</t>
  </si>
  <si>
    <t>COST APPROACH — MULTI-BUILDING SUMMARY</t>
  </si>
  <si>
    <t>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</si>
  <si>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</si>
  <si>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</si>
  <si>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</si>
  <si>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</si>
  <si>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</si>
  <si>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</si>
  <si>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</si>
  <si>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</si>
  <si>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</si>
  <si>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</si>
  <si>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</si>
  <si>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</si>
  <si>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</si>
  <si>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</si>
  <si>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</si>
  <si>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</si>
  <si>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</si>
  <si>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</si>
  <si>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</si>
  <si>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</si>
  <si>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</si>
  <si>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</si>
  <si>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</si>
  <si>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</si>
  <si>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</si>
  <si>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</si>
  <si>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</si>
  <si>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</si>
  <si>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</si>
  <si>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</si>
  <si>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</si>
  <si>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</si>
  <si>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</si>
  <si>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</si>
  <si>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</si>
  <si>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</si>
  <si>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</si>
  <si>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</si>
  <si>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</si>
  <si>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VALUE RECONCILIATION &amp; FINAL VALUE</t>
  </si>
  <si>
    <t>Enter a weight for each approach (they need not sum to 100%). Enter the Income Approach conclusion in F12 (there is no auto income build-up in this workbook). Optional overrides for Cost/Sales go in column F. The concluded value shows per SF and, for multifamily/hotel subjects, per unit/key.</t>
  </si>
  <si>
    <t>Subject Address</t>
  </si>
  <si>
    <t>Valuation Basis (auto)</t>
  </si>
  <si>
    <t>Total Building SF</t>
  </si>
  <si>
    <t>Total Units / Keys</t>
  </si>
  <si>
    <t>Approach</t>
  </si>
  <si>
    <t>Weight</t>
  </si>
  <si>
    <t>Weighted</t>
  </si>
  <si>
    <t>Override</t>
  </si>
  <si>
    <t>Sales comps (WO)</t>
  </si>
  <si>
    <t>Cost Approach (multi-building)</t>
  </si>
  <si>
    <t>Sales Comparison (WO grid)</t>
  </si>
  <si>
    <t>Income Approach (enter in F12)</t>
  </si>
  <si>
    <t>Weighted Indicated Value</t>
  </si>
  <si>
    <t>CONCLUDED VALUE (rounded)</t>
  </si>
  <si>
    <t xml:space="preserve">   per SF</t>
  </si>
  <si>
    <t xml:space="preserve">   per Unit / Key</t>
  </si>
  <si>
    <t>Price / Unit-Key</t>
  </si>
  <si>
    <t>Rent / Unit-Key</t>
  </si>
  <si>
    <t>5775 Franklin Street</t>
  </si>
  <si>
    <t>Other / Not Listed</t>
  </si>
  <si>
    <t>406 - Storage Warehouse</t>
  </si>
  <si>
    <t>473 - Equipment Building</t>
  </si>
  <si>
    <t>R0186704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</si>
</sst>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 numFmtId="200" formatCode="$#,##0"/>
    <numFmt numFmtId="201" formatCode="$#,##0.00"/>
    <numFmt numFmtId="202" formatCode="0.0%"/>
    <numFmt numFmtId="203" formatCode="0.00"/>
    <numFmt numFmtId="204" formatCode="#,##0.00"/>
  </numFmts>
  <fonts count="88">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color rgb="FFFFFFFF"/>
      <name val="Arial"/>
      <family val="2"/>
    </font>
    <font>
      <i/>
      <sz val="9"/>
      <name val="Helv"/>
    </font>
    <font>
      <i/>
      <sz val="9"/>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b/>
      <sz val="14"/>
      <name val="Calibri"/>
    </font>
    <font>
      <b/>
      <sz val="11"/>
      <color rgb="FFFFFFFF"/>
      <name val="Calibri"/>
    </font>
    <font>
      <b/>
      <sz val="11"/>
      <name val="Calibri"/>
    </font>
    <font>
      <sz val="11"/>
      <name val="Calibri"/>
    </font>
    <font>
      <sz val="11"/>
      <color rgb="FF0000FF"/>
      <name val="Calibri"/>
    </font>
    <font>
      <i/>
      <sz val="8"/>
      <color rgb="FF666666"/>
      <name val="Calibri"/>
    </font>
  </fonts>
  <fills count="23">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
      <patternFill patternType="solid">
        <fgColor rgb="FF1F3864"/>
      </patternFill>
    </fill>
    <fill>
      <patternFill patternType="solid">
        <fgColor rgb="FFFFF2CC"/>
      </patternFill>
    </fill>
    <fill>
      <patternFill patternType="solid">
        <fgColor rgb="FFD9D9D9"/>
      </patternFill>
    </fill>
    <fill>
      <patternFill patternType="solid">
        <fgColor rgb="FFE2EFDA"/>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
      <left style="thin">
        <color rgb="FFBFBFBF"/>
      </left>
      <right style="thin">
        <color rgb="FFBFBFBF"/>
      </right>
      <top style="thin">
        <color rgb="FFBFBFBF"/>
      </top>
      <bottom style="thin">
        <color rgb="FFBFBFBF"/>
      </bottom>
      <diagonal/>
    </border>
  </borders>
  <cellStyleXfs count="13">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cellStyleXfs>
  <cellXfs count="604">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69"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67"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6" fillId="7" borderId="0" xfId="0" applyFont="1" applyFill="1" applyAlignment="1">
      <alignment horizontal="center" vertical="center" wrapText="1"/>
    </xf>
    <xf numFmtId="0" fontId="66" fillId="7" borderId="0" xfId="0" quotePrefix="1" applyFont="1" applyFill="1" applyAlignment="1">
      <alignment horizontal="center" vertical="center" wrapText="1"/>
    </xf>
    <xf numFmtId="44" fontId="66" fillId="7" borderId="0" xfId="3" applyFont="1" applyFill="1" applyAlignment="1">
      <alignment horizontal="center" vertical="center" wrapText="1"/>
    </xf>
    <xf numFmtId="0" fontId="55" fillId="7" borderId="0" xfId="0" applyFont="1" applyFill="1" applyAlignment="1">
      <alignment horizontal="center" wrapText="1"/>
    </xf>
    <xf numFmtId="0" fontId="66" fillId="7" borderId="15" xfId="0" applyFont="1" applyFill="1" applyBorder="1" applyAlignment="1">
      <alignment horizontal="center" vertical="center" wrapText="1"/>
    </xf>
    <xf numFmtId="1" fontId="66" fillId="7" borderId="15" xfId="0" applyNumberFormat="1" applyFont="1" applyFill="1" applyBorder="1" applyAlignment="1">
      <alignment horizontal="center" vertical="center" wrapText="1"/>
    </xf>
    <xf numFmtId="171" fontId="66" fillId="7" borderId="15" xfId="0" applyNumberFormat="1" applyFont="1" applyFill="1" applyBorder="1" applyAlignment="1">
      <alignment horizontal="center" vertical="center" wrapText="1"/>
    </xf>
    <xf numFmtId="0" fontId="66" fillId="7" borderId="15" xfId="0" quotePrefix="1" applyFont="1" applyFill="1" applyBorder="1" applyAlignment="1">
      <alignment horizontal="center" vertical="center" wrapText="1"/>
    </xf>
    <xf numFmtId="3" fontId="66"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7"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6" fillId="7" borderId="0" xfId="0" applyFont="1" applyFill="1" applyAlignment="1">
      <alignment horizontal="center" vertical="top" wrapText="1"/>
    </xf>
    <xf numFmtId="0" fontId="66"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8" fillId="0" borderId="17" xfId="0" applyFont="1" applyBorder="1" applyAlignment="1">
      <alignment horizontal="left" vertical="center" indent="2"/>
    </xf>
    <xf numFmtId="0" fontId="67"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1" fillId="0" borderId="0" xfId="0" applyFont="1"/>
    <xf numFmtId="0" fontId="0" fillId="15" borderId="0" xfId="0" applyFill="1"/>
    <xf numFmtId="0" fontId="48" fillId="5" borderId="0" xfId="0" applyFont="1" applyFill="1"/>
    <xf numFmtId="0" fontId="47" fillId="0" borderId="22" xfId="0" applyFont="1" applyBorder="1"/>
    <xf numFmtId="0" fontId="72" fillId="0" borderId="22" xfId="0" applyFont="1" applyBorder="1"/>
    <xf numFmtId="0" fontId="67" fillId="0" borderId="0" xfId="0" applyFont="1"/>
    <xf numFmtId="0" fontId="73" fillId="0" borderId="0" xfId="0" applyFont="1"/>
    <xf numFmtId="0" fontId="0" fillId="0" borderId="22" xfId="0" applyBorder="1"/>
    <xf numFmtId="0" fontId="0" fillId="0" borderId="22" xfId="0" applyBorder="1" applyAlignment="1">
      <alignment vertical="top" wrapText="1"/>
    </xf>
    <xf numFmtId="0" fontId="74" fillId="15" borderId="0" xfId="0" quotePrefix="1" applyFont="1" applyFill="1" applyAlignment="1">
      <alignment horizontal="left" vertical="center"/>
    </xf>
    <xf numFmtId="0" fontId="74" fillId="15" borderId="0" xfId="0" applyFont="1" applyFill="1" applyAlignment="1">
      <alignment horizontal="left" vertical="center"/>
    </xf>
    <xf numFmtId="0" fontId="75" fillId="0" borderId="0" xfId="0" quotePrefix="1" applyFont="1" applyAlignment="1">
      <alignment horizontal="left" vertical="top" wrapText="1"/>
    </xf>
    <xf numFmtId="0" fontId="75" fillId="0" borderId="0" xfId="0" applyFont="1"/>
    <xf numFmtId="0" fontId="75" fillId="0" borderId="0" xfId="0" applyFont="1" applyAlignment="1">
      <alignment horizontal="left"/>
    </xf>
    <xf numFmtId="0" fontId="75" fillId="0" borderId="0" xfId="0" applyFont="1" applyAlignment="1">
      <alignment horizontal="left" indent="1"/>
    </xf>
    <xf numFmtId="0" fontId="76" fillId="0" borderId="19" xfId="0" applyFont="1" applyBorder="1" applyAlignment="1">
      <alignment vertical="top" wrapText="1"/>
    </xf>
    <xf numFmtId="0" fontId="77" fillId="5" borderId="24" xfId="0" applyFont="1" applyFill="1" applyBorder="1"/>
    <xf numFmtId="0" fontId="78" fillId="15" borderId="0" xfId="0" quotePrefix="1" applyFont="1" applyFill="1" applyAlignment="1">
      <alignment horizontal="left" vertical="center"/>
    </xf>
    <xf numFmtId="0" fontId="78" fillId="15" borderId="0" xfId="0" applyFont="1" applyFill="1" applyAlignment="1">
      <alignment horizontal="left" vertical="center"/>
    </xf>
    <xf numFmtId="0" fontId="61" fillId="5" borderId="24" xfId="0" applyFont="1" applyFill="1" applyBorder="1" applyAlignment="1">
      <alignment horizontal="left" vertical="center"/>
    </xf>
    <xf numFmtId="0" fontId="78" fillId="15" borderId="0" xfId="0" applyFont="1" applyFill="1" applyAlignment="1" applyProtection="1">
      <alignment horizontal="left" vertical="center"/>
      <protection locked="0"/>
    </xf>
    <xf numFmtId="0" fontId="78" fillId="16" borderId="1" xfId="0" applyFont="1" applyFill="1" applyBorder="1" applyAlignment="1">
      <alignment horizontal="left" vertical="center"/>
    </xf>
    <xf numFmtId="0" fontId="78" fillId="16" borderId="2" xfId="0" applyFont="1" applyFill="1" applyBorder="1" applyAlignment="1">
      <alignment horizontal="left" vertical="center"/>
    </xf>
    <xf numFmtId="0" fontId="78" fillId="16" borderId="3" xfId="0" applyFont="1" applyFill="1" applyBorder="1" applyAlignment="1">
      <alignment horizontal="left" vertical="center"/>
    </xf>
    <xf numFmtId="0" fontId="79" fillId="17" borderId="24" xfId="0" applyFont="1" applyFill="1" applyBorder="1" applyAlignment="1">
      <alignment horizontal="center" vertical="center" wrapText="1"/>
    </xf>
    <xf numFmtId="0" fontId="79" fillId="17" borderId="24" xfId="0" quotePrefix="1" applyFont="1" applyFill="1" applyBorder="1" applyAlignment="1">
      <alignment horizontal="center" vertical="center" wrapText="1"/>
    </xf>
    <xf numFmtId="49" fontId="61" fillId="5" borderId="24" xfId="0" applyNumberFormat="1" applyFont="1" applyFill="1" applyBorder="1" applyAlignment="1" applyProtection="1">
      <alignment horizontal="left" vertical="center"/>
      <protection locked="0"/>
    </xf>
    <xf numFmtId="0" fontId="61" fillId="5" borderId="24" xfId="0" applyFont="1" applyFill="1" applyBorder="1" applyAlignment="1" applyProtection="1">
      <alignment horizontal="right" vertical="center"/>
      <protection locked="0"/>
    </xf>
    <xf numFmtId="37" fontId="61" fillId="9" borderId="24" xfId="0" applyNumberFormat="1" applyFont="1" applyFill="1" applyBorder="1" applyAlignment="1" applyProtection="1">
      <alignment horizontal="right" vertical="center"/>
      <protection locked="0"/>
    </xf>
    <xf numFmtId="0" fontId="61" fillId="9" borderId="24" xfId="0" applyFont="1" applyFill="1" applyBorder="1" applyAlignment="1" applyProtection="1">
      <alignment horizontal="center" vertical="center"/>
      <protection locked="0"/>
    </xf>
    <xf numFmtId="7" fontId="61" fillId="5" borderId="24" xfId="0" applyNumberFormat="1" applyFont="1" applyFill="1" applyBorder="1" applyAlignment="1" applyProtection="1">
      <alignment horizontal="right" vertical="center"/>
      <protection locked="0"/>
    </xf>
    <xf numFmtId="0" fontId="61" fillId="5" borderId="24" xfId="0" applyFont="1" applyFill="1" applyBorder="1" applyAlignment="1">
      <alignment horizontal="right" vertical="center"/>
    </xf>
    <xf numFmtId="49" fontId="61" fillId="9" borderId="24" xfId="0" applyNumberFormat="1" applyFont="1" applyFill="1" applyBorder="1" applyAlignment="1" applyProtection="1">
      <alignment horizontal="left" vertical="center"/>
      <protection locked="0"/>
    </xf>
    <xf numFmtId="0" fontId="61" fillId="9" borderId="24" xfId="0" applyFont="1" applyFill="1" applyBorder="1" applyAlignment="1" applyProtection="1">
      <alignment horizontal="right" vertical="center"/>
      <protection locked="0"/>
    </xf>
    <xf numFmtId="37" fontId="61" fillId="9" borderId="24" xfId="0" applyNumberFormat="1" applyFont="1" applyFill="1" applyBorder="1" applyAlignment="1">
      <alignment horizontal="right" vertical="center"/>
    </xf>
    <xf numFmtId="9" fontId="61" fillId="5" borderId="24" xfId="0" applyNumberFormat="1" applyFont="1" applyFill="1" applyBorder="1" applyAlignment="1" applyProtection="1">
      <alignment horizontal="right" vertical="center"/>
      <protection locked="0"/>
    </xf>
    <xf numFmtId="49" fontId="61" fillId="5" borderId="24" xfId="0" applyNumberFormat="1" applyFont="1" applyFill="1" applyBorder="1" applyAlignment="1" applyProtection="1">
      <alignment horizontal="right" vertical="center"/>
      <protection locked="0"/>
    </xf>
    <xf numFmtId="7" fontId="61" fillId="0" borderId="24" xfId="0" applyNumberFormat="1" applyFont="1" applyBorder="1" applyAlignment="1">
      <alignment horizontal="right" vertical="center"/>
    </xf>
    <xf numFmtId="0" fontId="61" fillId="9" borderId="24" xfId="0" applyFont="1" applyFill="1" applyBorder="1" applyAlignment="1" applyProtection="1">
      <alignment horizontal="left" vertical="center"/>
      <protection locked="0"/>
    </xf>
    <xf numFmtId="0" fontId="61" fillId="5" borderId="24" xfId="0" applyFont="1" applyFill="1" applyBorder="1" applyAlignment="1" applyProtection="1">
      <alignment horizontal="center" vertical="center"/>
      <protection locked="0"/>
    </xf>
    <xf numFmtId="5" fontId="61" fillId="5" borderId="24" xfId="0" applyNumberFormat="1" applyFont="1" applyFill="1" applyBorder="1" applyAlignment="1" applyProtection="1">
      <alignment horizontal="right" vertical="center"/>
      <protection locked="0"/>
    </xf>
    <xf numFmtId="0" fontId="61" fillId="0" borderId="24" xfId="0" applyFont="1" applyBorder="1" applyAlignment="1">
      <alignment horizontal="left" vertical="center"/>
    </xf>
    <xf numFmtId="0" fontId="61" fillId="0" borderId="24" xfId="0" applyFont="1" applyBorder="1" applyAlignment="1">
      <alignment horizontal="right" vertical="center"/>
    </xf>
    <xf numFmtId="37" fontId="61" fillId="0" borderId="24" xfId="0" applyNumberFormat="1" applyFont="1" applyBorder="1" applyAlignment="1">
      <alignment horizontal="right" vertical="center"/>
    </xf>
    <xf numFmtId="0" fontId="61" fillId="0" borderId="24" xfId="0" applyFont="1" applyBorder="1" applyAlignment="1">
      <alignment horizontal="center" vertical="center"/>
    </xf>
    <xf numFmtId="170" fontId="61" fillId="0" borderId="24" xfId="0" applyNumberFormat="1" applyFont="1" applyBorder="1" applyAlignment="1">
      <alignment horizontal="right" vertical="center"/>
    </xf>
    <xf numFmtId="0" fontId="76" fillId="5" borderId="24" xfId="0" applyFont="1" applyFill="1" applyBorder="1" applyAlignment="1">
      <alignment horizontal="left" vertical="center"/>
    </xf>
    <xf numFmtId="5" fontId="61" fillId="0" borderId="24" xfId="0" applyNumberFormat="1" applyFont="1" applyBorder="1" applyAlignment="1">
      <alignment horizontal="right" vertical="center"/>
    </xf>
    <xf numFmtId="168" fontId="61" fillId="5" borderId="24" xfId="0" applyNumberFormat="1" applyFont="1" applyFill="1" applyBorder="1" applyAlignment="1" applyProtection="1">
      <alignment horizontal="right" vertical="center"/>
      <protection locked="0"/>
    </xf>
    <xf numFmtId="7" fontId="80" fillId="4" borderId="24" xfId="0" applyNumberFormat="1" applyFont="1" applyFill="1" applyBorder="1" applyAlignment="1">
      <alignment horizontal="right" vertical="center"/>
    </xf>
    <xf numFmtId="5" fontId="80" fillId="4" borderId="24" xfId="0" applyNumberFormat="1" applyFont="1" applyFill="1" applyBorder="1" applyAlignment="1">
      <alignment horizontal="right" vertical="center"/>
    </xf>
    <xf numFmtId="0" fontId="61" fillId="18" borderId="24" xfId="0" applyFont="1" applyFill="1" applyBorder="1" applyAlignment="1">
      <alignment horizontal="left" vertical="center"/>
    </xf>
    <xf numFmtId="0" fontId="61" fillId="18" borderId="24" xfId="0" applyFont="1" applyFill="1" applyBorder="1" applyAlignment="1">
      <alignment horizontal="right" vertical="center"/>
    </xf>
    <xf numFmtId="37" fontId="61" fillId="18" borderId="24" xfId="0" applyNumberFormat="1" applyFont="1" applyFill="1" applyBorder="1" applyAlignment="1">
      <alignment horizontal="right" vertical="center"/>
    </xf>
    <xf numFmtId="0" fontId="61" fillId="18" borderId="24" xfId="0" applyFont="1" applyFill="1" applyBorder="1" applyAlignment="1">
      <alignment horizontal="center" vertical="center"/>
    </xf>
    <xf numFmtId="170" fontId="61" fillId="18" borderId="24" xfId="0" applyNumberFormat="1" applyFont="1" applyFill="1" applyBorder="1" applyAlignment="1">
      <alignment horizontal="right" vertical="center"/>
    </xf>
    <xf numFmtId="7" fontId="61" fillId="18" borderId="24" xfId="0" applyNumberFormat="1" applyFont="1" applyFill="1" applyBorder="1" applyAlignment="1">
      <alignment horizontal="right" vertical="center"/>
    </xf>
    <xf numFmtId="5" fontId="61" fillId="18" borderId="24" xfId="0" applyNumberFormat="1" applyFont="1" applyFill="1" applyBorder="1" applyAlignment="1">
      <alignment horizontal="right" vertical="center"/>
    </xf>
    <xf numFmtId="0" fontId="78" fillId="16" borderId="11" xfId="0" applyFont="1" applyFill="1" applyBorder="1" applyAlignment="1">
      <alignment horizontal="left" vertical="center"/>
    </xf>
    <xf numFmtId="0" fontId="78" fillId="16" borderId="9" xfId="0" applyFont="1" applyFill="1" applyBorder="1" applyAlignment="1">
      <alignment horizontal="left" vertical="center"/>
    </xf>
    <xf numFmtId="0" fontId="78" fillId="16" borderId="10" xfId="0" applyFont="1" applyFill="1" applyBorder="1" applyAlignment="1">
      <alignment horizontal="left" vertical="center"/>
    </xf>
    <xf numFmtId="0" fontId="78" fillId="16" borderId="0" xfId="0" applyFont="1" applyFill="1" applyAlignment="1">
      <alignment horizontal="left" vertical="center"/>
    </xf>
    <xf numFmtId="39" fontId="61" fillId="0" borderId="24" xfId="0" applyNumberFormat="1" applyFont="1" applyBorder="1" applyAlignment="1">
      <alignment horizontal="right" vertical="center"/>
    </xf>
    <xf numFmtId="0" fontId="61" fillId="5" borderId="24" xfId="0" applyFont="1" applyFill="1" applyBorder="1" applyAlignment="1">
      <alignment horizontal="center" vertical="center"/>
    </xf>
    <xf numFmtId="9" fontId="61" fillId="0" borderId="24" xfId="0" applyNumberFormat="1" applyFont="1" applyBorder="1" applyAlignment="1">
      <alignment horizontal="right" vertical="center"/>
    </xf>
    <xf numFmtId="39" fontId="61" fillId="18" borderId="24" xfId="0" applyNumberFormat="1" applyFont="1" applyFill="1" applyBorder="1" applyAlignment="1">
      <alignment horizontal="right" vertical="center"/>
    </xf>
    <xf numFmtId="9" fontId="61" fillId="18" borderId="24" xfId="0" applyNumberFormat="1" applyFont="1" applyFill="1" applyBorder="1" applyAlignment="1">
      <alignment horizontal="right" vertical="center"/>
    </xf>
    <xf numFmtId="0" fontId="74" fillId="15" borderId="0" xfId="7" applyFont="1" applyFill="1" applyAlignment="1">
      <alignment horizontal="left" vertical="center"/>
    </xf>
    <xf numFmtId="0" fontId="78" fillId="16" borderId="0" xfId="7" applyFont="1" applyFill="1" applyAlignment="1">
      <alignment horizontal="left" vertical="center"/>
    </xf>
    <xf numFmtId="0" fontId="79" fillId="17" borderId="24" xfId="7" applyFont="1" applyFill="1" applyBorder="1" applyAlignment="1">
      <alignment horizontal="center" vertical="center" wrapText="1"/>
    </xf>
    <xf numFmtId="0" fontId="79" fillId="17" borderId="24" xfId="7" quotePrefix="1" applyFont="1" applyFill="1" applyBorder="1" applyAlignment="1">
      <alignment horizontal="center" vertical="center" wrapText="1"/>
    </xf>
    <xf numFmtId="0" fontId="61" fillId="5" borderId="24" xfId="7" applyFont="1" applyFill="1" applyBorder="1" applyAlignment="1" applyProtection="1">
      <alignment horizontal="left" vertical="center"/>
      <protection locked="0"/>
    </xf>
    <xf numFmtId="5" fontId="61" fillId="5" borderId="24" xfId="7" applyNumberFormat="1" applyFont="1" applyFill="1" applyBorder="1" applyAlignment="1" applyProtection="1">
      <alignment horizontal="right" vertical="center"/>
      <protection locked="0"/>
    </xf>
    <xf numFmtId="0" fontId="61" fillId="5" borderId="24" xfId="7" applyFont="1" applyFill="1" applyBorder="1" applyAlignment="1" applyProtection="1">
      <alignment horizontal="right" vertical="center"/>
      <protection locked="0"/>
    </xf>
    <xf numFmtId="0" fontId="61" fillId="5" borderId="24" xfId="7" applyFont="1" applyFill="1" applyBorder="1" applyAlignment="1" applyProtection="1">
      <alignment horizontal="centerContinuous" vertical="center"/>
      <protection locked="0"/>
    </xf>
    <xf numFmtId="7" fontId="61" fillId="0" borderId="24" xfId="7" applyNumberFormat="1" applyFont="1" applyBorder="1" applyAlignment="1" applyProtection="1">
      <alignment horizontal="right" vertical="center"/>
      <protection locked="0"/>
    </xf>
    <xf numFmtId="37" fontId="61" fillId="5" borderId="24" xfId="7" applyNumberFormat="1" applyFont="1" applyFill="1" applyBorder="1" applyAlignment="1" applyProtection="1">
      <alignment horizontal="right" vertical="center"/>
      <protection locked="0"/>
    </xf>
    <xf numFmtId="167" fontId="80" fillId="4" borderId="24" xfId="7" applyNumberFormat="1" applyFont="1" applyFill="1" applyBorder="1" applyAlignment="1" applyProtection="1">
      <alignment horizontal="right" vertical="center"/>
      <protection locked="0"/>
    </xf>
    <xf numFmtId="1" fontId="61" fillId="5" borderId="24" xfId="7" quotePrefix="1" applyNumberFormat="1" applyFont="1" applyFill="1" applyBorder="1" applyAlignment="1" applyProtection="1">
      <alignment horizontal="left" vertical="center"/>
      <protection locked="0"/>
    </xf>
    <xf numFmtId="2" fontId="61" fillId="5" borderId="24" xfId="7" applyNumberFormat="1" applyFont="1" applyFill="1" applyBorder="1" applyAlignment="1" applyProtection="1">
      <alignment horizontal="right" vertical="center"/>
      <protection locked="0"/>
    </xf>
    <xf numFmtId="17" fontId="61" fillId="5" borderId="24" xfId="7" applyNumberFormat="1" applyFont="1" applyFill="1" applyBorder="1" applyAlignment="1" applyProtection="1">
      <alignment horizontal="left" vertical="center"/>
      <protection locked="0"/>
    </xf>
    <xf numFmtId="7" fontId="61" fillId="5" borderId="24" xfId="7" applyNumberFormat="1" applyFont="1" applyFill="1" applyBorder="1" applyAlignment="1" applyProtection="1">
      <alignment horizontal="right" vertical="center"/>
      <protection locked="0"/>
    </xf>
    <xf numFmtId="172" fontId="80" fillId="4" borderId="24" xfId="7" applyNumberFormat="1" applyFont="1" applyFill="1" applyBorder="1" applyAlignment="1" applyProtection="1">
      <alignment horizontal="right" vertical="center"/>
      <protection locked="0"/>
    </xf>
    <xf numFmtId="167" fontId="61" fillId="5" borderId="24" xfId="7" applyNumberFormat="1" applyFont="1" applyFill="1" applyBorder="1" applyAlignment="1">
      <alignment horizontal="left" vertical="center"/>
    </xf>
    <xf numFmtId="0" fontId="61" fillId="0" borderId="24" xfId="7" applyFont="1" applyBorder="1" applyAlignment="1">
      <alignment horizontal="left" vertical="center"/>
    </xf>
    <xf numFmtId="5" fontId="61" fillId="0" borderId="24" xfId="7" applyNumberFormat="1" applyFont="1" applyBorder="1" applyAlignment="1">
      <alignment horizontal="right" vertical="center"/>
    </xf>
    <xf numFmtId="0" fontId="61" fillId="0" borderId="24" xfId="7" applyFont="1" applyBorder="1" applyAlignment="1">
      <alignment horizontal="right" vertical="center"/>
    </xf>
    <xf numFmtId="9" fontId="61" fillId="5" borderId="24" xfId="7" applyNumberFormat="1" applyFont="1" applyFill="1" applyBorder="1" applyAlignment="1">
      <alignment horizontal="right" vertical="center"/>
    </xf>
    <xf numFmtId="0" fontId="61" fillId="5" borderId="24" xfId="7" applyFont="1" applyFill="1" applyBorder="1" applyAlignment="1">
      <alignment horizontal="right" vertical="center"/>
    </xf>
    <xf numFmtId="7" fontId="61" fillId="0" borderId="24" xfId="7" applyNumberFormat="1" applyFont="1" applyBorder="1" applyAlignment="1">
      <alignment horizontal="right" vertical="center"/>
    </xf>
    <xf numFmtId="37" fontId="61" fillId="0" borderId="24" xfId="7" applyNumberFormat="1" applyFont="1" applyBorder="1" applyAlignment="1">
      <alignment horizontal="right" vertical="center"/>
    </xf>
    <xf numFmtId="0" fontId="61" fillId="0" borderId="24" xfId="7" quotePrefix="1" applyFont="1" applyBorder="1" applyAlignment="1">
      <alignment horizontal="right" vertical="center"/>
    </xf>
    <xf numFmtId="167" fontId="80" fillId="4" borderId="24" xfId="7" applyNumberFormat="1" applyFont="1" applyFill="1" applyBorder="1" applyAlignment="1">
      <alignment horizontal="right" vertical="center"/>
    </xf>
    <xf numFmtId="5" fontId="61" fillId="5" borderId="24" xfId="7" applyNumberFormat="1" applyFont="1" applyFill="1" applyBorder="1" applyAlignment="1">
      <alignment horizontal="right" vertical="center"/>
    </xf>
    <xf numFmtId="0" fontId="61" fillId="0" borderId="24" xfId="7" quotePrefix="1" applyFont="1" applyBorder="1" applyAlignment="1">
      <alignment horizontal="left" vertical="center"/>
    </xf>
    <xf numFmtId="170" fontId="61" fillId="0" borderId="24" xfId="7" applyNumberFormat="1" applyFont="1" applyBorder="1" applyAlignment="1">
      <alignment horizontal="left" vertical="center"/>
    </xf>
    <xf numFmtId="168" fontId="61" fillId="5" borderId="24" xfId="7" applyNumberFormat="1" applyFont="1" applyFill="1" applyBorder="1" applyAlignment="1">
      <alignment horizontal="right" vertical="center"/>
    </xf>
    <xf numFmtId="172" fontId="80" fillId="4" borderId="24" xfId="7" applyNumberFormat="1" applyFont="1" applyFill="1" applyBorder="1" applyAlignment="1">
      <alignment horizontal="right" vertical="center"/>
    </xf>
    <xf numFmtId="0" fontId="61" fillId="18" borderId="24" xfId="7" applyFont="1" applyFill="1" applyBorder="1" applyAlignment="1">
      <alignment horizontal="left" vertical="center"/>
    </xf>
    <xf numFmtId="5" fontId="61" fillId="18" borderId="24" xfId="7" applyNumberFormat="1" applyFont="1" applyFill="1" applyBorder="1" applyAlignment="1">
      <alignment horizontal="right" vertical="center"/>
    </xf>
    <xf numFmtId="0" fontId="61" fillId="18" borderId="24" xfId="7" applyFont="1" applyFill="1" applyBorder="1" applyAlignment="1">
      <alignment horizontal="right" vertical="center"/>
    </xf>
    <xf numFmtId="10" fontId="61" fillId="5" borderId="24" xfId="7" applyNumberFormat="1" applyFont="1" applyFill="1" applyBorder="1" applyAlignment="1">
      <alignment horizontal="right" vertical="center"/>
    </xf>
    <xf numFmtId="7" fontId="61" fillId="18" borderId="24" xfId="7" applyNumberFormat="1" applyFont="1" applyFill="1" applyBorder="1" applyAlignment="1">
      <alignment horizontal="right" vertical="center"/>
    </xf>
    <xf numFmtId="37" fontId="61" fillId="18" borderId="24" xfId="7" applyNumberFormat="1" applyFont="1" applyFill="1" applyBorder="1" applyAlignment="1">
      <alignment horizontal="right" vertical="center"/>
    </xf>
    <xf numFmtId="0" fontId="61" fillId="18" borderId="24" xfId="7" quotePrefix="1" applyFont="1" applyFill="1" applyBorder="1" applyAlignment="1">
      <alignment horizontal="left" vertical="center"/>
    </xf>
    <xf numFmtId="170" fontId="61" fillId="18" borderId="24" xfId="7" applyNumberFormat="1" applyFont="1" applyFill="1" applyBorder="1" applyAlignment="1">
      <alignment horizontal="left" vertical="center"/>
    </xf>
    <xf numFmtId="0" fontId="74" fillId="15" borderId="0" xfId="8" applyFont="1" applyFill="1" applyAlignment="1">
      <alignment horizontal="left" vertical="center"/>
    </xf>
    <xf numFmtId="0" fontId="78" fillId="16" borderId="0" xfId="8" applyFont="1" applyFill="1" applyAlignment="1">
      <alignment horizontal="left" vertical="center"/>
    </xf>
    <xf numFmtId="0" fontId="79" fillId="17" borderId="24" xfId="8" applyFont="1" applyFill="1" applyBorder="1" applyAlignment="1">
      <alignment horizontal="center" vertical="center" wrapText="1"/>
    </xf>
    <xf numFmtId="0" fontId="79" fillId="17" borderId="24" xfId="8" quotePrefix="1" applyFont="1" applyFill="1" applyBorder="1" applyAlignment="1">
      <alignment horizontal="center" vertical="center" wrapText="1"/>
    </xf>
    <xf numFmtId="0" fontId="61" fillId="0" borderId="24" xfId="8" applyFont="1" applyBorder="1" applyAlignment="1" applyProtection="1">
      <alignment horizontal="left" vertical="center"/>
      <protection locked="0"/>
    </xf>
    <xf numFmtId="167" fontId="61" fillId="5" borderId="24" xfId="8" applyNumberFormat="1" applyFont="1" applyFill="1" applyBorder="1" applyAlignment="1">
      <alignment horizontal="right" vertical="center"/>
    </xf>
    <xf numFmtId="0" fontId="61" fillId="0" borderId="24" xfId="8" applyFont="1" applyBorder="1" applyAlignment="1" applyProtection="1">
      <alignment horizontal="right" vertical="center"/>
      <protection locked="0"/>
    </xf>
    <xf numFmtId="0" fontId="61" fillId="5" borderId="24" xfId="8" applyFont="1" applyFill="1" applyBorder="1" applyAlignment="1" applyProtection="1">
      <alignment horizontal="right" vertical="center"/>
      <protection locked="0"/>
    </xf>
    <xf numFmtId="0" fontId="61" fillId="5" borderId="24" xfId="8" applyFont="1" applyFill="1" applyBorder="1" applyAlignment="1" applyProtection="1">
      <alignment horizontal="centerContinuous" vertical="center"/>
      <protection locked="0"/>
    </xf>
    <xf numFmtId="49" fontId="61" fillId="0" borderId="24" xfId="8" applyNumberFormat="1" applyFont="1" applyBorder="1" applyAlignment="1" applyProtection="1">
      <alignment horizontal="left" vertical="center"/>
      <protection locked="0"/>
    </xf>
    <xf numFmtId="168" fontId="61" fillId="5" borderId="24" xfId="8" applyNumberFormat="1" applyFont="1" applyFill="1" applyBorder="1" applyAlignment="1">
      <alignment horizontal="right" vertical="center"/>
    </xf>
    <xf numFmtId="3" fontId="61" fillId="0" borderId="24" xfId="8" applyNumberFormat="1" applyFont="1" applyBorder="1" applyAlignment="1" applyProtection="1">
      <alignment horizontal="right" vertical="center"/>
      <protection locked="0"/>
    </xf>
    <xf numFmtId="0" fontId="61" fillId="0" borderId="24" xfId="8" applyFont="1" applyBorder="1" applyAlignment="1">
      <alignment horizontal="right" vertical="center"/>
    </xf>
    <xf numFmtId="0" fontId="61" fillId="5" borderId="24" xfId="8" applyFont="1" applyFill="1" applyBorder="1" applyAlignment="1">
      <alignment horizontal="left" vertical="center"/>
    </xf>
    <xf numFmtId="167" fontId="61" fillId="0" borderId="24" xfId="8" applyNumberFormat="1" applyFont="1" applyBorder="1" applyAlignment="1">
      <alignment horizontal="right" vertical="center"/>
    </xf>
    <xf numFmtId="0" fontId="61" fillId="5" borderId="24" xfId="8" applyFont="1" applyFill="1" applyBorder="1" applyAlignment="1">
      <alignment horizontal="right" vertical="center"/>
    </xf>
    <xf numFmtId="9" fontId="61" fillId="0" borderId="24" xfId="8" applyNumberFormat="1" applyFont="1" applyBorder="1" applyAlignment="1">
      <alignment horizontal="right" vertical="center"/>
    </xf>
    <xf numFmtId="0" fontId="61" fillId="0" borderId="24" xfId="8" applyFont="1" applyBorder="1" applyAlignment="1">
      <alignment horizontal="left" vertical="center"/>
    </xf>
    <xf numFmtId="168" fontId="61" fillId="5" borderId="24" xfId="8" applyNumberFormat="1" applyFont="1" applyFill="1" applyBorder="1" applyAlignment="1" applyProtection="1">
      <alignment horizontal="right" vertical="center"/>
      <protection locked="0"/>
    </xf>
    <xf numFmtId="167" fontId="80" fillId="4" borderId="24" xfId="8" applyNumberFormat="1" applyFont="1" applyFill="1" applyBorder="1" applyAlignment="1">
      <alignment horizontal="left" vertical="center"/>
    </xf>
    <xf numFmtId="167" fontId="61" fillId="18" borderId="24" xfId="8" applyNumberFormat="1" applyFont="1" applyFill="1" applyBorder="1" applyAlignment="1">
      <alignment horizontal="right" vertical="center"/>
    </xf>
    <xf numFmtId="9" fontId="61" fillId="18" borderId="24" xfId="8" applyNumberFormat="1" applyFont="1" applyFill="1" applyBorder="1" applyAlignment="1">
      <alignment horizontal="right" vertical="center"/>
    </xf>
    <xf numFmtId="0" fontId="61" fillId="18" borderId="24" xfId="8" applyFont="1" applyFill="1" applyBorder="1" applyAlignment="1">
      <alignment horizontal="left" vertical="center"/>
    </xf>
    <xf numFmtId="0" fontId="79" fillId="17" borderId="24" xfId="6" quotePrefix="1" applyFont="1" applyFill="1" applyBorder="1" applyAlignment="1">
      <alignment horizontal="center" vertical="center" wrapText="1"/>
    </xf>
    <xf numFmtId="0" fontId="76" fillId="0" borderId="0" xfId="6" applyFont="1"/>
    <xf numFmtId="5" fontId="61" fillId="5" borderId="24" xfId="6" applyNumberFormat="1" applyFont="1" applyFill="1" applyBorder="1" applyAlignment="1">
      <alignment horizontal="left" vertical="center"/>
    </xf>
    <xf numFmtId="0" fontId="76" fillId="0" borderId="0" xfId="6" quotePrefix="1" applyFont="1" applyAlignment="1">
      <alignment horizontal="left"/>
    </xf>
    <xf numFmtId="0" fontId="17" fillId="0" borderId="26" xfId="6" applyBorder="1"/>
    <xf numFmtId="0" fontId="18" fillId="0" borderId="26" xfId="6" applyFont="1" applyBorder="1"/>
    <xf numFmtId="0" fontId="0" fillId="0" borderId="26" xfId="0" applyBorder="1"/>
    <xf numFmtId="0" fontId="76" fillId="0" borderId="13" xfId="6" applyFont="1" applyBorder="1"/>
    <xf numFmtId="0" fontId="76" fillId="0" borderId="12" xfId="6" applyFont="1" applyBorder="1"/>
    <xf numFmtId="0" fontId="78" fillId="16" borderId="16" xfId="6" applyFont="1" applyFill="1" applyBorder="1" applyAlignment="1">
      <alignment horizontal="left" vertical="center"/>
    </xf>
    <xf numFmtId="0" fontId="78" fillId="16" borderId="7" xfId="6" applyFont="1" applyFill="1" applyBorder="1" applyAlignment="1">
      <alignment horizontal="left" vertical="center"/>
    </xf>
    <xf numFmtId="0" fontId="78" fillId="16" borderId="7" xfId="6" quotePrefix="1" applyFont="1" applyFill="1" applyBorder="1" applyAlignment="1">
      <alignment horizontal="left" vertical="center"/>
    </xf>
    <xf numFmtId="0" fontId="78" fillId="16" borderId="8" xfId="6" quotePrefix="1" applyFont="1" applyFill="1" applyBorder="1" applyAlignment="1">
      <alignment horizontal="left" vertical="center"/>
    </xf>
    <xf numFmtId="0" fontId="79" fillId="17" borderId="24" xfId="6" applyFont="1" applyFill="1" applyBorder="1" applyAlignment="1">
      <alignment horizontal="center" vertical="center" wrapText="1"/>
    </xf>
    <xf numFmtId="0" fontId="76" fillId="5" borderId="24" xfId="6" applyFont="1" applyFill="1" applyBorder="1" applyAlignment="1">
      <alignment horizontal="left" vertical="center"/>
    </xf>
    <xf numFmtId="0" fontId="61" fillId="5" borderId="24" xfId="6" applyFont="1" applyFill="1" applyBorder="1" applyAlignment="1">
      <alignment horizontal="left" vertical="center"/>
    </xf>
    <xf numFmtId="0" fontId="61" fillId="5" borderId="24" xfId="6" applyFont="1" applyFill="1" applyBorder="1" applyAlignment="1">
      <alignment horizontal="center" vertical="center"/>
    </xf>
    <xf numFmtId="0" fontId="61" fillId="5" borderId="24" xfId="6" quotePrefix="1" applyFont="1" applyFill="1" applyBorder="1" applyAlignment="1">
      <alignment horizontal="right" vertical="center"/>
    </xf>
    <xf numFmtId="0" fontId="61" fillId="5" borderId="24" xfId="6" applyFont="1" applyFill="1" applyBorder="1" applyAlignment="1" applyProtection="1">
      <alignment horizontal="left" vertical="center"/>
      <protection locked="0"/>
    </xf>
    <xf numFmtId="0" fontId="61" fillId="5" borderId="24" xfId="6" applyFont="1" applyFill="1" applyBorder="1" applyAlignment="1" applyProtection="1">
      <alignment horizontal="center" vertical="center"/>
      <protection locked="0"/>
    </xf>
    <xf numFmtId="7" fontId="61" fillId="5" borderId="24" xfId="6" applyNumberFormat="1" applyFont="1" applyFill="1" applyBorder="1" applyAlignment="1">
      <alignment horizontal="left" vertical="center"/>
    </xf>
    <xf numFmtId="9" fontId="61" fillId="5" borderId="24" xfId="6" applyNumberFormat="1" applyFont="1" applyFill="1" applyBorder="1" applyAlignment="1" applyProtection="1">
      <alignment horizontal="left" vertical="center"/>
      <protection locked="0"/>
    </xf>
    <xf numFmtId="0" fontId="61" fillId="0" borderId="24" xfId="6" applyFont="1" applyBorder="1" applyAlignment="1">
      <alignment horizontal="left" vertical="center"/>
    </xf>
    <xf numFmtId="0" fontId="61" fillId="0" borderId="24" xfId="6" applyFont="1" applyBorder="1" applyAlignment="1">
      <alignment horizontal="center" vertical="center"/>
    </xf>
    <xf numFmtId="37" fontId="61" fillId="0" borderId="24" xfId="6" applyNumberFormat="1" applyFont="1" applyBorder="1" applyAlignment="1">
      <alignment horizontal="left" vertical="center"/>
    </xf>
    <xf numFmtId="37" fontId="61" fillId="5" borderId="24" xfId="6" applyNumberFormat="1" applyFont="1" applyFill="1" applyBorder="1" applyAlignment="1">
      <alignment horizontal="left" vertical="center"/>
    </xf>
    <xf numFmtId="7" fontId="61" fillId="0" borderId="24" xfId="6" applyNumberFormat="1" applyFont="1" applyBorder="1" applyAlignment="1">
      <alignment horizontal="left" vertical="center"/>
    </xf>
    <xf numFmtId="9" fontId="61" fillId="0" borderId="24" xfId="6" applyNumberFormat="1" applyFont="1" applyBorder="1" applyAlignment="1">
      <alignment horizontal="left" vertical="center"/>
    </xf>
    <xf numFmtId="0" fontId="61" fillId="18" borderId="24" xfId="6" applyFont="1" applyFill="1" applyBorder="1" applyAlignment="1">
      <alignment horizontal="left" vertical="center"/>
    </xf>
    <xf numFmtId="0" fontId="61" fillId="18" borderId="24" xfId="6" applyFont="1" applyFill="1" applyBorder="1" applyAlignment="1">
      <alignment horizontal="center" vertical="center"/>
    </xf>
    <xf numFmtId="37" fontId="61" fillId="18" borderId="24" xfId="6" applyNumberFormat="1" applyFont="1" applyFill="1" applyBorder="1" applyAlignment="1">
      <alignment horizontal="left" vertical="center"/>
    </xf>
    <xf numFmtId="7" fontId="61" fillId="18" borderId="24" xfId="6" applyNumberFormat="1" applyFont="1" applyFill="1" applyBorder="1" applyAlignment="1">
      <alignment horizontal="left" vertical="center"/>
    </xf>
    <xf numFmtId="9" fontId="61" fillId="18" borderId="24" xfId="6" applyNumberFormat="1" applyFont="1" applyFill="1" applyBorder="1" applyAlignment="1">
      <alignment horizontal="left" vertical="center"/>
    </xf>
    <xf numFmtId="0" fontId="78" fillId="16" borderId="8" xfId="6" applyFont="1" applyFill="1" applyBorder="1" applyAlignment="1">
      <alignment horizontal="left" vertical="center"/>
    </xf>
    <xf numFmtId="167" fontId="61" fillId="0" borderId="24" xfId="6" applyNumberFormat="1" applyFont="1" applyBorder="1" applyAlignment="1">
      <alignment horizontal="left" vertical="center"/>
    </xf>
    <xf numFmtId="170" fontId="61" fillId="0" borderId="24" xfId="6" applyNumberFormat="1" applyFont="1" applyBorder="1" applyAlignment="1">
      <alignment horizontal="right" vertical="center"/>
    </xf>
    <xf numFmtId="5" fontId="61" fillId="0" borderId="24" xfId="6" applyNumberFormat="1" applyFont="1" applyBorder="1" applyAlignment="1">
      <alignment horizontal="left" vertical="center"/>
    </xf>
    <xf numFmtId="170" fontId="61" fillId="18" borderId="24" xfId="6" applyNumberFormat="1" applyFont="1" applyFill="1" applyBorder="1" applyAlignment="1">
      <alignment horizontal="right" vertical="center"/>
    </xf>
    <xf numFmtId="5" fontId="61" fillId="18" borderId="24" xfId="6" applyNumberFormat="1" applyFont="1" applyFill="1" applyBorder="1" applyAlignment="1">
      <alignment horizontal="left" vertical="center"/>
    </xf>
    <xf numFmtId="0" fontId="74" fillId="15" borderId="0" xfId="9" applyFont="1" applyFill="1" applyAlignment="1">
      <alignment horizontal="left" vertical="center"/>
    </xf>
    <xf numFmtId="0" fontId="76" fillId="0" borderId="0" xfId="9" applyFont="1"/>
    <xf numFmtId="0" fontId="61" fillId="5" borderId="24" xfId="9" applyFont="1" applyFill="1" applyBorder="1" applyAlignment="1">
      <alignment horizontal="left"/>
    </xf>
    <xf numFmtId="0" fontId="61" fillId="5" borderId="24" xfId="9" applyFont="1" applyFill="1" applyBorder="1"/>
    <xf numFmtId="0" fontId="76" fillId="0" borderId="0" xfId="9" quotePrefix="1" applyFont="1" applyAlignment="1">
      <alignment horizontal="left"/>
    </xf>
    <xf numFmtId="0" fontId="78" fillId="16" borderId="16" xfId="9" applyFont="1" applyFill="1" applyBorder="1" applyAlignment="1">
      <alignment horizontal="left" vertical="center"/>
    </xf>
    <xf numFmtId="0" fontId="78" fillId="16" borderId="7" xfId="9" applyFont="1" applyFill="1" applyBorder="1" applyAlignment="1">
      <alignment horizontal="left" vertical="center"/>
    </xf>
    <xf numFmtId="0" fontId="78" fillId="16" borderId="7" xfId="9" quotePrefix="1" applyFont="1" applyFill="1" applyBorder="1" applyAlignment="1">
      <alignment horizontal="left" vertical="center"/>
    </xf>
    <xf numFmtId="0" fontId="78" fillId="16" borderId="8" xfId="9" quotePrefix="1" applyFont="1" applyFill="1" applyBorder="1" applyAlignment="1">
      <alignment horizontal="left" vertical="center"/>
    </xf>
    <xf numFmtId="0" fontId="79" fillId="17" borderId="24" xfId="9" applyFont="1" applyFill="1" applyBorder="1" applyAlignment="1">
      <alignment horizontal="center" vertical="center" wrapText="1"/>
    </xf>
    <xf numFmtId="0" fontId="79" fillId="17" borderId="24" xfId="9" quotePrefix="1" applyFont="1" applyFill="1" applyBorder="1" applyAlignment="1">
      <alignment horizontal="center" vertical="center" wrapText="1"/>
    </xf>
    <xf numFmtId="0" fontId="76" fillId="5" borderId="24" xfId="9" applyFont="1" applyFill="1" applyBorder="1" applyAlignment="1">
      <alignment horizontal="left" vertical="center"/>
    </xf>
    <xf numFmtId="0" fontId="61" fillId="5" borderId="24" xfId="9" applyFont="1" applyFill="1" applyBorder="1" applyAlignment="1">
      <alignment horizontal="left" vertical="center"/>
    </xf>
    <xf numFmtId="0" fontId="61" fillId="5" borderId="24" xfId="9" applyFont="1" applyFill="1" applyBorder="1" applyAlignment="1">
      <alignment horizontal="center" vertical="center"/>
    </xf>
    <xf numFmtId="0" fontId="61" fillId="5" borderId="24" xfId="9" quotePrefix="1" applyFont="1" applyFill="1" applyBorder="1" applyAlignment="1">
      <alignment horizontal="right" vertical="center"/>
    </xf>
    <xf numFmtId="0" fontId="61" fillId="0" borderId="24" xfId="9" applyFont="1" applyBorder="1" applyAlignment="1" applyProtection="1">
      <alignment horizontal="center" vertical="center"/>
      <protection locked="0"/>
    </xf>
    <xf numFmtId="5" fontId="61" fillId="5" borderId="24" xfId="9" applyNumberFormat="1" applyFont="1" applyFill="1" applyBorder="1" applyAlignment="1">
      <alignment horizontal="left" vertical="center"/>
    </xf>
    <xf numFmtId="0" fontId="61" fillId="5" borderId="24" xfId="9" applyFont="1" applyFill="1" applyBorder="1" applyAlignment="1" applyProtection="1">
      <alignment horizontal="center" vertical="center"/>
      <protection locked="0"/>
    </xf>
    <xf numFmtId="37" fontId="61" fillId="5" borderId="24" xfId="9" applyNumberFormat="1" applyFont="1" applyFill="1" applyBorder="1" applyAlignment="1" applyProtection="1">
      <alignment horizontal="left" vertical="center"/>
      <protection locked="0"/>
    </xf>
    <xf numFmtId="9" fontId="61" fillId="5" borderId="24" xfId="9" applyNumberFormat="1" applyFont="1" applyFill="1" applyBorder="1" applyAlignment="1" applyProtection="1">
      <alignment horizontal="left" vertical="center"/>
      <protection locked="0"/>
    </xf>
    <xf numFmtId="0" fontId="78" fillId="16" borderId="8" xfId="9" applyFont="1" applyFill="1" applyBorder="1" applyAlignment="1">
      <alignment horizontal="left" vertical="center"/>
    </xf>
    <xf numFmtId="0" fontId="61" fillId="0" borderId="24" xfId="9" applyFont="1" applyBorder="1" applyAlignment="1">
      <alignment horizontal="center" vertical="center"/>
    </xf>
    <xf numFmtId="37" fontId="61" fillId="0" borderId="24" xfId="9" applyNumberFormat="1" applyFont="1" applyBorder="1" applyAlignment="1">
      <alignment horizontal="left" vertical="center"/>
    </xf>
    <xf numFmtId="7" fontId="61" fillId="5" borderId="24" xfId="9" applyNumberFormat="1" applyFont="1" applyFill="1" applyBorder="1" applyAlignment="1">
      <alignment horizontal="left" vertical="center"/>
    </xf>
    <xf numFmtId="7" fontId="61" fillId="0" borderId="24" xfId="9" applyNumberFormat="1" applyFont="1" applyBorder="1" applyAlignment="1">
      <alignment horizontal="left" vertical="center"/>
    </xf>
    <xf numFmtId="170" fontId="61" fillId="0" borderId="24" xfId="9" applyNumberFormat="1" applyFont="1" applyBorder="1" applyAlignment="1">
      <alignment horizontal="right" vertical="center"/>
    </xf>
    <xf numFmtId="5" fontId="61" fillId="0" borderId="24" xfId="9" applyNumberFormat="1" applyFont="1" applyBorder="1" applyAlignment="1">
      <alignment horizontal="left" vertical="center"/>
    </xf>
    <xf numFmtId="0" fontId="61" fillId="18" borderId="24" xfId="9" applyFont="1" applyFill="1" applyBorder="1" applyAlignment="1">
      <alignment horizontal="center" vertical="center"/>
    </xf>
    <xf numFmtId="37" fontId="61" fillId="18" borderId="24" xfId="9" applyNumberFormat="1" applyFont="1" applyFill="1" applyBorder="1" applyAlignment="1">
      <alignment horizontal="left" vertical="center"/>
    </xf>
    <xf numFmtId="170" fontId="61" fillId="18" borderId="24" xfId="9" applyNumberFormat="1" applyFont="1" applyFill="1" applyBorder="1" applyAlignment="1">
      <alignment horizontal="right" vertical="center"/>
    </xf>
    <xf numFmtId="5" fontId="61" fillId="18" borderId="24" xfId="9" applyNumberFormat="1" applyFont="1" applyFill="1" applyBorder="1" applyAlignment="1">
      <alignment horizontal="left" vertical="center"/>
    </xf>
    <xf numFmtId="7" fontId="61" fillId="18" borderId="24" xfId="9" applyNumberFormat="1" applyFont="1" applyFill="1" applyBorder="1" applyAlignment="1">
      <alignment horizontal="left" vertical="center"/>
    </xf>
    <xf numFmtId="0" fontId="78" fillId="16" borderId="0" xfId="9" quotePrefix="1" applyFont="1" applyFill="1" applyAlignment="1">
      <alignment horizontal="left" vertical="center"/>
    </xf>
    <xf numFmtId="0" fontId="81" fillId="0" borderId="0" xfId="9" applyFont="1"/>
    <xf numFmtId="0" fontId="81" fillId="0" borderId="0" xfId="0" applyFont="1"/>
    <xf numFmtId="0" fontId="74" fillId="15" borderId="0" xfId="0" applyFont="1" applyFill="1"/>
    <xf numFmtId="0" fontId="76" fillId="0" borderId="0" xfId="0" applyFont="1"/>
    <xf numFmtId="0" fontId="78" fillId="16" borderId="0" xfId="0" applyFont="1" applyFill="1"/>
    <xf numFmtId="3" fontId="61" fillId="5" borderId="24" xfId="6" applyNumberFormat="1" applyFont="1" applyFill="1" applyBorder="1" applyAlignment="1" applyProtection="1">
      <alignment horizontal="left" vertical="center"/>
      <protection locked="0"/>
    </xf>
    <xf numFmtId="167" fontId="61" fillId="5" borderId="24" xfId="6" applyNumberFormat="1" applyFont="1" applyFill="1" applyBorder="1" applyAlignment="1">
      <alignment horizontal="left" vertical="center"/>
    </xf>
    <xf numFmtId="0" fontId="0" fillId="8" borderId="0" xfId="0" applyFill="1"/>
    <xf numFmtId="0" fontId="57" fillId="13" borderId="0" xfId="0" applyFont="1" applyFill="1" applyAlignment="1">
      <alignment horizontal="center" vertical="center"/>
    </xf>
    <xf numFmtId="0" fontId="0" fillId="0" borderId="0" xfId="0"/>
    <xf numFmtId="0" fontId="62" fillId="7" borderId="0" xfId="0" applyFont="1" applyFill="1" applyAlignment="1">
      <alignment horizontal="center" vertical="center"/>
    </xf>
    <xf numFmtId="0" fontId="54" fillId="0" borderId="0" xfId="0" applyFont="1" applyAlignment="1">
      <alignment vertical="top" wrapText="1"/>
    </xf>
    <xf numFmtId="0" fontId="41" fillId="7" borderId="0" xfId="0" applyFont="1" applyFill="1"/>
    <xf numFmtId="0" fontId="68" fillId="0" borderId="0" xfId="0" applyFont="1" applyAlignment="1">
      <alignment wrapText="1"/>
    </xf>
    <xf numFmtId="0" fontId="54" fillId="0" borderId="0" xfId="0" applyFont="1" applyAlignment="1">
      <alignment wrapText="1"/>
    </xf>
    <xf numFmtId="0" fontId="75" fillId="0" borderId="0" xfId="0" quotePrefix="1" applyFont="1" applyAlignment="1">
      <alignment horizontal="left" vertical="top" wrapText="1"/>
    </xf>
    <xf numFmtId="0" fontId="20" fillId="0" borderId="0" xfId="0" applyFont="1"/>
    <xf numFmtId="0" fontId="61" fillId="5" borderId="25" xfId="0" applyFont="1" applyFill="1" applyBorder="1" applyAlignment="1" applyProtection="1">
      <alignment horizontal="left" vertical="top" wrapText="1"/>
      <protection locked="0"/>
    </xf>
    <xf numFmtId="0" fontId="0" fillId="0" borderId="27" xfId="0" applyBorder="1" applyProtection="1">
      <protection locked="0"/>
    </xf>
    <xf numFmtId="0" fontId="0" fillId="0" borderId="29" xfId="0" applyBorder="1" applyProtection="1">
      <protection locked="0"/>
    </xf>
    <xf numFmtId="0" fontId="0" fillId="0" borderId="28" xfId="0" applyBorder="1" applyProtection="1">
      <protection locked="0"/>
    </xf>
    <xf numFmtId="0" fontId="0" fillId="0" borderId="0" xfId="0" applyProtection="1">
      <protection locked="0"/>
    </xf>
    <xf numFmtId="0" fontId="0" fillId="0" borderId="30" xfId="0" applyBorder="1"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76" fillId="5" borderId="24" xfId="7" quotePrefix="1" applyFont="1" applyFill="1" applyBorder="1" applyAlignment="1">
      <alignment horizontal="left" vertical="center"/>
    </xf>
    <xf numFmtId="0" fontId="0" fillId="0" borderId="34" xfId="0" applyBorder="1"/>
    <xf numFmtId="0" fontId="0" fillId="0" borderId="35" xfId="0" applyBorder="1"/>
    <xf numFmtId="0" fontId="76" fillId="5" borderId="24" xfId="8" quotePrefix="1" applyFont="1" applyFill="1" applyBorder="1" applyAlignment="1">
      <alignment horizontal="left" vertical="center"/>
    </xf>
    <xf numFmtId="0" fontId="61" fillId="5" borderId="24" xfId="0" applyFont="1" applyFill="1" applyBorder="1"/>
    <xf numFmtId="0" fontId="0" fillId="0" borderId="24" xfId="0" applyBorder="1"/>
    <xf numFmtId="0" fontId="79" fillId="17" borderId="24" xfId="6" quotePrefix="1" applyFont="1" applyFill="1" applyBorder="1" applyAlignment="1">
      <alignment horizontal="center" vertical="center" wrapText="1"/>
    </xf>
    <xf numFmtId="0" fontId="0" fillId="0" borderId="36" xfId="0" applyBorder="1"/>
    <xf numFmtId="172" fontId="61" fillId="5" borderId="24" xfId="6" applyNumberFormat="1" applyFont="1" applyFill="1" applyBorder="1" applyAlignment="1" applyProtection="1">
      <alignment horizontal="right" vertical="center"/>
      <protection locked="0"/>
    </xf>
    <xf numFmtId="0" fontId="0" fillId="0" borderId="36" xfId="0" applyBorder="1" applyProtection="1">
      <protection locked="0"/>
    </xf>
    <xf numFmtId="5" fontId="61" fillId="0" borderId="24" xfId="6" applyNumberFormat="1" applyFont="1" applyBorder="1" applyAlignment="1">
      <alignment horizontal="right" vertical="center"/>
    </xf>
    <xf numFmtId="0" fontId="0" fillId="0" borderId="37" xfId="0" applyBorder="1"/>
    <xf numFmtId="0" fontId="0" fillId="0" borderId="37" xfId="0" applyBorder="1" applyProtection="1">
      <protection locked="0"/>
    </xf>
    <xf numFmtId="0" fontId="61" fillId="5" borderId="24" xfId="6" applyFont="1" applyFill="1" applyBorder="1" applyAlignment="1" applyProtection="1">
      <alignment horizontal="left" vertical="center"/>
      <protection locked="0"/>
    </xf>
    <xf numFmtId="5" fontId="80" fillId="4" borderId="24" xfId="6" applyNumberFormat="1" applyFont="1" applyFill="1" applyBorder="1" applyAlignment="1">
      <alignment horizontal="left" vertical="center"/>
    </xf>
    <xf numFmtId="0" fontId="61" fillId="5" borderId="25" xfId="0" applyFont="1" applyFill="1" applyBorder="1" applyAlignment="1">
      <alignment horizontal="left" vertical="top" wrapText="1"/>
    </xf>
    <xf numFmtId="0" fontId="0" fillId="0" borderId="27" xfId="0" applyBorder="1"/>
    <xf numFmtId="0" fontId="0" fillId="0" borderId="29" xfId="0" applyBorder="1"/>
    <xf numFmtId="0" fontId="0" fillId="0" borderId="28" xfId="0" applyBorder="1"/>
    <xf numFmtId="0" fontId="17" fillId="0" borderId="0" xfId="6"/>
    <xf numFmtId="0" fontId="0" fillId="0" borderId="30" xfId="0" applyBorder="1"/>
    <xf numFmtId="0" fontId="0" fillId="0" borderId="31" xfId="0" applyBorder="1"/>
    <xf numFmtId="0" fontId="0" fillId="0" borderId="32" xfId="0" applyBorder="1"/>
    <xf numFmtId="0" fontId="0" fillId="0" borderId="33" xfId="0" applyBorder="1"/>
    <xf numFmtId="172" fontId="61" fillId="0" borderId="24" xfId="6" applyNumberFormat="1" applyFont="1" applyBorder="1" applyAlignment="1">
      <alignment horizontal="right" vertical="center"/>
    </xf>
    <xf numFmtId="0" fontId="61" fillId="0" borderId="24" xfId="0" applyFont="1" applyBorder="1"/>
    <xf numFmtId="172" fontId="61" fillId="5" borderId="24" xfId="9" applyNumberFormat="1" applyFont="1" applyFill="1" applyBorder="1" applyAlignment="1">
      <alignment horizontal="right"/>
    </xf>
    <xf numFmtId="0" fontId="61" fillId="5" borderId="25" xfId="9" applyFont="1" applyFill="1" applyBorder="1" applyAlignment="1">
      <alignment horizontal="left" vertical="top" wrapText="1"/>
    </xf>
    <xf numFmtId="0" fontId="1" fillId="0" borderId="0" xfId="9" applyFont="1"/>
    <xf numFmtId="0" fontId="61" fillId="18" borderId="24" xfId="6" applyFont="1" applyFill="1" applyBorder="1" applyAlignment="1">
      <alignment horizontal="left" vertical="center"/>
    </xf>
    <xf numFmtId="0" fontId="61" fillId="0" borderId="24" xfId="9" applyFont="1" applyBorder="1" applyAlignment="1">
      <alignment horizontal="left" vertical="center"/>
    </xf>
    <xf numFmtId="0" fontId="61" fillId="0" borderId="24" xfId="9" applyFont="1" applyBorder="1" applyAlignment="1" applyProtection="1">
      <alignment horizontal="left" vertical="center"/>
      <protection locked="0"/>
    </xf>
    <xf numFmtId="0" fontId="61" fillId="0" borderId="24" xfId="6" applyFont="1" applyBorder="1" applyAlignment="1">
      <alignment horizontal="left" vertical="center"/>
    </xf>
    <xf numFmtId="0" fontId="61" fillId="5" borderId="24" xfId="9" applyFont="1" applyFill="1" applyBorder="1" applyAlignment="1" applyProtection="1">
      <alignment horizontal="left" vertical="center"/>
      <protection locked="0"/>
    </xf>
    <xf numFmtId="0" fontId="61" fillId="18" borderId="24" xfId="9" applyFont="1" applyFill="1" applyBorder="1" applyAlignment="1">
      <alignment horizontal="left" vertical="center"/>
    </xf>
    <xf numFmtId="0" fontId="70"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42" fillId="0" borderId="0" xfId="0" applyFont="1"/>
    <xf numFmtId="0" fontId="0" fillId="0" borderId="0" xfId="0" applyAlignment="1">
      <alignment vertical="top" wrapText="1"/>
    </xf>
    <xf numFmtId="0" fontId="72" fillId="0" borderId="38" xfId="0" applyFont="1" applyBorder="1"/>
    <xf numFmtId="0" fontId="0" fillId="0" borderId="23" xfId="0" applyBorder="1"/>
    <xf numFmtId="0" fontId="56"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8" fontId="45" fillId="0" borderId="17" xfId="0" applyNumberFormat="1" applyFont="1" applyBorder="1" applyAlignment="1">
      <alignment vertical="center"/>
    </xf>
    <xf numFmtId="0" fontId="0" fillId="0" borderId="17" xfId="0" applyFont="1" applyBorder="1" applyAlignment="1">
      <alignment horizontal="left" vertical="center" indent="2"/>
    </xf>
    <xf numFmtId="0" fontId="82" fillId="0" borderId="0" xfId="0" applyFont="1" applyNumberFormat="1"/>
    <xf numFmtId="0" fontId="83" fillId="19" borderId="0" xfId="0" applyFont="1" applyNumberFormat="1" applyFill="1"/>
    <xf numFmtId="0" fontId="85" fillId="0" borderId="0" xfId="0" applyFont="1" applyNumberFormat="1"/>
    <xf numFmtId="0" fontId="84" fillId="0" borderId="0" xfId="0" applyFont="1" applyNumberFormat="1"/>
    <xf numFmtId="0" fontId="85" fillId="0" borderId="39" xfId="0" applyFont="1" applyNumberFormat="1" applyBorder="1"/>
    <xf numFmtId="0" fontId="87" fillId="0" borderId="0" xfId="0" applyFont="1" applyNumberFormat="1"/>
    <xf numFmtId="0" fontId="84" fillId="21" borderId="39" xfId="0" applyFont="1" applyNumberFormat="1" applyFill="1" applyBorder="1" applyAlignment="1">
      <alignment horizontal="center" vertical="center"/>
    </xf>
    <xf numFmtId="0" fontId="86" fillId="20" borderId="39" xfId="0" applyFont="1" applyNumberFormat="1" applyFill="1" applyBorder="1"/>
    <xf numFmtId="200" fontId="86" fillId="20" borderId="39" xfId="0" applyFont="1" applyNumberFormat="1" applyFill="1" applyBorder="1" applyAlignment="1">
      <alignment horizontal="right" vertical="center"/>
    </xf>
    <xf numFmtId="201" fontId="86" fillId="20" borderId="39" xfId="0" applyFont="1" applyNumberFormat="1" applyFill="1" applyBorder="1" applyAlignment="1">
      <alignment horizontal="right" vertical="center"/>
    </xf>
    <xf numFmtId="202" fontId="86" fillId="20" borderId="39" xfId="0" applyFont="1" applyNumberFormat="1" applyFill="1" applyBorder="1" applyAlignment="1">
      <alignment horizontal="right" vertical="center"/>
    </xf>
    <xf numFmtId="3" fontId="86" fillId="20" borderId="39" xfId="0" applyFont="1" applyNumberFormat="1" applyFill="1" applyBorder="1" applyAlignment="1">
      <alignment horizontal="right" vertical="center"/>
    </xf>
    <xf numFmtId="14" fontId="86" fillId="20" borderId="39" xfId="0" applyFont="1" applyNumberFormat="1" applyFill="1" applyBorder="1" applyAlignment="1">
      <alignment horizontal="center" vertical="center"/>
    </xf>
    <xf numFmtId="0" fontId="85" fillId="0" borderId="39" xfId="0" applyFont="1" applyNumberFormat="1" applyBorder="1"/>
    <xf numFmtId="0" fontId="85" fillId="0" borderId="39" xfId="0" applyFont="1" applyNumberFormat="1" applyBorder="1" applyAlignment="1">
      <alignment wrapText="1" vertical="center"/>
    </xf>
    <xf numFmtId="200" fontId="85" fillId="0" borderId="39" xfId="0" applyFont="1" applyNumberFormat="1" applyBorder="1" applyAlignment="1">
      <alignment horizontal="right" vertical="center"/>
    </xf>
    <xf numFmtId="201" fontId="85" fillId="0" borderId="39" xfId="0" applyFont="1" applyNumberFormat="1" applyBorder="1" applyAlignment="1">
      <alignment horizontal="right" vertical="center"/>
    </xf>
    <xf numFmtId="202" fontId="85" fillId="0" borderId="39" xfId="0" applyFont="1" applyNumberFormat="1" applyBorder="1" applyAlignment="1">
      <alignment horizontal="right" vertical="center"/>
    </xf>
    <xf numFmtId="3" fontId="85" fillId="0" borderId="39" xfId="0" applyFont="1" applyNumberFormat="1" applyBorder="1" applyAlignment="1">
      <alignment horizontal="right" vertical="center"/>
    </xf>
    <xf numFmtId="14" fontId="85" fillId="0" borderId="39" xfId="0" applyFont="1" applyNumberFormat="1" applyBorder="1" applyAlignment="1">
      <alignment horizontal="center" vertical="center"/>
    </xf>
    <xf numFmtId="203" fontId="85" fillId="0" borderId="39" xfId="0" applyFont="1" applyNumberFormat="1" applyBorder="1" applyAlignment="1">
      <alignment horizontal="right" vertical="center"/>
    </xf>
    <xf numFmtId="200" fontId="84" fillId="22" borderId="39" xfId="0" applyFont="1" applyNumberFormat="1" applyFill="1" applyBorder="1" applyAlignment="1">
      <alignment horizontal="right" vertical="center"/>
    </xf>
    <xf numFmtId="201" fontId="84" fillId="22" borderId="39" xfId="0" applyFont="1" applyNumberFormat="1" applyFill="1" applyBorder="1" applyAlignment="1">
      <alignment horizontal="right" vertical="center"/>
    </xf>
    <xf numFmtId="3" fontId="84" fillId="21" borderId="39" xfId="0" applyFont="1" applyNumberFormat="1" applyFill="1" applyBorder="1" applyAlignment="1">
      <alignment horizontal="right" vertical="center"/>
    </xf>
    <xf numFmtId="203" fontId="84" fillId="22" borderId="39" xfId="0" applyFont="1" applyNumberFormat="1" applyFill="1" applyBorder="1" applyAlignment="1">
      <alignment horizontal="right" vertical="center"/>
    </xf>
    <xf numFmtId="202" fontId="84" fillId="21" borderId="39" xfId="0" applyFont="1" applyNumberFormat="1" applyFill="1" applyBorder="1" applyAlignment="1">
      <alignment horizontal="right" vertical="center"/>
    </xf>
  </cellXfs>
  <cellStyles count="13">
    <cellStyle name="Comma" xfId="1" builtinId="3"/>
    <cellStyle name="Comma 3" xfId="2" xr:uid="{00000000-0005-0000-0000-000002000000}"/>
    <cellStyle name="Currency" xfId="3" builtinId="4"/>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5">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2" Type="http://schemas.openxmlformats.org/officeDocument/2006/relationships/worksheet" Target="worksheets/sheetVA1.xml"/><Relationship Id="rId33" Type="http://schemas.openxmlformats.org/officeDocument/2006/relationships/worksheet" Target="worksheets/sheetVA2.xml"/><Relationship Id="rId34" Type="http://schemas.openxmlformats.org/officeDocument/2006/relationships/worksheet" Target="worksheets/sheetVA3.xml"/><Relationship Id="rId35" Type="http://schemas.openxmlformats.org/officeDocument/2006/relationships/worksheet" Target="worksheets/sheetVA4.xml"/><Relationship Id="rId36" Type="http://schemas.openxmlformats.org/officeDocument/2006/relationships/worksheet" Target="worksheets/sheetVA5.xml"/><Relationship Id="rId37" Type="http://schemas.openxmlformats.org/officeDocument/2006/relationships/worksheet" Target="worksheets/sheetVA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2</xdr:col>
          <xdr:colOff>1752600</xdr:colOff>
          <xdr:row>9</xdr:row>
          <xdr:rowOff>28575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2</xdr:col>
          <xdr:colOff>1762125</xdr:colOff>
          <xdr:row>11</xdr:row>
          <xdr:rowOff>66675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2</xdr:col>
          <xdr:colOff>1762125</xdr:colOff>
          <xdr:row>12</xdr:row>
          <xdr:rowOff>85725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2</xdr:col>
          <xdr:colOff>1781175</xdr:colOff>
          <xdr:row>13</xdr:row>
          <xdr:rowOff>104775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200-000007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533400" cy="333375"/>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noFill/>
            <a:ln w="9525">
              <a:miter lim="800000"/>
              <a:headEnd/>
              <a:tailEnd/>
            </a:ln>
          </xdr:spPr>
          <xdr:txBody>
            <a:bodyPr wrap="none" lIns="36576" tIns="45720" rIns="36576" bIns="45720" anchor="ctr" upright="1">
              <a:spAutoFit/>
            </a:bodyPr>
            <a:lstStyle/>
            <a:p>
              <a:pPr algn="ctr" rtl="0">
                <a:defRPr sz="1000"/>
              </a:pPr>
              <a:r>
                <a:rPr lang="en-US" sz="1400" b="0" i="0" u="none" strike="noStrike" baseline="0">
                  <a:solidFill>
                    <a:srgbClr val="000000"/>
                  </a:solidFill>
                  <a:latin typeface="Arial Black"/>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1933575</xdr:colOff>
          <xdr:row>14</xdr:row>
          <xdr:rowOff>85725</xdr:rowOff>
        </xdr:from>
        <xdr:to>
          <xdr:col>5</xdr:col>
          <xdr:colOff>1038225</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5</xdr:col>
          <xdr:colOff>1095375</xdr:colOff>
          <xdr:row>35</xdr:row>
          <xdr:rowOff>333375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276225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295275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219075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xdr:row>
          <xdr:rowOff>238125</xdr:rowOff>
        </xdr:from>
        <xdr:to>
          <xdr:col>11</xdr:col>
          <xdr:colOff>123825</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1019175</xdr:colOff>
          <xdr:row>55</xdr:row>
          <xdr:rowOff>123825</xdr:rowOff>
        </xdr:from>
        <xdr:to>
          <xdr:col>4</xdr:col>
          <xdr:colOff>161925</xdr:colOff>
          <xdr:row>56</xdr:row>
          <xdr:rowOff>276225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55</xdr:row>
          <xdr:rowOff>76200</xdr:rowOff>
        </xdr:from>
        <xdr:to>
          <xdr:col>10</xdr:col>
          <xdr:colOff>276225</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51</xdr:row>
          <xdr:rowOff>161925</xdr:rowOff>
        </xdr:from>
        <xdr:to>
          <xdr:col>3</xdr:col>
          <xdr:colOff>352425</xdr:colOff>
          <xdr:row>53</xdr:row>
          <xdr:rowOff>28575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000000"/>
                  </a:solidFill>
                  <a:latin typeface="Tms Rmn"/>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466725</xdr:colOff>
          <xdr:row>44</xdr:row>
          <xdr:rowOff>190500</xdr:rowOff>
        </xdr:from>
        <xdr:to>
          <xdr:col>7</xdr:col>
          <xdr:colOff>828675</xdr:colOff>
          <xdr:row>46</xdr:row>
          <xdr:rowOff>28575</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45</xdr:row>
          <xdr:rowOff>219075</xdr:rowOff>
        </xdr:from>
        <xdr:to>
          <xdr:col>7</xdr:col>
          <xdr:colOff>828675</xdr:colOff>
          <xdr:row>47</xdr:row>
          <xdr:rowOff>28575</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28575</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238125</xdr:colOff>
          <xdr:row>45</xdr:row>
          <xdr:rowOff>219075</xdr:rowOff>
        </xdr:from>
        <xdr:to>
          <xdr:col>9</xdr:col>
          <xdr:colOff>581025</xdr:colOff>
          <xdr:row>47</xdr:row>
          <xdr:rowOff>28575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2</xdr:col>
          <xdr:colOff>733425</xdr:colOff>
          <xdr:row>16</xdr:row>
          <xdr:rowOff>161925</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700-000007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2</xdr:col>
          <xdr:colOff>1076325</xdr:colOff>
          <xdr:row>24</xdr:row>
          <xdr:rowOff>257175</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700-00000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561975</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C00-00003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0</xdr:row>
          <xdr:rowOff>0</xdr:rowOff>
        </xdr:from>
        <xdr:to>
          <xdr:col>3</xdr:col>
          <xdr:colOff>0</xdr:colOff>
          <xdr:row>0</xdr:row>
          <xdr:rowOff>180975</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00000000-0008-0000-0C00-0000EC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D00-000021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0</xdr:rowOff>
        </xdr:from>
        <xdr:to>
          <xdr:col>3</xdr:col>
          <xdr:colOff>1400175</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00000000-0008-0000-0D00-000022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1266825</xdr:colOff>
          <xdr:row>0</xdr:row>
          <xdr:rowOff>9525</xdr:rowOff>
        </xdr:from>
        <xdr:to>
          <xdr:col>5</xdr:col>
          <xdr:colOff>2009775</xdr:colOff>
          <xdr:row>0</xdr:row>
          <xdr:rowOff>523875</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0000000-0008-0000-0D00-000063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SMT_FS1\VOL2\SHARE\Comm\Comm_RO\99%20base\99BAA\99%20Appeal%20Restauran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ASMT_FS1\VOL2\SHARE\Comm\Comm_RO\99%20base\99BAA\99%20Grids%20Offic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ffic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9.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929E9-8A91-4302-9C4C-AFDE4B128F1C}">
  <sheetPr>
    <tabColor rgb="FF17324D"/>
  </sheetPr>
  <dimension ref="B1:L39"/>
  <sheetViews>
    <sheetView showGridLines="0" workbookViewId="0">
      <selection activeCell="C13" sqref="C13"/>
    </sheetView>
  </sheetViews>
  <sheetFormatPr defaultColWidth="9" defaultRowHeight="10.5"/>
  <cols>
    <col min="1" max="1" width="2" customWidth="1"/>
    <col min="2" max="2" width="34" customWidth="1"/>
    <col min="3" max="3" width="19.33203125" customWidth="1"/>
    <col min="4" max="12" width="15" customWidth="1"/>
  </cols>
  <sheetData>
    <row r="1" spans="2:12" ht="21.95" customHeight="1">
      <c r="B1" s="185" t="s">
        <v>5</v>
      </c>
      <c r="C1" s="185"/>
      <c r="D1" s="185"/>
      <c r="E1" s="185"/>
      <c r="F1" s="185"/>
      <c r="G1" s="185"/>
      <c r="H1" s="185"/>
      <c r="I1" s="185"/>
      <c r="J1" s="185"/>
      <c r="K1" s="185"/>
      <c r="L1" s="185"/>
    </row>
    <row r="2" spans="2:12" ht="42" customHeight="1">
      <c r="B2" s="516" t="s">
        <v>10692</v>
      </c>
      <c r="C2" s="514"/>
      <c r="D2" s="514"/>
      <c r="E2" s="514"/>
      <c r="F2" s="514"/>
      <c r="G2" s="514"/>
      <c r="H2" s="514"/>
      <c r="I2" s="514"/>
      <c r="J2" s="514"/>
      <c r="K2" s="514"/>
      <c r="L2" s="514"/>
    </row>
    <row r="4" spans="2:12" ht="12.95" customHeight="1">
      <c r="B4" s="165" t="s">
        <v>6</v>
      </c>
      <c r="C4" s="186" t="inlineStr">
        <is>
          <t xml:space="preserve">5800 Franklin St &amp; 1609-1805 E 58th Ave</t>
        </is>
      </c>
    </row>
    <row r="5" spans="2:12" ht="12.95" customHeight="1">
      <c r="B5" s="165" t="s">
        <v>7</v>
      </c>
      <c r="C5" s="512" t="s">
        <v>10773</v>
      </c>
    </row>
    <row r="6" spans="2:12" ht="12.95" customHeight="1">
      <c r="B6" s="165" t="s">
        <v>10</v>
      </c>
      <c r="C6" s="187">
        <v>688405</v>
      </c>
    </row>
    <row r="7" spans="2:12" ht="12.95" customHeight="1">
      <c r="B7" s="165" t="s">
        <v>11</v>
      </c>
      <c r="C7" s="186" t="inlineStr">
        <is>
          <t xml:space="preserve">I-2</t>
        </is>
      </c>
    </row>
    <row r="8" spans="2:12" ht="12.95" customHeight="1">
      <c r="B8" s="165" t="s">
        <v>10693</v>
      </c>
      <c r="C8" s="187">
        <v>6</v>
      </c>
    </row>
    <row r="9" spans="2:12" ht="12.95" customHeight="1">
      <c r="B9" s="165" t="s">
        <v>15</v>
      </c>
      <c r="C9" s="189">
        <v>0.25</v>
      </c>
    </row>
    <row r="10" spans="2:12" ht="12.95" customHeight="1">
      <c r="B10" s="165" t="s">
        <v>10694</v>
      </c>
      <c r="C10" s="187">
        <f>SUM(C15:L15)</f>
        <v>16800</v>
      </c>
    </row>
    <row r="11" spans="2:12" ht="20.100000000000001" customHeight="1">
      <c r="B11" s="517" t="s">
        <v>10695</v>
      </c>
      <c r="C11" s="517"/>
      <c r="D11" s="517"/>
      <c r="E11" s="517"/>
      <c r="F11" s="517"/>
      <c r="G11" s="517"/>
      <c r="H11" s="517"/>
      <c r="I11" s="517"/>
      <c r="J11" s="517"/>
      <c r="K11" s="517"/>
      <c r="L11" s="517"/>
    </row>
    <row r="12" spans="2:12" ht="15" customHeight="1">
      <c r="B12" s="165"/>
      <c r="C12" s="165" t="inlineStr">
        <is>
          <t xml:space="preserve">1761 E 58th</t>
        </is>
      </c>
      <c r="D12" s="165" t="inlineStr">
        <is>
          <t xml:space="preserve">1805 E 58th</t>
        </is>
      </c>
      <c r="E12" s="165" t="inlineStr">
        <is>
          <t xml:space="preserve">1771 E 58th</t>
        </is>
      </c>
      <c r="F12" s="165" t="inlineStr">
        <is>
          <t xml:space="preserve">5800 Franklin</t>
        </is>
      </c>
      <c r="G12" s="165" t="inlineStr">
        <is>
          <t xml:space="preserve">1707 E 58th</t>
        </is>
      </c>
      <c r="H12" s="165" t="inlineStr">
        <is>
          <t xml:space="preserve">1791 E 58th</t>
        </is>
      </c>
      <c r="I12" s="165" t="s">
        <v>10702</v>
      </c>
      <c r="J12" s="165" t="s">
        <v>10703</v>
      </c>
      <c r="K12" s="165" t="s">
        <v>10704</v>
      </c>
      <c r="L12" s="165" t="s">
        <v>10705</v>
      </c>
    </row>
    <row r="13" spans="2:12" ht="12.95" customHeight="1">
      <c r="B13" s="165" t="s">
        <v>8</v>
      </c>
      <c r="C13" s="186" t="inlineStr">
        <is>
          <t xml:space="preserve">407 - Distribution Warehouse</t>
        </is>
      </c>
      <c r="D13" s="186" t="inlineStr">
        <is>
          <t xml:space="preserve">407 - Distribution Warehouse</t>
        </is>
      </c>
      <c r="E13" s="186" t="inlineStr">
        <is>
          <t xml:space="preserve">407 - Distribution Warehouse</t>
        </is>
      </c>
      <c r="F13" s="186" t="inlineStr">
        <is>
          <t xml:space="preserve">407 - Distribution Warehouse</t>
        </is>
      </c>
      <c r="G13" s="186" t="inlineStr">
        <is>
          <t xml:space="preserve">407 - Distribution Warehouse</t>
        </is>
      </c>
      <c r="H13" s="186" t="inlineStr">
        <is>
          <t xml:space="preserve">407 - Distribution Warehouse</t>
        </is>
      </c>
      <c r="I13" s="186"/>
      <c r="J13" s="186"/>
      <c r="K13" s="186"/>
      <c r="L13" s="186"/>
    </row>
    <row r="14" spans="2:12" ht="12.95" customHeight="1">
      <c r="B14" s="165" t="s">
        <v>10706</v>
      </c>
      <c r="C14" s="188">
        <f t="shared" ref="C14:L14" si="0">IFERROR(VALUE(LEFT(C13,FIND(" - ",C13)-1)),"")</f>
        <v>406</v>
      </c>
      <c r="D14" s="188">
        <f t="shared" si="0"/>
        <v>473</v>
      </c>
      <c r="E14" s="188" t="str">
        <f t="shared" si="0"/>
        <v/>
      </c>
      <c r="F14" s="188" t="str">
        <f t="shared" si="0"/>
        <v/>
      </c>
      <c r="G14" s="188" t="str">
        <f t="shared" si="0"/>
        <v/>
      </c>
      <c r="H14" s="188" t="str">
        <f t="shared" si="0"/>
        <v/>
      </c>
      <c r="I14" s="188" t="str">
        <f t="shared" si="0"/>
        <v/>
      </c>
      <c r="J14" s="188" t="str">
        <f t="shared" si="0"/>
        <v/>
      </c>
      <c r="K14" s="188" t="str">
        <f t="shared" si="0"/>
        <v/>
      </c>
      <c r="L14" s="188" t="str">
        <f t="shared" si="0"/>
        <v/>
      </c>
    </row>
    <row r="15" spans="2:12" ht="12.95" customHeight="1">
      <c r="B15" s="165" t="s">
        <v>9</v>
      </c>
      <c r="C15" s="187">
        <v>32500</v>
      </c>
      <c r="D15" s="187">
        <v>41060</v>
      </c>
      <c r="E15" s="187">
        <v>40000</v>
      </c>
      <c r="F15" s="187">
        <v>43010</v>
      </c>
      <c r="G15" s="187">
        <v>30319</v>
      </c>
      <c r="H15" s="187">
        <v>33625</v>
      </c>
      <c r="I15" s="187"/>
      <c r="J15" s="187"/>
      <c r="K15" s="187"/>
      <c r="L15" s="187"/>
    </row>
    <row r="16" spans="2:12" ht="12.95" customHeight="1">
      <c r="B16" s="165" t="s">
        <v>12</v>
      </c>
      <c r="C16" s="186" t="inlineStr">
        <is>
          <t xml:space="preserve">Average</t>
        </is>
      </c>
      <c r="D16" s="186"/>
      <c r="E16" s="186"/>
      <c r="F16" s="186"/>
      <c r="G16" s="186"/>
      <c r="H16" s="186"/>
      <c r="I16" s="186"/>
      <c r="J16" s="186"/>
      <c r="K16" s="186"/>
      <c r="L16" s="186"/>
    </row>
    <row r="17" spans="2:12" ht="12.95" customHeight="1">
      <c r="B17" s="165" t="s">
        <v>13</v>
      </c>
      <c r="C17" s="186" t="inlineStr">
        <is>
          <t xml:space="preserve">Average</t>
        </is>
      </c>
      <c r="D17" s="186" t="inlineStr">
        <is>
          <t xml:space="preserve">Average</t>
        </is>
      </c>
      <c r="E17" s="186" t="inlineStr">
        <is>
          <t xml:space="preserve">Average</t>
        </is>
      </c>
      <c r="F17" s="186" t="inlineStr">
        <is>
          <t xml:space="preserve">Average</t>
        </is>
      </c>
      <c r="G17" s="186" t="inlineStr">
        <is>
          <t xml:space="preserve">Average</t>
        </is>
      </c>
      <c r="H17" s="186" t="inlineStr">
        <is>
          <t xml:space="preserve">Average</t>
        </is>
      </c>
      <c r="I17" s="186"/>
      <c r="J17" s="186"/>
      <c r="K17" s="186"/>
      <c r="L17" s="186"/>
    </row>
    <row r="18" spans="2:12" ht="12.95" customHeight="1">
      <c r="B18" s="165" t="s">
        <v>14</v>
      </c>
      <c r="C18" s="187">
        <v>1986</v>
      </c>
      <c r="D18" s="187">
        <v>1986</v>
      </c>
      <c r="E18" s="187">
        <v>1985</v>
      </c>
      <c r="F18" s="187">
        <v>1975</v>
      </c>
      <c r="G18" s="187">
        <v>1973</v>
      </c>
      <c r="H18" s="187">
        <v>1984</v>
      </c>
      <c r="I18" s="187"/>
      <c r="J18" s="187"/>
      <c r="K18" s="187"/>
      <c r="L18" s="187"/>
    </row>
    <row r="19" spans="2:12" ht="12.95" customHeight="1">
      <c r="B19" s="165" t="s">
        <v>10707</v>
      </c>
      <c r="C19" s="188">
        <f t="shared" ref="C19:L19" si="1">IF(C18="","",Year-C18)</f>
        <v>20</v>
      </c>
      <c r="D19" s="188">
        <f t="shared" si="1"/>
        <v>17</v>
      </c>
      <c r="E19" s="188" t="str">
        <f t="shared" si="1"/>
        <v/>
      </c>
      <c r="F19" s="188" t="str">
        <f t="shared" si="1"/>
        <v/>
      </c>
      <c r="G19" s="188" t="str">
        <f t="shared" si="1"/>
        <v/>
      </c>
      <c r="H19" s="188" t="str">
        <f t="shared" si="1"/>
        <v/>
      </c>
      <c r="I19" s="188" t="str">
        <f t="shared" si="1"/>
        <v/>
      </c>
      <c r="J19" s="188" t="str">
        <f t="shared" si="1"/>
        <v/>
      </c>
      <c r="K19" s="188" t="str">
        <f t="shared" si="1"/>
        <v/>
      </c>
      <c r="L19" s="188" t="str">
        <f t="shared" si="1"/>
        <v/>
      </c>
    </row>
    <row r="20" spans="2:12" ht="12.95" customHeight="1">
      <c r="B20" s="165" t="s">
        <v>10708</v>
      </c>
      <c r="C20" s="187"/>
      <c r="D20" s="187"/>
      <c r="E20" s="187"/>
      <c r="F20" s="187"/>
      <c r="G20" s="187"/>
      <c r="H20" s="187"/>
      <c r="I20" s="187"/>
      <c r="J20" s="187"/>
      <c r="K20" s="187"/>
      <c r="L20" s="187"/>
    </row>
    <row r="21" spans="2:12" ht="20.100000000000001" customHeight="1">
      <c r="B21" s="517" t="s">
        <v>16</v>
      </c>
      <c r="C21" s="517"/>
      <c r="D21" s="517"/>
      <c r="E21" s="517"/>
      <c r="F21" s="517"/>
    </row>
    <row r="22" spans="2:12" ht="12.95" customHeight="1">
      <c r="B22" s="165" t="s">
        <v>17</v>
      </c>
      <c r="C22" s="188">
        <f>COUNT(Sales!AI2:AI941)</f>
        <v>10</v>
      </c>
    </row>
    <row r="23" spans="2:12" ht="26.1" customHeight="1">
      <c r="B23" s="518" t="s">
        <v>10709</v>
      </c>
      <c r="C23" s="514"/>
      <c r="D23" s="514"/>
      <c r="E23" s="514"/>
      <c r="F23" s="514"/>
    </row>
    <row r="25" spans="2:12" ht="12.95" customHeight="1">
      <c r="B25" s="165" t="s">
        <v>18</v>
      </c>
      <c r="C25" s="188">
        <f>COUNT('Expense Database'!AN4:AN197)</f>
        <v>0</v>
      </c>
    </row>
    <row r="26" spans="2:12" ht="26.1" customHeight="1">
      <c r="B26" s="518" t="s">
        <v>10710</v>
      </c>
      <c r="C26" s="514"/>
      <c r="D26" s="514"/>
      <c r="E26" s="514"/>
      <c r="F26" s="514"/>
    </row>
    <row r="28" spans="2:12" ht="12.95" customHeight="1">
      <c r="B28" s="165" t="s">
        <v>19</v>
      </c>
      <c r="C28" s="186" t="s">
        <v>20</v>
      </c>
    </row>
    <row r="30" spans="2:12" ht="12.95" customHeight="1">
      <c r="B30" s="165" t="s">
        <v>21</v>
      </c>
      <c r="C30" s="186" t="s">
        <v>22</v>
      </c>
    </row>
    <row r="33" spans="2:8" ht="15" customHeight="1">
      <c r="B33" s="190" t="s">
        <v>23</v>
      </c>
      <c r="C33" s="191"/>
      <c r="D33" s="191"/>
      <c r="E33" s="191"/>
      <c r="F33" s="191"/>
    </row>
    <row r="34" spans="2:8" ht="12.95" customHeight="1">
      <c r="B34" s="192" t="s">
        <v>24</v>
      </c>
      <c r="C34" s="192" t="s">
        <v>7</v>
      </c>
      <c r="D34" s="192" t="s">
        <v>25</v>
      </c>
      <c r="E34" s="192" t="s">
        <v>26</v>
      </c>
      <c r="F34" s="192" t="s">
        <v>27</v>
      </c>
    </row>
    <row r="35" spans="2:8">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8">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8">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8">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8">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4" priority="1">
      <formula>(COLUMN()-2)&gt;$C$8</formula>
    </cfRule>
  </conditionalFormatting>
  <dataValidations count="6">
    <dataValidation type="list" allowBlank="1" showErrorMessage="1" sqref="C13:L13" xr:uid="{00000000-0002-0000-0000-000000000000}">
      <formula1>OCC_TABLE_LABEL</formula1>
    </dataValidation>
    <dataValidation type="list" allowBlank="1" showErrorMessage="1" sqref="C16:L16" xr:uid="{00000000-0002-0000-0000-000001000000}">
      <formula1>"None,Poor,Fair,Typical,Good,Rehabilitated"</formula1>
    </dataValidation>
    <dataValidation type="list" allowBlank="1" showErrorMessage="1" sqref="C17:L17" xr:uid="{00000000-0002-0000-0000-000002000000}">
      <formula1>"Low Cost,Average,Good,Excellent,Cheap"</formula1>
    </dataValidation>
    <dataValidation type="list" allowBlank="1" showErrorMessage="1" sqref="C8" xr:uid="{00000000-0002-0000-0000-000003000000}">
      <formula1>"1,2,3,4,5,6,7,8,9,10"</formula1>
    </dataValidation>
    <dataValidation type="list" allowBlank="1" showErrorMessage="1" sqref="C5" xr:uid="{00000000-0002-0000-0000-000004000000}">
      <formula1>"ARVADA,AURORA,BENNETT,BRIGHTON,COMMERCE CITY,FEDERAL HEIGHTS,NORTHGLENN,STRASBURG,THORNTON,WESTMINSTER,Other / Not Listed"</formula1>
    </dataValidation>
    <dataValidation type="list" allowBlank="1" showErrorMessage="1" sqref="C7" xr:uid="{00000000-0002-0000-0000-000005000000}">
      <formula1>IF(OR($C$5="",$C$5="Other / Not Listed"),ZONING_TABLE,INDIRECT("ZONES_"&amp;SUBSTITUTE(SUBSTITUTE(UPPER($C$5)," ","_"),"-","_")))</formula1>
    </dataValidation>
  </dataValidations>
  <pageMargins left="0.75" right="0.75" top="1" bottom="1" header="0.5" footer="0.5"/>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5AD28-9E8B-4261-9FFF-C4B4C9B74EBC}">
  <sheetPr>
    <tabColor rgb="FF17324D"/>
  </sheetPr>
  <dimension ref="B1:K57"/>
  <sheetViews>
    <sheetView showGridLines="0" workbookViewId="0">
      <selection activeCell="B36" sqref="B36"/>
    </sheetView>
  </sheetViews>
  <sheetFormatPr defaultColWidth="9" defaultRowHeight="10.5"/>
  <cols>
    <col min="2" max="2" width="32" customWidth="1"/>
    <col min="3" max="3" width="18.83203125" customWidth="1"/>
    <col min="4" max="4" width="12" customWidth="1"/>
    <col min="5" max="5" width="9" customWidth="1"/>
    <col min="6" max="6" width="10" customWidth="1"/>
    <col min="7" max="8" width="12" customWidth="1"/>
    <col min="9" max="9" width="14" hidden="1" customWidth="1"/>
    <col min="11" max="11" width="13" hidden="1" customWidth="1"/>
  </cols>
  <sheetData>
    <row r="1" spans="2:11" ht="15.75">
      <c r="B1" s="185" t="s">
        <v>28</v>
      </c>
      <c r="C1" s="191"/>
      <c r="D1" s="191"/>
      <c r="E1" s="191"/>
      <c r="F1" s="191"/>
      <c r="G1" s="191"/>
      <c r="H1" s="191"/>
      <c r="I1" s="191"/>
    </row>
    <row r="2" spans="2:11" ht="39.950000000000003" customHeight="1">
      <c r="B2" s="519" t="s">
        <v>29</v>
      </c>
      <c r="C2" s="514"/>
      <c r="D2" s="514"/>
      <c r="E2" s="514"/>
      <c r="F2" s="514"/>
      <c r="G2" s="514"/>
      <c r="H2" s="514"/>
      <c r="I2" s="514"/>
    </row>
    <row r="4" spans="2:11" ht="15.75">
      <c r="B4" s="185" t="s">
        <v>30</v>
      </c>
      <c r="C4" s="191"/>
      <c r="D4" s="191"/>
      <c r="E4" s="191"/>
      <c r="F4" s="191"/>
      <c r="G4" s="191"/>
      <c r="H4" s="191"/>
      <c r="I4" s="191"/>
    </row>
    <row r="5" spans="2:11">
      <c r="B5" s="192" t="s">
        <v>31</v>
      </c>
      <c r="C5" s="192" t="s">
        <v>24</v>
      </c>
      <c r="D5" s="192" t="s">
        <v>32</v>
      </c>
      <c r="E5" s="192" t="s">
        <v>33</v>
      </c>
      <c r="F5" s="192" t="s">
        <v>34</v>
      </c>
      <c r="G5" s="192" t="s">
        <v>35</v>
      </c>
      <c r="H5" s="192" t="s">
        <v>36</v>
      </c>
      <c r="I5" s="192" t="s">
        <v>37</v>
      </c>
    </row>
    <row r="6" spans="2:11">
      <c r="B6">
        <f>IF($K6="","",1)</f>
        <v>1</v>
      </c>
      <c r="C6" t="str">
        <f>IF($K6="","",IFERROR(INDEX(Sales!D:D,$K6),""))</f>
        <v>10290 E 106TH AVE</v>
      </c>
      <c r="D6" s="179">
        <f>IF($K6="","",IFERROR(INDEX(Sales!AA:AA,$K6),""))</f>
        <v>2200000</v>
      </c>
      <c r="E6" s="180">
        <f t="shared" ref="E6:E20" si="0">IF(OR($D6="",$F6="",$F6=0),"",$D6/$F6)</f>
        <v>157.14285714285714</v>
      </c>
      <c r="F6" s="181">
        <f>IF($K6="","",IFERROR(INDEX(Sales!L:L,$K6),""))</f>
        <v>14000</v>
      </c>
      <c r="G6">
        <f>IF($K6="","",IFERROR(INDEX(Sales!M:M,$K6),""))</f>
        <v>1995</v>
      </c>
      <c r="H6" s="182">
        <f>IF($K6="","",IFERROR(INDEX(Sales!I:I,$K6),""))</f>
        <v>43894</v>
      </c>
      <c r="I6" t="str">
        <f>IF($K6="","",IFERROR(INDEX(Sales!AC:AC,$K6),""))</f>
        <v>0172110006004</v>
      </c>
      <c r="K6">
        <f>IFERROR(MATCH(_xlfn.AGGREGATE(15,6,Sales!$AJ$2:$AJ$941,1),Sales!$AJ$2:$AJ$941,0)+1,"")</f>
        <v>459</v>
      </c>
    </row>
    <row r="7" spans="2:11">
      <c r="B7">
        <f>IF($K7="","",2)</f>
        <v>2</v>
      </c>
      <c r="C7" t="str">
        <f>IF($K7="","",IFERROR(INDEX(Sales!D:D,$K7),""))</f>
        <v>8495 ROSLYN ST</v>
      </c>
      <c r="D7" s="179">
        <f>IF($K7="","",IFERROR(INDEX(Sales!AA:AA,$K7),""))</f>
        <v>2500000</v>
      </c>
      <c r="E7" s="180">
        <f t="shared" si="0"/>
        <v>166.22340425531914</v>
      </c>
      <c r="F7" s="181">
        <f>IF($K7="","",IFERROR(INDEX(Sales!L:L,$K7),""))</f>
        <v>15040</v>
      </c>
      <c r="G7">
        <f>IF($K7="","",IFERROR(INDEX(Sales!M:M,$K7),""))</f>
        <v>1987</v>
      </c>
      <c r="H7" s="182">
        <f>IF($K7="","",IFERROR(INDEX(Sales!I:I,$K7),""))</f>
        <v>45468</v>
      </c>
      <c r="I7" t="str">
        <f>IF($K7="","",IFERROR(INDEX(Sales!AC:AC,$K7),""))</f>
        <v>0172128200023</v>
      </c>
      <c r="K7">
        <f>IFERROR(MATCH(_xlfn.AGGREGATE(15,6,Sales!$AJ$2:$AJ$941,2),Sales!$AJ$2:$AJ$941,0)+1,"")</f>
        <v>76</v>
      </c>
    </row>
    <row r="8" spans="2:11">
      <c r="B8">
        <f>IF($K8="","",3)</f>
        <v>3</v>
      </c>
      <c r="C8" t="str">
        <f>IF($K8="","",IFERROR(INDEX(Sales!D:D,$K8),""))</f>
        <v>8879 FOX DR</v>
      </c>
      <c r="D8" s="179">
        <f>IF($K8="","",IFERROR(INDEX(Sales!AA:AA,$K8),""))</f>
        <v>2600000</v>
      </c>
      <c r="E8" s="180">
        <f t="shared" si="0"/>
        <v>192.36460491269605</v>
      </c>
      <c r="F8" s="181">
        <f>IF($K8="","",IFERROR(INDEX(Sales!L:L,$K8),""))</f>
        <v>13516</v>
      </c>
      <c r="G8">
        <f>IF($K8="","",IFERROR(INDEX(Sales!M:M,$K8),""))</f>
        <v>1997</v>
      </c>
      <c r="H8" s="182">
        <f>IF($K8="","",IFERROR(INDEX(Sales!I:I,$K8),""))</f>
        <v>44981</v>
      </c>
      <c r="I8" t="str">
        <f>IF($K8="","",IFERROR(INDEX(Sales!AC:AC,$K8),""))</f>
        <v>0171922304015</v>
      </c>
      <c r="K8">
        <f>IFERROR(MATCH(_xlfn.AGGREGATE(15,6,Sales!$AJ$2:$AJ$941,3),Sales!$AJ$2:$AJ$941,0)+1,"")</f>
        <v>198</v>
      </c>
    </row>
    <row r="9" spans="2:11">
      <c r="B9">
        <f>IF($K9="","",4)</f>
        <v>4</v>
      </c>
      <c r="C9" t="str">
        <f>IF($K9="","",IFERROR(INDEX(Sales!D:D,$K9),""))</f>
        <v>8531 ROSEMARY ST</v>
      </c>
      <c r="D9" s="179">
        <f>IF($K9="","",IFERROR(INDEX(Sales!AA:AA,$K9),""))</f>
        <v>2995000</v>
      </c>
      <c r="E9" s="180">
        <f t="shared" si="0"/>
        <v>227.37625265715153</v>
      </c>
      <c r="F9" s="181">
        <f>IF($K9="","",IFERROR(INDEX(Sales!L:L,$K9),""))</f>
        <v>13172</v>
      </c>
      <c r="G9">
        <f>IF($K9="","",IFERROR(INDEX(Sales!M:M,$K9),""))</f>
        <v>2021</v>
      </c>
      <c r="H9" s="182">
        <f>IF($K9="","",IFERROR(INDEX(Sales!I:I,$K9),""))</f>
        <v>45097</v>
      </c>
      <c r="I9" t="str">
        <f>IF($K9="","",IFERROR(INDEX(Sales!AC:AC,$K9),""))</f>
        <v>0172128209007</v>
      </c>
      <c r="K9">
        <f>IFERROR(MATCH(_xlfn.AGGREGATE(15,6,Sales!$AJ$2:$AJ$941,4),Sales!$AJ$2:$AJ$941,0)+1,"")</f>
        <v>127</v>
      </c>
    </row>
    <row r="10" spans="2:11">
      <c r="B10">
        <f>IF($K10="","",5)</f>
        <v>5</v>
      </c>
      <c r="C10" t="str">
        <f>IF($K10="","",IFERROR(INDEX(Sales!D:D,$K10),""))</f>
        <v>4820 FOREST ST</v>
      </c>
      <c r="D10" s="179">
        <f>IF($K10="","",IFERROR(INDEX(Sales!AA:AA,$K10),""))</f>
        <v>2761464</v>
      </c>
      <c r="E10" s="180">
        <f t="shared" si="0"/>
        <v>168.14613651586191</v>
      </c>
      <c r="F10" s="181">
        <f>IF($K10="","",IFERROR(INDEX(Sales!L:L,$K10),""))</f>
        <v>16423</v>
      </c>
      <c r="G10">
        <f>IF($K10="","",IFERROR(INDEX(Sales!M:M,$K10),""))</f>
        <v>1999</v>
      </c>
      <c r="H10" s="182">
        <f>IF($K10="","",IFERROR(INDEX(Sales!I:I,$K10),""))</f>
        <v>43781</v>
      </c>
      <c r="I10" t="str">
        <f>IF($K10="","",IFERROR(INDEX(Sales!AC:AC,$K10),""))</f>
        <v>0182318401008</v>
      </c>
      <c r="K10">
        <f>IFERROR(MATCH(_xlfn.AGGREGATE(15,6,Sales!$AJ$2:$AJ$941,5),Sales!$AJ$2:$AJ$941,0)+1,"")</f>
        <v>677</v>
      </c>
    </row>
    <row r="11" spans="2:11">
      <c r="B11">
        <f>IF($K11="","",6)</f>
        <v>6</v>
      </c>
      <c r="C11" t="str">
        <f>IF($K11="","",IFERROR(INDEX(Sales!D:D,$K11),""))</f>
        <v>8511 ROSEMARY ST</v>
      </c>
      <c r="D11" s="179">
        <f>IF($K11="","",IFERROR(INDEX(Sales!AA:AA,$K11),""))</f>
        <v>2995000</v>
      </c>
      <c r="E11" s="180">
        <f t="shared" si="0"/>
        <v>255.98290598290598</v>
      </c>
      <c r="F11" s="181">
        <f>IF($K11="","",IFERROR(INDEX(Sales!L:L,$K11),""))</f>
        <v>11700</v>
      </c>
      <c r="G11">
        <f>IF($K11="","",IFERROR(INDEX(Sales!M:M,$K11),""))</f>
        <v>2021</v>
      </c>
      <c r="H11" s="182">
        <f>IF($K11="","",IFERROR(INDEX(Sales!I:I,$K11),""))</f>
        <v>44915</v>
      </c>
      <c r="I11" t="str">
        <f>IF($K11="","",IFERROR(INDEX(Sales!AC:AC,$K11),""))</f>
        <v>0172128209008</v>
      </c>
      <c r="K11">
        <f>IFERROR(MATCH(_xlfn.AGGREGATE(15,6,Sales!$AJ$2:$AJ$941,6),Sales!$AJ$2:$AJ$941,0)+1,"")</f>
        <v>128</v>
      </c>
    </row>
    <row r="12" spans="2:11">
      <c r="B12">
        <f>IF($K12="","",7)</f>
        <v>7</v>
      </c>
      <c r="C12" t="str">
        <f>IF($K12="","",IFERROR(INDEX(Sales!D:D,$K12),""))</f>
        <v>5610  PECOS ST</v>
      </c>
      <c r="D12" s="179">
        <f>IF($K12="","",IFERROR(INDEX(Sales!AA:AA,$K12),""))</f>
        <v>4150000</v>
      </c>
      <c r="E12" s="180">
        <f t="shared" si="0"/>
        <v>238.51945514110005</v>
      </c>
      <c r="F12" s="181">
        <f>IF($K12="","",IFERROR(INDEX(Sales!L:L,$K12),""))</f>
        <v>17399</v>
      </c>
      <c r="G12">
        <f>IF($K12="","",IFERROR(INDEX(Sales!M:M,$K12),""))</f>
        <v>2004</v>
      </c>
      <c r="H12" s="182">
        <f>IF($K12="","",IFERROR(INDEX(Sales!I:I,$K12),""))</f>
        <v>43250</v>
      </c>
      <c r="I12" t="str">
        <f>IF($K12="","",IFERROR(INDEX(Sales!AC:AC,$K12),""))</f>
        <v>0182516102004</v>
      </c>
      <c r="K12">
        <f>IFERROR(MATCH(_xlfn.AGGREGATE(15,6,Sales!$AJ$2:$AJ$941,7),Sales!$AJ$2:$AJ$941,0)+1,"")</f>
        <v>601</v>
      </c>
    </row>
    <row r="13" spans="2:11">
      <c r="B13">
        <f>IF($K13="","",8)</f>
        <v>8</v>
      </c>
      <c r="C13" t="str">
        <f>IF($K13="","",IFERROR(INDEX(Sales!D:D,$K13),""))</f>
        <v>2600 W 62ND AVE</v>
      </c>
      <c r="D13" s="179">
        <f>IF($K13="","",IFERROR(INDEX(Sales!AA:AA,$K13),""))</f>
        <v>2450000</v>
      </c>
      <c r="E13" s="180">
        <f t="shared" si="0"/>
        <v>217.77777777777777</v>
      </c>
      <c r="F13" s="181">
        <f>IF($K13="","",IFERROR(INDEX(Sales!L:L,$K13),""))</f>
        <v>11250</v>
      </c>
      <c r="G13">
        <f>IF($K13="","",IFERROR(INDEX(Sales!M:M,$K13),""))</f>
        <v>2003</v>
      </c>
      <c r="H13" s="182">
        <f>IF($K13="","",IFERROR(INDEX(Sales!I:I,$K13),""))</f>
        <v>43791</v>
      </c>
      <c r="I13" t="str">
        <f>IF($K13="","",IFERROR(INDEX(Sales!AC:AC,$K13),""))</f>
        <v>0182508103047</v>
      </c>
      <c r="K13">
        <f>IFERROR(MATCH(_xlfn.AGGREGATE(15,6,Sales!$AJ$2:$AJ$941,8),Sales!$AJ$2:$AJ$941,0)+1,"")</f>
        <v>580</v>
      </c>
    </row>
    <row r="14" spans="2:11">
      <c r="B14">
        <f>IF($K14="","",9)</f>
        <v>9</v>
      </c>
      <c r="C14" t="str">
        <f>IF($K14="","",IFERROR(INDEX(Sales!D:D,$K14),""))</f>
        <v>48000 E 38TH AVE</v>
      </c>
      <c r="D14" s="179">
        <f>IF($K14="","",IFERROR(INDEX(Sales!AA:AA,$K14),""))</f>
        <v>1000000</v>
      </c>
      <c r="E14" s="180">
        <f t="shared" si="0"/>
        <v>90.909090909090907</v>
      </c>
      <c r="F14" s="181">
        <f>IF($K14="","",IFERROR(INDEX(Sales!L:L,$K14),""))</f>
        <v>11000</v>
      </c>
      <c r="G14">
        <f>IF($K14="","",IFERROR(INDEX(Sales!M:M,$K14),""))</f>
        <v>1998</v>
      </c>
      <c r="H14" s="182">
        <f>IF($K14="","",IFERROR(INDEX(Sales!I:I,$K14),""))</f>
        <v>43784</v>
      </c>
      <c r="I14" t="str">
        <f>IF($K14="","",IFERROR(INDEX(Sales!AC:AC,$K14),""))</f>
        <v>0181527200039</v>
      </c>
      <c r="K14">
        <f>IFERROR(MATCH(_xlfn.AGGREGATE(15,6,Sales!$AJ$2:$AJ$941,9),Sales!$AJ$2:$AJ$941,0)+1,"")</f>
        <v>433</v>
      </c>
    </row>
    <row r="15" spans="2:11">
      <c r="B15">
        <f>IF($K15="","",10)</f>
        <v>10</v>
      </c>
      <c r="C15" t="str">
        <f>IF($K15="","",IFERROR(INDEX(Sales!D:D,$K15),""))</f>
        <v>5347  SHERMAN ST</v>
      </c>
      <c r="D15" s="179">
        <f>IF($K15="","",IFERROR(INDEX(Sales!AA:AA,$K15),""))</f>
        <v>2699000</v>
      </c>
      <c r="E15" s="180">
        <f t="shared" si="0"/>
        <v>150.11123470522804</v>
      </c>
      <c r="F15" s="181">
        <f>IF($K15="","",IFERROR(INDEX(Sales!L:L,$K15),""))</f>
        <v>17980</v>
      </c>
      <c r="G15">
        <f>IF($K15="","",IFERROR(INDEX(Sales!M:M,$K15),""))</f>
        <v>1986</v>
      </c>
      <c r="H15" s="182">
        <f>IF($K15="","",IFERROR(INDEX(Sales!I:I,$K15),""))</f>
        <v>44270</v>
      </c>
      <c r="I15" t="str">
        <f>IF($K15="","",IFERROR(INDEX(Sales!AC:AC,$K15),""))</f>
        <v>0182515108023</v>
      </c>
      <c r="K15">
        <f>IFERROR(MATCH(_xlfn.AGGREGATE(15,6,Sales!$AJ$2:$AJ$941,10),Sales!$AJ$2:$AJ$941,0)+1,"")</f>
        <v>508</v>
      </c>
    </row>
    <row r="16" spans="2:11">
      <c r="B16" t="str">
        <f>IF($K16="","",11)</f>
        <v/>
      </c>
      <c r="C16" t="str">
        <f>IF($K16="","",IFERROR(INDEX(Sales!D:D,$K16),""))</f>
        <v/>
      </c>
      <c r="D16" s="179" t="str">
        <f>IF($K16="","",IFERROR(INDEX(Sales!AA:AA,$K16),""))</f>
        <v/>
      </c>
      <c r="E16" s="180" t="str">
        <f t="shared" si="0"/>
        <v/>
      </c>
      <c r="F16" s="181" t="str">
        <f>IF($K16="","",IFERROR(INDEX(Sales!L:L,$K16),""))</f>
        <v/>
      </c>
      <c r="G16" t="str">
        <f>IF($K16="","",IFERROR(INDEX(Sales!M:M,$K16),""))</f>
        <v/>
      </c>
      <c r="H16" s="182" t="str">
        <f>IF($K16="","",IFERROR(INDEX(Sales!I:I,$K16),""))</f>
        <v/>
      </c>
      <c r="I16" t="str">
        <f>IF($K16="","",IFERROR(INDEX(Sales!AC:AC,$K16),""))</f>
        <v/>
      </c>
      <c r="K16" t="str">
        <f>IFERROR(MATCH(_xlfn.AGGREGATE(15,6,Sales!$AJ$2:$AJ$941,11),Sales!$AJ$2:$AJ$941,0)+1,"")</f>
        <v/>
      </c>
    </row>
    <row r="17" spans="2:11">
      <c r="B17" t="str">
        <f>IF($K17="","",12)</f>
        <v/>
      </c>
      <c r="C17" t="str">
        <f>IF($K17="","",IFERROR(INDEX(Sales!D:D,$K17),""))</f>
        <v/>
      </c>
      <c r="D17" s="179" t="str">
        <f>IF($K17="","",IFERROR(INDEX(Sales!AA:AA,$K17),""))</f>
        <v/>
      </c>
      <c r="E17" s="180" t="str">
        <f t="shared" si="0"/>
        <v/>
      </c>
      <c r="F17" s="181" t="str">
        <f>IF($K17="","",IFERROR(INDEX(Sales!L:L,$K17),""))</f>
        <v/>
      </c>
      <c r="G17" t="str">
        <f>IF($K17="","",IFERROR(INDEX(Sales!M:M,$K17),""))</f>
        <v/>
      </c>
      <c r="H17" s="182" t="str">
        <f>IF($K17="","",IFERROR(INDEX(Sales!I:I,$K17),""))</f>
        <v/>
      </c>
      <c r="I17" t="str">
        <f>IF($K17="","",IFERROR(INDEX(Sales!AC:AC,$K17),""))</f>
        <v/>
      </c>
      <c r="K17" t="str">
        <f>IFERROR(MATCH(_xlfn.AGGREGATE(15,6,Sales!$AJ$2:$AJ$941,12),Sales!$AJ$2:$AJ$941,0)+1,"")</f>
        <v/>
      </c>
    </row>
    <row r="18" spans="2:11">
      <c r="B18" t="str">
        <f>IF($K18="","",13)</f>
        <v/>
      </c>
      <c r="C18" t="str">
        <f>IF($K18="","",IFERROR(INDEX(Sales!D:D,$K18),""))</f>
        <v/>
      </c>
      <c r="D18" s="179" t="str">
        <f>IF($K18="","",IFERROR(INDEX(Sales!AA:AA,$K18),""))</f>
        <v/>
      </c>
      <c r="E18" s="180" t="str">
        <f t="shared" si="0"/>
        <v/>
      </c>
      <c r="F18" s="181" t="str">
        <f>IF($K18="","",IFERROR(INDEX(Sales!L:L,$K18),""))</f>
        <v/>
      </c>
      <c r="G18" t="str">
        <f>IF($K18="","",IFERROR(INDEX(Sales!M:M,$K18),""))</f>
        <v/>
      </c>
      <c r="H18" s="182" t="str">
        <f>IF($K18="","",IFERROR(INDEX(Sales!I:I,$K18),""))</f>
        <v/>
      </c>
      <c r="I18" t="str">
        <f>IF($K18="","",IFERROR(INDEX(Sales!AC:AC,$K18),""))</f>
        <v/>
      </c>
      <c r="K18" t="str">
        <f>IFERROR(MATCH(_xlfn.AGGREGATE(15,6,Sales!$AJ$2:$AJ$941,13),Sales!$AJ$2:$AJ$941,0)+1,"")</f>
        <v/>
      </c>
    </row>
    <row r="19" spans="2:11">
      <c r="B19" t="str">
        <f>IF($K19="","",14)</f>
        <v/>
      </c>
      <c r="C19" t="str">
        <f>IF($K19="","",IFERROR(INDEX(Sales!D:D,$K19),""))</f>
        <v/>
      </c>
      <c r="D19" s="179" t="str">
        <f>IF($K19="","",IFERROR(INDEX(Sales!AA:AA,$K19),""))</f>
        <v/>
      </c>
      <c r="E19" s="180" t="str">
        <f t="shared" si="0"/>
        <v/>
      </c>
      <c r="F19" s="181" t="str">
        <f>IF($K19="","",IFERROR(INDEX(Sales!L:L,$K19),""))</f>
        <v/>
      </c>
      <c r="G19" t="str">
        <f>IF($K19="","",IFERROR(INDEX(Sales!M:M,$K19),""))</f>
        <v/>
      </c>
      <c r="H19" s="182" t="str">
        <f>IF($K19="","",IFERROR(INDEX(Sales!I:I,$K19),""))</f>
        <v/>
      </c>
      <c r="I19" t="str">
        <f>IF($K19="","",IFERROR(INDEX(Sales!AC:AC,$K19),""))</f>
        <v/>
      </c>
      <c r="K19" t="str">
        <f>IFERROR(MATCH(_xlfn.AGGREGATE(15,6,Sales!$AJ$2:$AJ$941,14),Sales!$AJ$2:$AJ$941,0)+1,"")</f>
        <v/>
      </c>
    </row>
    <row r="20" spans="2:11">
      <c r="B20" t="str">
        <f>IF($K20="","",15)</f>
        <v/>
      </c>
      <c r="C20" t="str">
        <f>IF($K20="","",IFERROR(INDEX(Sales!D:D,$K20),""))</f>
        <v/>
      </c>
      <c r="D20" s="179" t="str">
        <f>IF($K20="","",IFERROR(INDEX(Sales!AA:AA,$K20),""))</f>
        <v/>
      </c>
      <c r="E20" s="180" t="str">
        <f t="shared" si="0"/>
        <v/>
      </c>
      <c r="F20" s="181" t="str">
        <f>IF($K20="","",IFERROR(INDEX(Sales!L:L,$K20),""))</f>
        <v/>
      </c>
      <c r="G20" t="str">
        <f>IF($K20="","",IFERROR(INDEX(Sales!M:M,$K20),""))</f>
        <v/>
      </c>
      <c r="H20" s="182" t="str">
        <f>IF($K20="","",IFERROR(INDEX(Sales!I:I,$K20),""))</f>
        <v/>
      </c>
      <c r="I20" t="str">
        <f>IF($K20="","",IFERROR(INDEX(Sales!AC:AC,$K20),""))</f>
        <v/>
      </c>
      <c r="K20" t="str">
        <f>IFERROR(MATCH(_xlfn.AGGREGATE(15,6,Sales!$AJ$2:$AJ$941,15),Sales!$AJ$2:$AJ$941,0)+1,"")</f>
        <v/>
      </c>
    </row>
    <row r="22" spans="2:11">
      <c r="B22" s="183" t="s">
        <v>38</v>
      </c>
    </row>
    <row r="23" spans="2:11">
      <c r="B23" s="184" t="s">
        <v>39</v>
      </c>
      <c r="D23" s="193">
        <f>IF(COUNT(D6:D20)=0,"",COUNT(D6:D20))</f>
        <v>10</v>
      </c>
      <c r="E23" s="194">
        <f>IF(COUNT(E6:E20)=0,"",COUNT(E6:E20))</f>
        <v>10</v>
      </c>
    </row>
    <row r="24" spans="2:11">
      <c r="B24" s="184" t="s">
        <v>40</v>
      </c>
      <c r="D24" s="193">
        <f>IF(COUNT(D6:D20)=0,"",MIN(D6:D20))</f>
        <v>1000000</v>
      </c>
      <c r="E24" s="194">
        <f>IF(COUNT(E6:E20)=0,"",MIN(E6:E20))</f>
        <v>90.909090909090907</v>
      </c>
    </row>
    <row r="25" spans="2:11">
      <c r="B25" s="184" t="s">
        <v>41</v>
      </c>
      <c r="D25" s="193">
        <f>IF(COUNT(D6:D20)=0,"",MAX(D6:D20))</f>
        <v>4150000</v>
      </c>
      <c r="E25" s="194">
        <f>IF(COUNT(E6:E20)=0,"",MAX(E6:E20))</f>
        <v>255.98290598290598</v>
      </c>
    </row>
    <row r="26" spans="2:11">
      <c r="B26" s="184" t="s">
        <v>42</v>
      </c>
      <c r="D26" s="193">
        <f>IF(COUNT(D6:D20)=0,"",MAX(D6:D20)-MIN(D6:D20))</f>
        <v>3150000</v>
      </c>
      <c r="E26" s="194">
        <f>IF(COUNT(E6:E20)=0,"",MAX(E6:E20)-MIN(E6:E20))</f>
        <v>165.07381507381507</v>
      </c>
    </row>
    <row r="27" spans="2:11">
      <c r="B27" s="184" t="s">
        <v>43</v>
      </c>
      <c r="D27" s="193">
        <f>IF(COUNT(D6:D20)=0,"",MEDIAN(D6:D20))</f>
        <v>2649500</v>
      </c>
      <c r="E27" s="194">
        <f>IF(COUNT(E6:E20)=0,"",MEDIAN(E6:E20))</f>
        <v>180.25537071427897</v>
      </c>
    </row>
    <row r="28" spans="2:11">
      <c r="B28" s="184" t="s">
        <v>44</v>
      </c>
      <c r="D28" s="193">
        <f>IF(COUNT(D6:D20)=0,"",AVERAGE(D6:D20))</f>
        <v>2635046.4</v>
      </c>
      <c r="E28" s="194">
        <f>IF(COUNT(E6:E20)=0,"",AVERAGE(E6:E20))</f>
        <v>186.45537199999887</v>
      </c>
    </row>
    <row r="29" spans="2:11">
      <c r="B29" s="184" t="s">
        <v>45</v>
      </c>
      <c r="D29" s="193">
        <f>IF(COUNT(D6:D20)&lt;2,"",STDEV(D6:D20))</f>
        <v>781070.42802144284</v>
      </c>
      <c r="E29" s="194">
        <f>IF(COUNT(E6:E20)&lt;2,"",STDEV(E6:E20))</f>
        <v>49.765058739640111</v>
      </c>
    </row>
    <row r="32" spans="2:11" ht="12.75">
      <c r="B32" s="195" t="s">
        <v>46</v>
      </c>
      <c r="C32" s="191"/>
      <c r="D32" s="191"/>
      <c r="E32" s="191"/>
      <c r="F32" s="191"/>
      <c r="G32" s="191"/>
    </row>
    <row r="33" spans="2:9">
      <c r="B33" s="192" t="s">
        <v>31</v>
      </c>
      <c r="C33" s="192" t="s">
        <v>24</v>
      </c>
      <c r="D33" s="192" t="s">
        <v>7</v>
      </c>
      <c r="E33" s="192" t="s">
        <v>25</v>
      </c>
      <c r="F33" s="192" t="s">
        <v>26</v>
      </c>
      <c r="G33" s="192" t="s">
        <v>27</v>
      </c>
    </row>
    <row r="34" spans="2:9">
      <c r="B34" t="str">
        <f>IF($I34="","",1)</f>
        <v/>
      </c>
      <c r="C34" t="str">
        <f>IF($I34="","",IFERROR(INDEX('Expense Database'!D:D,$I34),""))</f>
        <v/>
      </c>
      <c r="D34" t="str">
        <f>IF($I34="","",IFERROR(INDEX('Expense Database'!E:E,$I34),""))</f>
        <v/>
      </c>
      <c r="E34" s="181" t="str">
        <f>IF($I34="","",IFERROR(INDEX('Expense Database'!J:J,$I34),""))</f>
        <v/>
      </c>
      <c r="F34" t="str">
        <f>IF($I34="","",IFERROR(INDEX('Expense Database'!K:K,$I34),""))</f>
        <v/>
      </c>
      <c r="G34" s="180"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1" t="str">
        <f>IF($I35="","",IFERROR(INDEX('Expense Database'!J:J,$I35),""))</f>
        <v/>
      </c>
      <c r="F35" t="str">
        <f>IF($I35="","",IFERROR(INDEX('Expense Database'!K:K,$I35),""))</f>
        <v/>
      </c>
      <c r="G35" s="180"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1" t="str">
        <f>IF($I36="","",IFERROR(INDEX('Expense Database'!J:J,$I36),""))</f>
        <v/>
      </c>
      <c r="F36" t="str">
        <f>IF($I36="","",IFERROR(INDEX('Expense Database'!K:K,$I36),""))</f>
        <v/>
      </c>
      <c r="G36" s="180"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1" t="str">
        <f>IF($I37="","",IFERROR(INDEX('Expense Database'!J:J,$I37),""))</f>
        <v/>
      </c>
      <c r="F37" t="str">
        <f>IF($I37="","",IFERROR(INDEX('Expense Database'!K:K,$I37),""))</f>
        <v/>
      </c>
      <c r="G37" s="180"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1" t="str">
        <f>IF($I38="","",IFERROR(INDEX('Expense Database'!J:J,$I38),""))</f>
        <v/>
      </c>
      <c r="F38" t="str">
        <f>IF($I38="","",IFERROR(INDEX('Expense Database'!K:K,$I38),""))</f>
        <v/>
      </c>
      <c r="G38" s="180"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1" t="str">
        <f>IF($I39="","",IFERROR(INDEX('Expense Database'!J:J,$I39),""))</f>
        <v/>
      </c>
      <c r="F39" t="str">
        <f>IF($I39="","",IFERROR(INDEX('Expense Database'!K:K,$I39),""))</f>
        <v/>
      </c>
      <c r="G39" s="180"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1" t="str">
        <f>IF($I40="","",IFERROR(INDEX('Expense Database'!J:J,$I40),""))</f>
        <v/>
      </c>
      <c r="F40" t="str">
        <f>IF($I40="","",IFERROR(INDEX('Expense Database'!K:K,$I40),""))</f>
        <v/>
      </c>
      <c r="G40" s="180"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1" t="str">
        <f>IF($I41="","",IFERROR(INDEX('Expense Database'!J:J,$I41),""))</f>
        <v/>
      </c>
      <c r="F41" t="str">
        <f>IF($I41="","",IFERROR(INDEX('Expense Database'!K:K,$I41),""))</f>
        <v/>
      </c>
      <c r="G41" s="180"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1" t="str">
        <f>IF($I42="","",IFERROR(INDEX('Expense Database'!J:J,$I42),""))</f>
        <v/>
      </c>
      <c r="F42" t="str">
        <f>IF($I42="","",IFERROR(INDEX('Expense Database'!K:K,$I42),""))</f>
        <v/>
      </c>
      <c r="G42" s="180"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1" t="str">
        <f>IF($I43="","",IFERROR(INDEX('Expense Database'!J:J,$I43),""))</f>
        <v/>
      </c>
      <c r="F43" t="str">
        <f>IF($I43="","",IFERROR(INDEX('Expense Database'!K:K,$I43),""))</f>
        <v/>
      </c>
      <c r="G43" s="180"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1" t="str">
        <f>IF($I44="","",IFERROR(INDEX('Expense Database'!J:J,$I44),""))</f>
        <v/>
      </c>
      <c r="F44" t="str">
        <f>IF($I44="","",IFERROR(INDEX('Expense Database'!K:K,$I44),""))</f>
        <v/>
      </c>
      <c r="G44" s="180"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1" t="str">
        <f>IF($I45="","",IFERROR(INDEX('Expense Database'!J:J,$I45),""))</f>
        <v/>
      </c>
      <c r="F45" t="str">
        <f>IF($I45="","",IFERROR(INDEX('Expense Database'!K:K,$I45),""))</f>
        <v/>
      </c>
      <c r="G45" s="180"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1" t="str">
        <f>IF($I46="","",IFERROR(INDEX('Expense Database'!J:J,$I46),""))</f>
        <v/>
      </c>
      <c r="F46" t="str">
        <f>IF($I46="","",IFERROR(INDEX('Expense Database'!K:K,$I46),""))</f>
        <v/>
      </c>
      <c r="G46" s="180"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1" t="str">
        <f>IF($I47="","",IFERROR(INDEX('Expense Database'!J:J,$I47),""))</f>
        <v/>
      </c>
      <c r="F47" t="str">
        <f>IF($I47="","",IFERROR(INDEX('Expense Database'!K:K,$I47),""))</f>
        <v/>
      </c>
      <c r="G47" s="180"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1" t="str">
        <f>IF($I48="","",IFERROR(INDEX('Expense Database'!J:J,$I48),""))</f>
        <v/>
      </c>
      <c r="F48" t="str">
        <f>IF($I48="","",IFERROR(INDEX('Expense Database'!K:K,$I48),""))</f>
        <v/>
      </c>
      <c r="G48" s="180" t="str">
        <f>IF($I48="","",IFERROR(INDEX('PSF Summary'!AK:AK,$I48),""))</f>
        <v/>
      </c>
      <c r="I48" t="str">
        <f>IFERROR(MATCH(_xlfn.AGGREGATE(15,6,'Expense Database'!$AO$4:$AO$197,15),'Expense Database'!$AO$4:$AO$197,0)+3,"")</f>
        <v/>
      </c>
    </row>
    <row r="50" spans="2:7">
      <c r="B50" s="183" t="s">
        <v>38</v>
      </c>
    </row>
    <row r="51" spans="2:7">
      <c r="B51" s="184" t="s">
        <v>39</v>
      </c>
      <c r="G51" s="194" t="str">
        <f>IF(COUNT(G34:G48)=0,"",COUNT(G34:G48))</f>
        <v/>
      </c>
    </row>
    <row r="52" spans="2:7">
      <c r="B52" s="184" t="s">
        <v>40</v>
      </c>
      <c r="G52" s="194" t="str">
        <f>IF(COUNT(G34:G48)=0,"",MIN(G34:G48))</f>
        <v/>
      </c>
    </row>
    <row r="53" spans="2:7">
      <c r="B53" s="184" t="s">
        <v>41</v>
      </c>
      <c r="G53" s="194" t="str">
        <f>IF(COUNT(G34:G48)=0,"",MAX(G34:G48))</f>
        <v/>
      </c>
    </row>
    <row r="54" spans="2:7">
      <c r="B54" s="184" t="s">
        <v>42</v>
      </c>
      <c r="G54" s="194" t="str">
        <f>IF(COUNT(G34:G48)=0,"",MAX(G34:G48)-MIN(G34:G48))</f>
        <v/>
      </c>
    </row>
    <row r="55" spans="2:7">
      <c r="B55" s="184" t="s">
        <v>43</v>
      </c>
      <c r="G55" s="194" t="str">
        <f>IF(COUNT(G34:G48)=0,"",MEDIAN(G34:G48))</f>
        <v/>
      </c>
    </row>
    <row r="56" spans="2:7">
      <c r="B56" s="184" t="s">
        <v>44</v>
      </c>
      <c r="G56" s="194" t="str">
        <f>IF(COUNT(G34:G48)=0,"",AVERAGE(G34:G48))</f>
        <v/>
      </c>
    </row>
    <row r="57" spans="2:7">
      <c r="B57" s="184" t="s">
        <v>45</v>
      </c>
      <c r="G57" s="194"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6C14F-89E5-4BCC-B629-92AB463A8CBB}">
  <sheetPr codeName="Sheet6">
    <tabColor rgb="FF1F4E78"/>
    <pageSetUpPr fitToPage="1"/>
  </sheetPr>
  <dimension ref="A1:O8"/>
  <sheetViews>
    <sheetView showGridLines="0" workbookViewId="0">
      <selection activeCell="C21" sqref="C21"/>
    </sheetView>
  </sheetViews>
  <sheetFormatPr defaultColWidth="9.1640625" defaultRowHeight="14.25"/>
  <cols>
    <col min="1" max="1" width="16" style="54" customWidth="1"/>
    <col min="2" max="2" width="14" style="54" customWidth="1"/>
    <col min="3" max="3" width="30" style="54" customWidth="1"/>
    <col min="4" max="4" width="9.1640625" style="54" customWidth="1"/>
    <col min="5" max="16384" width="9.1640625" style="54"/>
  </cols>
  <sheetData>
    <row r="1" spans="1:15" ht="24" customHeight="1">
      <c r="A1" s="313" t="s">
        <v>0</v>
      </c>
      <c r="B1" s="314"/>
      <c r="C1" s="314"/>
      <c r="D1" s="314"/>
      <c r="E1" s="314"/>
      <c r="F1" s="314"/>
      <c r="G1" s="314"/>
      <c r="H1" s="314"/>
      <c r="I1" s="314"/>
      <c r="J1" s="314"/>
      <c r="K1" s="314"/>
      <c r="L1" s="314"/>
      <c r="M1" s="314"/>
      <c r="N1" s="314"/>
      <c r="O1" s="314"/>
    </row>
    <row r="2" spans="1:15" ht="9" customHeight="1"/>
    <row r="3" spans="1:15" ht="60">
      <c r="A3" s="315" t="s">
        <v>1</v>
      </c>
      <c r="B3" s="316"/>
      <c r="C3" s="316"/>
      <c r="D3" s="316"/>
      <c r="E3" s="316"/>
      <c r="F3" s="316"/>
      <c r="G3" s="316"/>
      <c r="H3" s="316"/>
      <c r="I3" s="316"/>
      <c r="J3" s="316"/>
      <c r="K3" s="316"/>
      <c r="L3" s="316"/>
      <c r="M3" s="316"/>
      <c r="N3" s="316"/>
      <c r="O3" s="316"/>
    </row>
    <row r="4" spans="1:15" ht="9.6" customHeight="1"/>
    <row r="5" spans="1:15" ht="41.1" customHeight="1">
      <c r="A5" s="520" t="s">
        <v>2</v>
      </c>
      <c r="B5" s="521"/>
      <c r="C5" s="521"/>
      <c r="D5" s="317"/>
      <c r="E5" s="317"/>
      <c r="F5" s="317"/>
      <c r="G5" s="317"/>
      <c r="H5" s="317"/>
      <c r="I5" s="317"/>
      <c r="J5" s="317"/>
      <c r="K5" s="317"/>
      <c r="L5" s="317"/>
      <c r="M5" s="317"/>
      <c r="N5" s="317"/>
      <c r="O5" s="317"/>
    </row>
    <row r="6" spans="1:15">
      <c r="A6" s="55"/>
      <c r="B6" s="55"/>
      <c r="C6" s="55"/>
      <c r="D6" s="55"/>
      <c r="E6" s="55"/>
      <c r="F6" s="55"/>
      <c r="G6" s="55"/>
      <c r="H6" s="55"/>
      <c r="I6" s="55"/>
      <c r="J6" s="55"/>
      <c r="K6" s="55"/>
      <c r="L6" s="55"/>
      <c r="M6" s="55"/>
      <c r="N6" s="55"/>
      <c r="O6" s="55"/>
    </row>
    <row r="7" spans="1:15" ht="15">
      <c r="C7" s="318" t="s">
        <v>3</v>
      </c>
      <c r="D7" s="316"/>
      <c r="E7" s="316"/>
      <c r="F7" s="316"/>
      <c r="G7" s="316"/>
      <c r="H7" s="316"/>
      <c r="I7" s="316"/>
      <c r="J7" s="316"/>
      <c r="K7" s="316"/>
      <c r="L7" s="316"/>
      <c r="M7" s="316"/>
      <c r="N7" s="316"/>
      <c r="O7" s="316"/>
    </row>
    <row r="8" spans="1:15" ht="15.75">
      <c r="A8" s="319" t="s">
        <v>4</v>
      </c>
      <c r="B8" s="320">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219075</xdr:colOff>
                    <xdr:row>8</xdr:row>
                    <xdr:rowOff>9525</xdr:rowOff>
                  </from>
                  <to>
                    <xdr:col>2</xdr:col>
                    <xdr:colOff>1752600</xdr:colOff>
                    <xdr:row>9</xdr:row>
                    <xdr:rowOff>28575</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219075</xdr:colOff>
                    <xdr:row>10</xdr:row>
                    <xdr:rowOff>47625</xdr:rowOff>
                  </from>
                  <to>
                    <xdr:col>2</xdr:col>
                    <xdr:colOff>1762125</xdr:colOff>
                    <xdr:row>11</xdr:row>
                    <xdr:rowOff>66675</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219075</xdr:colOff>
                    <xdr:row>11</xdr:row>
                    <xdr:rowOff>76200</xdr:rowOff>
                  </from>
                  <to>
                    <xdr:col>2</xdr:col>
                    <xdr:colOff>1762125</xdr:colOff>
                    <xdr:row>12</xdr:row>
                    <xdr:rowOff>85725</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219075</xdr:colOff>
                    <xdr:row>12</xdr:row>
                    <xdr:rowOff>85725</xdr:rowOff>
                  </from>
                  <to>
                    <xdr:col>2</xdr:col>
                    <xdr:colOff>1781175</xdr:colOff>
                    <xdr:row>13</xdr:row>
                    <xdr:rowOff>104775</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219075</xdr:colOff>
                    <xdr:row>9</xdr:row>
                    <xdr:rowOff>28575</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3BB19-8689-44E9-B57D-362FCE1A7D44}">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N27" sqref="N27"/>
    </sheetView>
  </sheetViews>
  <sheetFormatPr defaultColWidth="9.6640625" defaultRowHeight="10.5"/>
  <cols>
    <col min="1" max="1" width="13.33203125" customWidth="1"/>
    <col min="2" max="2" width="27" customWidth="1"/>
    <col min="3" max="3" width="11" customWidth="1"/>
    <col min="4" max="4" width="13" customWidth="1"/>
    <col min="5" max="5" width="17" customWidth="1"/>
    <col min="6" max="6" width="13.33203125" customWidth="1"/>
    <col min="7" max="7" width="14" customWidth="1"/>
    <col min="8" max="8" width="16" customWidth="1"/>
    <col min="25" max="25" width="6" hidden="1" customWidth="1"/>
    <col min="26" max="26" width="13" hidden="1" customWidth="1"/>
  </cols>
  <sheetData>
    <row r="1" spans="1:8" ht="23.45" customHeight="1">
      <c r="A1" s="5"/>
      <c r="E1" s="1" t="s">
        <v>47</v>
      </c>
    </row>
    <row r="2" spans="1:8" ht="24" customHeight="1">
      <c r="A2" s="313" t="s">
        <v>48</v>
      </c>
      <c r="B2" s="313"/>
      <c r="C2" s="313"/>
      <c r="D2" s="313"/>
      <c r="E2" s="313"/>
      <c r="F2" s="313"/>
      <c r="G2" s="313"/>
      <c r="H2" s="313"/>
    </row>
    <row r="3" spans="1:8" ht="15.95" customHeight="1">
      <c r="A3" s="321" t="str">
        <f>TEXT([0]!Year,"0")&amp;" APPEALS"</f>
        <v>2025 APPEALS</v>
      </c>
      <c r="B3" s="321"/>
      <c r="C3" s="321"/>
      <c r="D3" s="321"/>
      <c r="E3" s="321"/>
      <c r="F3" s="321"/>
      <c r="G3" s="321"/>
      <c r="H3" s="321"/>
    </row>
    <row r="4" spans="1:8" ht="15.95" customHeight="1">
      <c r="A4" s="322" t="s">
        <v>49</v>
      </c>
      <c r="B4" s="323" t="s">
        <v>10776</v>
      </c>
      <c r="C4" s="324"/>
      <c r="D4" s="322"/>
      <c r="E4" s="322"/>
      <c r="F4" s="322"/>
      <c r="G4" s="322"/>
      <c r="H4" s="322"/>
    </row>
    <row r="5" spans="1:8" ht="18" customHeight="1">
      <c r="A5" s="14"/>
      <c r="B5" s="7"/>
      <c r="C5" s="16"/>
    </row>
    <row r="6" spans="1:8" ht="7.35" customHeight="1" thickBot="1"/>
    <row r="7" spans="1:8" ht="17.100000000000001" customHeight="1" thickTop="1">
      <c r="A7" s="325" t="s">
        <v>50</v>
      </c>
      <c r="B7" s="326"/>
      <c r="C7" s="326"/>
      <c r="D7" s="326"/>
      <c r="E7" s="326"/>
      <c r="F7" s="326"/>
      <c r="G7" s="326"/>
      <c r="H7" s="327"/>
    </row>
    <row r="8" spans="1:8" ht="12" customHeight="1">
      <c r="A8" s="196"/>
      <c r="B8" s="328" t="s">
        <v>51</v>
      </c>
      <c r="C8" s="328" t="s">
        <v>52</v>
      </c>
      <c r="D8" s="328" t="s">
        <v>53</v>
      </c>
      <c r="E8" s="328" t="s">
        <v>13</v>
      </c>
      <c r="F8" s="328" t="s">
        <v>54</v>
      </c>
      <c r="G8" s="328" t="s">
        <v>55</v>
      </c>
      <c r="H8" s="329" t="s">
        <v>56</v>
      </c>
    </row>
    <row r="9" spans="1:8" ht="12" customHeight="1">
      <c r="A9" s="8"/>
      <c r="B9" s="328" t="s">
        <v>6</v>
      </c>
      <c r="C9" s="328" t="s">
        <v>57</v>
      </c>
      <c r="D9" s="328" t="s">
        <v>58</v>
      </c>
      <c r="E9" s="328" t="s">
        <v>59</v>
      </c>
      <c r="F9" s="328" t="s">
        <v>60</v>
      </c>
      <c r="G9" s="328" t="s">
        <v>61</v>
      </c>
      <c r="H9" s="328" t="s">
        <v>62</v>
      </c>
    </row>
    <row r="10" spans="1:8" ht="12" customHeight="1">
      <c r="A10" s="10"/>
      <c r="B10" s="328" t="s">
        <v>63</v>
      </c>
      <c r="C10" s="328" t="s">
        <v>35</v>
      </c>
      <c r="D10" s="328" t="s">
        <v>64</v>
      </c>
      <c r="E10" s="328" t="s">
        <v>65</v>
      </c>
      <c r="F10" s="328" t="s">
        <v>66</v>
      </c>
      <c r="G10" s="328" t="s">
        <v>67</v>
      </c>
      <c r="H10" s="328" t="s">
        <v>68</v>
      </c>
    </row>
    <row r="11" spans="1:8" ht="12" customHeight="1">
      <c r="A11" s="8"/>
      <c r="B11" s="330"/>
      <c r="C11" s="331"/>
      <c r="D11" s="332">
        <f>Subj_SiteSF</f>
        <v>446973.51600000006</v>
      </c>
      <c r="E11" s="333" t="str">
        <f>Subj_Quality</f>
        <v>Average</v>
      </c>
      <c r="F11" s="334"/>
      <c r="G11" s="335"/>
      <c r="H11" s="334"/>
    </row>
    <row r="12" spans="1:8" ht="12" customHeight="1">
      <c r="A12" s="8"/>
      <c r="B12" s="336" t="str">
        <f>Subj_Address</f>
        <v>5775 Franklin Street</v>
      </c>
      <c r="C12" s="337" t="str">
        <f>Subj_Zoning</f>
        <v>I-2-Com</v>
      </c>
      <c r="D12" s="338" t="e">
        <f>IF(AND(ISNUMBER(D11),ISNUMBER(Subj_TotalBldgSF),Subj_TotalBldgSF&lt;&gt;0),ROUND(D11/Subj_TotalBldgSF,1)&amp;":1","")</f>
        <v>#VALUE!</v>
      </c>
      <c r="E12" s="333" t="str">
        <f>Subj_Condition</f>
        <v>Typical</v>
      </c>
      <c r="F12" s="339"/>
      <c r="G12" s="340"/>
      <c r="H12" s="341">
        <f>IF(D13=0,0,ROUND(H13/D13,2))</f>
        <v>0</v>
      </c>
    </row>
    <row r="13" spans="1:8" ht="12" customHeight="1" thickBot="1">
      <c r="A13" s="11"/>
      <c r="B13" s="342" t="str">
        <f>IFERROR(INDEX(OCC_TABLE_DESC,MATCH(Subj_OccCode,OCC_TABLE_CODE,0)),"")</f>
        <v>Storage Warehouse</v>
      </c>
      <c r="C13" s="337">
        <f>Subj_YOC</f>
        <v>2005</v>
      </c>
      <c r="D13" s="332">
        <f>Subj_BldgSF</f>
        <v>14400</v>
      </c>
      <c r="E13" s="343"/>
      <c r="F13" s="339"/>
      <c r="G13" s="344"/>
      <c r="H13" s="344"/>
    </row>
    <row r="14" spans="1:8" ht="6" customHeight="1" thickTop="1">
      <c r="C14" s="4"/>
      <c r="D14" s="4"/>
      <c r="F14" s="4"/>
      <c r="G14" s="4"/>
      <c r="H14" s="4"/>
    </row>
    <row r="15" spans="1:8" ht="6" customHeight="1" thickBot="1">
      <c r="C15" s="4"/>
      <c r="D15" s="4"/>
      <c r="F15" s="4"/>
      <c r="G15" s="4"/>
      <c r="H15" s="4"/>
    </row>
    <row r="16" spans="1:8" ht="17.100000000000001" customHeight="1" thickTop="1">
      <c r="A16" s="325" t="s">
        <v>69</v>
      </c>
      <c r="B16" s="326"/>
      <c r="C16" s="326"/>
      <c r="D16" s="326"/>
      <c r="E16" s="326"/>
      <c r="F16" s="326"/>
      <c r="G16" s="326"/>
      <c r="H16" s="327"/>
    </row>
    <row r="17" spans="1:26" ht="12" customHeight="1">
      <c r="A17" s="328"/>
      <c r="B17" s="328" t="s">
        <v>51</v>
      </c>
      <c r="C17" s="328" t="s">
        <v>52</v>
      </c>
      <c r="D17" s="328" t="s">
        <v>53</v>
      </c>
      <c r="E17" s="328" t="s">
        <v>13</v>
      </c>
      <c r="F17" s="328" t="s">
        <v>70</v>
      </c>
      <c r="G17" s="328" t="s">
        <v>71</v>
      </c>
      <c r="H17" s="329" t="s">
        <v>56</v>
      </c>
    </row>
    <row r="18" spans="1:26" ht="12" customHeight="1">
      <c r="A18" s="328"/>
      <c r="B18" s="328" t="s">
        <v>6</v>
      </c>
      <c r="C18" s="328" t="s">
        <v>57</v>
      </c>
      <c r="D18" s="328" t="s">
        <v>58</v>
      </c>
      <c r="E18" s="328" t="s">
        <v>59</v>
      </c>
      <c r="F18" s="328" t="s">
        <v>72</v>
      </c>
      <c r="G18" s="328" t="s">
        <v>73</v>
      </c>
      <c r="H18" s="328" t="s">
        <v>74</v>
      </c>
    </row>
    <row r="19" spans="1:26" ht="12" customHeight="1">
      <c r="A19" s="328" t="s">
        <v>75</v>
      </c>
      <c r="B19" s="328" t="s">
        <v>63</v>
      </c>
      <c r="C19" s="328" t="s">
        <v>35</v>
      </c>
      <c r="D19" s="328" t="s">
        <v>64</v>
      </c>
      <c r="E19" s="328" t="s">
        <v>65</v>
      </c>
      <c r="F19" s="328" t="s">
        <v>76</v>
      </c>
      <c r="G19" s="328" t="s">
        <v>77</v>
      </c>
      <c r="H19" s="328" t="str">
        <f>"Indicated Value of Subject ("&amp;Subj_Basis&amp;")"</f>
        <v>Indicated Value of Subject (Per SF)</v>
      </c>
    </row>
    <row r="20" spans="1:26" ht="12" customHeight="1">
      <c r="A20" s="323"/>
      <c r="B20" s="345" t="str">
        <f>IF(IFERROR(INDEX(Sales!C:C,$Z$20),"")="","",+" "&amp;IFERROR(INDEX(Sales!C:C,$Z$20),""))</f>
        <v xml:space="preserve"> R0075207</v>
      </c>
      <c r="C20" s="346" t="str">
        <f>IF(IFERROR(INDEX(Sales!F:F,$Z$20),"")="","",IFERROR(INDEX(Sales!F:F,$Z$20),""))</f>
        <v/>
      </c>
      <c r="D20" s="347">
        <f>IF(IFERROR(INDEX(Sales!S:S,$Z$20),"")="","",IFERROR(INDEX(Sales!S:S,$Z$20),""))</f>
        <v>93218</v>
      </c>
      <c r="E20" s="348" t="str">
        <f>IF(IFERROR(INDEX(Sales!R:R,$Z$20),"")="","",IFERROR(VLOOKUP(IFERROR(INDEX(Sales!R:R,$Z$20),""),[0]!GRADE,2),IFERROR(INDEX(Sales!R:R,$Z$20),"")))</f>
        <v>Average</v>
      </c>
      <c r="F20" s="349">
        <f>IF(IFERROR(INDEX(Sales!I:I,$Z$20),"")="","",IFERROR(INDEX(Sales!I:I,$Z$20),""))</f>
        <v>43894</v>
      </c>
      <c r="G20" s="341">
        <f>IF(IFERROR(INDEX(Sales!H:H,$Z$20),"")="","",IFERROR(INDEX(Sales!H:H,$Z$20),""))</f>
        <v>157.14285714285714</v>
      </c>
      <c r="H20" s="341" t="str">
        <f>IF(IFERROR(INDEX(Sales!AC:AC,$Z$20),"")="","",+IFERROR(INDEX(Sales!AC:AC,$Z$20),""))</f>
        <v>0172110006004</v>
      </c>
      <c r="Y20" s="197">
        <v>1</v>
      </c>
      <c r="Z20">
        <f>IFERROR(MATCH(_xlfn.AGGREGATE(15,6,Sales!$AJ$2:$AJ$941,$Y$20),Sales!$AJ$2:$AJ$941,0)+1,"")</f>
        <v>459</v>
      </c>
    </row>
    <row r="21" spans="1:26" ht="12" customHeight="1">
      <c r="A21" s="350" t="s">
        <v>78</v>
      </c>
      <c r="B21" s="345" t="str">
        <f>IF(IFERROR(INDEX(Sales!D:D,$Z$20),"")="","",+" "&amp;IFERROR(INDEX(Sales!D:D,$Z$20),""))</f>
        <v xml:space="preserve"> 10290 E 106TH AVE</v>
      </c>
      <c r="C21" s="346" t="str">
        <f>IF(IFERROR(INDEX(Sales!P:P,$Z$20),"")="","",IFERROR(INDEX(Sales!P:P,$Z$20),""))</f>
        <v>I-3-Com</v>
      </c>
      <c r="D21" s="347">
        <f>IF(IFERROR(INDEX(Sales!T:T,$Z$20),"")="","",IFERROR(INDEX(Sales!T:T,$Z$20),""))</f>
        <v>6.6584285714285718</v>
      </c>
      <c r="E21" s="348" t="str">
        <f>IF(IFERROR(INDEX(Sales!U:U,$Z$20),"")="","",IFERROR(VLOOKUP(IFERROR(INDEX(Sales!U:U,$Z$20),""),Codes!$A$12:$B$16,2),IFERROR(INDEX(Sales!U:U,$Z$20),"")))</f>
        <v>Average</v>
      </c>
      <c r="F21" s="351">
        <f>IF(IFERROR(INDEX(Sales!Y:Y,$Z$20),"")="","",IFERROR(INDEX(Sales!Y:Y,$Z$20),""))</f>
        <v>2200000</v>
      </c>
      <c r="G21" s="352"/>
      <c r="H21" s="341" t="str">
        <f>IF(IFERROR(INDEX(Sales!AB:AB,$Z$20),"")="","",IFERROR(INDEX(Sales!AB:AB,$Z$20),""))</f>
        <v/>
      </c>
    </row>
    <row r="22" spans="1:26" ht="12" customHeight="1">
      <c r="A22" s="323"/>
      <c r="B22" s="345" t="str">
        <f>IF(IFERROR(INDEX(Sales!E:E,$Z$20),"")="","",+" "&amp;IFERROR(VLOOKUP(IFERROR(INDEX(Sales!E:E,$Z$20),""),[0]!Class,2),IFERROR(INDEX(Sales!E:E,$Z$20),"")))</f>
        <v xml:space="preserve"> Storage Warehouse</v>
      </c>
      <c r="C22" s="346">
        <f>IF(IFERROR(INDEX(Sales!M:M,$Z$20),"")="","",IFERROR(INDEX(Sales!M:M,$Z$20),""))</f>
        <v>1995</v>
      </c>
      <c r="D22" s="347">
        <f>IF(IFERROR(INDEX(Sales!L:L,$Z$20),"")="","",IFERROR(INDEX(Sales!L:L,$Z$20),""))</f>
        <v>14000</v>
      </c>
      <c r="E22" s="348" t="str">
        <f>IF(IFERROR(INDEX(Sales!V:V,$Z$20),"")="","",IFERROR(VLOOKUP(IFERROR(INDEX(Sales!V:V,$Z$20),""),Codes!$A$1:$B$5,2),IFERROR(INDEX(Sales!V:V,$Z$20),"")))</f>
        <v/>
      </c>
      <c r="F22" s="351">
        <f>IF(IFERROR(INDEX(Sales!AA:AA,$Z$20),"")="","",IFERROR(INDEX(Sales!AA:AA,$Z$20),""))</f>
        <v>2200000</v>
      </c>
      <c r="G22" s="353">
        <f>IF(G20="","",ROUND(G20*(1+G21),2))</f>
        <v>157.13999999999999</v>
      </c>
      <c r="H22" s="354">
        <f>IF(G22="","",IF(Subj_Basis="Per SF",ROUND(G22*$D$13,-2),IFERROR(ROUND(INDEX(Sales!$AK:$AK,$Z$20)*(1+N(G21))*Subj_Units1,-2),ROUND(G22*$D$13,-2))))</f>
        <v>2262800</v>
      </c>
    </row>
    <row r="23" spans="1:26" ht="12" customHeight="1">
      <c r="A23" s="323"/>
      <c r="B23" s="355" t="str">
        <f>IF(IFERROR(INDEX(Sales!C:C,$Z$23),"")="","",+" "&amp;IFERROR(INDEX(Sales!C:C,$Z$23),""))</f>
        <v xml:space="preserve"> R0077172</v>
      </c>
      <c r="C23" s="356" t="str">
        <f>IF(IFERROR(INDEX(Sales!F:F,$Z$23),"")="","",IFERROR(INDEX(Sales!F:F,$Z$23),""))</f>
        <v>COMMERCE CITY</v>
      </c>
      <c r="D23" s="357">
        <f>IF(IFERROR(INDEX(Sales!S:S,$Z$23),"")="","",IFERROR(INDEX(Sales!S:S,$Z$23),""))</f>
        <v>33584.76</v>
      </c>
      <c r="E23" s="358" t="str">
        <f>IF(IFERROR(INDEX(Sales!R:R,$Z$23),"")="","",IFERROR(VLOOKUP(IFERROR(INDEX(Sales!R:R,$Z$23),""),[0]!GRADE,2),IFERROR(INDEX(Sales!R:R,$Z$23),"")))</f>
        <v>Average</v>
      </c>
      <c r="F23" s="359">
        <f>IF(IFERROR(INDEX(Sales!I:I,$Z$23),"")="","",IFERROR(INDEX(Sales!I:I,$Z$23),""))</f>
        <v>45468</v>
      </c>
      <c r="G23" s="360">
        <f>IF(IFERROR(INDEX(Sales!H:H,$Z$23),"")="","",IFERROR(INDEX(Sales!H:H,$Z$23),""))</f>
        <v>166.22340425531914</v>
      </c>
      <c r="H23" s="360" t="str">
        <f>IF(IFERROR(INDEX(Sales!AC:AC,$Z$23),"")="","",+IFERROR(INDEX(Sales!AC:AC,$Z$23),""))</f>
        <v>0172128200023</v>
      </c>
      <c r="Y23" s="197">
        <v>2</v>
      </c>
      <c r="Z23">
        <f>IFERROR(MATCH(_xlfn.AGGREGATE(15,6,Sales!$AJ$2:$AJ$941,$Y$23),Sales!$AJ$2:$AJ$941,0)+1,"")</f>
        <v>76</v>
      </c>
    </row>
    <row r="24" spans="1:26" ht="12" customHeight="1">
      <c r="A24" s="350" t="s">
        <v>79</v>
      </c>
      <c r="B24" s="355" t="str">
        <f>IF(IFERROR(INDEX(Sales!D:D,$Z$23),"")="","",+" "&amp;IFERROR(INDEX(Sales!D:D,$Z$23),""))</f>
        <v xml:space="preserve"> 8495 ROSLYN ST</v>
      </c>
      <c r="C24" s="356" t="str">
        <f>IF(IFERROR(INDEX(Sales!P:P,$Z$23),"")="","",IFERROR(INDEX(Sales!P:P,$Z$23),""))</f>
        <v>I-2-Com</v>
      </c>
      <c r="D24" s="357">
        <f>IF(IFERROR(INDEX(Sales!T:T,$Z$23),"")="","",IFERROR(INDEX(Sales!T:T,$Z$23),""))</f>
        <v>2.2330292553191491</v>
      </c>
      <c r="E24" s="358" t="str">
        <f>IF(IFERROR(INDEX(Sales!U:U,$Z$23),"")="","",IFERROR(VLOOKUP(IFERROR(INDEX(Sales!U:U,$Z$23),""),Codes!$A$12:$B$16,2),IFERROR(INDEX(Sales!U:U,$Z$23),"")))</f>
        <v>Average</v>
      </c>
      <c r="F24" s="361">
        <f>IF(IFERROR(INDEX(Sales!Y:Y,$Z$23),"")="","",IFERROR(INDEX(Sales!Y:Y,$Z$23),""))</f>
        <v>2500000</v>
      </c>
      <c r="G24" s="352"/>
      <c r="H24" s="360" t="str">
        <f>IF(IFERROR(INDEX(Sales!AB:AB,$Z$23),"")="","",IFERROR(INDEX(Sales!AB:AB,$Z$23),""))</f>
        <v/>
      </c>
    </row>
    <row r="25" spans="1:26" ht="12" customHeight="1">
      <c r="A25" s="323"/>
      <c r="B25" s="355" t="str">
        <f>IF(IFERROR(INDEX(Sales!E:E,$Z$23),"")="","",+" "&amp;IFERROR(VLOOKUP(IFERROR(INDEX(Sales!E:E,$Z$23),""),[0]!Class,2),IFERROR(INDEX(Sales!E:E,$Z$23),"")))</f>
        <v xml:space="preserve"> Storage Warehouse</v>
      </c>
      <c r="C25" s="356">
        <f>IF(IFERROR(INDEX(Sales!M:M,$Z$23),"")="","",IFERROR(INDEX(Sales!M:M,$Z$23),""))</f>
        <v>1987</v>
      </c>
      <c r="D25" s="357">
        <f>IF(IFERROR(INDEX(Sales!L:L,$Z$23),"")="","",IFERROR(INDEX(Sales!L:L,$Z$23),""))</f>
        <v>15040</v>
      </c>
      <c r="E25" s="358" t="str">
        <f>IF(IFERROR(INDEX(Sales!V:V,$Z$23),"")="","",IFERROR(VLOOKUP(IFERROR(INDEX(Sales!V:V,$Z$23),""),Codes!$A$1:$B$5,2),IFERROR(INDEX(Sales!V:V,$Z$23),"")))</f>
        <v/>
      </c>
      <c r="F25" s="361">
        <f>IF(IFERROR(INDEX(Sales!AA:AA,$Z$23),"")="","",IFERROR(INDEX(Sales!AA:AA,$Z$23),""))</f>
        <v>2500000</v>
      </c>
      <c r="G25" s="353">
        <f>IF(G23="","",ROUND(G23*(1+G24),2))</f>
        <v>166.22</v>
      </c>
      <c r="H25" s="354">
        <f>IF(G25="","",IF(Subj_Basis="Per SF",ROUND(G25*$D$13,-2),IFERROR(ROUND(INDEX(Sales!$AK:$AK,$Z$23)*(1+N(G24))*Subj_Units1,-2),ROUND(G25*$D$13,-2))))</f>
        <v>2393600</v>
      </c>
    </row>
    <row r="26" spans="1:26" ht="12" customHeight="1">
      <c r="A26" s="323"/>
      <c r="B26" s="345" t="str">
        <f>IF(IFERROR(INDEX(Sales!C:C,$Z$26),"")="","",+" "&amp;IFERROR(INDEX(Sales!C:C,$Z$26),""))</f>
        <v xml:space="preserve"> R0109567</v>
      </c>
      <c r="C26" s="346" t="str">
        <f>IF(IFERROR(INDEX(Sales!F:F,$Z$26),"")="","",IFERROR(INDEX(Sales!F:F,$Z$26),""))</f>
        <v>THORNTON</v>
      </c>
      <c r="D26" s="347">
        <f>IF(IFERROR(INDEX(Sales!S:S,$Z$26),"")="","",IFERROR(INDEX(Sales!S:S,$Z$26),""))</f>
        <v>50790.960899999998</v>
      </c>
      <c r="E26" s="348" t="str">
        <f>IF(IFERROR(INDEX(Sales!R:R,$Z$26),"")="","",IFERROR(VLOOKUP(IFERROR(INDEX(Sales!R:R,$Z$26),""),[0]!GRADE,2),IFERROR(INDEX(Sales!R:R,$Z$26),"")))</f>
        <v>Average</v>
      </c>
      <c r="F26" s="349">
        <f>IF(IFERROR(INDEX(Sales!I:I,$Z$26),"")="","",IFERROR(INDEX(Sales!I:I,$Z$26),""))</f>
        <v>44981</v>
      </c>
      <c r="G26" s="341">
        <f>IF(IFERROR(INDEX(Sales!H:H,$Z$26),"")="","",IFERROR(INDEX(Sales!H:H,$Z$26),""))</f>
        <v>192.36460491269605</v>
      </c>
      <c r="H26" s="341" t="str">
        <f>IF(IFERROR(INDEX(Sales!AC:AC,$Z$26),"")="","",+IFERROR(INDEX(Sales!AC:AC,$Z$26),""))</f>
        <v>0171922304015</v>
      </c>
      <c r="Y26" s="197">
        <v>3</v>
      </c>
      <c r="Z26">
        <f>IFERROR(MATCH(_xlfn.AGGREGATE(15,6,Sales!$AJ$2:$AJ$941,$Y$26),Sales!$AJ$2:$AJ$941,0)+1,"")</f>
        <v>198</v>
      </c>
    </row>
    <row r="27" spans="1:26" ht="12" customHeight="1">
      <c r="A27" s="350" t="s">
        <v>80</v>
      </c>
      <c r="B27" s="345" t="str">
        <f>IF(IFERROR(INDEX(Sales!D:D,$Z$26),"")="","",+" "&amp;IFERROR(INDEX(Sales!D:D,$Z$26),""))</f>
        <v xml:space="preserve"> 8879 FOX DR</v>
      </c>
      <c r="C27" s="346" t="str">
        <f>IF(IFERROR(INDEX(Sales!P:P,$Z$26),"")="","",IFERROR(INDEX(Sales!P:P,$Z$26),""))</f>
        <v>Community Retail</v>
      </c>
      <c r="D27" s="347">
        <f>IF(IFERROR(INDEX(Sales!T:T,$Z$26),"")="","",IFERROR(INDEX(Sales!T:T,$Z$26),""))</f>
        <v>3.7578396641018053</v>
      </c>
      <c r="E27" s="348" t="str">
        <f>IF(IFERROR(INDEX(Sales!U:U,$Z$26),"")="","",IFERROR(VLOOKUP(IFERROR(INDEX(Sales!U:U,$Z$26),""),Codes!$A$12:$B$16,2),IFERROR(INDEX(Sales!U:U,$Z$26),"")))</f>
        <v>Average</v>
      </c>
      <c r="F27" s="351">
        <f>IF(IFERROR(INDEX(Sales!Y:Y,$Z$26),"")="","",IFERROR(INDEX(Sales!Y:Y,$Z$26),""))</f>
        <v>2600000</v>
      </c>
      <c r="G27" s="352"/>
      <c r="H27" s="341" t="str">
        <f>IF(IFERROR(INDEX(Sales!AB:AB,$Z$26),"")="","",IFERROR(INDEX(Sales!AB:AB,$Z$26),""))</f>
        <v/>
      </c>
    </row>
    <row r="28" spans="1:26" ht="12" customHeight="1" thickBot="1">
      <c r="A28" s="323"/>
      <c r="B28" s="345" t="str">
        <f>IF(IFERROR(INDEX(Sales!E:E,$Z$26),"")="","",+" "&amp;IFERROR(VLOOKUP(IFERROR(INDEX(Sales!E:E,$Z$26),""),[0]!Class,2),IFERROR(INDEX(Sales!E:E,$Z$26),"")))</f>
        <v xml:space="preserve"> Storage Warehouse</v>
      </c>
      <c r="C28" s="346">
        <f>IF(IFERROR(INDEX(Sales!M:M,$Z$26),"")="","",IFERROR(INDEX(Sales!M:M,$Z$26),""))</f>
        <v>1997</v>
      </c>
      <c r="D28" s="347">
        <f>IF(IFERROR(INDEX(Sales!L:L,$Z$26),"")="","",IFERROR(INDEX(Sales!L:L,$Z$26),""))</f>
        <v>13516</v>
      </c>
      <c r="E28" s="348" t="str">
        <f>IF(IFERROR(INDEX(Sales!V:V,$Z$26),"")="","",IFERROR(VLOOKUP(IFERROR(INDEX(Sales!V:V,$Z$26),""),Codes!$A$1:$B$5,2),IFERROR(INDEX(Sales!V:V,$Z$26),"")))</f>
        <v/>
      </c>
      <c r="F28" s="351">
        <f>IF(IFERROR(INDEX(Sales!AA:AA,$Z$26),"")="","",IFERROR(INDEX(Sales!AA:AA,$Z$26),""))</f>
        <v>2600000</v>
      </c>
      <c r="G28" s="353">
        <f>IF(G26="","",ROUND(G26*(1+G27),2))</f>
        <v>192.36</v>
      </c>
      <c r="H28" s="354">
        <f>IF(G28="","",IF(Subj_Basis="Per SF",ROUND(G28*$D$13,-2),IFERROR(ROUND(INDEX(Sales!$AK:$AK,$Z$26)*(1+N(G27))*Subj_Units1,-2),ROUND(G28*$D$13,-2))))</f>
        <v>2770000</v>
      </c>
    </row>
    <row r="29" spans="1:26" ht="10.35" customHeight="1" thickTop="1" thickBot="1"/>
    <row r="30" spans="1:26" ht="17.100000000000001" customHeight="1" thickTop="1">
      <c r="A30" s="362" t="s">
        <v>81</v>
      </c>
      <c r="B30" s="363"/>
      <c r="C30" s="363"/>
      <c r="D30" s="363"/>
      <c r="E30" s="363"/>
      <c r="F30" s="363"/>
      <c r="G30" s="363"/>
      <c r="H30" s="364"/>
    </row>
    <row r="31" spans="1:26" ht="12" customHeight="1">
      <c r="A31" s="522"/>
      <c r="B31" s="523"/>
      <c r="C31" s="523"/>
      <c r="D31" s="523"/>
      <c r="E31" s="523"/>
      <c r="F31" s="523"/>
      <c r="G31" s="523"/>
      <c r="H31" s="524"/>
    </row>
    <row r="32" spans="1:26" ht="12" customHeight="1">
      <c r="A32" s="525"/>
      <c r="B32" s="526"/>
      <c r="C32" s="526"/>
      <c r="D32" s="526"/>
      <c r="E32" s="526"/>
      <c r="F32" s="526"/>
      <c r="G32" s="526"/>
      <c r="H32" s="527"/>
    </row>
    <row r="33" spans="1:8" ht="12" customHeight="1">
      <c r="A33" s="525"/>
      <c r="B33" s="526"/>
      <c r="C33" s="526"/>
      <c r="D33" s="526"/>
      <c r="E33" s="526"/>
      <c r="F33" s="526"/>
      <c r="G33" s="526"/>
      <c r="H33" s="527"/>
    </row>
    <row r="34" spans="1:8" ht="12" customHeight="1" thickBot="1">
      <c r="A34" s="528"/>
      <c r="B34" s="529"/>
      <c r="C34" s="529"/>
      <c r="D34" s="529"/>
      <c r="E34" s="529"/>
      <c r="F34" s="529"/>
      <c r="G34" s="529"/>
      <c r="H34" s="530"/>
    </row>
    <row r="35" spans="1:8" ht="12" customHeight="1" thickTop="1" thickBot="1"/>
    <row r="36" spans="1:8" ht="17.100000000000001" customHeight="1" thickTop="1">
      <c r="A36" s="325" t="s">
        <v>82</v>
      </c>
      <c r="B36" s="326"/>
      <c r="C36" s="326"/>
      <c r="D36" s="326"/>
      <c r="E36" s="326"/>
      <c r="F36" s="326"/>
      <c r="G36" s="364"/>
      <c r="H36" s="365"/>
    </row>
    <row r="37" spans="1:8" ht="12" customHeight="1">
      <c r="A37" s="328"/>
      <c r="B37" s="328" t="s">
        <v>83</v>
      </c>
      <c r="C37" s="328" t="s">
        <v>52</v>
      </c>
      <c r="D37" s="328" t="s">
        <v>53</v>
      </c>
      <c r="E37" s="328" t="s">
        <v>13</v>
      </c>
      <c r="F37" s="328" t="str">
        <f>"Rent / "&amp;IF(Subj_Basis="Per Unit","Unit",IF(Subj_Basis="Per Key","Key","Sq Ft"))</f>
        <v>Rent / Sq Ft</v>
      </c>
      <c r="G37" s="328"/>
      <c r="H37" s="328"/>
    </row>
    <row r="38" spans="1:8" ht="12" customHeight="1">
      <c r="A38" s="328"/>
      <c r="B38" s="328" t="s">
        <v>84</v>
      </c>
      <c r="C38" s="328" t="s">
        <v>57</v>
      </c>
      <c r="D38" s="328" t="s">
        <v>58</v>
      </c>
      <c r="E38" s="328"/>
      <c r="F38" s="328" t="s">
        <v>60</v>
      </c>
      <c r="G38" s="328" t="s">
        <v>85</v>
      </c>
      <c r="H38" s="328"/>
    </row>
    <row r="39" spans="1:8" ht="12" customHeight="1">
      <c r="A39" s="328" t="s">
        <v>75</v>
      </c>
      <c r="B39" s="328" t="s">
        <v>86</v>
      </c>
      <c r="C39" s="328" t="s">
        <v>35</v>
      </c>
      <c r="D39" s="328" t="s">
        <v>64</v>
      </c>
      <c r="E39" s="328"/>
      <c r="F39" s="328" t="s">
        <v>66</v>
      </c>
      <c r="G39" s="328" t="s">
        <v>87</v>
      </c>
      <c r="H39" s="328"/>
    </row>
    <row r="40" spans="1:8" ht="12" customHeight="1">
      <c r="A40" s="323"/>
      <c r="B40" s="345" t="str">
        <f>IF(Income!E2="","",+Income!E2)</f>
        <v/>
      </c>
      <c r="C40" s="346" t="str">
        <f>IF(Income!H2="","",IF(Income!H2&gt;9100,+Income!H2,+"            "&amp;Income!H2))</f>
        <v/>
      </c>
      <c r="D40" s="347" t="str">
        <f>IF(Income!W2="","",Income!W2)</f>
        <v/>
      </c>
      <c r="E40" s="348" t="str">
        <f>IF(Income!Z2="","",VLOOKUP(LEFT(Income!Z2,1),[0]!GRADE,2))</f>
        <v/>
      </c>
      <c r="F40" s="341" t="str">
        <f>IF(Subj_Basis="Per SF",IF(Income!K2="","",Income!K2),IF(N(Income!AL2)&gt;0,Income!AL2,IF(Income!K2="","",Income!K2)))</f>
        <v/>
      </c>
      <c r="G40" s="335"/>
      <c r="H40" s="323"/>
    </row>
    <row r="41" spans="1:8" ht="12" customHeight="1">
      <c r="A41" s="350" t="s">
        <v>88</v>
      </c>
      <c r="B41" s="345" t="str">
        <f>IF(Income!H2="","",+" "&amp;VLOOKUP(Income!H2,Codes!$G$1:$H$68,2))</f>
        <v/>
      </c>
      <c r="C41" s="346" t="str">
        <f>IF(Income!T2="","",Income!T2)</f>
        <v/>
      </c>
      <c r="D41" s="366" t="str">
        <f>IF(Income!X2="","",TEXT(Income!X2,"0.00"))</f>
        <v/>
      </c>
      <c r="E41" s="367"/>
      <c r="F41" s="368" t="str">
        <f>IF(Income!L2="","",Income!L2)</f>
        <v/>
      </c>
      <c r="G41" s="352"/>
      <c r="H41" s="323"/>
    </row>
    <row r="42" spans="1:8" ht="12" customHeight="1">
      <c r="A42" s="323"/>
      <c r="B42" s="345" t="str">
        <f>IF(Income!G2="","",+" "&amp;VLOOKUP(Income!G2,[0]!Class,2))</f>
        <v/>
      </c>
      <c r="C42" s="346" t="str">
        <f>IF(Income!N2="","",Income!N2)</f>
        <v/>
      </c>
      <c r="D42" s="347" t="str">
        <f>IF(Income!Y2="","",Income!Y2)</f>
        <v/>
      </c>
      <c r="E42" s="367"/>
      <c r="F42" s="368" t="str">
        <f>IF(Income!M2="","",Income!M2)</f>
        <v/>
      </c>
      <c r="G42" s="353" t="str">
        <f>IF(F40="","",ROUND(F40*(1+G41),2))</f>
        <v/>
      </c>
      <c r="H42" s="323"/>
    </row>
    <row r="43" spans="1:8" ht="12" customHeight="1">
      <c r="A43" s="323"/>
      <c r="B43" s="355" t="str">
        <f>IF(Income!E3="","",+Income!E3)</f>
        <v/>
      </c>
      <c r="C43" s="356" t="str">
        <f>IF(Income!H3="","",IF(Income!H3&gt;9100,+Income!H3,+"            "&amp;Income!H3))</f>
        <v/>
      </c>
      <c r="D43" s="357" t="str">
        <f>IF(Income!W3="","",Income!W3)</f>
        <v/>
      </c>
      <c r="E43" s="358" t="str">
        <f>IF(Income!Z3="","",VLOOKUP(LEFT(Income!Z3,1),[0]!GRADE,2))</f>
        <v/>
      </c>
      <c r="F43" s="360" t="str">
        <f>IF(Subj_Basis="Per SF",IF(Income!K3="","",Income!K3),IF(N(Income!AL3)&gt;0,Income!AL3,IF(Income!K3="","",Income!K3)))</f>
        <v/>
      </c>
      <c r="G43" s="335"/>
      <c r="H43" s="323"/>
    </row>
    <row r="44" spans="1:8" ht="12" customHeight="1">
      <c r="A44" s="350" t="s">
        <v>89</v>
      </c>
      <c r="B44" s="355" t="str">
        <f>IF(Income!H3="","",+" "&amp;VLOOKUP(Income!H3,Codes!$G$1:$H$68,2))</f>
        <v/>
      </c>
      <c r="C44" s="356" t="str">
        <f>IF(Income!T3="","",Income!T3)</f>
        <v/>
      </c>
      <c r="D44" s="369" t="str">
        <f>IF(Income!X3="","",TEXT(Income!X3,"0.00"))</f>
        <v/>
      </c>
      <c r="E44" s="367"/>
      <c r="F44" s="370" t="str">
        <f>IF(Income!L3="","",Income!L3)</f>
        <v/>
      </c>
      <c r="G44" s="352"/>
      <c r="H44" s="323"/>
    </row>
    <row r="45" spans="1:8" ht="12" customHeight="1">
      <c r="A45" s="323"/>
      <c r="B45" s="355" t="str">
        <f>IF(Income!G3="","",+" "&amp;VLOOKUP(Income!G3,[0]!Class,2))</f>
        <v/>
      </c>
      <c r="C45" s="356" t="str">
        <f>IF(Income!N3="","",Income!N3)</f>
        <v/>
      </c>
      <c r="D45" s="357" t="str">
        <f>IF(Income!Y3="","",Income!Y3)</f>
        <v/>
      </c>
      <c r="E45" s="367"/>
      <c r="F45" s="370" t="str">
        <f>IF(Income!M3="","",Income!M3)</f>
        <v/>
      </c>
      <c r="G45" s="353" t="str">
        <f>IF(F43="","",ROUND(F43*(1+G44),2))</f>
        <v/>
      </c>
      <c r="H45" s="323"/>
    </row>
    <row r="46" spans="1:8" ht="12" customHeight="1">
      <c r="A46" s="323"/>
      <c r="B46" s="345" t="str">
        <f>IF(Income!E4="","",+Income!E4)</f>
        <v/>
      </c>
      <c r="C46" s="346" t="str">
        <f>IF(Income!H4="","",IF(Income!H4&gt;9100,+Income!H4,+"            "&amp;Income!H4))</f>
        <v/>
      </c>
      <c r="D46" s="347" t="str">
        <f>IF(Income!W4="","",Income!W4)</f>
        <v/>
      </c>
      <c r="E46" s="348" t="str">
        <f>IF(Income!Z4="","",VLOOKUP(LEFT(Income!Z4,1),[0]!GRADE,2))</f>
        <v/>
      </c>
      <c r="F46" s="341" t="str">
        <f>IF(Subj_Basis="Per SF",IF(Income!K4="","",Income!K4),IF(N(Income!AL4)&gt;0,Income!AL4,IF(Income!K4="","",Income!K4)))</f>
        <v/>
      </c>
      <c r="G46" s="335"/>
      <c r="H46" s="323"/>
    </row>
    <row r="47" spans="1:8" ht="12" customHeight="1">
      <c r="A47" s="350" t="s">
        <v>90</v>
      </c>
      <c r="B47" s="345" t="str">
        <f>IF(Income!H4="","",+" "&amp;VLOOKUP(Income!H4,Codes!$G$1:$H$68,2))</f>
        <v/>
      </c>
      <c r="C47" s="346" t="str">
        <f>IF(Income!T4="","",Income!T4)</f>
        <v/>
      </c>
      <c r="D47" s="366" t="str">
        <f>IF(Income!X4="","",TEXT(Income!X4,"0.00"))</f>
        <v/>
      </c>
      <c r="E47" s="367"/>
      <c r="F47" s="368" t="str">
        <f>IF(Income!L4="","",Income!L4)</f>
        <v/>
      </c>
      <c r="G47" s="352"/>
      <c r="H47" s="323"/>
    </row>
    <row r="48" spans="1:8" ht="12" customHeight="1" thickBot="1">
      <c r="A48" s="323"/>
      <c r="B48" s="345" t="str">
        <f>IF(Income!G4="","",+" "&amp;VLOOKUP(Income!G4,[0]!Class,2))</f>
        <v/>
      </c>
      <c r="C48" s="346" t="str">
        <f>IF(Income!N4="","",Income!N4)</f>
        <v/>
      </c>
      <c r="D48" s="347" t="str">
        <f>IF(Income!Y4="","",Income!Y4)</f>
        <v/>
      </c>
      <c r="E48" s="367"/>
      <c r="F48" s="368" t="str">
        <f>IF(Income!M4="","",Income!M4)</f>
        <v/>
      </c>
      <c r="G48" s="353" t="str">
        <f>IF(F46="","",ROUND(F46*(1+G47),2))</f>
        <v/>
      </c>
      <c r="H48" s="323"/>
    </row>
    <row r="49" spans="1:8" ht="11.25" customHeight="1" thickTop="1"/>
    <row r="50" spans="1:8" ht="11.25" customHeight="1" thickBot="1"/>
    <row r="51" spans="1:8" ht="17.100000000000001" customHeight="1" thickTop="1">
      <c r="A51" s="362" t="s">
        <v>91</v>
      </c>
      <c r="B51" s="363"/>
      <c r="C51" s="363"/>
      <c r="D51" s="363"/>
      <c r="E51" s="363"/>
      <c r="F51" s="363"/>
      <c r="G51" s="363"/>
      <c r="H51" s="364"/>
    </row>
    <row r="52" spans="1:8" ht="12" customHeight="1">
      <c r="A52" s="522"/>
      <c r="B52" s="523"/>
      <c r="C52" s="523"/>
      <c r="D52" s="523"/>
      <c r="E52" s="523"/>
      <c r="F52" s="523"/>
      <c r="G52" s="523"/>
      <c r="H52" s="524"/>
    </row>
    <row r="53" spans="1:8" ht="12" customHeight="1">
      <c r="A53" s="525"/>
      <c r="B53" s="526"/>
      <c r="C53" s="526"/>
      <c r="D53" s="526"/>
      <c r="E53" s="526"/>
      <c r="F53" s="526"/>
      <c r="G53" s="526"/>
      <c r="H53" s="527"/>
    </row>
    <row r="54" spans="1:8" ht="12" customHeight="1">
      <c r="A54" s="525"/>
      <c r="B54" s="526"/>
      <c r="C54" s="526"/>
      <c r="D54" s="526"/>
      <c r="E54" s="526"/>
      <c r="F54" s="526"/>
      <c r="G54" s="526"/>
      <c r="H54" s="527"/>
    </row>
    <row r="55" spans="1:8" ht="12" customHeight="1" thickBot="1">
      <c r="A55" s="528"/>
      <c r="B55" s="529"/>
      <c r="C55" s="529"/>
      <c r="D55" s="529"/>
      <c r="E55" s="529"/>
      <c r="F55" s="529"/>
      <c r="G55" s="529"/>
      <c r="H55" s="530"/>
    </row>
    <row r="56" spans="1:8" ht="5.0999999999999996"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0</xdr:col>
                    <xdr:colOff>533400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1933575</xdr:colOff>
                    <xdr:row>14</xdr:row>
                    <xdr:rowOff>85725</xdr:rowOff>
                  </from>
                  <to>
                    <xdr:col>5</xdr:col>
                    <xdr:colOff>1038225</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28575</xdr:rowOff>
                  </from>
                  <to>
                    <xdr:col>5</xdr:col>
                    <xdr:colOff>1095375</xdr:colOff>
                    <xdr:row>35</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B3D26-1F3F-47E0-801D-21B66B012CDB}">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defaultColWidth="13.6640625" defaultRowHeight="12.75"/>
  <cols>
    <col min="1" max="1" width="12" style="112" customWidth="1"/>
    <col min="2" max="3" width="20" style="112" customWidth="1"/>
    <col min="4" max="4" width="22" style="112" customWidth="1"/>
    <col min="5" max="5" width="20" style="112" customWidth="1"/>
    <col min="6" max="6" width="19" style="112" customWidth="1"/>
    <col min="7" max="7" width="10" style="112" customWidth="1"/>
    <col min="8" max="8" width="11" style="112" bestFit="1" customWidth="1"/>
    <col min="9" max="9" width="19" style="112" customWidth="1"/>
    <col min="10" max="10" width="18.1640625" style="112" customWidth="1"/>
    <col min="11" max="11" width="13.6640625" style="112" customWidth="1"/>
    <col min="12" max="24" width="13.6640625" style="112"/>
    <col min="25" max="25" width="6" hidden="1" customWidth="1"/>
    <col min="26" max="26" width="13" hidden="1" customWidth="1"/>
    <col min="27" max="16384" width="13.6640625" style="112"/>
  </cols>
  <sheetData>
    <row r="1" spans="1:11" ht="24" customHeight="1">
      <c r="A1" s="371" t="s">
        <v>92</v>
      </c>
      <c r="B1" s="371"/>
      <c r="C1" s="371"/>
      <c r="D1" s="371"/>
      <c r="E1" s="371"/>
      <c r="F1" s="371"/>
      <c r="G1" s="371"/>
      <c r="H1" s="371"/>
      <c r="I1" s="371"/>
      <c r="J1" s="195"/>
      <c r="K1" s="195"/>
    </row>
    <row r="3" spans="1:11" ht="17.100000000000001" customHeight="1" thickBot="1">
      <c r="A3" s="372" t="s">
        <v>93</v>
      </c>
      <c r="B3" s="372"/>
      <c r="C3" s="372"/>
      <c r="D3" s="372"/>
      <c r="E3" s="372"/>
      <c r="F3" s="372"/>
      <c r="G3" s="372"/>
      <c r="H3" s="372"/>
      <c r="I3" s="372"/>
    </row>
    <row r="4" spans="1:11" ht="13.5" customHeight="1" thickTop="1">
      <c r="B4" s="373" t="s">
        <v>51</v>
      </c>
      <c r="C4" s="373" t="s">
        <v>94</v>
      </c>
      <c r="D4" s="373" t="s">
        <v>72</v>
      </c>
      <c r="E4" s="373" t="s">
        <v>95</v>
      </c>
      <c r="F4" s="373" t="s">
        <v>96</v>
      </c>
      <c r="G4" s="373"/>
      <c r="H4" s="373"/>
      <c r="I4" s="374" t="s">
        <v>97</v>
      </c>
    </row>
    <row r="5" spans="1:11">
      <c r="B5" s="373" t="s">
        <v>6</v>
      </c>
      <c r="C5" s="373" t="s">
        <v>98</v>
      </c>
      <c r="D5" s="373" t="s">
        <v>99</v>
      </c>
      <c r="E5" s="373" t="s">
        <v>100</v>
      </c>
      <c r="F5" s="373" t="s">
        <v>13</v>
      </c>
      <c r="G5" s="373"/>
      <c r="H5" s="373"/>
      <c r="I5" s="374" t="s">
        <v>101</v>
      </c>
    </row>
    <row r="6" spans="1:11">
      <c r="B6" s="373" t="s">
        <v>56</v>
      </c>
      <c r="C6" s="373" t="s">
        <v>102</v>
      </c>
      <c r="D6" s="374" t="s">
        <v>103</v>
      </c>
      <c r="E6" s="373" t="s">
        <v>104</v>
      </c>
      <c r="F6" s="374" t="s">
        <v>105</v>
      </c>
      <c r="G6" s="374"/>
      <c r="H6" s="373"/>
      <c r="I6" s="374" t="s">
        <v>106</v>
      </c>
    </row>
    <row r="7" spans="1:11" ht="13.5" customHeight="1" thickBot="1">
      <c r="B7" s="374" t="s">
        <v>63</v>
      </c>
      <c r="C7" s="373" t="s">
        <v>36</v>
      </c>
      <c r="D7" s="374" t="s">
        <v>107</v>
      </c>
      <c r="E7" s="373" t="s">
        <v>108</v>
      </c>
      <c r="F7" s="373" t="s">
        <v>11</v>
      </c>
      <c r="G7" s="373" t="s">
        <v>109</v>
      </c>
      <c r="H7" s="373"/>
      <c r="I7" s="374" t="s">
        <v>110</v>
      </c>
    </row>
    <row r="8" spans="1:11" ht="14.25" customHeight="1" thickTop="1" thickBot="1">
      <c r="B8" s="323"/>
      <c r="C8" s="323"/>
      <c r="D8" s="323"/>
      <c r="E8" s="323"/>
      <c r="F8" s="323"/>
      <c r="G8" s="323"/>
      <c r="H8" s="323"/>
      <c r="I8" s="323"/>
    </row>
    <row r="9" spans="1:11" ht="13.5" customHeight="1" thickTop="1">
      <c r="B9" s="375"/>
      <c r="C9" s="375"/>
      <c r="D9" s="376"/>
      <c r="E9" s="377"/>
      <c r="F9" s="377"/>
      <c r="G9" s="378"/>
      <c r="H9" s="378"/>
      <c r="I9" s="377"/>
    </row>
    <row r="10" spans="1:11">
      <c r="B10" s="375"/>
      <c r="C10" s="375"/>
      <c r="D10" s="379" t="e">
        <f>D9/E12</f>
        <v>#DIV/0!</v>
      </c>
      <c r="E10" s="380"/>
      <c r="F10" s="377"/>
      <c r="G10" s="378"/>
      <c r="H10" s="378"/>
      <c r="I10" s="381" t="str">
        <f>IF(E12="","",ROUND(I12/E12,2))</f>
        <v/>
      </c>
    </row>
    <row r="11" spans="1:11">
      <c r="B11" s="382"/>
      <c r="C11" s="382"/>
      <c r="D11" s="376"/>
      <c r="E11" s="383"/>
      <c r="F11" s="377"/>
      <c r="G11" s="378"/>
      <c r="H11" s="378"/>
      <c r="I11" s="377"/>
    </row>
    <row r="12" spans="1:11" ht="13.5" customHeight="1" thickBot="1">
      <c r="B12" s="375"/>
      <c r="C12" s="384"/>
      <c r="D12" s="385"/>
      <c r="E12" s="380"/>
      <c r="F12" s="377"/>
      <c r="G12" s="378"/>
      <c r="H12" s="378"/>
      <c r="I12" s="386"/>
    </row>
    <row r="13" spans="1:11" ht="13.5" customHeight="1" thickTop="1">
      <c r="B13" s="323"/>
      <c r="C13" s="323"/>
      <c r="D13" s="323"/>
      <c r="E13" s="323"/>
      <c r="F13" s="323"/>
      <c r="G13" s="323"/>
      <c r="H13" s="323"/>
      <c r="I13" s="387"/>
    </row>
    <row r="14" spans="1:11">
      <c r="I14" s="116"/>
    </row>
    <row r="15" spans="1:11" ht="17.100000000000001" customHeight="1" thickBot="1">
      <c r="A15" s="372" t="s">
        <v>111</v>
      </c>
      <c r="B15" s="372"/>
      <c r="C15" s="372"/>
      <c r="D15" s="372"/>
      <c r="E15" s="372"/>
      <c r="F15" s="372"/>
      <c r="G15" s="372"/>
      <c r="H15" s="372"/>
      <c r="I15" s="372"/>
      <c r="J15" s="195"/>
      <c r="K15" s="195"/>
    </row>
    <row r="16" spans="1:11" ht="13.5" customHeight="1" thickTop="1">
      <c r="A16" s="328"/>
      <c r="B16" s="373" t="s">
        <v>51</v>
      </c>
      <c r="C16" s="373" t="s">
        <v>94</v>
      </c>
      <c r="D16" s="373" t="s">
        <v>72</v>
      </c>
      <c r="E16" s="373" t="s">
        <v>95</v>
      </c>
      <c r="F16" s="373" t="s">
        <v>96</v>
      </c>
      <c r="G16" s="373"/>
      <c r="H16" s="373"/>
      <c r="I16" s="373" t="s">
        <v>112</v>
      </c>
    </row>
    <row r="17" spans="1:26">
      <c r="A17" s="328"/>
      <c r="B17" s="373" t="s">
        <v>6</v>
      </c>
      <c r="C17" s="373" t="s">
        <v>98</v>
      </c>
      <c r="D17" s="373" t="s">
        <v>99</v>
      </c>
      <c r="E17" s="373" t="s">
        <v>100</v>
      </c>
      <c r="F17" s="373" t="s">
        <v>13</v>
      </c>
      <c r="G17" s="373"/>
      <c r="H17" s="373" t="s">
        <v>113</v>
      </c>
      <c r="I17" s="374" t="s">
        <v>114</v>
      </c>
    </row>
    <row r="18" spans="1:26">
      <c r="A18" s="328"/>
      <c r="B18" s="373" t="s">
        <v>56</v>
      </c>
      <c r="C18" s="373" t="s">
        <v>102</v>
      </c>
      <c r="D18" s="374" t="s">
        <v>115</v>
      </c>
      <c r="E18" s="373" t="s">
        <v>104</v>
      </c>
      <c r="F18" s="374" t="s">
        <v>116</v>
      </c>
      <c r="G18" s="374" t="s">
        <v>117</v>
      </c>
      <c r="H18" s="373" t="s">
        <v>118</v>
      </c>
      <c r="I18" s="374" t="s">
        <v>112</v>
      </c>
    </row>
    <row r="19" spans="1:26" ht="13.5" customHeight="1" thickBot="1">
      <c r="A19" s="328"/>
      <c r="B19" s="374" t="s">
        <v>63</v>
      </c>
      <c r="C19" s="373" t="s">
        <v>36</v>
      </c>
      <c r="D19" s="374" t="s">
        <v>107</v>
      </c>
      <c r="E19" s="373" t="s">
        <v>119</v>
      </c>
      <c r="F19" s="373" t="s">
        <v>11</v>
      </c>
      <c r="G19" s="374" t="s">
        <v>120</v>
      </c>
      <c r="H19" s="373" t="s">
        <v>121</v>
      </c>
      <c r="I19" s="374" t="s">
        <v>110</v>
      </c>
    </row>
    <row r="20" spans="1:26" ht="14.25" customHeight="1" thickTop="1" thickBot="1"/>
    <row r="21" spans="1:26" ht="13.5" customHeight="1" thickTop="1">
      <c r="A21" s="531" t="s">
        <v>78</v>
      </c>
      <c r="B21" s="388" t="str">
        <f>IF(IFERROR(INDEX(Sales!C:C,$Z$21),"")="","",+" "&amp;IFERROR(INDEX(Sales!C:C,$Z$21),""))</f>
        <v xml:space="preserve"> R0075207</v>
      </c>
      <c r="C21" s="388" t="str">
        <f>IF(IFERROR(INDEX(Sales!AE:AE,$Z$21),"")="","",IFERROR(INDEX(Sales!AE:AE,$Z$21),""))</f>
        <v>R AND R JOE ENTERPRISES LLC</v>
      </c>
      <c r="D21" s="389">
        <f>IF(IFERROR(INDEX(Sales!AA:AA,$Z$21),"")="","",IFERROR(INDEX(Sales!AA:AA,$Z$21),""))</f>
        <v>2200000</v>
      </c>
      <c r="E21" s="389" t="str">
        <f>IF(IFERROR(INDEX(Sales!F:F,$Z$21),"")="","",IFERROR(INDEX(Sales!F:F,$Z$21),""))</f>
        <v/>
      </c>
      <c r="F21" s="390">
        <f>IF(IFERROR(INDEX(Sales!M:M,$Z$21),"")="","",IFERROR(INDEX(Sales!M:M,$Z$21),""))</f>
        <v>1995</v>
      </c>
      <c r="G21" s="391"/>
      <c r="H21" s="392"/>
      <c r="I21" s="392"/>
      <c r="Y21" s="197">
        <v>1</v>
      </c>
      <c r="Z21">
        <f>IFERROR(MATCH(_xlfn.AGGREGATE(15,6,Sales!$AJ$2:$AJ$941,$Y$21),Sales!$AJ$2:$AJ$941,0)+1,"")</f>
        <v>459</v>
      </c>
    </row>
    <row r="22" spans="1:26">
      <c r="A22" s="532"/>
      <c r="B22" s="388" t="str">
        <f>IF(IFERROR(INDEX(Sales!D:D,$Z$21),"")="","",IFERROR(INDEX(Sales!D:D,$Z$21),""))</f>
        <v>10290 E 106TH AVE</v>
      </c>
      <c r="C22" s="388" t="str">
        <f>IF(IFERROR(INDEX(Sales!AF:AF,$Z$21),"")="","",IFERROR(INDEX(Sales!AF:AF,$Z$21),""))</f>
        <v>ROCKY WELDING SERVICES LLC</v>
      </c>
      <c r="D22" s="393">
        <f>IF(IFERROR(INDEX(Sales!H:H,$Z$21),"")="","",IFERROR(INDEX(Sales!H:H,$Z$21),""))</f>
        <v>157.14285714285714</v>
      </c>
      <c r="E22" s="394">
        <f>IF(IFERROR(INDEX(Sales!S:S,$Z$21),"")="","",IFERROR(INDEX(Sales!S:S,$Z$21),""))</f>
        <v>93218</v>
      </c>
      <c r="F22" s="395" t="str">
        <f>IF(IFERROR(INDEX(Sales!R:R,$Z$21),"")="","",IFERROR(VLOOKUP(IFERROR(INDEX(Sales!R:R,$Z$21),""),[0]!GRADE,2),IFERROR(INDEX(Sales!R:R,$Z$21),"")))</f>
        <v>Good</v>
      </c>
      <c r="G22" s="392"/>
      <c r="H22" s="392"/>
      <c r="I22" s="396">
        <f>IF(H24="","",H24)</f>
        <v>157.13999999999999</v>
      </c>
    </row>
    <row r="23" spans="1:26">
      <c r="A23" s="532"/>
      <c r="B23" s="388" t="str">
        <f>IF(IFERROR(INDEX(Sales!AC:AC,$Z$21),"")="","",+IFERROR(INDEX(Sales!AC:AC,$Z$21),""))</f>
        <v>0172110006004</v>
      </c>
      <c r="C23" s="388" t="str">
        <f>IF(IFERROR(INDEX(Sales!AD:AD,$Z$21),"")="","",IFERROR(INDEX(Sales!AD:AD,$Z$21),""))</f>
        <v>2020000021758</v>
      </c>
      <c r="D23" s="397"/>
      <c r="E23" s="390">
        <f>IF(IFERROR(INDEX(Sales!T:T,$Z$21),"")="","",IFERROR(INDEX(Sales!T:T,$Z$21),""))</f>
        <v>6.6584285714285718</v>
      </c>
      <c r="F23" s="346" t="str">
        <f>IF(IFERROR(INDEX(Sales!V:V,$Z$21),"")="","",IFERROR(VLOOKUP(IFERROR(INDEX(Sales!V:V,$Z$21),""),Codes!$A$12:$B$16,2),IFERROR(INDEX(Sales!V:V,$Z$21),"")))</f>
        <v/>
      </c>
      <c r="G23" s="392"/>
      <c r="H23" s="392"/>
      <c r="I23" s="392"/>
    </row>
    <row r="24" spans="1:26" ht="13.5" customHeight="1" thickBot="1">
      <c r="A24" s="533"/>
      <c r="B24" s="398" t="str">
        <f>IF(IFERROR(INDEX(Sales!E:E,$Z$21),"")="","",+" "&amp;IFERROR(VLOOKUP(IFERROR(INDEX(Sales!E:E,$Z$21),""),[0]!Class,2),IFERROR(INDEX(Sales!E:E,$Z$21),"")))</f>
        <v xml:space="preserve"> Storage Warehouse</v>
      </c>
      <c r="C24" s="399">
        <f>IF(IFERROR(INDEX(Sales!I:I,$Z$21),"")="","",IFERROR(INDEX(Sales!I:I,$Z$21),""))</f>
        <v>43894</v>
      </c>
      <c r="D24" s="393">
        <f>IF(D21="","",ROUND((D21+D23)/E24,2))</f>
        <v>157.13999999999999</v>
      </c>
      <c r="E24" s="394">
        <f>IF(IFERROR(INDEX(Sales!L:L,$Z$21),"")="","",IFERROR(INDEX(Sales!L:L,$Z$21),""))</f>
        <v>14000</v>
      </c>
      <c r="F24" s="390" t="str">
        <f>IF(IFERROR(INDEX(Sales!P:P,$Z$21),"")="","",IFERROR(INDEX(Sales!P:P,$Z$21),""))</f>
        <v>I-3-Com</v>
      </c>
      <c r="G24" s="400"/>
      <c r="H24" s="396">
        <f>IF(D24="","",ROUND(D24*(1+G24),2))</f>
        <v>157.13999999999999</v>
      </c>
      <c r="I24" s="401" t="str">
        <f>IF(E12="","",ROUND(E12*H24,-2))</f>
        <v/>
      </c>
    </row>
    <row r="25" spans="1:26" ht="14.25" customHeight="1" thickTop="1" thickBot="1">
      <c r="A25" s="113"/>
      <c r="G25" s="114"/>
      <c r="I25" s="115"/>
    </row>
    <row r="26" spans="1:26" ht="13.5" customHeight="1" thickTop="1">
      <c r="A26" s="531" t="s">
        <v>79</v>
      </c>
      <c r="B26" s="402" t="str">
        <f>IF(IFERROR(INDEX(Sales!C:C,$Z$26),"")="","",+" "&amp;IFERROR(INDEX(Sales!C:C,$Z$26),""))</f>
        <v xml:space="preserve"> R0077172</v>
      </c>
      <c r="C26" s="402" t="str">
        <f>IF(IFERROR(INDEX(Sales!AE:AE,$Z$26),"")="","",IFERROR(INDEX(Sales!AE:AE,$Z$26),""))</f>
        <v>ROSLYN STREET PROPERTIES LLC</v>
      </c>
      <c r="D26" s="403">
        <f>IF(IFERROR(INDEX(Sales!AA:AA,$Z$26),"")="","",IFERROR(INDEX(Sales!AA:AA,$Z$26),""))</f>
        <v>2500000</v>
      </c>
      <c r="E26" s="403" t="str">
        <f>IF(IFERROR(INDEX(Sales!F:F,$Z$26),"")="","",IFERROR(INDEX(Sales!F:F,$Z$26),""))</f>
        <v>COMMERCE CITY</v>
      </c>
      <c r="F26" s="404">
        <f>IF(IFERROR(INDEX(Sales!M:M,$Z$26),"")="","",IFERROR(INDEX(Sales!M:M,$Z$26),""))</f>
        <v>1987</v>
      </c>
      <c r="G26" s="405"/>
      <c r="H26" s="392"/>
      <c r="I26" s="392"/>
      <c r="Y26" s="197">
        <v>2</v>
      </c>
      <c r="Z26">
        <f>IFERROR(MATCH(_xlfn.AGGREGATE(15,6,Sales!$AJ$2:$AJ$941,$Y$26),Sales!$AJ$2:$AJ$941,0)+1,"")</f>
        <v>76</v>
      </c>
    </row>
    <row r="27" spans="1:26">
      <c r="A27" s="532"/>
      <c r="B27" s="402" t="str">
        <f>IF(IFERROR(INDEX(Sales!D:D,$Z$26),"")="","",IFERROR(INDEX(Sales!D:D,$Z$26),""))</f>
        <v>8495 ROSLYN ST</v>
      </c>
      <c r="C27" s="402" t="str">
        <f>IF(IFERROR(INDEX(Sales!AF:AF,$Z$26),"")="","",IFERROR(INDEX(Sales!AF:AF,$Z$26),""))</f>
        <v>CHARLES BREWER LLC</v>
      </c>
      <c r="D27" s="406">
        <f>IF(IFERROR(INDEX(Sales!H:H,$Z$26),"")="","",IFERROR(INDEX(Sales!H:H,$Z$26),""))</f>
        <v>166.22340425531914</v>
      </c>
      <c r="E27" s="407">
        <f>IF(IFERROR(INDEX(Sales!S:S,$Z$26),"")="","",IFERROR(INDEX(Sales!S:S,$Z$26),""))</f>
        <v>33584.76</v>
      </c>
      <c r="F27" s="404" t="str">
        <f>IF(IFERROR(INDEX(Sales!R:R,$Z$26),"")="","",IFERROR(VLOOKUP(IFERROR(INDEX(Sales!R:R,$Z$26),""),[0]!GRADE,2),IFERROR(INDEX(Sales!R:R,$Z$26),"")))</f>
        <v>Good</v>
      </c>
      <c r="G27" s="392"/>
      <c r="H27" s="392"/>
      <c r="I27" s="396">
        <f>IF(H29="","",H29)</f>
        <v>166.22</v>
      </c>
    </row>
    <row r="28" spans="1:26">
      <c r="A28" s="532"/>
      <c r="B28" s="402" t="str">
        <f>IF(IFERROR(INDEX(Sales!AC:AC,$Z$26),"")="","",+IFERROR(INDEX(Sales!AC:AC,$Z$26),""))</f>
        <v>0172128200023</v>
      </c>
      <c r="C28" s="402" t="str">
        <f>IF(IFERROR(INDEX(Sales!AD:AD,$Z$26),"")="","",IFERROR(INDEX(Sales!AD:AD,$Z$26),""))</f>
        <v>2024000015116</v>
      </c>
      <c r="D28" s="397"/>
      <c r="E28" s="404">
        <f>IF(IFERROR(INDEX(Sales!T:T,$Z$26),"")="","",IFERROR(INDEX(Sales!T:T,$Z$26),""))</f>
        <v>2.2330292553191491</v>
      </c>
      <c r="F28" s="404" t="str">
        <f>IF(IFERROR(INDEX(Sales!V:V,$Z$26),"")="","",IFERROR(VLOOKUP(IFERROR(INDEX(Sales!V:V,$Z$26),""),Codes!$A$12:$B$16,2),IFERROR(INDEX(Sales!V:V,$Z$26),"")))</f>
        <v/>
      </c>
      <c r="G28" s="392"/>
      <c r="H28" s="392"/>
      <c r="I28" s="392"/>
    </row>
    <row r="29" spans="1:26" ht="13.5" customHeight="1" thickBot="1">
      <c r="A29" s="533"/>
      <c r="B29" s="408" t="str">
        <f>IF(IFERROR(INDEX(Sales!E:E,$Z$26),"")="","",+" "&amp;IFERROR(VLOOKUP(IFERROR(INDEX(Sales!E:E,$Z$26),""),[0]!Class,2),IFERROR(INDEX(Sales!E:E,$Z$26),"")))</f>
        <v xml:space="preserve"> Storage Warehouse</v>
      </c>
      <c r="C29" s="409">
        <f>IF(IFERROR(INDEX(Sales!I:I,$Z$26),"")="","",IFERROR(INDEX(Sales!I:I,$Z$26),""))</f>
        <v>45468</v>
      </c>
      <c r="D29" s="406">
        <f>IF(D26="","",ROUND((D26+D28)/E29,2))</f>
        <v>166.22</v>
      </c>
      <c r="E29" s="407">
        <f>IF(IFERROR(INDEX(Sales!L:L,$Z$26),"")="","",IFERROR(INDEX(Sales!L:L,$Z$26),""))</f>
        <v>15040</v>
      </c>
      <c r="F29" s="404" t="str">
        <f>IF(IFERROR(INDEX(Sales!P:P,$Z$26),"")="","",IFERROR(INDEX(Sales!P:P,$Z$26),""))</f>
        <v>I-2-Com</v>
      </c>
      <c r="G29" s="400"/>
      <c r="H29" s="396">
        <f>IF(D29="","",ROUND(D29*(1+G29),2))</f>
        <v>166.22</v>
      </c>
      <c r="I29" s="401" t="str">
        <f>IF(E12="","",ROUND(E12*H29,-2))</f>
        <v/>
      </c>
    </row>
    <row r="30" spans="1:26" ht="14.25" customHeight="1" thickTop="1" thickBot="1">
      <c r="A30" s="113"/>
      <c r="G30" s="114"/>
      <c r="I30" s="115"/>
    </row>
    <row r="31" spans="1:26" ht="13.5" customHeight="1" thickTop="1">
      <c r="A31" s="531" t="s">
        <v>80</v>
      </c>
      <c r="B31" s="388" t="str">
        <f>IF(IFERROR(INDEX(Sales!C:C,$Z$31),"")="","",+" "&amp;IFERROR(INDEX(Sales!C:C,$Z$31),""))</f>
        <v xml:space="preserve"> R0109567</v>
      </c>
      <c r="C31" s="388" t="str">
        <f>IF(IFERROR(INDEX(Sales!AE:AE,$Z$31),"")="","",IFERROR(INDEX(Sales!AE:AE,$Z$31),""))</f>
        <v>WEPRIN PROPERTIES LLC</v>
      </c>
      <c r="D31" s="389">
        <f>IF(IFERROR(INDEX(Sales!AA:AA,$Z$31),"")="","",IFERROR(INDEX(Sales!AA:AA,$Z$31),""))</f>
        <v>2600000</v>
      </c>
      <c r="E31" s="389" t="str">
        <f>IF(IFERROR(INDEX(Sales!F:F,$Z$31),"")="","",IFERROR(INDEX(Sales!F:F,$Z$31),""))</f>
        <v>THORNTON</v>
      </c>
      <c r="F31" s="390">
        <f>IF(IFERROR(INDEX(Sales!M:M,$Z$31),"")="","",IFERROR(INDEX(Sales!M:M,$Z$31),""))</f>
        <v>1997</v>
      </c>
      <c r="G31" s="391"/>
      <c r="H31" s="392"/>
      <c r="I31" s="392"/>
      <c r="Y31" s="197">
        <v>3</v>
      </c>
      <c r="Z31">
        <f>IFERROR(MATCH(_xlfn.AGGREGATE(15,6,Sales!$AJ$2:$AJ$941,$Y$31),Sales!$AJ$2:$AJ$941,0)+1,"")</f>
        <v>198</v>
      </c>
    </row>
    <row r="32" spans="1:26">
      <c r="A32" s="532"/>
      <c r="B32" s="388" t="str">
        <f>IF(IFERROR(INDEX(Sales!D:D,$Z$31),"")="","",IFERROR(INDEX(Sales!D:D,$Z$31),""))</f>
        <v>8879 FOX DR</v>
      </c>
      <c r="C32" s="388" t="str">
        <f>IF(IFERROR(INDEX(Sales!AF:AF,$Z$31),"")="","",IFERROR(INDEX(Sales!AF:AF,$Z$31),""))</f>
        <v>8879 FOX DRIVE LLC</v>
      </c>
      <c r="D32" s="393">
        <f>IF(IFERROR(INDEX(Sales!H:H,$Z$31),"")="","",IFERROR(INDEX(Sales!H:H,$Z$31),""))</f>
        <v>192.36460491269605</v>
      </c>
      <c r="E32" s="394">
        <f>IF(IFERROR(INDEX(Sales!S:S,$Z$31),"")="","",IFERROR(INDEX(Sales!S:S,$Z$31),""))</f>
        <v>50790.960899999998</v>
      </c>
      <c r="F32" s="390" t="str">
        <f>IF(IFERROR(INDEX(Sales!R:R,$Z$31),"")="","",IFERROR(VLOOKUP(IFERROR(INDEX(Sales!R:R,$Z$31),""),[0]!GRADE,2),IFERROR(INDEX(Sales!R:R,$Z$31),"")))</f>
        <v>Good</v>
      </c>
      <c r="G32" s="392"/>
      <c r="H32" s="392"/>
      <c r="I32" s="396">
        <f>IF(H34="","",H34)</f>
        <v>192.36</v>
      </c>
    </row>
    <row r="33" spans="1:26">
      <c r="A33" s="532"/>
      <c r="B33" s="388" t="str">
        <f>IF(IFERROR(INDEX(Sales!AC:AC,$Z$31),"")="","",+IFERROR(INDEX(Sales!AC:AC,$Z$31),""))</f>
        <v>0171922304015</v>
      </c>
      <c r="C33" s="388" t="str">
        <f>IF(IFERROR(INDEX(Sales!AD:AD,$Z$31),"")="","",IFERROR(INDEX(Sales!AD:AD,$Z$31),""))</f>
        <v>2023000010580</v>
      </c>
      <c r="D33" s="397"/>
      <c r="E33" s="390">
        <f>IF(IFERROR(INDEX(Sales!T:T,$Z$31),"")="","",IFERROR(INDEX(Sales!T:T,$Z$31),""))</f>
        <v>3.7578396641018053</v>
      </c>
      <c r="F33" s="390" t="str">
        <f>IF(IFERROR(INDEX(Sales!V:V,$Z$31),"")="","",IFERROR(VLOOKUP(IFERROR(INDEX(Sales!V:V,$Z$31),""),Codes!$A$12:$B$16,2),IFERROR(INDEX(Sales!V:V,$Z$31),"")))</f>
        <v/>
      </c>
      <c r="G33" s="392"/>
      <c r="H33" s="392"/>
      <c r="I33" s="392"/>
      <c r="K33" s="115"/>
    </row>
    <row r="34" spans="1:26" ht="13.5" customHeight="1" thickBot="1">
      <c r="A34" s="533"/>
      <c r="B34" s="398" t="str">
        <f>IF(IFERROR(INDEX(Sales!E:E,$Z$31),"")="","",+" "&amp;IFERROR(VLOOKUP(IFERROR(INDEX(Sales!E:E,$Z$31),""),[0]!Class,2),IFERROR(INDEX(Sales!E:E,$Z$31),"")))</f>
        <v xml:space="preserve"> Storage Warehouse</v>
      </c>
      <c r="C34" s="399">
        <f>IF(IFERROR(INDEX(Sales!I:I,$Z$31),"")="","",IFERROR(INDEX(Sales!I:I,$Z$31),""))</f>
        <v>44981</v>
      </c>
      <c r="D34" s="393">
        <f>IF(D31="","",ROUND((D31+D33)/E34,2))</f>
        <v>192.36</v>
      </c>
      <c r="E34" s="394">
        <f>IF(IFERROR(INDEX(Sales!L:L,$Z$31),"")="","",IFERROR(INDEX(Sales!L:L,$Z$31),""))</f>
        <v>13516</v>
      </c>
      <c r="F34" s="390" t="str">
        <f>IF(IFERROR(INDEX(Sales!P:P,$Z$31),"")="","",IFERROR(INDEX(Sales!P:P,$Z$31),""))</f>
        <v>Community Retail</v>
      </c>
      <c r="G34" s="400"/>
      <c r="H34" s="396">
        <f>IF(D34="","",ROUND(D34*(1+G34),2))</f>
        <v>192.36</v>
      </c>
      <c r="I34" s="401" t="str">
        <f>IF(E12="","",ROUND(E12*H34,-2))</f>
        <v/>
      </c>
    </row>
    <row r="35" spans="1:26" ht="14.25" customHeight="1" thickTop="1" thickBot="1">
      <c r="A35" s="113"/>
      <c r="G35" s="114"/>
      <c r="I35" s="115"/>
    </row>
    <row r="36" spans="1:26" ht="13.5" customHeight="1" thickTop="1">
      <c r="A36" s="531" t="s">
        <v>122</v>
      </c>
      <c r="B36" s="402" t="str">
        <f>IF(IFERROR(INDEX(Sales!C:C,$Z$36),"")="","",+" "&amp;IFERROR(INDEX(Sales!C:C,$Z$36),""))</f>
        <v xml:space="preserve"> R0202864</v>
      </c>
      <c r="C36" s="402" t="str">
        <f>IF(IFERROR(INDEX(Sales!AE:AE,$Z$36),"")="","",IFERROR(INDEX(Sales!AE:AE,$Z$36),""))</f>
        <v>XM HOLDINGS LLC AND, K&amp;V HOLDINGS LLC</v>
      </c>
      <c r="D36" s="403">
        <f>IF(IFERROR(INDEX(Sales!AA:AA,$Z$36),"")="","",IFERROR(INDEX(Sales!AA:AA,$Z$36),""))</f>
        <v>2995000</v>
      </c>
      <c r="E36" s="403" t="str">
        <f>IF(IFERROR(INDEX(Sales!F:F,$Z$36),"")="","",IFERROR(INDEX(Sales!F:F,$Z$36),""))</f>
        <v>COMMERCE CITY</v>
      </c>
      <c r="F36" s="404">
        <f>IF(IFERROR(INDEX(Sales!M:M,$Z$36),"")="","",IFERROR(INDEX(Sales!M:M,$Z$36),""))</f>
        <v>2021</v>
      </c>
      <c r="G36" s="392"/>
      <c r="H36" s="392"/>
      <c r="I36" s="392"/>
      <c r="Y36" s="197">
        <v>4</v>
      </c>
      <c r="Z36">
        <f>IFERROR(MATCH(_xlfn.AGGREGATE(15,6,Sales!$AJ$2:$AJ$941,$Y$36),Sales!$AJ$2:$AJ$941,0)+1,"")</f>
        <v>127</v>
      </c>
    </row>
    <row r="37" spans="1:26">
      <c r="A37" s="532"/>
      <c r="B37" s="402" t="str">
        <f>IF(IFERROR(INDEX(Sales!D:D,$Z$36),"")="","",IFERROR(INDEX(Sales!D:D,$Z$36),""))</f>
        <v>8531 ROSEMARY ST</v>
      </c>
      <c r="C37" s="402" t="str">
        <f>IF(IFERROR(INDEX(Sales!AF:AF,$Z$36),"")="","",IFERROR(INDEX(Sales!AF:AF,$Z$36),""))</f>
        <v>II LAWS REAL ESTATE LLC</v>
      </c>
      <c r="D37" s="406">
        <f>IF(IFERROR(INDEX(Sales!H:H,$Z$36),"")="","",IFERROR(INDEX(Sales!H:H,$Z$36),""))</f>
        <v>227.37625265715153</v>
      </c>
      <c r="E37" s="407">
        <f>IF(IFERROR(INDEX(Sales!S:S,$Z$36),"")="","",IFERROR(INDEX(Sales!S:S,$Z$36),""))</f>
        <v>33790</v>
      </c>
      <c r="F37" s="404" t="str">
        <f>IF(IFERROR(INDEX(Sales!R:R,$Z$36),"")="","",IFERROR(VLOOKUP(IFERROR(INDEX(Sales!R:R,$Z$36),""),[0]!GRADE,2),IFERROR(INDEX(Sales!R:R,$Z$36),"")))</f>
        <v>Average</v>
      </c>
      <c r="G37" s="392"/>
      <c r="H37" s="392"/>
      <c r="I37" s="396">
        <f>IF(H39="","",H39)</f>
        <v>227.38</v>
      </c>
    </row>
    <row r="38" spans="1:26">
      <c r="A38" s="533"/>
      <c r="B38" s="402" t="str">
        <f>IF(IFERROR(INDEX(Sales!AC:AC,$Z$36),"")="","",+IFERROR(INDEX(Sales!AC:AC,$Z$36),""))</f>
        <v>0172128209007</v>
      </c>
      <c r="C38" s="402" t="str">
        <f>IF(IFERROR(INDEX(Sales!AD:AD,$Z$36),"")="","",IFERROR(INDEX(Sales!AD:AD,$Z$36),""))</f>
        <v>2023000034883</v>
      </c>
      <c r="D38" s="397"/>
      <c r="E38" s="404">
        <f>IF(IFERROR(INDEX(Sales!T:T,$Z$36),"")="","",IFERROR(INDEX(Sales!T:T,$Z$36),""))</f>
        <v>2.565290009110234</v>
      </c>
      <c r="F38" s="404" t="str">
        <f>IF(IFERROR(INDEX(Sales!V:V,$Z$36),"")="","",IFERROR(VLOOKUP(IFERROR(INDEX(Sales!V:V,$Z$36),""),Codes!$A$12:$B$16,2),IFERROR(INDEX(Sales!V:V,$Z$36),"")))</f>
        <v/>
      </c>
      <c r="G38" s="392"/>
      <c r="H38" s="392"/>
      <c r="I38" s="392"/>
    </row>
    <row r="39" spans="1:26" ht="13.5" customHeight="1" thickBot="1">
      <c r="A39" s="323"/>
      <c r="B39" s="408" t="str">
        <f>IF(IFERROR(INDEX(Sales!E:E,$Z$36),"")="","",+" "&amp;IFERROR(VLOOKUP(IFERROR(INDEX(Sales!E:E,$Z$36),""),[0]!Class,2),IFERROR(INDEX(Sales!E:E,$Z$36),"")))</f>
        <v xml:space="preserve"> Storage Warehouse</v>
      </c>
      <c r="C39" s="409">
        <f>IF(IFERROR(INDEX(Sales!I:I,$Z$36),"")="","",IFERROR(INDEX(Sales!I:I,$Z$36),""))</f>
        <v>45097</v>
      </c>
      <c r="D39" s="406">
        <f>IF(D36="","",ROUND((D36+D38)/E39,2))</f>
        <v>227.38</v>
      </c>
      <c r="E39" s="407">
        <f>IF(IFERROR(INDEX(Sales!L:L,$Z$36),"")="","",IFERROR(INDEX(Sales!L:L,$Z$36),""))</f>
        <v>13172</v>
      </c>
      <c r="F39" s="404" t="str">
        <f>IF(IFERROR(INDEX(Sales!P:P,$Z$36),"")="","",IFERROR(INDEX(Sales!P:P,$Z$36),""))</f>
        <v/>
      </c>
      <c r="G39" s="400"/>
      <c r="H39" s="396">
        <f>IF(D39="","",ROUND(D39*(1+G39),2))</f>
        <v>227.38</v>
      </c>
      <c r="I39" s="401">
        <f>I37*E12</f>
        <v>0</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714375</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714375</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98EE9-7E41-47E3-9416-40DAFB60EC14}">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defaultColWidth="12.33203125" defaultRowHeight="12.75"/>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3203125" style="36" customWidth="1"/>
    <col min="10" max="16384" width="12.33203125" style="36"/>
  </cols>
  <sheetData>
    <row r="1" spans="1:8" ht="32.25" customHeight="1">
      <c r="B1"/>
    </row>
    <row r="2" spans="1:8" ht="24" customHeight="1">
      <c r="A2" s="195"/>
      <c r="B2" s="410" t="s">
        <v>123</v>
      </c>
      <c r="C2" s="410"/>
      <c r="D2" s="410"/>
      <c r="E2" s="410"/>
      <c r="F2" s="410"/>
      <c r="G2" s="410"/>
      <c r="H2" s="410"/>
    </row>
    <row r="4" spans="1:8" ht="17.100000000000001" customHeight="1" thickBot="1">
      <c r="B4" s="411" t="s">
        <v>93</v>
      </c>
      <c r="C4" s="411"/>
      <c r="D4" s="411"/>
      <c r="E4" s="411"/>
      <c r="F4" s="411"/>
      <c r="G4" s="411"/>
      <c r="H4" s="411"/>
    </row>
    <row r="5" spans="1:8" ht="13.5" customHeight="1" thickTop="1">
      <c r="B5" s="412" t="s">
        <v>124</v>
      </c>
      <c r="C5" s="413" t="s">
        <v>125</v>
      </c>
      <c r="D5" s="412" t="s">
        <v>95</v>
      </c>
      <c r="E5" s="412" t="s">
        <v>96</v>
      </c>
      <c r="F5" s="412"/>
      <c r="G5" s="412"/>
      <c r="H5" s="412"/>
    </row>
    <row r="6" spans="1:8">
      <c r="B6" s="412" t="s">
        <v>6</v>
      </c>
      <c r="C6" s="413" t="s">
        <v>60</v>
      </c>
      <c r="D6" s="412" t="s">
        <v>100</v>
      </c>
      <c r="E6" s="412" t="s">
        <v>13</v>
      </c>
      <c r="F6" s="412"/>
      <c r="G6" s="412"/>
      <c r="H6" s="412"/>
    </row>
    <row r="7" spans="1:8">
      <c r="B7" s="412" t="s">
        <v>126</v>
      </c>
      <c r="C7" s="412" t="s">
        <v>127</v>
      </c>
      <c r="D7" s="412" t="s">
        <v>128</v>
      </c>
      <c r="E7" s="412" t="s">
        <v>116</v>
      </c>
      <c r="F7" s="412"/>
      <c r="G7" s="412"/>
      <c r="H7" s="412"/>
    </row>
    <row r="8" spans="1:8" ht="13.5" customHeight="1" thickBot="1">
      <c r="B8" s="412" t="s">
        <v>63</v>
      </c>
      <c r="C8" s="413" t="s">
        <v>66</v>
      </c>
      <c r="D8" s="412" t="s">
        <v>108</v>
      </c>
      <c r="E8" s="412" t="s">
        <v>11</v>
      </c>
      <c r="F8" s="412" t="s">
        <v>129</v>
      </c>
      <c r="G8" s="412" t="s">
        <v>109</v>
      </c>
      <c r="H8" s="413"/>
    </row>
    <row r="9" spans="1:8" ht="14.25" customHeight="1" thickTop="1" thickBot="1"/>
    <row r="10" spans="1:8" ht="13.5" customHeight="1" thickTop="1">
      <c r="B10" s="414" t="str">
        <f>IF('BAA Market'!B9="","",'BAA Market'!B9)</f>
        <v/>
      </c>
      <c r="C10" s="415"/>
      <c r="D10" s="416" t="str">
        <f>IF('BAA Market'!E9="","",'BAA Market'!E9)</f>
        <v/>
      </c>
      <c r="E10" s="416" t="str">
        <f>IF('BAA Market'!F9="","",'BAA Market'!F9)</f>
        <v/>
      </c>
      <c r="F10" s="417"/>
      <c r="G10" s="418"/>
      <c r="H10" s="418"/>
    </row>
    <row r="11" spans="1:8">
      <c r="B11" s="419" t="str">
        <f>IF('BAA Market'!B10="","",'BAA Market'!B10)</f>
        <v/>
      </c>
      <c r="C11" s="420"/>
      <c r="D11" s="421" t="str">
        <f>IF('BAA Market'!E10="","",'BAA Market'!E10)</f>
        <v/>
      </c>
      <c r="E11" s="416" t="str">
        <f>IF('BAA Market'!F10="","",'BAA Market'!F10)</f>
        <v/>
      </c>
      <c r="F11" s="417"/>
      <c r="G11" s="418"/>
      <c r="H11" s="418"/>
    </row>
    <row r="12" spans="1:8">
      <c r="B12" s="419" t="str">
        <f>IF('BAA Market'!B11="","",'BAA Market'!B11)</f>
        <v/>
      </c>
      <c r="C12" s="415"/>
      <c r="D12" s="422" t="str">
        <f>IF('BAA Market'!E11="","",'BAA Market'!E11)</f>
        <v/>
      </c>
      <c r="E12" s="416" t="str">
        <f>IF('BAA Market'!F11="","",'BAA Market'!F11)</f>
        <v/>
      </c>
      <c r="F12" s="417"/>
      <c r="G12" s="418"/>
      <c r="H12" s="418"/>
    </row>
    <row r="13" spans="1:8" ht="13.5" customHeight="1" thickBot="1">
      <c r="B13" s="419" t="str">
        <f>IF('BAA Market'!B12="","",'BAA Market'!B12)</f>
        <v/>
      </c>
      <c r="C13" s="420"/>
      <c r="D13" s="421" t="str">
        <f>IF('BAA Market'!E12="","",'BAA Market'!E12)</f>
        <v/>
      </c>
      <c r="E13" s="416" t="str">
        <f>IF('BAA Market'!F12="","",'BAA Market'!F12)</f>
        <v/>
      </c>
      <c r="F13" s="417"/>
      <c r="G13" s="418"/>
      <c r="H13" s="418"/>
    </row>
    <row r="14" spans="1:8" ht="13.5" customHeight="1" thickTop="1"/>
    <row r="17" spans="1:8" ht="17.100000000000001" customHeight="1" thickBot="1">
      <c r="A17" s="195"/>
      <c r="B17" s="411" t="s">
        <v>130</v>
      </c>
      <c r="C17" s="411"/>
      <c r="D17" s="411"/>
      <c r="E17" s="411"/>
      <c r="F17" s="411"/>
      <c r="G17" s="411"/>
      <c r="H17" s="411"/>
    </row>
    <row r="18" spans="1:8" ht="13.5" customHeight="1" thickTop="1">
      <c r="A18" s="198"/>
      <c r="B18" s="412"/>
      <c r="C18" s="413" t="s">
        <v>125</v>
      </c>
      <c r="D18" s="412" t="s">
        <v>95</v>
      </c>
      <c r="E18" s="412" t="s">
        <v>96</v>
      </c>
      <c r="F18" s="412"/>
      <c r="G18" s="412"/>
      <c r="H18" s="412"/>
    </row>
    <row r="19" spans="1:8">
      <c r="A19" s="198"/>
      <c r="B19" s="412" t="s">
        <v>131</v>
      </c>
      <c r="C19" s="413" t="s">
        <v>60</v>
      </c>
      <c r="D19" s="412" t="s">
        <v>100</v>
      </c>
      <c r="E19" s="412" t="s">
        <v>13</v>
      </c>
      <c r="F19" s="412"/>
      <c r="G19" s="412"/>
      <c r="H19" s="413"/>
    </row>
    <row r="20" spans="1:8">
      <c r="A20" s="198"/>
      <c r="B20" s="412" t="s">
        <v>132</v>
      </c>
      <c r="C20" s="412" t="s">
        <v>127</v>
      </c>
      <c r="D20" s="412" t="s">
        <v>128</v>
      </c>
      <c r="E20" s="412" t="s">
        <v>116</v>
      </c>
      <c r="F20" s="412"/>
      <c r="G20" s="413" t="s">
        <v>117</v>
      </c>
      <c r="H20" s="413" t="s">
        <v>113</v>
      </c>
    </row>
    <row r="21" spans="1:8" ht="13.5" customHeight="1" thickBot="1">
      <c r="A21" s="198"/>
      <c r="B21" s="412" t="s">
        <v>63</v>
      </c>
      <c r="C21" s="413" t="s">
        <v>66</v>
      </c>
      <c r="D21" s="412" t="s">
        <v>108</v>
      </c>
      <c r="E21" s="412" t="s">
        <v>11</v>
      </c>
      <c r="F21" s="412" t="s">
        <v>129</v>
      </c>
      <c r="G21" s="413" t="s">
        <v>133</v>
      </c>
      <c r="H21" s="413" t="s">
        <v>125</v>
      </c>
    </row>
    <row r="22" spans="1:8" ht="14.25" customHeight="1" thickTop="1" thickBot="1"/>
    <row r="23" spans="1:8" ht="13.5" customHeight="1" thickTop="1">
      <c r="A23" s="534" t="s">
        <v>134</v>
      </c>
      <c r="B23" s="423"/>
      <c r="C23" s="424" t="str">
        <f>IF(Income!K2="","",Income!K$2)</f>
        <v/>
      </c>
      <c r="D23" s="390" t="str">
        <f>IF(Income!H2="","",VLOOKUP(Income!H2,[0]!Location,2))</f>
        <v/>
      </c>
      <c r="E23" s="390" t="str">
        <f>IF(Income!N2="","",Income!N2)</f>
        <v/>
      </c>
      <c r="F23" s="425"/>
      <c r="G23" s="425"/>
      <c r="H23" s="423"/>
    </row>
    <row r="24" spans="1:8">
      <c r="A24" s="532"/>
      <c r="B24" s="423"/>
      <c r="C24" s="426" t="str">
        <f>IF(Income!L$2="","",Income!L$2)</f>
        <v/>
      </c>
      <c r="D24" s="394" t="str">
        <f>IF(Income!W2="","",Income!W2)</f>
        <v/>
      </c>
      <c r="E24" s="390" t="str">
        <f>IF(Income!Z2="","",VLOOKUP(Income!Z2,[0]!GRADE,2))</f>
        <v/>
      </c>
      <c r="F24" s="425"/>
      <c r="G24" s="425"/>
      <c r="H24" s="423"/>
    </row>
    <row r="25" spans="1:8">
      <c r="A25" s="532"/>
      <c r="B25" s="427" t="str">
        <f>IF(Income!E$2="","",Income!E$2)</f>
        <v/>
      </c>
      <c r="C25" s="424" t="e">
        <f>C23*(1-C24)*C26</f>
        <v>#VALUE!</v>
      </c>
      <c r="D25" s="390" t="str">
        <f>IF(Income!X2="","",Income!X2)</f>
        <v/>
      </c>
      <c r="E25" s="390" t="str">
        <f>IF(Income!AC2="","",VLOOKUP(Income!AC2,[0]!P_f,2))</f>
        <v/>
      </c>
      <c r="F25" s="425"/>
      <c r="G25" s="425"/>
      <c r="H25" s="423"/>
    </row>
    <row r="26" spans="1:8" ht="13.5" customHeight="1" thickBot="1">
      <c r="A26" s="533"/>
      <c r="B26" s="398" t="str">
        <f>IF(Income!G$2="","",VLOOKUP(Income!G$2,[0]!Class,2))</f>
        <v/>
      </c>
      <c r="C26" s="426" t="str">
        <f>IF(Income!M2="","",Income!M$2)</f>
        <v/>
      </c>
      <c r="D26" s="394" t="str">
        <f>IF(Income!Y2="","",Income!Y2)</f>
        <v/>
      </c>
      <c r="E26" s="390" t="str">
        <f>IF(Income!T2="","",Income!T2)</f>
        <v/>
      </c>
      <c r="F26" s="420"/>
      <c r="G26" s="428"/>
      <c r="H26" s="429" t="str">
        <f>IF(C23="","",C23*(1+G26))</f>
        <v/>
      </c>
    </row>
    <row r="27" spans="1:8" ht="14.25" customHeight="1" thickTop="1" thickBot="1">
      <c r="F27" s="38"/>
    </row>
    <row r="28" spans="1:8" ht="13.5" customHeight="1" thickTop="1">
      <c r="A28" s="534" t="s">
        <v>135</v>
      </c>
      <c r="B28" s="423"/>
      <c r="C28" s="430" t="str">
        <f>IF(Income!K3="","",Income!K3)</f>
        <v/>
      </c>
      <c r="D28" s="404" t="str">
        <f>IF(Income!H3="","",VLOOKUP(Income!H3,[0]!Location,2))</f>
        <v/>
      </c>
      <c r="E28" s="404" t="str">
        <f>IF(Income!N3="","",Income!N3)</f>
        <v/>
      </c>
      <c r="F28" s="425"/>
      <c r="G28" s="425"/>
      <c r="H28" s="423"/>
    </row>
    <row r="29" spans="1:8">
      <c r="A29" s="532"/>
      <c r="B29" s="423"/>
      <c r="C29" s="431" t="str">
        <f>IF(Income!L3="","",Income!L3)</f>
        <v/>
      </c>
      <c r="D29" s="407" t="str">
        <f>IF(Income!W3="","",Income!W3)</f>
        <v/>
      </c>
      <c r="E29" s="404" t="str">
        <f>IF(Income!Z3="","",VLOOKUP(Income!Z3,[0]!GRADE,2))</f>
        <v/>
      </c>
      <c r="F29" s="425"/>
      <c r="G29" s="425"/>
      <c r="H29" s="423"/>
    </row>
    <row r="30" spans="1:8">
      <c r="A30" s="532"/>
      <c r="B30" s="432" t="str">
        <f>IF(Income!E3="","",Income!E3)</f>
        <v/>
      </c>
      <c r="C30" s="430" t="e">
        <f>C28*(1-C29)*C31</f>
        <v>#VALUE!</v>
      </c>
      <c r="D30" s="404" t="str">
        <f>IF(Income!X3="","",Income!X3)</f>
        <v/>
      </c>
      <c r="E30" s="404" t="str">
        <f>IF(Income!AC3="","",VLOOKUP(Income!AC3,[0]!P_f,2))</f>
        <v/>
      </c>
      <c r="F30" s="425"/>
      <c r="G30" s="425"/>
      <c r="H30" s="423"/>
    </row>
    <row r="31" spans="1:8" ht="13.5" customHeight="1" thickBot="1">
      <c r="A31" s="533"/>
      <c r="B31" s="408" t="str">
        <f>IF(Income!G3="","",VLOOKUP(Income!G3,[0]!Class,2))</f>
        <v/>
      </c>
      <c r="C31" s="431" t="str">
        <f>IF(Income!M3="","",Income!M3)</f>
        <v/>
      </c>
      <c r="D31" s="407" t="str">
        <f>IF(Income!Y3="","",Income!Y3)</f>
        <v/>
      </c>
      <c r="E31" s="404" t="str">
        <f>IF(Income!T3="","",Income!T3)</f>
        <v/>
      </c>
      <c r="F31" s="420"/>
      <c r="G31" s="428"/>
      <c r="H31" s="429" t="str">
        <f>IF(C28="","",C28*(1+G31))</f>
        <v/>
      </c>
    </row>
    <row r="32" spans="1:8" ht="14.25" customHeight="1" thickTop="1" thickBot="1">
      <c r="F32" s="38"/>
    </row>
    <row r="33" spans="1:8" ht="13.5" customHeight="1" thickTop="1">
      <c r="A33" s="534" t="s">
        <v>136</v>
      </c>
      <c r="B33" s="423"/>
      <c r="C33" s="424" t="str">
        <f>IF(Income!K4="","",Income!K4)</f>
        <v/>
      </c>
      <c r="D33" s="390" t="str">
        <f>IF(Income!H4="","",VLOOKUP(Income!H4,[0]!Location,2))</f>
        <v/>
      </c>
      <c r="E33" s="390" t="str">
        <f>IF(Income!N4="","",Income!N4)</f>
        <v/>
      </c>
      <c r="F33" s="425"/>
      <c r="G33" s="425"/>
      <c r="H33" s="423"/>
    </row>
    <row r="34" spans="1:8">
      <c r="A34" s="532"/>
      <c r="B34" s="423"/>
      <c r="C34" s="426" t="str">
        <f>IF(Income!L4="","",Income!L4)</f>
        <v/>
      </c>
      <c r="D34" s="394" t="str">
        <f>IF(Income!W4="","",Income!W4)</f>
        <v/>
      </c>
      <c r="E34" s="390" t="str">
        <f>IF(Income!Z4="","",VLOOKUP(Income!Z4,[0]!GRADE,2))</f>
        <v/>
      </c>
      <c r="F34" s="425"/>
      <c r="G34" s="425"/>
      <c r="H34" s="423"/>
    </row>
    <row r="35" spans="1:8">
      <c r="A35" s="532"/>
      <c r="B35" s="427" t="str">
        <f>IF(Income!E4="","",Income!E4)</f>
        <v/>
      </c>
      <c r="C35" s="424" t="e">
        <f>C33*(1-C34)*C36</f>
        <v>#VALUE!</v>
      </c>
      <c r="D35" s="390" t="str">
        <f>IF(Income!X4="","",Income!X4)</f>
        <v/>
      </c>
      <c r="E35" s="390" t="str">
        <f>IF(Income!AC4="","",VLOOKUP(Income!AC4,[0]!P_f,2))</f>
        <v/>
      </c>
      <c r="F35" s="425"/>
      <c r="G35" s="425"/>
      <c r="H35" s="423"/>
    </row>
    <row r="36" spans="1:8" ht="13.5" customHeight="1" thickBot="1">
      <c r="A36" s="533"/>
      <c r="B36" s="398" t="str">
        <f>IF(Income!G4="","",VLOOKUP(Income!G4,[0]!Class,2))</f>
        <v/>
      </c>
      <c r="C36" s="426" t="str">
        <f>IF(Income!M4="","",Income!M4)</f>
        <v/>
      </c>
      <c r="D36" s="394" t="str">
        <f>IF(Income!Y4="","",Income!Y4)</f>
        <v/>
      </c>
      <c r="E36" s="390" t="str">
        <f>IF(Income!T4="","",Income!T4)</f>
        <v/>
      </c>
      <c r="F36" s="420"/>
      <c r="G36" s="428"/>
      <c r="H36" s="429" t="str">
        <f>IF(C33="","",C33*(1+G36))</f>
        <v/>
      </c>
    </row>
    <row r="37" spans="1:8" ht="14.25" customHeight="1" thickTop="1" thickBot="1">
      <c r="F37" s="38"/>
    </row>
    <row r="38" spans="1:8" ht="13.5" customHeight="1" thickTop="1">
      <c r="A38" s="534" t="s">
        <v>137</v>
      </c>
      <c r="B38" s="423"/>
      <c r="C38" s="430" t="str">
        <f>IF(Income!K5="","",Income!K5)</f>
        <v/>
      </c>
      <c r="D38" s="404" t="str">
        <f>IF(Income!H5="","",VLOOKUP(Income!H5,[0]!Location,2))</f>
        <v/>
      </c>
      <c r="E38" s="404" t="str">
        <f>IF(Income!N5="","",Income!N5)</f>
        <v/>
      </c>
      <c r="F38" s="425"/>
      <c r="G38" s="425"/>
      <c r="H38" s="423"/>
    </row>
    <row r="39" spans="1:8">
      <c r="A39" s="532"/>
      <c r="B39" s="423"/>
      <c r="C39" s="431" t="str">
        <f>IF(Income!L5="","",Income!L5)</f>
        <v/>
      </c>
      <c r="D39" s="407" t="str">
        <f>IF(Income!W5="","",Income!W5)</f>
        <v/>
      </c>
      <c r="E39" s="404" t="str">
        <f>IF(Income!Z5="","",VLOOKUP(Income!Z5,[0]!GRADE,2))</f>
        <v/>
      </c>
      <c r="F39" s="425"/>
      <c r="G39" s="425"/>
      <c r="H39" s="423"/>
    </row>
    <row r="40" spans="1:8">
      <c r="A40" s="532"/>
      <c r="B40" s="432" t="str">
        <f>IF(Income!E5="","",Income!E5)</f>
        <v/>
      </c>
      <c r="C40" s="430" t="e">
        <f>C38*(1-C39)*C41</f>
        <v>#VALUE!</v>
      </c>
      <c r="D40" s="404" t="str">
        <f>IF(Income!X5="","",Income!X5)</f>
        <v/>
      </c>
      <c r="E40" s="404" t="str">
        <f>IF(Income!AC5="","",VLOOKUP(Income!AC5,[0]!P_f,2))</f>
        <v/>
      </c>
      <c r="F40" s="425"/>
      <c r="G40" s="425"/>
      <c r="H40" s="423"/>
    </row>
    <row r="41" spans="1:8" ht="13.5" customHeight="1" thickBot="1">
      <c r="A41" s="533"/>
      <c r="B41" s="408" t="str">
        <f>IF(Income!G5="","",VLOOKUP(Income!G5,[0]!Class,2))</f>
        <v/>
      </c>
      <c r="C41" s="431" t="str">
        <f>IF(Income!M5="","",Income!M5)</f>
        <v/>
      </c>
      <c r="D41" s="407" t="str">
        <f>IF(Income!Y5="","",Income!Y5)</f>
        <v/>
      </c>
      <c r="E41" s="404" t="str">
        <f>IF(Income!T5="","",Income!T5)</f>
        <v/>
      </c>
      <c r="F41" s="420"/>
      <c r="G41" s="428"/>
      <c r="H41" s="429"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276225</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FA720-662E-46BA-B1E4-F14F61D5268D}">
  <sheetPr codeName="Sheet21">
    <tabColor rgb="FF1F4E78"/>
    <pageSetUpPr autoPageBreaks="0" fitToPage="1"/>
  </sheetPr>
  <dimension ref="A1:Z74"/>
  <sheetViews>
    <sheetView showGridLines="0" zoomScaleNormal="100" zoomScaleSheetLayoutView="75" workbookViewId="0">
      <selection activeCell="D77" sqref="D77"/>
    </sheetView>
  </sheetViews>
  <sheetFormatPr defaultColWidth="12.33203125" defaultRowHeight="15.75"/>
  <cols>
    <col min="1" max="1" width="25" style="39" customWidth="1"/>
    <col min="2" max="2" width="18" style="39" customWidth="1"/>
    <col min="3" max="3" width="10" style="39" customWidth="1"/>
    <col min="4" max="4" width="17" style="39" customWidth="1"/>
    <col min="5" max="5" width="2.1640625" style="39" customWidth="1"/>
    <col min="6" max="6" width="6" style="39" customWidth="1"/>
    <col min="7" max="7" width="7" style="39" customWidth="1"/>
    <col min="8" max="8" width="10" style="39" customWidth="1"/>
    <col min="9" max="9" width="2.1640625" style="39" customWidth="1"/>
    <col min="10" max="10" width="8" style="39" customWidth="1"/>
    <col min="11" max="11" width="11" style="39" customWidth="1"/>
    <col min="12" max="12" width="8" style="39" customWidth="1"/>
    <col min="13" max="13" width="12.33203125" style="39" customWidth="1"/>
    <col min="14" max="24" width="12.33203125" style="39"/>
    <col min="25" max="25" width="6" hidden="1" customWidth="1"/>
    <col min="26" max="26" width="13" hidden="1" customWidth="1"/>
    <col min="27" max="16384" width="12.33203125" style="39"/>
  </cols>
  <sheetData>
    <row r="1" spans="1:13" ht="24" customHeight="1">
      <c r="A1" s="507" t="s">
        <v>138</v>
      </c>
      <c r="B1" s="507"/>
      <c r="C1" s="507"/>
      <c r="D1" s="507"/>
      <c r="E1" s="507"/>
      <c r="F1" s="507"/>
      <c r="G1" s="507"/>
      <c r="H1" s="507"/>
      <c r="I1" s="507"/>
      <c r="J1" s="507"/>
      <c r="K1" s="507"/>
      <c r="L1" s="507"/>
      <c r="M1" s="507"/>
    </row>
    <row r="2" spans="1:13">
      <c r="A2" s="508" t="s">
        <v>139</v>
      </c>
      <c r="D2" s="535" t="inlineStr">
        <is>
          <t xml:space="preserve">R0103784-R0103790</t>
        </is>
      </c>
      <c r="E2" s="536"/>
      <c r="F2" s="536"/>
      <c r="G2" s="536"/>
      <c r="H2" s="536"/>
    </row>
    <row r="3" spans="1:13">
      <c r="A3" s="508" t="s">
        <v>140</v>
      </c>
      <c r="D3" s="556" t="str">
        <f>IF(Subj_Address="","",Subj_Address)</f>
        <v>5775 Franklin Street</v>
      </c>
      <c r="E3" s="536"/>
      <c r="F3" s="536"/>
      <c r="G3" s="536"/>
      <c r="H3" s="536"/>
    </row>
    <row r="4" spans="1:13">
      <c r="A4" s="508" t="s">
        <v>141</v>
      </c>
      <c r="D4" s="535"/>
      <c r="E4" s="536"/>
      <c r="F4" s="536"/>
      <c r="G4" s="536"/>
      <c r="H4" s="536"/>
    </row>
    <row r="5" spans="1:13">
      <c r="A5" s="508" t="s">
        <v>142</v>
      </c>
      <c r="D5" s="535" t="inlineStr">
        <is>
          <t xml:space="preserve">Sterling Property Tax Specialists, Inc. (agent for owner)</t>
        </is>
      </c>
      <c r="E5" s="536"/>
      <c r="F5" s="536"/>
      <c r="G5" s="536"/>
      <c r="H5" s="536"/>
    </row>
    <row r="7" spans="1:13">
      <c r="A7" s="508" t="s">
        <v>143</v>
      </c>
    </row>
    <row r="8" spans="1:13">
      <c r="A8" s="546" t="inlineStr">
        <is>
          <t xml:space="preserve">Petitioner requests $20,000,000 (Exh H). Market-rent direct capitalization supports $29,610,000 — see Rent Roll / Direct Cap tabs and CityView analysis workbook.</t>
        </is>
      </c>
      <c r="B8" s="547"/>
      <c r="C8" s="547"/>
      <c r="D8" s="547"/>
      <c r="E8" s="547"/>
      <c r="F8" s="547"/>
      <c r="G8" s="547"/>
      <c r="H8" s="547"/>
      <c r="I8" s="547"/>
      <c r="J8" s="547"/>
      <c r="K8" s="547"/>
      <c r="L8" s="547"/>
      <c r="M8" s="548"/>
    </row>
    <row r="9" spans="1:13">
      <c r="A9" s="549"/>
      <c r="B9" s="550"/>
      <c r="C9" s="550"/>
      <c r="D9" s="550"/>
      <c r="E9" s="550"/>
      <c r="F9" s="550"/>
      <c r="G9" s="550"/>
      <c r="H9" s="550"/>
      <c r="I9" s="550"/>
      <c r="J9" s="550"/>
      <c r="K9" s="550"/>
      <c r="L9" s="550"/>
      <c r="M9" s="551"/>
    </row>
    <row r="10" spans="1:13">
      <c r="A10" s="549"/>
      <c r="B10" s="550"/>
      <c r="C10" s="550"/>
      <c r="D10" s="550"/>
      <c r="E10" s="550"/>
      <c r="F10" s="550"/>
      <c r="G10" s="550"/>
      <c r="H10" s="550"/>
      <c r="I10" s="550"/>
      <c r="J10" s="550"/>
      <c r="K10" s="550"/>
      <c r="L10" s="550"/>
      <c r="M10" s="551"/>
    </row>
    <row r="11" spans="1:13">
      <c r="A11" s="549"/>
      <c r="B11" s="550"/>
      <c r="C11" s="550"/>
      <c r="D11" s="550"/>
      <c r="E11" s="550"/>
      <c r="F11" s="550"/>
      <c r="G11" s="550"/>
      <c r="H11" s="550"/>
      <c r="I11" s="550"/>
      <c r="J11" s="550"/>
      <c r="K11" s="550"/>
      <c r="L11" s="550"/>
      <c r="M11" s="551"/>
    </row>
    <row r="12" spans="1:13">
      <c r="A12" s="549"/>
      <c r="B12" s="550"/>
      <c r="C12" s="550"/>
      <c r="D12" s="550"/>
      <c r="E12" s="550"/>
      <c r="F12" s="550"/>
      <c r="G12" s="550"/>
      <c r="H12" s="550"/>
      <c r="I12" s="550"/>
      <c r="J12" s="550"/>
      <c r="K12" s="550"/>
      <c r="L12" s="550"/>
      <c r="M12" s="551"/>
    </row>
    <row r="13" spans="1:13">
      <c r="A13" s="549"/>
      <c r="B13" s="550"/>
      <c r="C13" s="550"/>
      <c r="D13" s="550"/>
      <c r="E13" s="550"/>
      <c r="F13" s="550"/>
      <c r="G13" s="550"/>
      <c r="H13" s="550"/>
      <c r="I13" s="550"/>
      <c r="J13" s="550"/>
      <c r="K13" s="550"/>
      <c r="L13" s="550"/>
      <c r="M13" s="551"/>
    </row>
    <row r="14" spans="1:13">
      <c r="A14" s="549"/>
      <c r="B14" s="550"/>
      <c r="C14" s="550"/>
      <c r="D14" s="550"/>
      <c r="E14" s="550"/>
      <c r="F14" s="550"/>
      <c r="G14" s="550"/>
      <c r="H14" s="550"/>
      <c r="I14" s="550"/>
      <c r="J14" s="550"/>
      <c r="K14" s="550"/>
      <c r="L14" s="550"/>
      <c r="M14" s="551"/>
    </row>
    <row r="15" spans="1:13">
      <c r="A15" s="549"/>
      <c r="B15" s="550"/>
      <c r="C15" s="550"/>
      <c r="D15" s="550"/>
      <c r="E15" s="550"/>
      <c r="F15" s="550"/>
      <c r="G15" s="550"/>
      <c r="H15" s="550"/>
      <c r="I15" s="550"/>
      <c r="J15" s="550"/>
      <c r="K15" s="550"/>
      <c r="L15" s="550"/>
      <c r="M15" s="551"/>
    </row>
    <row r="16" spans="1:13">
      <c r="A16" s="549"/>
      <c r="B16" s="550"/>
      <c r="C16" s="550"/>
      <c r="D16" s="550"/>
      <c r="E16" s="550"/>
      <c r="F16" s="550"/>
      <c r="G16" s="550"/>
      <c r="H16" s="550"/>
      <c r="I16" s="550"/>
      <c r="J16" s="550"/>
      <c r="K16" s="550"/>
      <c r="L16" s="550"/>
      <c r="M16" s="551"/>
    </row>
    <row r="17" spans="1:13">
      <c r="A17" s="549"/>
      <c r="B17" s="550"/>
      <c r="C17" s="550"/>
      <c r="D17" s="550"/>
      <c r="E17" s="550"/>
      <c r="F17" s="550"/>
      <c r="G17" s="550"/>
      <c r="H17" s="550"/>
      <c r="I17" s="550"/>
      <c r="J17" s="550"/>
      <c r="K17" s="550"/>
      <c r="L17" s="550"/>
      <c r="M17" s="551"/>
    </row>
    <row r="18" spans="1:13">
      <c r="A18" s="549"/>
      <c r="B18" s="550"/>
      <c r="C18" s="550"/>
      <c r="D18" s="550"/>
      <c r="E18" s="550"/>
      <c r="F18" s="550"/>
      <c r="G18" s="550"/>
      <c r="H18" s="550"/>
      <c r="I18" s="550"/>
      <c r="J18" s="550"/>
      <c r="K18" s="550"/>
      <c r="L18" s="550"/>
      <c r="M18" s="551"/>
    </row>
    <row r="19" spans="1:13">
      <c r="A19" s="549"/>
      <c r="B19" s="550"/>
      <c r="C19" s="550"/>
      <c r="D19" s="550"/>
      <c r="E19" s="550"/>
      <c r="F19" s="550"/>
      <c r="G19" s="550"/>
      <c r="H19" s="550"/>
      <c r="I19" s="550"/>
      <c r="J19" s="550"/>
      <c r="K19" s="550"/>
      <c r="L19" s="550"/>
      <c r="M19" s="551"/>
    </row>
    <row r="20" spans="1:13">
      <c r="A20" s="552"/>
      <c r="B20" s="553"/>
      <c r="C20" s="553"/>
      <c r="D20" s="553"/>
      <c r="E20" s="553"/>
      <c r="F20" s="553"/>
      <c r="G20" s="553"/>
      <c r="H20" s="553"/>
      <c r="I20" s="553"/>
      <c r="J20" s="553"/>
      <c r="K20" s="553"/>
      <c r="L20" s="553"/>
      <c r="M20" s="554"/>
    </row>
    <row r="22" spans="1:13">
      <c r="A22" s="508" t="s">
        <v>144</v>
      </c>
    </row>
    <row r="23" spans="1:13">
      <c r="A23" s="546"/>
      <c r="B23" s="547"/>
      <c r="C23" s="547"/>
      <c r="D23" s="547"/>
      <c r="E23" s="547"/>
      <c r="F23" s="547"/>
      <c r="G23" s="547"/>
      <c r="H23" s="547"/>
      <c r="I23" s="547"/>
      <c r="J23" s="547"/>
      <c r="K23" s="547"/>
      <c r="L23" s="547"/>
      <c r="M23" s="548"/>
    </row>
    <row r="24" spans="1:13">
      <c r="A24" s="549"/>
      <c r="B24" s="550"/>
      <c r="C24" s="550"/>
      <c r="D24" s="550"/>
      <c r="E24" s="550"/>
      <c r="F24" s="550"/>
      <c r="G24" s="550"/>
      <c r="H24" s="550"/>
      <c r="I24" s="550"/>
      <c r="J24" s="550"/>
      <c r="K24" s="550"/>
      <c r="L24" s="550"/>
      <c r="M24" s="551"/>
    </row>
    <row r="25" spans="1:13">
      <c r="A25" s="549"/>
      <c r="B25" s="550"/>
      <c r="C25" s="550"/>
      <c r="D25" s="550"/>
      <c r="E25" s="550"/>
      <c r="F25" s="550"/>
      <c r="G25" s="550"/>
      <c r="H25" s="550"/>
      <c r="I25" s="550"/>
      <c r="J25" s="550"/>
      <c r="K25" s="550"/>
      <c r="L25" s="550"/>
      <c r="M25" s="551"/>
    </row>
    <row r="26" spans="1:13">
      <c r="A26" s="549"/>
      <c r="B26" s="550"/>
      <c r="C26" s="550"/>
      <c r="D26" s="550"/>
      <c r="E26" s="550"/>
      <c r="F26" s="550"/>
      <c r="G26" s="550"/>
      <c r="H26" s="550"/>
      <c r="I26" s="550"/>
      <c r="J26" s="550"/>
      <c r="K26" s="550"/>
      <c r="L26" s="550"/>
      <c r="M26" s="551"/>
    </row>
    <row r="27" spans="1:13">
      <c r="A27" s="549"/>
      <c r="B27" s="550"/>
      <c r="C27" s="550"/>
      <c r="D27" s="550"/>
      <c r="E27" s="550"/>
      <c r="F27" s="550"/>
      <c r="G27" s="550"/>
      <c r="H27" s="550"/>
      <c r="I27" s="550"/>
      <c r="J27" s="550"/>
      <c r="K27" s="550"/>
      <c r="L27" s="550"/>
      <c r="M27" s="551"/>
    </row>
    <row r="28" spans="1:13">
      <c r="A28" s="549"/>
      <c r="B28" s="550"/>
      <c r="C28" s="550"/>
      <c r="D28" s="550"/>
      <c r="E28" s="550"/>
      <c r="F28" s="550"/>
      <c r="G28" s="550"/>
      <c r="H28" s="550"/>
      <c r="I28" s="550"/>
      <c r="J28" s="550"/>
      <c r="K28" s="550"/>
      <c r="L28" s="550"/>
      <c r="M28" s="551"/>
    </row>
    <row r="29" spans="1:13">
      <c r="A29" s="549"/>
      <c r="B29" s="550"/>
      <c r="C29" s="550"/>
      <c r="D29" s="550"/>
      <c r="E29" s="550"/>
      <c r="F29" s="550"/>
      <c r="G29" s="550"/>
      <c r="H29" s="550"/>
      <c r="I29" s="550"/>
      <c r="J29" s="550"/>
      <c r="K29" s="550"/>
      <c r="L29" s="550"/>
      <c r="M29" s="551"/>
    </row>
    <row r="30" spans="1:13">
      <c r="A30" s="549"/>
      <c r="B30" s="550"/>
      <c r="C30" s="550"/>
      <c r="D30" s="550"/>
      <c r="E30" s="550"/>
      <c r="F30" s="550"/>
      <c r="G30" s="550"/>
      <c r="H30" s="550"/>
      <c r="I30" s="550"/>
      <c r="J30" s="550"/>
      <c r="K30" s="550"/>
      <c r="L30" s="550"/>
      <c r="M30" s="551"/>
    </row>
    <row r="31" spans="1:13">
      <c r="A31" s="549"/>
      <c r="B31" s="550"/>
      <c r="C31" s="550"/>
      <c r="D31" s="550"/>
      <c r="E31" s="550"/>
      <c r="F31" s="550"/>
      <c r="G31" s="550"/>
      <c r="H31" s="550"/>
      <c r="I31" s="550"/>
      <c r="J31" s="550"/>
      <c r="K31" s="550"/>
      <c r="L31" s="550"/>
      <c r="M31" s="551"/>
    </row>
    <row r="32" spans="1:13">
      <c r="A32" s="549"/>
      <c r="B32" s="550"/>
      <c r="C32" s="550"/>
      <c r="D32" s="550"/>
      <c r="E32" s="550"/>
      <c r="F32" s="550"/>
      <c r="G32" s="550"/>
      <c r="H32" s="550"/>
      <c r="I32" s="550"/>
      <c r="J32" s="550"/>
      <c r="K32" s="550"/>
      <c r="L32" s="550"/>
      <c r="M32" s="551"/>
    </row>
    <row r="33" spans="1:13">
      <c r="A33" s="552"/>
      <c r="B33" s="553"/>
      <c r="C33" s="553"/>
      <c r="D33" s="553"/>
      <c r="E33" s="553"/>
      <c r="F33" s="553"/>
      <c r="G33" s="553"/>
      <c r="H33" s="553"/>
      <c r="I33" s="553"/>
      <c r="J33" s="553"/>
      <c r="K33" s="553"/>
      <c r="L33" s="553"/>
      <c r="M33" s="554"/>
    </row>
    <row r="35" spans="1:13">
      <c r="A35" s="508" t="s">
        <v>145</v>
      </c>
    </row>
    <row r="36" spans="1:13">
      <c r="A36" s="546"/>
      <c r="B36" s="547"/>
      <c r="C36" s="547"/>
      <c r="D36" s="547"/>
      <c r="E36" s="547"/>
      <c r="F36" s="547"/>
      <c r="G36" s="547"/>
      <c r="H36" s="547"/>
      <c r="I36" s="547"/>
      <c r="J36" s="547"/>
      <c r="K36" s="547"/>
      <c r="L36" s="547"/>
      <c r="M36" s="548"/>
    </row>
    <row r="37" spans="1:13">
      <c r="A37" s="549"/>
      <c r="B37" s="550"/>
      <c r="C37" s="550"/>
      <c r="D37" s="550"/>
      <c r="E37" s="550"/>
      <c r="F37" s="550"/>
      <c r="G37" s="550"/>
      <c r="H37" s="550"/>
      <c r="I37" s="550"/>
      <c r="J37" s="550"/>
      <c r="K37" s="550"/>
      <c r="L37" s="550"/>
      <c r="M37" s="551"/>
    </row>
    <row r="38" spans="1:13">
      <c r="A38" s="549"/>
      <c r="B38" s="550"/>
      <c r="C38" s="550"/>
      <c r="D38" s="550"/>
      <c r="E38" s="550"/>
      <c r="F38" s="550"/>
      <c r="G38" s="550"/>
      <c r="H38" s="550"/>
      <c r="I38" s="550"/>
      <c r="J38" s="550"/>
      <c r="K38" s="550"/>
      <c r="L38" s="550"/>
      <c r="M38" s="551"/>
    </row>
    <row r="39" spans="1:13">
      <c r="A39" s="549"/>
      <c r="B39" s="550"/>
      <c r="C39" s="550"/>
      <c r="D39" s="550"/>
      <c r="E39" s="550"/>
      <c r="F39" s="550"/>
      <c r="G39" s="550"/>
      <c r="H39" s="550"/>
      <c r="I39" s="550"/>
      <c r="J39" s="550"/>
      <c r="K39" s="550"/>
      <c r="L39" s="550"/>
      <c r="M39" s="551"/>
    </row>
    <row r="40" spans="1:13">
      <c r="A40" s="549"/>
      <c r="B40" s="550"/>
      <c r="C40" s="550"/>
      <c r="D40" s="550"/>
      <c r="E40" s="550"/>
      <c r="F40" s="550"/>
      <c r="G40" s="550"/>
      <c r="H40" s="550"/>
      <c r="I40" s="550"/>
      <c r="J40" s="550"/>
      <c r="K40" s="550"/>
      <c r="L40" s="550"/>
      <c r="M40" s="551"/>
    </row>
    <row r="41" spans="1:13">
      <c r="A41" s="549"/>
      <c r="B41" s="550"/>
      <c r="C41" s="550"/>
      <c r="D41" s="550"/>
      <c r="E41" s="550"/>
      <c r="F41" s="550"/>
      <c r="G41" s="550"/>
      <c r="H41" s="550"/>
      <c r="I41" s="550"/>
      <c r="J41" s="550"/>
      <c r="K41" s="550"/>
      <c r="L41" s="550"/>
      <c r="M41" s="551"/>
    </row>
    <row r="42" spans="1:13">
      <c r="A42" s="549"/>
      <c r="B42" s="550"/>
      <c r="C42" s="550"/>
      <c r="D42" s="550"/>
      <c r="E42" s="550"/>
      <c r="F42" s="550"/>
      <c r="G42" s="550"/>
      <c r="H42" s="550"/>
      <c r="I42" s="550"/>
      <c r="J42" s="550"/>
      <c r="K42" s="550"/>
      <c r="L42" s="550"/>
      <c r="M42" s="551"/>
    </row>
    <row r="43" spans="1:13">
      <c r="A43" s="549"/>
      <c r="B43" s="550"/>
      <c r="C43" s="550"/>
      <c r="D43" s="550"/>
      <c r="E43" s="550"/>
      <c r="F43" s="550"/>
      <c r="G43" s="550"/>
      <c r="H43" s="550"/>
      <c r="I43" s="550"/>
      <c r="J43" s="550"/>
      <c r="K43" s="550"/>
      <c r="L43" s="550"/>
      <c r="M43" s="551"/>
    </row>
    <row r="44" spans="1:13">
      <c r="A44" s="549"/>
      <c r="B44" s="550"/>
      <c r="C44" s="550"/>
      <c r="D44" s="550"/>
      <c r="E44" s="550"/>
      <c r="F44" s="550"/>
      <c r="G44" s="550"/>
      <c r="H44" s="550"/>
      <c r="I44" s="550"/>
      <c r="J44" s="550"/>
      <c r="K44" s="550"/>
      <c r="L44" s="550"/>
      <c r="M44" s="551"/>
    </row>
    <row r="45" spans="1:13">
      <c r="A45" s="549"/>
      <c r="B45" s="550"/>
      <c r="C45" s="550"/>
      <c r="D45" s="550"/>
      <c r="E45" s="550"/>
      <c r="F45" s="550"/>
      <c r="G45" s="550"/>
      <c r="H45" s="550"/>
      <c r="I45" s="550"/>
      <c r="J45" s="550"/>
      <c r="K45" s="550"/>
      <c r="L45" s="550"/>
      <c r="M45" s="551"/>
    </row>
    <row r="46" spans="1:13">
      <c r="A46" s="552"/>
      <c r="B46" s="553"/>
      <c r="C46" s="553"/>
      <c r="D46" s="553"/>
      <c r="E46" s="553"/>
      <c r="F46" s="553"/>
      <c r="G46" s="553"/>
      <c r="H46" s="553"/>
      <c r="I46" s="553"/>
      <c r="J46" s="553"/>
      <c r="K46" s="553"/>
      <c r="L46" s="553"/>
      <c r="M46" s="554"/>
    </row>
    <row r="47" spans="1:13">
      <c r="A47" s="509" t="s">
        <v>146</v>
      </c>
      <c r="B47" s="509"/>
      <c r="C47" s="509"/>
      <c r="D47" s="509"/>
      <c r="E47" s="509"/>
      <c r="F47" s="509"/>
      <c r="G47" s="509"/>
      <c r="H47" s="509"/>
      <c r="I47" s="509"/>
      <c r="J47" s="509"/>
      <c r="K47" s="509"/>
      <c r="L47" s="509"/>
      <c r="M47" s="509"/>
    </row>
    <row r="48" spans="1:13">
      <c r="C48" s="537" t="s">
        <v>147</v>
      </c>
      <c r="D48" s="538"/>
      <c r="E48" s="433"/>
      <c r="F48" s="537" t="s">
        <v>148</v>
      </c>
      <c r="G48" s="542"/>
      <c r="H48" s="538"/>
      <c r="I48" s="328"/>
      <c r="J48" s="537" t="s">
        <v>149</v>
      </c>
      <c r="K48" s="538"/>
    </row>
    <row r="49" spans="1:13">
      <c r="A49" s="434" t="s">
        <v>150</v>
      </c>
      <c r="C49" s="539">
        <v>9613564</v>
      </c>
      <c r="D49" s="540"/>
      <c r="E49" s="435"/>
      <c r="F49" s="539">
        <v>9613564</v>
      </c>
      <c r="G49" s="543"/>
      <c r="H49" s="540"/>
      <c r="I49" s="323"/>
      <c r="J49" s="545">
        <f>F49-C49</f>
        <v>0</v>
      </c>
      <c r="K49" s="538"/>
    </row>
    <row r="50" spans="1:13">
      <c r="A50" s="436" t="s">
        <v>151</v>
      </c>
      <c r="C50" s="539">
        <v>23604795</v>
      </c>
      <c r="D50" s="540"/>
      <c r="E50" s="435"/>
      <c r="F50" s="539">
        <v>19996436</v>
      </c>
      <c r="G50" s="543"/>
      <c r="H50" s="540"/>
      <c r="I50" s="323"/>
      <c r="J50" s="545">
        <f>F50-C50</f>
        <v>0</v>
      </c>
      <c r="K50" s="538"/>
    </row>
    <row r="51" spans="1:13">
      <c r="A51" s="434" t="s">
        <v>152</v>
      </c>
      <c r="C51" s="555">
        <f>C50+C49</f>
        <v>0</v>
      </c>
      <c r="D51" s="538"/>
      <c r="E51" s="435"/>
      <c r="F51" s="541">
        <f>F50+F49</f>
        <v>0</v>
      </c>
      <c r="G51" s="542"/>
      <c r="H51" s="538"/>
      <c r="I51" s="323"/>
      <c r="J51" s="545">
        <f>F51-C51</f>
        <v>0</v>
      </c>
      <c r="K51" s="538"/>
    </row>
    <row r="54" spans="1:13" ht="20.100000000000001" customHeight="1">
      <c r="A54" s="434" t="s">
        <v>153</v>
      </c>
      <c r="B54" s="437"/>
      <c r="C54" s="438"/>
      <c r="D54" s="439"/>
      <c r="F54" s="40"/>
    </row>
    <row r="55" spans="1:13" ht="20.100000000000001" customHeight="1">
      <c r="A55" s="440" t="s">
        <v>154</v>
      </c>
      <c r="B55" s="437"/>
      <c r="C55" s="437"/>
      <c r="D55" s="437"/>
      <c r="E55" s="41"/>
      <c r="F55" s="41"/>
    </row>
    <row r="56" spans="1:13" ht="20.100000000000001" customHeight="1">
      <c r="A56" s="441" t="s">
        <v>155</v>
      </c>
      <c r="B56" s="437"/>
      <c r="C56" s="437"/>
      <c r="D56" s="437"/>
      <c r="E56" s="40"/>
      <c r="F56" s="40"/>
    </row>
    <row r="57" spans="1:13" ht="20.100000000000001" customHeight="1"/>
    <row r="58" spans="1:13" ht="20.100000000000001" customHeight="1"/>
    <row r="59" spans="1:13" ht="20.100000000000001" customHeight="1"/>
    <row r="60" spans="1:13" ht="17.100000000000001" customHeight="1">
      <c r="A60" s="442" t="s">
        <v>156</v>
      </c>
      <c r="B60" s="443"/>
      <c r="C60" s="443"/>
      <c r="D60" s="443"/>
      <c r="E60" s="443"/>
      <c r="F60" s="443"/>
      <c r="G60" s="443"/>
      <c r="H60" s="444" t="s">
        <v>157</v>
      </c>
      <c r="I60" s="444"/>
      <c r="J60" s="444"/>
      <c r="K60" s="444"/>
      <c r="L60" s="445" t="s">
        <v>158</v>
      </c>
      <c r="M60" s="365"/>
    </row>
    <row r="61" spans="1:13">
      <c r="A61" s="446"/>
      <c r="B61" s="446" t="s">
        <v>159</v>
      </c>
      <c r="C61" s="446" t="s">
        <v>160</v>
      </c>
      <c r="D61" s="446"/>
      <c r="E61" s="446"/>
      <c r="F61" s="446" t="s">
        <v>161</v>
      </c>
      <c r="G61" s="446" t="s">
        <v>35</v>
      </c>
      <c r="H61" s="433" t="s">
        <v>162</v>
      </c>
      <c r="I61" s="433"/>
      <c r="J61" s="433" t="s">
        <v>163</v>
      </c>
      <c r="K61" s="446" t="s">
        <v>164</v>
      </c>
      <c r="L61" s="433" t="s">
        <v>165</v>
      </c>
      <c r="M61" s="328"/>
    </row>
    <row r="62" spans="1:13">
      <c r="A62" s="42"/>
      <c r="B62" s="447" t="s">
        <v>166</v>
      </c>
      <c r="C62" s="448"/>
      <c r="D62" s="448"/>
      <c r="E62" s="448"/>
      <c r="F62" s="449"/>
      <c r="G62" s="449"/>
      <c r="H62" s="450"/>
      <c r="I62" s="450"/>
      <c r="J62" s="450"/>
      <c r="K62" s="450"/>
      <c r="L62" s="450"/>
      <c r="M62" s="323"/>
    </row>
    <row r="63" spans="1:13">
      <c r="A63" s="43"/>
      <c r="B63" s="451" t="str">
        <f>IF(D2="","",LEFT(D2,5))</f>
        <v/>
      </c>
      <c r="C63" s="544" t="str">
        <f>IFERROR(INDEX(OCC_TABLE_DESC,MATCH(Subj_OccCode,OCC_TABLE_CODE,0)),"")</f>
        <v>Storage Warehouse</v>
      </c>
      <c r="D63" s="540"/>
      <c r="E63" s="435"/>
      <c r="F63" s="452" t="str">
        <f>IF(Subj_Zoning="","",Subj_Zoning)</f>
        <v>I-2-Com</v>
      </c>
      <c r="G63" s="452">
        <f>IF(Subj_YOC="","",Subj_YOC)</f>
        <v>2005</v>
      </c>
      <c r="H63" s="510">
        <f>IF(Subj_BldgSF="","",Subj_BldgSF)</f>
        <v>14400</v>
      </c>
      <c r="I63" s="435"/>
      <c r="J63" s="511" t="str">
        <f>IF(WO!F11="","",WO!F11)</f>
        <v/>
      </c>
      <c r="K63" s="454" t="str">
        <f>IF(WO!F12="","",WO!F12)</f>
        <v/>
      </c>
      <c r="L63" s="454" t="str">
        <f>IF(WO!F13="","",WO!F13)</f>
        <v/>
      </c>
      <c r="M63" s="323"/>
    </row>
    <row r="64" spans="1:13">
      <c r="A64" s="447" t="s">
        <v>167</v>
      </c>
      <c r="B64" s="455" t="str">
        <f>IF(Income!D$2="","",MID(Income!D2,1,5))</f>
        <v/>
      </c>
      <c r="C64" s="455" t="str">
        <f>IF(Income!G$2="","",VLOOKUP(Income!G$2,[0]!Class,2))</f>
        <v/>
      </c>
      <c r="D64" s="448"/>
      <c r="E64" s="448"/>
      <c r="F64" s="456" t="str">
        <f>IF(Income!T$2="","",Income!T$2)</f>
        <v/>
      </c>
      <c r="G64" s="456" t="str">
        <f>IF(Income!N$2="","",Income!N$2)</f>
        <v/>
      </c>
      <c r="H64" s="457" t="str">
        <f>IF(Income!J$2="","",Income!J$2)</f>
        <v/>
      </c>
      <c r="I64" s="458"/>
      <c r="J64" s="459" t="str">
        <f>IF(Income!K$2="","",Income!K$2)</f>
        <v/>
      </c>
      <c r="K64" s="460" t="str">
        <f>IF(Income!L$2="","",Income!L$2)</f>
        <v/>
      </c>
      <c r="L64" s="460" t="str">
        <f>IF(Income!M$2="","",Income!M$2)</f>
        <v/>
      </c>
      <c r="M64" s="323"/>
    </row>
    <row r="65" spans="1:26">
      <c r="A65" s="447" t="s">
        <v>168</v>
      </c>
      <c r="B65" s="461" t="str">
        <f>IF(Income!D$3="","",MID(Income!D$3,1,5))</f>
        <v/>
      </c>
      <c r="C65" s="461" t="str">
        <f>IF(Income!G$3="","",VLOOKUP(Income!G$3,[0]!Class,2))</f>
        <v/>
      </c>
      <c r="D65" s="448"/>
      <c r="E65" s="448"/>
      <c r="F65" s="462" t="str">
        <f>IF(Income!T$3="","",Income!T$3)</f>
        <v/>
      </c>
      <c r="G65" s="462" t="str">
        <f>IF(Income!N$3="","",Income!N$3)</f>
        <v/>
      </c>
      <c r="H65" s="463" t="str">
        <f>IF(Income!J$3="","",Income!J$3)</f>
        <v/>
      </c>
      <c r="I65" s="458"/>
      <c r="J65" s="464" t="str">
        <f>IF(Income!K$3="","",Income!K$3)</f>
        <v/>
      </c>
      <c r="K65" s="465" t="str">
        <f>IF(Income!L$3="","",Income!L$3)</f>
        <v/>
      </c>
      <c r="L65" s="465" t="str">
        <f>IF(Income!M$3="","",Income!M$3)</f>
        <v/>
      </c>
      <c r="M65" s="323"/>
    </row>
    <row r="66" spans="1:26">
      <c r="A66" s="447" t="s">
        <v>169</v>
      </c>
      <c r="B66" s="455" t="str">
        <f>IF(Income!D$4="","",MID(Income!D$4,1,5))</f>
        <v/>
      </c>
      <c r="C66" s="455" t="str">
        <f>IF(Income!G$4="","",VLOOKUP(Income!G$4,[0]!Class,2))</f>
        <v/>
      </c>
      <c r="D66" s="448"/>
      <c r="E66" s="448"/>
      <c r="F66" s="456" t="str">
        <f>IF(Income!T$4="","",Income!T$4)</f>
        <v/>
      </c>
      <c r="G66" s="456" t="str">
        <f>IF(Income!N$4="","",Income!N$4)</f>
        <v/>
      </c>
      <c r="H66" s="457" t="str">
        <f>IF(Income!J$4="","",Income!J$4)</f>
        <v/>
      </c>
      <c r="I66" s="458"/>
      <c r="J66" s="459" t="str">
        <f>IF(Income!K$4="","",Income!K$4)</f>
        <v/>
      </c>
      <c r="K66" s="460" t="str">
        <f>IF(Income!L$4="","",Income!L$4)</f>
        <v/>
      </c>
      <c r="L66" s="460" t="str">
        <f>IF(Income!M$4="","",Income!M$4)</f>
        <v/>
      </c>
      <c r="M66" s="323"/>
    </row>
    <row r="67" spans="1:26">
      <c r="A67" s="44"/>
      <c r="B67" s="44"/>
      <c r="C67" s="44"/>
      <c r="D67" s="44"/>
      <c r="E67" s="44"/>
    </row>
    <row r="68" spans="1:26" ht="17.100000000000001" customHeight="1">
      <c r="A68" s="442" t="s">
        <v>170</v>
      </c>
      <c r="B68" s="443"/>
      <c r="C68" s="443"/>
      <c r="D68" s="443"/>
      <c r="E68" s="443"/>
      <c r="F68" s="443"/>
      <c r="G68" s="443"/>
      <c r="H68" s="443" t="s">
        <v>157</v>
      </c>
      <c r="I68" s="443"/>
      <c r="J68" s="443" t="s">
        <v>171</v>
      </c>
      <c r="K68" s="443" t="s">
        <v>171</v>
      </c>
      <c r="L68" s="466" t="s">
        <v>172</v>
      </c>
      <c r="M68" s="365"/>
    </row>
    <row r="69" spans="1:26" ht="24">
      <c r="A69" s="446" t="s">
        <v>140</v>
      </c>
      <c r="B69" s="446"/>
      <c r="C69" s="446"/>
      <c r="D69" s="446" t="s">
        <v>173</v>
      </c>
      <c r="E69" s="446"/>
      <c r="F69" s="446"/>
      <c r="G69" s="446" t="s">
        <v>35</v>
      </c>
      <c r="H69" s="446" t="s">
        <v>162</v>
      </c>
      <c r="I69" s="446"/>
      <c r="J69" s="446" t="s">
        <v>174</v>
      </c>
      <c r="K69" s="446" t="s">
        <v>175</v>
      </c>
      <c r="L69" s="446" t="s">
        <v>162</v>
      </c>
      <c r="M69" s="328"/>
    </row>
    <row r="70" spans="1:26">
      <c r="A70" s="43"/>
      <c r="B70" s="447" t="s">
        <v>166</v>
      </c>
      <c r="C70" s="323"/>
      <c r="D70" s="323"/>
      <c r="E70" s="323"/>
      <c r="F70" s="323"/>
      <c r="G70" s="449"/>
      <c r="H70" s="323"/>
      <c r="I70" s="323"/>
      <c r="J70" s="323"/>
      <c r="K70" s="323"/>
      <c r="L70" s="448"/>
      <c r="M70" s="323"/>
    </row>
    <row r="71" spans="1:26">
      <c r="A71" s="43"/>
      <c r="B71" s="451" t="str">
        <f>IF(Subj_Address="","",Subj_Address)</f>
        <v>5775 Franklin Street</v>
      </c>
      <c r="C71" s="451"/>
      <c r="D71" s="448" t="str">
        <f>IF(D2="","",D2)</f>
        <v/>
      </c>
      <c r="E71" s="448"/>
      <c r="F71" s="448"/>
      <c r="G71" s="456">
        <f>G63</f>
        <v>2005</v>
      </c>
      <c r="H71" s="457">
        <f>H63</f>
        <v>14400</v>
      </c>
      <c r="I71" s="458"/>
      <c r="J71" s="453"/>
      <c r="K71" s="453"/>
      <c r="L71" s="467">
        <f>IF(N(H71)=0,"",ROUND(F51/H71,2))</f>
        <v>0</v>
      </c>
      <c r="M71" s="323"/>
    </row>
    <row r="72" spans="1:26">
      <c r="A72" s="447" t="s">
        <v>176</v>
      </c>
      <c r="B72" s="455" t="str">
        <f>IF(IFERROR(INDEX(Sales!D:D,$Z$72),"")="","",IFERROR(INDEX(Sales!D:D,$Z$72),""))</f>
        <v>10290 E 106TH AVE</v>
      </c>
      <c r="C72" s="448"/>
      <c r="D72" s="455" t="str">
        <f>IF(IFERROR(INDEX(Sales!C:C,$Z$72),"")="","",IFERROR(INDEX(Sales!C:C,$Z$72),""))</f>
        <v>R0075207</v>
      </c>
      <c r="E72" s="448"/>
      <c r="F72" s="448"/>
      <c r="G72" s="456">
        <f>IF(IFERROR(INDEX(Sales!M:M,$Z$72),"")="","",IFERROR(INDEX(Sales!M:M,$Z$72),""))</f>
        <v>1995</v>
      </c>
      <c r="H72" s="457">
        <f>IF(IFERROR(INDEX(Sales!L:L,$Z$72),"")="","",IFERROR(INDEX(Sales!L:L,$Z$72),""))</f>
        <v>14000</v>
      </c>
      <c r="I72" s="458"/>
      <c r="J72" s="468">
        <f>IF(IFERROR(INDEX(Sales!I:I,$Z$72),"")="","",IFERROR(INDEX(Sales!I:I,$Z$72),""))</f>
        <v>43894</v>
      </c>
      <c r="K72" s="469">
        <f>IF(IFERROR(INDEX(Sales!AA:AA,$Z$72),"")="","",IFERROR(INDEX(Sales!AA:AA,$Z$72),""))</f>
        <v>2200000</v>
      </c>
      <c r="L72" s="459">
        <f>IF(IFERROR(INDEX(Sales!H:H,$Z$72),"")="","",IFERROR(INDEX(Sales!H:H,$Z$72),""))</f>
        <v>157.14285714285714</v>
      </c>
      <c r="M72" s="323"/>
      <c r="Y72" s="197">
        <v>1</v>
      </c>
      <c r="Z72">
        <f>IFERROR(MATCH(_xlfn.AGGREGATE(15,6,Sales!$AJ$2:$AJ$941,$Y$72),Sales!$AJ$2:$AJ$941,0)+1,"")</f>
        <v>459</v>
      </c>
    </row>
    <row r="73" spans="1:26">
      <c r="A73" s="447" t="s">
        <v>177</v>
      </c>
      <c r="B73" s="461" t="str">
        <f>IF(IFERROR(INDEX(Sales!D:D,$Z$73),"")="","",IFERROR(INDEX(Sales!D:D,$Z$73),""))</f>
        <v>8495 ROSLYN ST</v>
      </c>
      <c r="C73" s="448"/>
      <c r="D73" s="461" t="str">
        <f>IF(IFERROR(INDEX(Sales!C:C,$Z$73),"")="","",IFERROR(INDEX(Sales!C:C,$Z$73),""))</f>
        <v>R0077172</v>
      </c>
      <c r="E73" s="448"/>
      <c r="F73" s="448"/>
      <c r="G73" s="462">
        <f>IF(IFERROR(INDEX(Sales!M:M,$Z$73),"")="","",IFERROR(INDEX(Sales!M:M,$Z$73),""))</f>
        <v>1987</v>
      </c>
      <c r="H73" s="463">
        <f>IF(IFERROR(INDEX(Sales!L:L,$Z$73),"")="","",IFERROR(INDEX(Sales!L:L,$Z$73),""))</f>
        <v>15040</v>
      </c>
      <c r="I73" s="458"/>
      <c r="J73" s="470">
        <f>IF(IFERROR(INDEX(Sales!I:I,$Z$73),"")="","",IFERROR(INDEX(Sales!I:I,$Z$73),""))</f>
        <v>45468</v>
      </c>
      <c r="K73" s="471">
        <f>IF(IFERROR(INDEX(Sales!AA:AA,$Z$73),"")="","",IFERROR(INDEX(Sales!AA:AA,$Z$73),""))</f>
        <v>2500000</v>
      </c>
      <c r="L73" s="464">
        <f>IF(IFERROR(INDEX(Sales!H:H,$Z$73),"")="","",IFERROR(INDEX(Sales!H:H,$Z$73),""))</f>
        <v>166.22340425531914</v>
      </c>
      <c r="M73" s="323"/>
      <c r="Y73" s="197">
        <v>2</v>
      </c>
      <c r="Z73">
        <f>IFERROR(MATCH(_xlfn.AGGREGATE(15,6,Sales!$AJ$2:$AJ$941,$Y$73),Sales!$AJ$2:$AJ$941,0)+1,"")</f>
        <v>76</v>
      </c>
    </row>
    <row r="74" spans="1:26">
      <c r="A74" s="447" t="s">
        <v>178</v>
      </c>
      <c r="B74" s="455" t="str">
        <f>IF(IFERROR(INDEX(Sales!D:D,$Z$74),"")="","",IFERROR(INDEX(Sales!D:D,$Z$74),""))</f>
        <v>8879 FOX DR</v>
      </c>
      <c r="C74" s="448"/>
      <c r="D74" s="455" t="str">
        <f>IF(IFERROR(INDEX(Sales!C:C,$Z$74),"")="","",IFERROR(INDEX(Sales!C:C,$Z$74),""))</f>
        <v>R0109567</v>
      </c>
      <c r="E74" s="448"/>
      <c r="F74" s="448"/>
      <c r="G74" s="456">
        <f>IF(IFERROR(INDEX(Sales!M:M,$Z$74),"")="","",IFERROR(INDEX(Sales!M:M,$Z$74),""))</f>
        <v>1997</v>
      </c>
      <c r="H74" s="457">
        <f>IF(IFERROR(INDEX(Sales!L:L,$Z$74),"")="","",IFERROR(INDEX(Sales!L:L,$Z$74),""))</f>
        <v>13516</v>
      </c>
      <c r="I74" s="458"/>
      <c r="J74" s="468">
        <f>IF(IFERROR(INDEX(Sales!I:I,$Z$74),"")="","",IFERROR(INDEX(Sales!I:I,$Z$74),""))</f>
        <v>44981</v>
      </c>
      <c r="K74" s="469">
        <f>IF(IFERROR(INDEX(Sales!AA:AA,$Z$74),"")="","",IFERROR(INDEX(Sales!AA:AA,$Z$74),""))</f>
        <v>2600000</v>
      </c>
      <c r="L74" s="459">
        <f>IF(IFERROR(INDEX(Sales!H:H,$Z$74),"")="","",IFERROR(INDEX(Sales!H:H,$Z$74),""))</f>
        <v>192.36460491269605</v>
      </c>
      <c r="M74" s="323"/>
      <c r="Y74" s="197">
        <v>3</v>
      </c>
      <c r="Z74">
        <f>IFERROR(MATCH(_xlfn.AGGREGATE(15,6,Sales!$AJ$2:$AJ$941,$Y$74),Sales!$AJ$2:$AJ$941,0)+1,"")</f>
        <v>198</v>
      </c>
    </row>
  </sheetData>
  <mergeCells count="2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 ref="F50:H50"/>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219075</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409575</xdr:colOff>
                    <xdr:row>2</xdr:row>
                    <xdr:rowOff>238125</xdr:rowOff>
                  </from>
                  <to>
                    <xdr:col>11</xdr:col>
                    <xdr:colOff>123825</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1019175</xdr:colOff>
                    <xdr:row>55</xdr:row>
                    <xdr:rowOff>123825</xdr:rowOff>
                  </from>
                  <to>
                    <xdr:col>4</xdr:col>
                    <xdr:colOff>161925</xdr:colOff>
                    <xdr:row>56</xdr:row>
                    <xdr:rowOff>276225</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180975</xdr:colOff>
                    <xdr:row>55</xdr:row>
                    <xdr:rowOff>76200</xdr:rowOff>
                  </from>
                  <to>
                    <xdr:col>10</xdr:col>
                    <xdr:colOff>276225</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828675</xdr:colOff>
                    <xdr:row>51</xdr:row>
                    <xdr:rowOff>161925</xdr:rowOff>
                  </from>
                  <to>
                    <xdr:col>3</xdr:col>
                    <xdr:colOff>352425</xdr:colOff>
                    <xdr:row>53</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E9C66-2F92-4860-90C1-C5AC51E060E3}">
  <sheetPr codeName="Sheet12">
    <tabColor rgb="FF1F4E78"/>
    <pageSetUpPr fitToPage="1"/>
  </sheetPr>
  <dimension ref="A1:Z48"/>
  <sheetViews>
    <sheetView showGridLines="0" workbookViewId="0">
      <selection activeCell="P15" sqref="P15"/>
    </sheetView>
  </sheetViews>
  <sheetFormatPr defaultColWidth="11.33203125" defaultRowHeight="12.75"/>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3203125" style="48" customWidth="1"/>
    <col min="13" max="24" width="11.33203125" style="48"/>
    <col min="25" max="25" width="6" hidden="1" customWidth="1"/>
    <col min="26" max="26" width="13" hidden="1" customWidth="1"/>
    <col min="27" max="16384" width="11.33203125" style="48"/>
  </cols>
  <sheetData>
    <row r="1" spans="1:11" ht="24" customHeight="1">
      <c r="A1" s="472" t="s">
        <v>179</v>
      </c>
      <c r="B1" s="472"/>
      <c r="C1" s="472"/>
      <c r="D1" s="472"/>
      <c r="E1" s="472"/>
      <c r="F1" s="472"/>
      <c r="G1" s="472"/>
      <c r="H1" s="472"/>
      <c r="I1" s="472"/>
      <c r="J1" s="472"/>
      <c r="K1" s="472"/>
    </row>
    <row r="2" spans="1:11" ht="16.350000000000001" customHeight="1">
      <c r="A2" s="473" t="s">
        <v>180</v>
      </c>
      <c r="D2" s="474" t="s">
        <v>181</v>
      </c>
      <c r="E2" s="475"/>
      <c r="F2" s="475"/>
      <c r="G2" s="49"/>
      <c r="H2" s="49"/>
    </row>
    <row r="3" spans="1:11" ht="16.350000000000001" customHeight="1">
      <c r="A3" s="473" t="s">
        <v>140</v>
      </c>
      <c r="D3" s="474" t="s">
        <v>181</v>
      </c>
      <c r="E3" s="475"/>
      <c r="F3" s="475"/>
      <c r="G3" s="50"/>
      <c r="H3" s="50"/>
    </row>
    <row r="4" spans="1:11" ht="16.350000000000001" customHeight="1">
      <c r="A4" s="473" t="s">
        <v>141</v>
      </c>
      <c r="D4" s="474" t="s">
        <v>181</v>
      </c>
      <c r="E4" s="475"/>
      <c r="F4" s="475"/>
      <c r="G4" s="50"/>
      <c r="H4" s="50"/>
    </row>
    <row r="5" spans="1:11" ht="16.350000000000001" customHeight="1">
      <c r="A5" s="473" t="s">
        <v>142</v>
      </c>
      <c r="D5" s="474" t="s">
        <v>181</v>
      </c>
      <c r="E5" s="475"/>
      <c r="F5" s="475"/>
      <c r="G5" s="50"/>
      <c r="H5" s="50"/>
    </row>
    <row r="7" spans="1:11" ht="15.75" customHeight="1">
      <c r="A7" s="476" t="s">
        <v>143</v>
      </c>
    </row>
    <row r="8" spans="1:11">
      <c r="A8" s="558" t="s">
        <v>181</v>
      </c>
      <c r="B8" s="547"/>
      <c r="C8" s="547"/>
      <c r="D8" s="547"/>
      <c r="E8" s="547"/>
      <c r="F8" s="547"/>
      <c r="G8" s="547"/>
      <c r="H8" s="547"/>
      <c r="I8" s="547"/>
      <c r="J8" s="547"/>
      <c r="K8" s="548"/>
    </row>
    <row r="9" spans="1:11">
      <c r="A9" s="549"/>
      <c r="B9" s="559"/>
      <c r="C9" s="559"/>
      <c r="D9" s="559"/>
      <c r="E9" s="559"/>
      <c r="F9" s="559"/>
      <c r="G9" s="559"/>
      <c r="H9" s="559"/>
      <c r="I9" s="559"/>
      <c r="J9" s="559"/>
      <c r="K9" s="551"/>
    </row>
    <row r="10" spans="1:11">
      <c r="A10" s="549"/>
      <c r="B10" s="559"/>
      <c r="C10" s="559"/>
      <c r="D10" s="559"/>
      <c r="E10" s="559"/>
      <c r="F10" s="559"/>
      <c r="G10" s="559"/>
      <c r="H10" s="559"/>
      <c r="I10" s="559"/>
      <c r="J10" s="559"/>
      <c r="K10" s="551"/>
    </row>
    <row r="11" spans="1:11">
      <c r="A11" s="549"/>
      <c r="B11" s="559"/>
      <c r="C11" s="559"/>
      <c r="D11" s="559"/>
      <c r="E11" s="559"/>
      <c r="F11" s="559"/>
      <c r="G11" s="559"/>
      <c r="H11" s="559"/>
      <c r="I11" s="559"/>
      <c r="J11" s="559"/>
      <c r="K11" s="551"/>
    </row>
    <row r="12" spans="1:11">
      <c r="A12" s="549"/>
      <c r="B12" s="559"/>
      <c r="C12" s="559"/>
      <c r="D12" s="559"/>
      <c r="E12" s="559"/>
      <c r="F12" s="559"/>
      <c r="G12" s="559"/>
      <c r="H12" s="559"/>
      <c r="I12" s="559"/>
      <c r="J12" s="559"/>
      <c r="K12" s="551"/>
    </row>
    <row r="13" spans="1:11">
      <c r="A13" s="549"/>
      <c r="B13" s="559"/>
      <c r="C13" s="559"/>
      <c r="D13" s="559"/>
      <c r="E13" s="559"/>
      <c r="F13" s="559"/>
      <c r="G13" s="559"/>
      <c r="H13" s="559"/>
      <c r="I13" s="559"/>
      <c r="J13" s="559"/>
      <c r="K13" s="551"/>
    </row>
    <row r="14" spans="1:11">
      <c r="A14" s="549"/>
      <c r="B14" s="559"/>
      <c r="C14" s="559"/>
      <c r="D14" s="559"/>
      <c r="E14" s="559"/>
      <c r="F14" s="559"/>
      <c r="G14" s="559"/>
      <c r="H14" s="559"/>
      <c r="I14" s="559"/>
      <c r="J14" s="559"/>
      <c r="K14" s="551"/>
    </row>
    <row r="15" spans="1:11">
      <c r="A15" s="552"/>
      <c r="B15" s="553"/>
      <c r="C15" s="553"/>
      <c r="D15" s="553"/>
      <c r="E15" s="553"/>
      <c r="F15" s="553"/>
      <c r="G15" s="553"/>
      <c r="H15" s="553"/>
      <c r="I15" s="553"/>
      <c r="J15" s="553"/>
      <c r="K15" s="554"/>
    </row>
    <row r="18" spans="1:26" ht="17.100000000000001" customHeight="1">
      <c r="A18" s="477" t="s">
        <v>156</v>
      </c>
      <c r="B18" s="478"/>
      <c r="C18" s="478"/>
      <c r="D18" s="478"/>
      <c r="E18" s="478"/>
      <c r="F18" s="478"/>
      <c r="G18" s="478"/>
      <c r="H18" s="479" t="s">
        <v>157</v>
      </c>
      <c r="I18" s="479"/>
      <c r="J18" s="479"/>
      <c r="K18" s="480" t="s">
        <v>158</v>
      </c>
    </row>
    <row r="19" spans="1:26" ht="15" customHeight="1">
      <c r="A19" s="481"/>
      <c r="B19" s="482" t="s">
        <v>131</v>
      </c>
      <c r="C19" s="481" t="s">
        <v>160</v>
      </c>
      <c r="D19" s="481"/>
      <c r="E19" s="481"/>
      <c r="F19" s="481" t="s">
        <v>161</v>
      </c>
      <c r="G19" s="482" t="s">
        <v>35</v>
      </c>
      <c r="H19" s="482" t="s">
        <v>162</v>
      </c>
      <c r="I19" s="481" t="s">
        <v>163</v>
      </c>
      <c r="J19" s="481" t="s">
        <v>164</v>
      </c>
      <c r="K19" s="482" t="s">
        <v>165</v>
      </c>
    </row>
    <row r="20" spans="1:26" ht="16.5" customHeight="1">
      <c r="A20" s="51"/>
      <c r="B20" s="483" t="s">
        <v>166</v>
      </c>
      <c r="C20" s="484"/>
      <c r="D20" s="484"/>
      <c r="E20" s="484"/>
      <c r="F20" s="485"/>
      <c r="G20" s="485"/>
      <c r="H20" s="486"/>
      <c r="I20" s="486"/>
      <c r="J20" s="486"/>
      <c r="K20" s="486"/>
    </row>
    <row r="21" spans="1:26" ht="15.6" customHeight="1">
      <c r="A21" s="52"/>
      <c r="B21" s="487" t="str">
        <f>LEFT(D2,5)</f>
        <v/>
      </c>
      <c r="C21" s="564" t="s">
        <v>181</v>
      </c>
      <c r="D21" s="540"/>
      <c r="E21" s="488"/>
      <c r="F21" s="489" t="s">
        <v>181</v>
      </c>
      <c r="G21" s="489" t="s">
        <v>181</v>
      </c>
      <c r="H21" s="490" t="s">
        <v>181</v>
      </c>
      <c r="I21" s="453" t="s">
        <v>181</v>
      </c>
      <c r="J21" s="491" t="s">
        <v>181</v>
      </c>
      <c r="K21" s="491" t="s">
        <v>181</v>
      </c>
    </row>
    <row r="22" spans="1:26" ht="15" customHeight="1">
      <c r="A22" s="483" t="s">
        <v>167</v>
      </c>
      <c r="B22" s="456" t="str">
        <f>IF(Income!D$2="","",MID(Income!D2,1,5))</f>
        <v/>
      </c>
      <c r="C22" s="563" t="str">
        <f>IF(Income!G$2="","",VLOOKUP(Income!G$2,[0]!Class,2))</f>
        <v/>
      </c>
      <c r="D22" s="538"/>
      <c r="E22" s="448"/>
      <c r="F22" s="456" t="str">
        <f>IF(Income!T$2="","",Income!T$2)</f>
        <v/>
      </c>
      <c r="G22" s="456" t="str">
        <f>IF(Income!N$2="","",Income!N$2)</f>
        <v/>
      </c>
      <c r="H22" s="457" t="str">
        <f>IF(Income!J$2="","",Income!J$2)</f>
        <v/>
      </c>
      <c r="I22" s="459" t="str">
        <f>IF(Income!K$2="","",Income!K$2)</f>
        <v/>
      </c>
      <c r="J22" s="460" t="str">
        <f>IF(Income!L$2="","",Income!L$2)</f>
        <v/>
      </c>
      <c r="K22" s="460" t="str">
        <f>IF(Income!M$2="","",Income!M$2)</f>
        <v/>
      </c>
    </row>
    <row r="23" spans="1:26" ht="15" customHeight="1">
      <c r="A23" s="483" t="s">
        <v>168</v>
      </c>
      <c r="B23" s="462" t="str">
        <f>IF(Income!D$3="","",MID(Income!D$3,1,5))</f>
        <v/>
      </c>
      <c r="C23" s="560" t="str">
        <f>IF(Income!G$3="","",VLOOKUP(Income!G$3,[0]!Class,2))</f>
        <v/>
      </c>
      <c r="D23" s="538"/>
      <c r="E23" s="448"/>
      <c r="F23" s="462" t="str">
        <f>IF(Income!T$3="","",Income!T$3)</f>
        <v/>
      </c>
      <c r="G23" s="462" t="str">
        <f>IF(Income!N$3="","",Income!N$3)</f>
        <v/>
      </c>
      <c r="H23" s="463" t="str">
        <f>IF(Income!J$3="","",Income!J$3)</f>
        <v/>
      </c>
      <c r="I23" s="464" t="str">
        <f>IF(Income!K$3="","",Income!K$3)</f>
        <v/>
      </c>
      <c r="J23" s="465" t="str">
        <f>IF(Income!L$3="","",Income!L$3)</f>
        <v/>
      </c>
      <c r="K23" s="465" t="str">
        <f>IF(Income!M$3="","",Income!M$3)</f>
        <v/>
      </c>
    </row>
    <row r="24" spans="1:26" ht="15" customHeight="1">
      <c r="A24" s="483" t="s">
        <v>169</v>
      </c>
      <c r="B24" s="456" t="str">
        <f>IF(Income!D$4="","",MID(Income!D$4,1,5))</f>
        <v/>
      </c>
      <c r="C24" s="563" t="str">
        <f>IF(Income!G$4="","",VLOOKUP(Income!G$4,[0]!Class,2))</f>
        <v/>
      </c>
      <c r="D24" s="538"/>
      <c r="E24" s="448"/>
      <c r="F24" s="456" t="str">
        <f>IF(Income!T$4="","",Income!T$4)</f>
        <v/>
      </c>
      <c r="G24" s="456" t="str">
        <f>IF(Income!N$4="","",Income!N$4)</f>
        <v/>
      </c>
      <c r="H24" s="457" t="str">
        <f>IF(Income!J$4="","",Income!J$4)</f>
        <v/>
      </c>
      <c r="I24" s="459" t="str">
        <f>IF(Income!K$4="","",Income!K$4)</f>
        <v/>
      </c>
      <c r="J24" s="460" t="str">
        <f>IF(Income!L$4="","",Income!L$4)</f>
        <v/>
      </c>
      <c r="K24" s="460" t="str">
        <f>IF(Income!M$4="","",Income!M$4)</f>
        <v/>
      </c>
    </row>
    <row r="25" spans="1:26" ht="15.75" customHeight="1">
      <c r="A25" s="53"/>
      <c r="B25" s="53"/>
      <c r="C25" s="53"/>
      <c r="D25" s="53"/>
      <c r="E25" s="53"/>
    </row>
    <row r="26" spans="1:26" ht="17.100000000000001" customHeight="1">
      <c r="A26" s="477" t="s">
        <v>170</v>
      </c>
      <c r="B26" s="478"/>
      <c r="C26" s="478"/>
      <c r="D26" s="478"/>
      <c r="E26" s="478"/>
      <c r="F26" s="478"/>
      <c r="G26" s="478"/>
      <c r="H26" s="478" t="s">
        <v>157</v>
      </c>
      <c r="I26" s="478" t="s">
        <v>171</v>
      </c>
      <c r="J26" s="478" t="s">
        <v>171</v>
      </c>
      <c r="K26" s="492" t="s">
        <v>172</v>
      </c>
    </row>
    <row r="27" spans="1:26" ht="15" customHeight="1">
      <c r="A27" s="481"/>
      <c r="B27" s="481" t="s">
        <v>140</v>
      </c>
      <c r="C27" s="481"/>
      <c r="D27" s="481" t="s">
        <v>180</v>
      </c>
      <c r="E27" s="481"/>
      <c r="F27" s="481"/>
      <c r="G27" s="481" t="s">
        <v>35</v>
      </c>
      <c r="H27" s="481" t="s">
        <v>162</v>
      </c>
      <c r="I27" s="481" t="s">
        <v>174</v>
      </c>
      <c r="J27" s="481" t="s">
        <v>175</v>
      </c>
      <c r="K27" s="481" t="s">
        <v>162</v>
      </c>
    </row>
    <row r="28" spans="1:26" ht="16.5" customHeight="1">
      <c r="A28" s="52"/>
      <c r="B28" s="483" t="s">
        <v>166</v>
      </c>
      <c r="C28" s="323"/>
      <c r="D28" s="323"/>
      <c r="E28" s="323"/>
      <c r="F28" s="323"/>
      <c r="G28" s="485"/>
      <c r="H28" s="323"/>
      <c r="I28" s="323"/>
      <c r="J28" s="323"/>
      <c r="K28" s="484"/>
    </row>
    <row r="29" spans="1:26" ht="15.6" customHeight="1">
      <c r="A29" s="52"/>
      <c r="B29" s="562" t="str">
        <f>D3</f>
        <v/>
      </c>
      <c r="C29" s="540"/>
      <c r="D29" s="561" t="str">
        <f>D2</f>
        <v/>
      </c>
      <c r="E29" s="542"/>
      <c r="F29" s="538"/>
      <c r="G29" s="493" t="str">
        <f>G21</f>
        <v/>
      </c>
      <c r="H29" s="494" t="str">
        <f>H21</f>
        <v/>
      </c>
      <c r="I29" s="495"/>
      <c r="J29" s="495"/>
      <c r="K29" s="496" t="str">
        <f>IF(OR(N(H29)=0,N(D48)=0),"",ROUND(D48/H29,2))</f>
        <v/>
      </c>
    </row>
    <row r="30" spans="1:26" ht="15" customHeight="1">
      <c r="A30" s="483" t="s">
        <v>176</v>
      </c>
      <c r="B30" s="561" t="str">
        <f>IF(IFERROR(INDEX(Sales!D:D,$Z$30),"")="","",IFERROR(INDEX(Sales!D:D,$Z$30),""))</f>
        <v>10290 E 106TH AVE</v>
      </c>
      <c r="C30" s="538"/>
      <c r="D30" s="561" t="str">
        <f>IF(IFERROR(INDEX(Sales!C:C,$Z$30),"")="","",IFERROR(INDEX(Sales!C:C,$Z$30),""))</f>
        <v>R0075207</v>
      </c>
      <c r="E30" s="542"/>
      <c r="F30" s="538"/>
      <c r="G30" s="493">
        <f>IF(IFERROR(INDEX(Sales!M:M,$Z$30),"")="","",IFERROR(INDEX(Sales!M:M,$Z$30),""))</f>
        <v>1995</v>
      </c>
      <c r="H30" s="494">
        <f>IF(IFERROR(INDEX(Sales!L:L,$Z$30),"")="","",IFERROR(INDEX(Sales!L:L,$Z$30),""))</f>
        <v>14000</v>
      </c>
      <c r="I30" s="497">
        <f>IF(IFERROR(INDEX(Sales!I:I,$Z$30),"")="","",IFERROR(INDEX(Sales!I:I,$Z$30),""))</f>
        <v>43894</v>
      </c>
      <c r="J30" s="498">
        <f>IF(IFERROR(INDEX(Sales!AA:AA,$Z$30),"")="","",IFERROR(INDEX(Sales!AA:AA,$Z$30),""))</f>
        <v>2200000</v>
      </c>
      <c r="K30" s="496">
        <f>IF(IFERROR(INDEX(Sales!H:H,$Z$30),"")="","",IFERROR(INDEX(Sales!H:H,$Z$30),""))</f>
        <v>157.14285714285714</v>
      </c>
      <c r="Y30" s="197">
        <v>1</v>
      </c>
      <c r="Z30">
        <f>IFERROR(MATCH(_xlfn.AGGREGATE(15,6,Sales!$AJ$2:$AJ$941,$Y$30),Sales!$AJ$2:$AJ$941,0)+1,"")</f>
        <v>459</v>
      </c>
    </row>
    <row r="31" spans="1:26" ht="15" customHeight="1">
      <c r="A31" s="483" t="s">
        <v>177</v>
      </c>
      <c r="B31" s="565" t="str">
        <f>IF(IFERROR(INDEX(Sales!D:D,$Z$31),"")="","",IFERROR(INDEX(Sales!D:D,$Z$31),""))</f>
        <v>8495 ROSLYN ST</v>
      </c>
      <c r="C31" s="538"/>
      <c r="D31" s="565" t="str">
        <f>IF(IFERROR(INDEX(Sales!C:C,$Z$31),"")="","",IFERROR(INDEX(Sales!C:C,$Z$31),""))</f>
        <v>R0077172</v>
      </c>
      <c r="E31" s="542"/>
      <c r="F31" s="538"/>
      <c r="G31" s="499">
        <f>IF(IFERROR(INDEX(Sales!M:M,$Z$31),"")="","",IFERROR(INDEX(Sales!M:M,$Z$31),""))</f>
        <v>1987</v>
      </c>
      <c r="H31" s="500">
        <f>IF(IFERROR(INDEX(Sales!L:L,$Z$31),"")="","",IFERROR(INDEX(Sales!L:L,$Z$31),""))</f>
        <v>15040</v>
      </c>
      <c r="I31" s="501">
        <f>IF(IFERROR(INDEX(Sales!I:I,$Z$31),"")="","",IFERROR(INDEX(Sales!I:I,$Z$31),""))</f>
        <v>45468</v>
      </c>
      <c r="J31" s="502">
        <f>IF(IFERROR(INDEX(Sales!AA:AA,$Z$31),"")="","",IFERROR(INDEX(Sales!AA:AA,$Z$31),""))</f>
        <v>2500000</v>
      </c>
      <c r="K31" s="503">
        <f>IF(IFERROR(INDEX(Sales!H:H,$Z$31),"")="","",IFERROR(INDEX(Sales!H:H,$Z$31),""))</f>
        <v>166.22340425531914</v>
      </c>
      <c r="Y31" s="197">
        <v>2</v>
      </c>
      <c r="Z31">
        <f>IFERROR(MATCH(_xlfn.AGGREGATE(15,6,Sales!$AJ$2:$AJ$941,$Y$31),Sales!$AJ$2:$AJ$941,0)+1,"")</f>
        <v>76</v>
      </c>
    </row>
    <row r="32" spans="1:26" ht="15" customHeight="1">
      <c r="A32" s="483" t="s">
        <v>178</v>
      </c>
      <c r="B32" s="561" t="str">
        <f>IF(IFERROR(INDEX(Sales!D:D,$Z$32),"")="","",IFERROR(INDEX(Sales!D:D,$Z$32),""))</f>
        <v>8879 FOX DR</v>
      </c>
      <c r="C32" s="538"/>
      <c r="D32" s="561" t="str">
        <f>IF(IFERROR(INDEX(Sales!C:C,$Z$32),"")="","",IFERROR(INDEX(Sales!C:C,$Z$32),""))</f>
        <v>R0109567</v>
      </c>
      <c r="E32" s="542"/>
      <c r="F32" s="538"/>
      <c r="G32" s="493">
        <f>IF(IFERROR(INDEX(Sales!M:M,$Z$32),"")="","",IFERROR(INDEX(Sales!M:M,$Z$32),""))</f>
        <v>1997</v>
      </c>
      <c r="H32" s="494">
        <f>IF(IFERROR(INDEX(Sales!L:L,$Z$32),"")="","",IFERROR(INDEX(Sales!L:L,$Z$32),""))</f>
        <v>13516</v>
      </c>
      <c r="I32" s="497">
        <f>IF(IFERROR(INDEX(Sales!I:I,$Z$32),"")="","",IFERROR(INDEX(Sales!I:I,$Z$32),""))</f>
        <v>44981</v>
      </c>
      <c r="J32" s="498">
        <f>IF(IFERROR(INDEX(Sales!AA:AA,$Z$32),"")="","",IFERROR(INDEX(Sales!AA:AA,$Z$32),""))</f>
        <v>2600000</v>
      </c>
      <c r="K32" s="496">
        <f>IF(IFERROR(INDEX(Sales!H:H,$Z$32),"")="","",IFERROR(INDEX(Sales!H:H,$Z$32),""))</f>
        <v>192.36460491269605</v>
      </c>
      <c r="Y32" s="197">
        <v>3</v>
      </c>
      <c r="Z32">
        <f>IFERROR(MATCH(_xlfn.AGGREGATE(15,6,Sales!$AJ$2:$AJ$941,$Y$32),Sales!$AJ$2:$AJ$941,0)+1,"")</f>
        <v>198</v>
      </c>
    </row>
    <row r="34" spans="1:11" ht="15.75" customHeight="1">
      <c r="A34" s="473" t="s">
        <v>144</v>
      </c>
    </row>
    <row r="35" spans="1:11">
      <c r="A35" s="558" t="s">
        <v>181</v>
      </c>
      <c r="B35" s="547"/>
      <c r="C35" s="547"/>
      <c r="D35" s="547"/>
      <c r="E35" s="547"/>
      <c r="F35" s="547"/>
      <c r="G35" s="547"/>
      <c r="H35" s="547"/>
      <c r="I35" s="547"/>
      <c r="J35" s="547"/>
      <c r="K35" s="548"/>
    </row>
    <row r="36" spans="1:11">
      <c r="A36" s="549"/>
      <c r="B36" s="559"/>
      <c r="C36" s="559"/>
      <c r="D36" s="559"/>
      <c r="E36" s="559"/>
      <c r="F36" s="559"/>
      <c r="G36" s="559"/>
      <c r="H36" s="559"/>
      <c r="I36" s="559"/>
      <c r="J36" s="559"/>
      <c r="K36" s="551"/>
    </row>
    <row r="37" spans="1:11">
      <c r="A37" s="549"/>
      <c r="B37" s="559"/>
      <c r="C37" s="559"/>
      <c r="D37" s="559"/>
      <c r="E37" s="559"/>
      <c r="F37" s="559"/>
      <c r="G37" s="559"/>
      <c r="H37" s="559"/>
      <c r="I37" s="559"/>
      <c r="J37" s="559"/>
      <c r="K37" s="551"/>
    </row>
    <row r="38" spans="1:11">
      <c r="A38" s="549"/>
      <c r="B38" s="559"/>
      <c r="C38" s="559"/>
      <c r="D38" s="559"/>
      <c r="E38" s="559"/>
      <c r="F38" s="559"/>
      <c r="G38" s="559"/>
      <c r="H38" s="559"/>
      <c r="I38" s="559"/>
      <c r="J38" s="559"/>
      <c r="K38" s="551"/>
    </row>
    <row r="39" spans="1:11">
      <c r="A39" s="549"/>
      <c r="B39" s="559"/>
      <c r="C39" s="559"/>
      <c r="D39" s="559"/>
      <c r="E39" s="559"/>
      <c r="F39" s="559"/>
      <c r="G39" s="559"/>
      <c r="H39" s="559"/>
      <c r="I39" s="559"/>
      <c r="J39" s="559"/>
      <c r="K39" s="551"/>
    </row>
    <row r="40" spans="1:11">
      <c r="A40" s="549"/>
      <c r="B40" s="559"/>
      <c r="C40" s="559"/>
      <c r="D40" s="559"/>
      <c r="E40" s="559"/>
      <c r="F40" s="559"/>
      <c r="G40" s="559"/>
      <c r="H40" s="559"/>
      <c r="I40" s="559"/>
      <c r="J40" s="559"/>
      <c r="K40" s="551"/>
    </row>
    <row r="41" spans="1:11">
      <c r="A41" s="549"/>
      <c r="B41" s="559"/>
      <c r="C41" s="559"/>
      <c r="D41" s="559"/>
      <c r="E41" s="559"/>
      <c r="F41" s="559"/>
      <c r="G41" s="559"/>
      <c r="H41" s="559"/>
      <c r="I41" s="559"/>
      <c r="J41" s="559"/>
      <c r="K41" s="551"/>
    </row>
    <row r="42" spans="1:11">
      <c r="A42" s="552"/>
      <c r="B42" s="553"/>
      <c r="C42" s="553"/>
      <c r="D42" s="553"/>
      <c r="E42" s="553"/>
      <c r="F42" s="553"/>
      <c r="G42" s="553"/>
      <c r="H42" s="553"/>
      <c r="I42" s="553"/>
      <c r="J42" s="553"/>
      <c r="K42" s="554"/>
    </row>
    <row r="44" spans="1:11" ht="17.100000000000001" customHeight="1">
      <c r="A44" s="504" t="s">
        <v>182</v>
      </c>
      <c r="B44" s="365"/>
      <c r="C44" s="365"/>
      <c r="D44" s="365"/>
      <c r="E44" s="365"/>
      <c r="F44" s="365"/>
      <c r="G44" s="365"/>
      <c r="H44" s="365"/>
      <c r="I44" s="365"/>
      <c r="J44" s="365"/>
      <c r="K44" s="365"/>
    </row>
    <row r="46" spans="1:11" ht="14.1" customHeight="1">
      <c r="A46" s="473" t="s">
        <v>183</v>
      </c>
      <c r="D46" s="557" t="s">
        <v>181</v>
      </c>
      <c r="E46" s="538"/>
      <c r="G46" s="505" t="s">
        <v>184</v>
      </c>
      <c r="H46"/>
      <c r="I46" s="505" t="s">
        <v>185</v>
      </c>
    </row>
    <row r="47" spans="1:11" ht="14.1" customHeight="1">
      <c r="A47" s="473" t="s">
        <v>186</v>
      </c>
      <c r="D47" s="557" t="s">
        <v>181</v>
      </c>
      <c r="E47" s="538"/>
      <c r="G47" s="505" t="s">
        <v>184</v>
      </c>
      <c r="I47" s="505" t="s">
        <v>185</v>
      </c>
    </row>
    <row r="48" spans="1:11">
      <c r="A48" s="473" t="s">
        <v>187</v>
      </c>
      <c r="D48" s="557" t="s">
        <v>181</v>
      </c>
      <c r="E48" s="538"/>
      <c r="G48" s="506"/>
      <c r="I48" s="506"/>
    </row>
  </sheetData>
  <mergeCells count="17">
    <mergeCell ref="A8:K15"/>
    <mergeCell ref="D29:F29"/>
    <mergeCell ref="B29:C29"/>
    <mergeCell ref="C24:D24"/>
    <mergeCell ref="C21:D21"/>
    <mergeCell ref="C22:D22"/>
    <mergeCell ref="D48:E48"/>
    <mergeCell ref="A35:K42"/>
    <mergeCell ref="C23:D23"/>
    <mergeCell ref="D47:E47"/>
    <mergeCell ref="B30:C30"/>
    <mergeCell ref="D31:F31"/>
    <mergeCell ref="D32:F32"/>
    <mergeCell ref="D46:E46"/>
    <mergeCell ref="B32:C3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466725</xdr:colOff>
                    <xdr:row>44</xdr:row>
                    <xdr:rowOff>190500</xdr:rowOff>
                  </from>
                  <to>
                    <xdr:col>7</xdr:col>
                    <xdr:colOff>828675</xdr:colOff>
                    <xdr:row>46</xdr:row>
                    <xdr:rowOff>28575</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466725</xdr:colOff>
                    <xdr:row>45</xdr:row>
                    <xdr:rowOff>219075</xdr:rowOff>
                  </from>
                  <to>
                    <xdr:col>7</xdr:col>
                    <xdr:colOff>828675</xdr:colOff>
                    <xdr:row>47</xdr:row>
                    <xdr:rowOff>28575</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28575</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238125</xdr:colOff>
                    <xdr:row>45</xdr:row>
                    <xdr:rowOff>219075</xdr:rowOff>
                  </from>
                  <to>
                    <xdr:col>9</xdr:col>
                    <xdr:colOff>581025</xdr:colOff>
                    <xdr:row>47</xdr:row>
                    <xdr:rowOff>28575</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104775</xdr:colOff>
                    <xdr:row>15</xdr:row>
                    <xdr:rowOff>85725</xdr:rowOff>
                  </from>
                  <to>
                    <xdr:col>2</xdr:col>
                    <xdr:colOff>733425</xdr:colOff>
                    <xdr:row>16</xdr:row>
                    <xdr:rowOff>161925</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9525</xdr:colOff>
                    <xdr:row>24</xdr:row>
                    <xdr:rowOff>9525</xdr:rowOff>
                  </from>
                  <to>
                    <xdr:col>2</xdr:col>
                    <xdr:colOff>1076325</xdr:colOff>
                    <xdr:row>24</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7FFE6-3159-4F46-9330-38E812A2D22F}">
  <dimension ref="B1:M5104"/>
  <sheetViews>
    <sheetView workbookViewId="0"/>
  </sheetViews>
  <sheetFormatPr defaultColWidth="9" defaultRowHeight="10.5"/>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6" t="s">
        <v>188</v>
      </c>
    </row>
    <row r="2" spans="2:6">
      <c r="B2" t="s">
        <v>189</v>
      </c>
    </row>
    <row r="4" spans="2:6">
      <c r="B4" t="s">
        <v>190</v>
      </c>
    </row>
    <row r="5" spans="2:6">
      <c r="B5" t="s">
        <v>191</v>
      </c>
      <c r="C5">
        <f ca="1">'Cost Approach'!G51</f>
        <v>3439911.0693199998</v>
      </c>
    </row>
    <row r="6" spans="2:6">
      <c r="B6" t="s">
        <v>192</v>
      </c>
      <c r="C6">
        <f ca="1">'Cost Approach'!G64</f>
        <v>2648731.5233763997</v>
      </c>
    </row>
    <row r="7" spans="2:6">
      <c r="B7" t="s">
        <v>193</v>
      </c>
      <c r="C7">
        <f>'Cost Approach'!G67</f>
        <v>3620498</v>
      </c>
    </row>
    <row r="8" spans="2:6">
      <c r="B8" t="s">
        <v>194</v>
      </c>
      <c r="C8">
        <f ca="1">'Cost Approach'!G70</f>
        <v>6270000</v>
      </c>
    </row>
    <row r="11" spans="2:6">
      <c r="B11" s="166" t="s">
        <v>195</v>
      </c>
    </row>
    <row r="13" spans="2:6">
      <c r="B13" s="166" t="s">
        <v>196</v>
      </c>
    </row>
    <row r="14" spans="2:6">
      <c r="B14" t="s">
        <v>197</v>
      </c>
      <c r="C14" t="s">
        <v>198</v>
      </c>
      <c r="D14" t="s">
        <v>199</v>
      </c>
      <c r="E14" t="s">
        <v>200</v>
      </c>
      <c r="F14" t="s">
        <v>201</v>
      </c>
    </row>
    <row r="15" spans="2:6">
      <c r="B15" t="s">
        <v>202</v>
      </c>
      <c r="C15" t="s">
        <v>203</v>
      </c>
      <c r="D15" t="s">
        <v>204</v>
      </c>
      <c r="E15" t="s">
        <v>205</v>
      </c>
      <c r="F15" t="s">
        <v>206</v>
      </c>
    </row>
    <row r="16" spans="2:6">
      <c r="B16" t="s">
        <v>207</v>
      </c>
      <c r="C16" t="s">
        <v>208</v>
      </c>
      <c r="D16" t="s">
        <v>204</v>
      </c>
      <c r="E16" t="s">
        <v>205</v>
      </c>
      <c r="F16" t="s">
        <v>206</v>
      </c>
    </row>
    <row r="17" spans="2:10">
      <c r="B17" t="s">
        <v>209</v>
      </c>
      <c r="C17" t="s">
        <v>210</v>
      </c>
      <c r="D17" t="s">
        <v>211</v>
      </c>
      <c r="E17" t="s">
        <v>212</v>
      </c>
      <c r="F17" t="s">
        <v>213</v>
      </c>
    </row>
    <row r="18" spans="2:10">
      <c r="B18" t="s">
        <v>214</v>
      </c>
      <c r="C18" t="s">
        <v>215</v>
      </c>
      <c r="D18" t="s">
        <v>216</v>
      </c>
      <c r="E18" t="s">
        <v>217</v>
      </c>
      <c r="F18" t="s">
        <v>218</v>
      </c>
    </row>
    <row r="19" spans="2:10">
      <c r="B19" t="s">
        <v>219</v>
      </c>
      <c r="C19" t="s">
        <v>220</v>
      </c>
      <c r="D19" t="s">
        <v>221</v>
      </c>
      <c r="E19" t="s">
        <v>222</v>
      </c>
      <c r="F19" t="s">
        <v>223</v>
      </c>
    </row>
    <row r="21" spans="2:10">
      <c r="B21" s="166" t="s">
        <v>224</v>
      </c>
    </row>
    <row r="22" spans="2:10">
      <c r="B22" t="s">
        <v>13</v>
      </c>
      <c r="C22" t="s">
        <v>225</v>
      </c>
    </row>
    <row r="23" spans="2:10">
      <c r="B23" t="s">
        <v>226</v>
      </c>
      <c r="C23" t="s">
        <v>227</v>
      </c>
    </row>
    <row r="24" spans="2:10">
      <c r="B24" t="s">
        <v>44</v>
      </c>
      <c r="C24" t="s">
        <v>228</v>
      </c>
    </row>
    <row r="25" spans="2:10">
      <c r="B25" t="s">
        <v>229</v>
      </c>
      <c r="C25" t="s">
        <v>230</v>
      </c>
    </row>
    <row r="26" spans="2:10">
      <c r="B26" t="s">
        <v>231</v>
      </c>
      <c r="C26" t="s">
        <v>232</v>
      </c>
    </row>
    <row r="28" spans="2:10">
      <c r="B28" s="302" t="s">
        <v>233</v>
      </c>
    </row>
    <row r="29" spans="2:10">
      <c r="B29" s="303" t="s">
        <v>234</v>
      </c>
      <c r="C29" s="303" t="s">
        <v>235</v>
      </c>
      <c r="D29" s="303" t="s">
        <v>236</v>
      </c>
      <c r="E29" s="303" t="s">
        <v>237</v>
      </c>
      <c r="F29" s="303" t="s">
        <v>197</v>
      </c>
      <c r="G29" s="303" t="s">
        <v>13</v>
      </c>
      <c r="H29" s="303" t="s">
        <v>238</v>
      </c>
      <c r="I29" s="303" t="s">
        <v>239</v>
      </c>
      <c r="J29" s="303" t="s">
        <v>240</v>
      </c>
    </row>
    <row r="30" spans="2:10">
      <c r="B30" t="s">
        <v>241</v>
      </c>
      <c r="C30" t="s">
        <v>242</v>
      </c>
      <c r="D30" t="s">
        <v>243</v>
      </c>
      <c r="E30" t="s">
        <v>244</v>
      </c>
      <c r="F30" t="s">
        <v>202</v>
      </c>
      <c r="G30" t="s">
        <v>229</v>
      </c>
      <c r="H30">
        <v>304</v>
      </c>
      <c r="I30" t="str">
        <f t="shared" ref="I30:I93" si="0">B30&amp;"|"&amp;F30&amp;"|"&amp;G30</f>
        <v>Homes For the Elderly|A|Good</v>
      </c>
      <c r="J30" t="s">
        <v>245</v>
      </c>
    </row>
    <row r="31" spans="2:10">
      <c r="B31" t="s">
        <v>241</v>
      </c>
      <c r="C31" t="s">
        <v>242</v>
      </c>
      <c r="D31" t="s">
        <v>243</v>
      </c>
      <c r="E31" t="s">
        <v>244</v>
      </c>
      <c r="F31" t="s">
        <v>202</v>
      </c>
      <c r="G31" t="s">
        <v>44</v>
      </c>
      <c r="H31">
        <v>238</v>
      </c>
      <c r="I31" t="str">
        <f t="shared" si="0"/>
        <v>Homes For the Elderly|A|Average</v>
      </c>
      <c r="J31" t="s">
        <v>245</v>
      </c>
    </row>
    <row r="32" spans="2:10">
      <c r="B32" t="s">
        <v>241</v>
      </c>
      <c r="C32" t="s">
        <v>242</v>
      </c>
      <c r="D32" t="s">
        <v>243</v>
      </c>
      <c r="E32" t="s">
        <v>244</v>
      </c>
      <c r="F32" t="s">
        <v>202</v>
      </c>
      <c r="G32" t="s">
        <v>226</v>
      </c>
      <c r="H32">
        <v>189</v>
      </c>
      <c r="I32" t="str">
        <f t="shared" si="0"/>
        <v>Homes For the Elderly|A|Low Cost</v>
      </c>
      <c r="J32" t="s">
        <v>245</v>
      </c>
    </row>
    <row r="33" spans="2:10">
      <c r="B33" t="s">
        <v>241</v>
      </c>
      <c r="C33" t="s">
        <v>242</v>
      </c>
      <c r="D33" t="s">
        <v>243</v>
      </c>
      <c r="E33" t="s">
        <v>244</v>
      </c>
      <c r="F33" t="s">
        <v>207</v>
      </c>
      <c r="G33" t="s">
        <v>229</v>
      </c>
      <c r="H33">
        <v>274</v>
      </c>
      <c r="I33" t="str">
        <f t="shared" si="0"/>
        <v>Homes For the Elderly|B|Good</v>
      </c>
      <c r="J33" t="s">
        <v>245</v>
      </c>
    </row>
    <row r="34" spans="2:10">
      <c r="B34" t="s">
        <v>241</v>
      </c>
      <c r="C34" t="s">
        <v>242</v>
      </c>
      <c r="D34" t="s">
        <v>243</v>
      </c>
      <c r="E34" t="s">
        <v>244</v>
      </c>
      <c r="F34" t="s">
        <v>207</v>
      </c>
      <c r="G34" t="s">
        <v>44</v>
      </c>
      <c r="H34">
        <v>214</v>
      </c>
      <c r="I34" t="str">
        <f t="shared" si="0"/>
        <v>Homes For the Elderly|B|Average</v>
      </c>
      <c r="J34" t="s">
        <v>245</v>
      </c>
    </row>
    <row r="35" spans="2:10">
      <c r="B35" t="s">
        <v>241</v>
      </c>
      <c r="C35" t="s">
        <v>242</v>
      </c>
      <c r="D35" t="s">
        <v>243</v>
      </c>
      <c r="E35" t="s">
        <v>244</v>
      </c>
      <c r="F35" t="s">
        <v>207</v>
      </c>
      <c r="G35" t="s">
        <v>226</v>
      </c>
      <c r="H35">
        <v>169</v>
      </c>
      <c r="I35" t="str">
        <f t="shared" si="0"/>
        <v>Homes For the Elderly|B|Low Cost</v>
      </c>
      <c r="J35" t="s">
        <v>245</v>
      </c>
    </row>
    <row r="36" spans="2:10">
      <c r="B36" t="s">
        <v>241</v>
      </c>
      <c r="C36" t="s">
        <v>242</v>
      </c>
      <c r="D36" t="s">
        <v>243</v>
      </c>
      <c r="E36" t="s">
        <v>244</v>
      </c>
      <c r="F36" t="s">
        <v>209</v>
      </c>
      <c r="G36" t="s">
        <v>229</v>
      </c>
      <c r="H36">
        <v>229</v>
      </c>
      <c r="I36" t="str">
        <f t="shared" si="0"/>
        <v>Homes For the Elderly|C|Good</v>
      </c>
      <c r="J36" t="s">
        <v>245</v>
      </c>
    </row>
    <row r="37" spans="2:10">
      <c r="B37" t="s">
        <v>241</v>
      </c>
      <c r="C37" t="s">
        <v>242</v>
      </c>
      <c r="D37" t="s">
        <v>243</v>
      </c>
      <c r="E37" t="s">
        <v>244</v>
      </c>
      <c r="F37" t="s">
        <v>209</v>
      </c>
      <c r="G37" t="s">
        <v>44</v>
      </c>
      <c r="H37">
        <v>173</v>
      </c>
      <c r="I37" t="str">
        <f t="shared" si="0"/>
        <v>Homes For the Elderly|C|Average</v>
      </c>
      <c r="J37" t="s">
        <v>245</v>
      </c>
    </row>
    <row r="38" spans="2:10">
      <c r="B38" t="s">
        <v>241</v>
      </c>
      <c r="C38" t="s">
        <v>242</v>
      </c>
      <c r="D38" t="s">
        <v>243</v>
      </c>
      <c r="E38" t="s">
        <v>244</v>
      </c>
      <c r="F38" t="s">
        <v>209</v>
      </c>
      <c r="G38" t="s">
        <v>226</v>
      </c>
      <c r="H38">
        <v>131</v>
      </c>
      <c r="I38" t="str">
        <f t="shared" si="0"/>
        <v>Homes For the Elderly|C|Low Cost</v>
      </c>
      <c r="J38" t="s">
        <v>245</v>
      </c>
    </row>
    <row r="39" spans="2:10">
      <c r="B39" t="s">
        <v>241</v>
      </c>
      <c r="C39" t="s">
        <v>242</v>
      </c>
      <c r="D39" t="s">
        <v>243</v>
      </c>
      <c r="E39" t="s">
        <v>244</v>
      </c>
      <c r="F39" t="s">
        <v>214</v>
      </c>
      <c r="G39" t="s">
        <v>229</v>
      </c>
      <c r="H39">
        <v>222</v>
      </c>
      <c r="I39" t="str">
        <f t="shared" si="0"/>
        <v>Homes For the Elderly|D|Good</v>
      </c>
      <c r="J39" t="s">
        <v>245</v>
      </c>
    </row>
    <row r="40" spans="2:10">
      <c r="B40" t="s">
        <v>241</v>
      </c>
      <c r="C40" t="s">
        <v>242</v>
      </c>
      <c r="D40" t="s">
        <v>243</v>
      </c>
      <c r="E40" t="s">
        <v>244</v>
      </c>
      <c r="F40" t="s">
        <v>214</v>
      </c>
      <c r="G40" t="s">
        <v>44</v>
      </c>
      <c r="H40">
        <v>167</v>
      </c>
      <c r="I40" t="str">
        <f t="shared" si="0"/>
        <v>Homes For the Elderly|D|Average</v>
      </c>
      <c r="J40" t="s">
        <v>245</v>
      </c>
    </row>
    <row r="41" spans="2:10">
      <c r="B41" t="s">
        <v>241</v>
      </c>
      <c r="C41" t="s">
        <v>242</v>
      </c>
      <c r="D41" t="s">
        <v>243</v>
      </c>
      <c r="E41" t="s">
        <v>244</v>
      </c>
      <c r="F41" t="s">
        <v>214</v>
      </c>
      <c r="G41" t="s">
        <v>226</v>
      </c>
      <c r="H41">
        <v>125</v>
      </c>
      <c r="I41" t="str">
        <f t="shared" si="0"/>
        <v>Homes For the Elderly|D|Low Cost</v>
      </c>
      <c r="J41" t="s">
        <v>245</v>
      </c>
    </row>
    <row r="42" spans="2:10">
      <c r="B42" t="s">
        <v>241</v>
      </c>
      <c r="C42" t="s">
        <v>242</v>
      </c>
      <c r="D42" t="s">
        <v>243</v>
      </c>
      <c r="E42" t="s">
        <v>244</v>
      </c>
      <c r="F42" t="s">
        <v>219</v>
      </c>
      <c r="G42" t="s">
        <v>229</v>
      </c>
      <c r="H42">
        <v>216</v>
      </c>
      <c r="I42" t="str">
        <f t="shared" si="0"/>
        <v>Homes For the Elderly|S|Good</v>
      </c>
      <c r="J42" t="s">
        <v>245</v>
      </c>
    </row>
    <row r="43" spans="2:10">
      <c r="B43" t="s">
        <v>241</v>
      </c>
      <c r="C43" t="s">
        <v>242</v>
      </c>
      <c r="D43" t="s">
        <v>243</v>
      </c>
      <c r="E43" t="s">
        <v>244</v>
      </c>
      <c r="F43" t="s">
        <v>219</v>
      </c>
      <c r="G43" t="s">
        <v>44</v>
      </c>
      <c r="H43">
        <v>160</v>
      </c>
      <c r="I43" t="str">
        <f t="shared" si="0"/>
        <v>Homes For the Elderly|S|Average</v>
      </c>
      <c r="J43" t="s">
        <v>245</v>
      </c>
    </row>
    <row r="44" spans="2:10">
      <c r="B44" t="s">
        <v>246</v>
      </c>
      <c r="C44" t="s">
        <v>247</v>
      </c>
      <c r="D44" t="s">
        <v>243</v>
      </c>
      <c r="E44" t="s">
        <v>248</v>
      </c>
      <c r="F44" t="s">
        <v>202</v>
      </c>
      <c r="G44" t="s">
        <v>231</v>
      </c>
      <c r="H44">
        <v>431</v>
      </c>
      <c r="I44" t="str">
        <f t="shared" si="0"/>
        <v>Dormitories|A|Excellent</v>
      </c>
      <c r="J44" t="s">
        <v>249</v>
      </c>
    </row>
    <row r="45" spans="2:10">
      <c r="B45" t="s">
        <v>246</v>
      </c>
      <c r="C45" t="s">
        <v>247</v>
      </c>
      <c r="D45" t="s">
        <v>243</v>
      </c>
      <c r="E45" t="s">
        <v>248</v>
      </c>
      <c r="F45" t="s">
        <v>202</v>
      </c>
      <c r="G45" t="s">
        <v>250</v>
      </c>
      <c r="H45">
        <v>354</v>
      </c>
      <c r="I45" t="str">
        <f t="shared" si="0"/>
        <v>Dormitories|A|Very Good</v>
      </c>
      <c r="J45" t="s">
        <v>249</v>
      </c>
    </row>
    <row r="46" spans="2:10">
      <c r="B46" t="s">
        <v>246</v>
      </c>
      <c r="C46" t="s">
        <v>247</v>
      </c>
      <c r="D46" t="s">
        <v>243</v>
      </c>
      <c r="E46" t="s">
        <v>248</v>
      </c>
      <c r="F46" t="s">
        <v>202</v>
      </c>
      <c r="G46" t="s">
        <v>229</v>
      </c>
      <c r="H46">
        <v>291</v>
      </c>
      <c r="I46" t="str">
        <f t="shared" si="0"/>
        <v>Dormitories|A|Good</v>
      </c>
      <c r="J46" t="s">
        <v>249</v>
      </c>
    </row>
    <row r="47" spans="2:10">
      <c r="B47" t="s">
        <v>246</v>
      </c>
      <c r="C47" t="s">
        <v>247</v>
      </c>
      <c r="D47" t="s">
        <v>243</v>
      </c>
      <c r="E47" t="s">
        <v>248</v>
      </c>
      <c r="F47" t="s">
        <v>202</v>
      </c>
      <c r="G47" t="s">
        <v>44</v>
      </c>
      <c r="H47">
        <v>229</v>
      </c>
      <c r="I47" t="str">
        <f t="shared" si="0"/>
        <v>Dormitories|A|Average</v>
      </c>
      <c r="J47" t="s">
        <v>249</v>
      </c>
    </row>
    <row r="48" spans="2:10">
      <c r="B48" t="s">
        <v>246</v>
      </c>
      <c r="C48" t="s">
        <v>247</v>
      </c>
      <c r="D48" t="s">
        <v>243</v>
      </c>
      <c r="E48" t="s">
        <v>248</v>
      </c>
      <c r="F48" t="s">
        <v>202</v>
      </c>
      <c r="G48" t="s">
        <v>226</v>
      </c>
      <c r="H48">
        <v>182</v>
      </c>
      <c r="I48" t="str">
        <f t="shared" si="0"/>
        <v>Dormitories|A|Low Cost</v>
      </c>
      <c r="J48" t="s">
        <v>249</v>
      </c>
    </row>
    <row r="49" spans="2:10">
      <c r="B49" t="s">
        <v>246</v>
      </c>
      <c r="C49" t="s">
        <v>247</v>
      </c>
      <c r="D49" t="s">
        <v>243</v>
      </c>
      <c r="E49" t="s">
        <v>248</v>
      </c>
      <c r="F49" t="s">
        <v>207</v>
      </c>
      <c r="G49" t="s">
        <v>231</v>
      </c>
      <c r="H49">
        <v>388</v>
      </c>
      <c r="I49" t="str">
        <f t="shared" si="0"/>
        <v>Dormitories|B|Excellent</v>
      </c>
      <c r="J49" t="s">
        <v>249</v>
      </c>
    </row>
    <row r="50" spans="2:10">
      <c r="B50" t="s">
        <v>246</v>
      </c>
      <c r="C50" t="s">
        <v>247</v>
      </c>
      <c r="D50" t="s">
        <v>243</v>
      </c>
      <c r="E50" t="s">
        <v>248</v>
      </c>
      <c r="F50" t="s">
        <v>207</v>
      </c>
      <c r="G50" t="s">
        <v>250</v>
      </c>
      <c r="H50">
        <v>319</v>
      </c>
      <c r="I50" t="str">
        <f t="shared" si="0"/>
        <v>Dormitories|B|Very Good</v>
      </c>
      <c r="J50" t="s">
        <v>249</v>
      </c>
    </row>
    <row r="51" spans="2:10">
      <c r="B51" t="s">
        <v>246</v>
      </c>
      <c r="C51" t="s">
        <v>247</v>
      </c>
      <c r="D51" t="s">
        <v>243</v>
      </c>
      <c r="E51" t="s">
        <v>248</v>
      </c>
      <c r="F51" t="s">
        <v>207</v>
      </c>
      <c r="G51" t="s">
        <v>229</v>
      </c>
      <c r="H51">
        <v>262</v>
      </c>
      <c r="I51" t="str">
        <f t="shared" si="0"/>
        <v>Dormitories|B|Good</v>
      </c>
      <c r="J51" t="s">
        <v>249</v>
      </c>
    </row>
    <row r="52" spans="2:10">
      <c r="B52" t="s">
        <v>246</v>
      </c>
      <c r="C52" t="s">
        <v>247</v>
      </c>
      <c r="D52" t="s">
        <v>243</v>
      </c>
      <c r="E52" t="s">
        <v>248</v>
      </c>
      <c r="F52" t="s">
        <v>207</v>
      </c>
      <c r="G52" t="s">
        <v>44</v>
      </c>
      <c r="H52">
        <v>205</v>
      </c>
      <c r="I52" t="str">
        <f t="shared" si="0"/>
        <v>Dormitories|B|Average</v>
      </c>
      <c r="J52" t="s">
        <v>249</v>
      </c>
    </row>
    <row r="53" spans="2:10">
      <c r="B53" t="s">
        <v>246</v>
      </c>
      <c r="C53" t="s">
        <v>247</v>
      </c>
      <c r="D53" t="s">
        <v>243</v>
      </c>
      <c r="E53" t="s">
        <v>248</v>
      </c>
      <c r="F53" t="s">
        <v>207</v>
      </c>
      <c r="G53" t="s">
        <v>226</v>
      </c>
      <c r="H53">
        <v>163</v>
      </c>
      <c r="I53" t="str">
        <f t="shared" si="0"/>
        <v>Dormitories|B|Low Cost</v>
      </c>
      <c r="J53" t="s">
        <v>249</v>
      </c>
    </row>
    <row r="54" spans="2:10">
      <c r="B54" t="s">
        <v>246</v>
      </c>
      <c r="C54" t="s">
        <v>247</v>
      </c>
      <c r="D54" t="s">
        <v>243</v>
      </c>
      <c r="E54" t="s">
        <v>248</v>
      </c>
      <c r="F54" t="s">
        <v>209</v>
      </c>
      <c r="G54" t="s">
        <v>231</v>
      </c>
      <c r="H54">
        <v>357</v>
      </c>
      <c r="I54" t="str">
        <f t="shared" si="0"/>
        <v>Dormitories|C|Excellent</v>
      </c>
      <c r="J54" t="s">
        <v>249</v>
      </c>
    </row>
    <row r="55" spans="2:10">
      <c r="B55" t="s">
        <v>246</v>
      </c>
      <c r="C55" t="s">
        <v>247</v>
      </c>
      <c r="D55" t="s">
        <v>243</v>
      </c>
      <c r="E55" t="s">
        <v>248</v>
      </c>
      <c r="F55" t="s">
        <v>209</v>
      </c>
      <c r="G55" t="s">
        <v>250</v>
      </c>
      <c r="H55">
        <v>284</v>
      </c>
      <c r="I55" t="str">
        <f t="shared" si="0"/>
        <v>Dormitories|C|Very Good</v>
      </c>
      <c r="J55" t="s">
        <v>249</v>
      </c>
    </row>
    <row r="56" spans="2:10">
      <c r="B56" t="s">
        <v>246</v>
      </c>
      <c r="C56" t="s">
        <v>247</v>
      </c>
      <c r="D56" t="s">
        <v>243</v>
      </c>
      <c r="E56" t="s">
        <v>248</v>
      </c>
      <c r="F56" t="s">
        <v>209</v>
      </c>
      <c r="G56" t="s">
        <v>229</v>
      </c>
      <c r="H56">
        <v>215</v>
      </c>
      <c r="I56" t="str">
        <f t="shared" si="0"/>
        <v>Dormitories|C|Good</v>
      </c>
      <c r="J56" t="s">
        <v>249</v>
      </c>
    </row>
    <row r="57" spans="2:10">
      <c r="B57" t="s">
        <v>246</v>
      </c>
      <c r="C57" t="s">
        <v>247</v>
      </c>
      <c r="D57" t="s">
        <v>243</v>
      </c>
      <c r="E57" t="s">
        <v>248</v>
      </c>
      <c r="F57" t="s">
        <v>209</v>
      </c>
      <c r="G57" t="s">
        <v>44</v>
      </c>
      <c r="H57">
        <v>161</v>
      </c>
      <c r="I57" t="str">
        <f t="shared" si="0"/>
        <v>Dormitories|C|Average</v>
      </c>
      <c r="J57" t="s">
        <v>249</v>
      </c>
    </row>
    <row r="58" spans="2:10">
      <c r="B58" t="s">
        <v>246</v>
      </c>
      <c r="C58" t="s">
        <v>247</v>
      </c>
      <c r="D58" t="s">
        <v>243</v>
      </c>
      <c r="E58" t="s">
        <v>248</v>
      </c>
      <c r="F58" t="s">
        <v>209</v>
      </c>
      <c r="G58" t="s">
        <v>226</v>
      </c>
      <c r="H58">
        <v>123</v>
      </c>
      <c r="I58" t="str">
        <f t="shared" si="0"/>
        <v>Dormitories|C|Low Cost</v>
      </c>
      <c r="J58" t="s">
        <v>249</v>
      </c>
    </row>
    <row r="59" spans="2:10">
      <c r="B59" t="s">
        <v>246</v>
      </c>
      <c r="C59" t="s">
        <v>247</v>
      </c>
      <c r="D59" t="s">
        <v>243</v>
      </c>
      <c r="E59" t="s">
        <v>248</v>
      </c>
      <c r="F59" t="s">
        <v>214</v>
      </c>
      <c r="G59" t="s">
        <v>231</v>
      </c>
      <c r="H59">
        <v>349</v>
      </c>
      <c r="I59" t="str">
        <f t="shared" si="0"/>
        <v>Dormitories|D|Excellent</v>
      </c>
      <c r="J59" t="s">
        <v>249</v>
      </c>
    </row>
    <row r="60" spans="2:10">
      <c r="B60" t="s">
        <v>246</v>
      </c>
      <c r="C60" t="s">
        <v>247</v>
      </c>
      <c r="D60" t="s">
        <v>243</v>
      </c>
      <c r="E60" t="s">
        <v>248</v>
      </c>
      <c r="F60" t="s">
        <v>214</v>
      </c>
      <c r="G60" t="s">
        <v>250</v>
      </c>
      <c r="H60">
        <v>275</v>
      </c>
      <c r="I60" t="str">
        <f t="shared" si="0"/>
        <v>Dormitories|D|Very Good</v>
      </c>
      <c r="J60" t="s">
        <v>249</v>
      </c>
    </row>
    <row r="61" spans="2:10">
      <c r="B61" t="s">
        <v>246</v>
      </c>
      <c r="C61" t="s">
        <v>247</v>
      </c>
      <c r="D61" t="s">
        <v>243</v>
      </c>
      <c r="E61" t="s">
        <v>248</v>
      </c>
      <c r="F61" t="s">
        <v>214</v>
      </c>
      <c r="G61" t="s">
        <v>229</v>
      </c>
      <c r="H61">
        <v>201</v>
      </c>
      <c r="I61" t="str">
        <f t="shared" si="0"/>
        <v>Dormitories|D|Good</v>
      </c>
      <c r="J61" t="s">
        <v>249</v>
      </c>
    </row>
    <row r="62" spans="2:10">
      <c r="B62" t="s">
        <v>246</v>
      </c>
      <c r="C62" t="s">
        <v>247</v>
      </c>
      <c r="D62" t="s">
        <v>243</v>
      </c>
      <c r="E62" t="s">
        <v>248</v>
      </c>
      <c r="F62" t="s">
        <v>214</v>
      </c>
      <c r="G62" t="s">
        <v>44</v>
      </c>
      <c r="H62">
        <v>152</v>
      </c>
      <c r="I62" t="str">
        <f t="shared" si="0"/>
        <v>Dormitories|D|Average</v>
      </c>
      <c r="J62" t="s">
        <v>249</v>
      </c>
    </row>
    <row r="63" spans="2:10">
      <c r="B63" t="s">
        <v>246</v>
      </c>
      <c r="C63" t="s">
        <v>247</v>
      </c>
      <c r="D63" t="s">
        <v>243</v>
      </c>
      <c r="E63" t="s">
        <v>248</v>
      </c>
      <c r="F63" t="s">
        <v>214</v>
      </c>
      <c r="G63" t="s">
        <v>226</v>
      </c>
      <c r="H63">
        <v>115</v>
      </c>
      <c r="I63" t="str">
        <f t="shared" si="0"/>
        <v>Dormitories|D|Low Cost</v>
      </c>
      <c r="J63" t="s">
        <v>249</v>
      </c>
    </row>
    <row r="64" spans="2:10">
      <c r="B64" t="s">
        <v>246</v>
      </c>
      <c r="C64" t="s">
        <v>247</v>
      </c>
      <c r="D64" t="s">
        <v>243</v>
      </c>
      <c r="E64" t="s">
        <v>248</v>
      </c>
      <c r="F64" t="s">
        <v>219</v>
      </c>
      <c r="G64" t="s">
        <v>44</v>
      </c>
      <c r="H64">
        <v>147</v>
      </c>
      <c r="I64" t="str">
        <f t="shared" si="0"/>
        <v>Dormitories|S|Average</v>
      </c>
      <c r="J64" t="s">
        <v>249</v>
      </c>
    </row>
    <row r="65" spans="2:10">
      <c r="B65" t="s">
        <v>251</v>
      </c>
      <c r="C65" t="s">
        <v>252</v>
      </c>
      <c r="D65" t="s">
        <v>243</v>
      </c>
      <c r="E65" t="s">
        <v>253</v>
      </c>
      <c r="F65" t="s">
        <v>202</v>
      </c>
      <c r="G65" t="s">
        <v>229</v>
      </c>
      <c r="H65">
        <v>404</v>
      </c>
      <c r="I65" t="str">
        <f t="shared" si="0"/>
        <v>Luxury Apartments (High-Rise)|A|Good</v>
      </c>
      <c r="J65" t="s">
        <v>254</v>
      </c>
    </row>
    <row r="66" spans="2:10">
      <c r="B66" t="s">
        <v>251</v>
      </c>
      <c r="C66" t="s">
        <v>252</v>
      </c>
      <c r="D66" t="s">
        <v>243</v>
      </c>
      <c r="E66" t="s">
        <v>253</v>
      </c>
      <c r="F66" t="s">
        <v>202</v>
      </c>
      <c r="G66" t="s">
        <v>44</v>
      </c>
      <c r="H66">
        <v>324</v>
      </c>
      <c r="I66" t="str">
        <f t="shared" si="0"/>
        <v>Luxury Apartments (High-Rise)|A|Average</v>
      </c>
      <c r="J66" t="s">
        <v>254</v>
      </c>
    </row>
    <row r="67" spans="2:10">
      <c r="B67" t="s">
        <v>251</v>
      </c>
      <c r="C67" t="s">
        <v>252</v>
      </c>
      <c r="D67" t="s">
        <v>243</v>
      </c>
      <c r="E67" t="s">
        <v>253</v>
      </c>
      <c r="F67" t="s">
        <v>207</v>
      </c>
      <c r="G67" t="s">
        <v>229</v>
      </c>
      <c r="H67">
        <v>357</v>
      </c>
      <c r="I67" t="str">
        <f t="shared" si="0"/>
        <v>Luxury Apartments (High-Rise)|B|Good</v>
      </c>
      <c r="J67" t="s">
        <v>254</v>
      </c>
    </row>
    <row r="68" spans="2:10">
      <c r="B68" t="s">
        <v>251</v>
      </c>
      <c r="C68" t="s">
        <v>252</v>
      </c>
      <c r="D68" t="s">
        <v>243</v>
      </c>
      <c r="E68" t="s">
        <v>253</v>
      </c>
      <c r="F68" t="s">
        <v>207</v>
      </c>
      <c r="G68" t="s">
        <v>44</v>
      </c>
      <c r="H68">
        <v>288</v>
      </c>
      <c r="I68" t="str">
        <f t="shared" si="0"/>
        <v>Luxury Apartments (High-Rise)|B|Average</v>
      </c>
      <c r="J68" t="s">
        <v>254</v>
      </c>
    </row>
    <row r="69" spans="2:10">
      <c r="B69" t="s">
        <v>251</v>
      </c>
      <c r="C69" t="s">
        <v>252</v>
      </c>
      <c r="D69" t="s">
        <v>243</v>
      </c>
      <c r="E69" t="s">
        <v>253</v>
      </c>
      <c r="F69" t="s">
        <v>209</v>
      </c>
      <c r="G69" t="s">
        <v>231</v>
      </c>
      <c r="H69">
        <v>355</v>
      </c>
      <c r="I69" t="str">
        <f t="shared" si="0"/>
        <v>Luxury Apartments (High-Rise)|C|Excellent</v>
      </c>
      <c r="J69" t="s">
        <v>254</v>
      </c>
    </row>
    <row r="70" spans="2:10">
      <c r="B70" t="s">
        <v>251</v>
      </c>
      <c r="C70" t="s">
        <v>252</v>
      </c>
      <c r="D70" t="s">
        <v>243</v>
      </c>
      <c r="E70" t="s">
        <v>253</v>
      </c>
      <c r="F70" t="s">
        <v>209</v>
      </c>
      <c r="G70" t="s">
        <v>229</v>
      </c>
      <c r="H70">
        <v>278</v>
      </c>
      <c r="I70" t="str">
        <f t="shared" si="0"/>
        <v>Luxury Apartments (High-Rise)|C|Good</v>
      </c>
      <c r="J70" t="s">
        <v>254</v>
      </c>
    </row>
    <row r="71" spans="2:10">
      <c r="B71" t="s">
        <v>251</v>
      </c>
      <c r="C71" t="s">
        <v>252</v>
      </c>
      <c r="D71" t="s">
        <v>243</v>
      </c>
      <c r="E71" t="s">
        <v>253</v>
      </c>
      <c r="F71" t="s">
        <v>209</v>
      </c>
      <c r="G71" t="s">
        <v>44</v>
      </c>
      <c r="H71">
        <v>227</v>
      </c>
      <c r="I71" t="str">
        <f t="shared" si="0"/>
        <v>Luxury Apartments (High-Rise)|C|Average</v>
      </c>
      <c r="J71" t="s">
        <v>254</v>
      </c>
    </row>
    <row r="72" spans="2:10">
      <c r="B72" t="s">
        <v>251</v>
      </c>
      <c r="C72" t="s">
        <v>252</v>
      </c>
      <c r="D72" t="s">
        <v>243</v>
      </c>
      <c r="E72" t="s">
        <v>253</v>
      </c>
      <c r="F72" t="s">
        <v>255</v>
      </c>
      <c r="G72" t="s">
        <v>231</v>
      </c>
      <c r="H72">
        <v>347</v>
      </c>
      <c r="I72" t="str">
        <f t="shared" si="0"/>
        <v>Luxury Apartments (High-Rise)|DMASVEN|Excellent</v>
      </c>
      <c r="J72" t="s">
        <v>254</v>
      </c>
    </row>
    <row r="73" spans="2:10">
      <c r="B73" t="s">
        <v>251</v>
      </c>
      <c r="C73" t="s">
        <v>252</v>
      </c>
      <c r="D73" t="s">
        <v>243</v>
      </c>
      <c r="E73" t="s">
        <v>253</v>
      </c>
      <c r="F73" t="s">
        <v>255</v>
      </c>
      <c r="G73" t="s">
        <v>229</v>
      </c>
      <c r="H73">
        <v>272</v>
      </c>
      <c r="I73" t="str">
        <f t="shared" si="0"/>
        <v>Luxury Apartments (High-Rise)|DMASVEN|Good</v>
      </c>
      <c r="J73" t="s">
        <v>254</v>
      </c>
    </row>
    <row r="74" spans="2:10">
      <c r="B74" t="s">
        <v>251</v>
      </c>
      <c r="C74" t="s">
        <v>252</v>
      </c>
      <c r="D74" t="s">
        <v>243</v>
      </c>
      <c r="E74" t="s">
        <v>253</v>
      </c>
      <c r="F74" t="s">
        <v>255</v>
      </c>
      <c r="G74" t="s">
        <v>44</v>
      </c>
      <c r="H74">
        <v>221</v>
      </c>
      <c r="I74" t="str">
        <f t="shared" si="0"/>
        <v>Luxury Apartments (High-Rise)|DMASVEN|Average</v>
      </c>
      <c r="J74" t="s">
        <v>254</v>
      </c>
    </row>
    <row r="75" spans="2:10">
      <c r="B75" t="s">
        <v>251</v>
      </c>
      <c r="C75" t="s">
        <v>252</v>
      </c>
      <c r="D75" t="s">
        <v>243</v>
      </c>
      <c r="E75" t="s">
        <v>253</v>
      </c>
      <c r="F75" t="s">
        <v>214</v>
      </c>
      <c r="G75" t="s">
        <v>231</v>
      </c>
      <c r="H75">
        <v>341</v>
      </c>
      <c r="I75" t="str">
        <f t="shared" si="0"/>
        <v>Luxury Apartments (High-Rise)|D|Excellent</v>
      </c>
      <c r="J75" t="s">
        <v>254</v>
      </c>
    </row>
    <row r="76" spans="2:10">
      <c r="B76" t="s">
        <v>251</v>
      </c>
      <c r="C76" t="s">
        <v>252</v>
      </c>
      <c r="D76" t="s">
        <v>243</v>
      </c>
      <c r="E76" t="s">
        <v>253</v>
      </c>
      <c r="F76" t="s">
        <v>214</v>
      </c>
      <c r="G76" t="s">
        <v>229</v>
      </c>
      <c r="H76">
        <v>266</v>
      </c>
      <c r="I76" t="str">
        <f t="shared" si="0"/>
        <v>Luxury Apartments (High-Rise)|D|Good</v>
      </c>
      <c r="J76" t="s">
        <v>254</v>
      </c>
    </row>
    <row r="77" spans="2:10">
      <c r="B77" t="s">
        <v>251</v>
      </c>
      <c r="C77" t="s">
        <v>252</v>
      </c>
      <c r="D77" t="s">
        <v>243</v>
      </c>
      <c r="E77" t="s">
        <v>253</v>
      </c>
      <c r="F77" t="s">
        <v>214</v>
      </c>
      <c r="G77" t="s">
        <v>44</v>
      </c>
      <c r="H77">
        <v>216</v>
      </c>
      <c r="I77" t="str">
        <f t="shared" si="0"/>
        <v>Luxury Apartments (High-Rise)|D|Average</v>
      </c>
      <c r="J77" t="s">
        <v>254</v>
      </c>
    </row>
    <row r="78" spans="2:10">
      <c r="B78" t="s">
        <v>256</v>
      </c>
      <c r="C78" t="s">
        <v>257</v>
      </c>
      <c r="D78" t="s">
        <v>243</v>
      </c>
      <c r="E78" t="s">
        <v>258</v>
      </c>
      <c r="F78" t="s">
        <v>202</v>
      </c>
      <c r="G78" t="s">
        <v>229</v>
      </c>
      <c r="H78">
        <v>219</v>
      </c>
      <c r="I78" t="str">
        <f t="shared" si="0"/>
        <v>Shell Luxury Apartment Buildings|A|Good</v>
      </c>
      <c r="J78" t="s">
        <v>259</v>
      </c>
    </row>
    <row r="79" spans="2:10">
      <c r="B79" t="s">
        <v>256</v>
      </c>
      <c r="C79" t="s">
        <v>257</v>
      </c>
      <c r="D79" t="s">
        <v>243</v>
      </c>
      <c r="E79" t="s">
        <v>258</v>
      </c>
      <c r="F79" t="s">
        <v>202</v>
      </c>
      <c r="G79" t="s">
        <v>44</v>
      </c>
      <c r="H79">
        <v>172</v>
      </c>
      <c r="I79" t="str">
        <f t="shared" si="0"/>
        <v>Shell Luxury Apartment Buildings|A|Average</v>
      </c>
      <c r="J79" t="s">
        <v>259</v>
      </c>
    </row>
    <row r="80" spans="2:10">
      <c r="B80" t="s">
        <v>256</v>
      </c>
      <c r="C80" t="s">
        <v>257</v>
      </c>
      <c r="D80" t="s">
        <v>243</v>
      </c>
      <c r="E80" t="s">
        <v>258</v>
      </c>
      <c r="F80" t="s">
        <v>207</v>
      </c>
      <c r="G80" t="s">
        <v>229</v>
      </c>
      <c r="H80">
        <v>186</v>
      </c>
      <c r="I80" t="str">
        <f t="shared" si="0"/>
        <v>Shell Luxury Apartment Buildings|B|Good</v>
      </c>
      <c r="J80" t="s">
        <v>259</v>
      </c>
    </row>
    <row r="81" spans="2:10">
      <c r="B81" t="s">
        <v>256</v>
      </c>
      <c r="C81" t="s">
        <v>257</v>
      </c>
      <c r="D81" t="s">
        <v>243</v>
      </c>
      <c r="E81" t="s">
        <v>258</v>
      </c>
      <c r="F81" t="s">
        <v>207</v>
      </c>
      <c r="G81" t="s">
        <v>44</v>
      </c>
      <c r="H81">
        <v>147</v>
      </c>
      <c r="I81" t="str">
        <f t="shared" si="0"/>
        <v>Shell Luxury Apartment Buildings|B|Average</v>
      </c>
      <c r="J81" t="s">
        <v>259</v>
      </c>
    </row>
    <row r="82" spans="2:10">
      <c r="B82" t="s">
        <v>256</v>
      </c>
      <c r="C82" t="s">
        <v>257</v>
      </c>
      <c r="D82" t="s">
        <v>243</v>
      </c>
      <c r="E82" t="s">
        <v>260</v>
      </c>
      <c r="F82" t="s">
        <v>209</v>
      </c>
      <c r="G82" t="s">
        <v>231</v>
      </c>
      <c r="H82">
        <v>188</v>
      </c>
      <c r="I82" t="str">
        <f t="shared" si="0"/>
        <v>Shell Luxury Apartment Buildings|C|Excellent</v>
      </c>
      <c r="J82" t="s">
        <v>261</v>
      </c>
    </row>
    <row r="83" spans="2:10">
      <c r="B83" t="s">
        <v>256</v>
      </c>
      <c r="C83" t="s">
        <v>257</v>
      </c>
      <c r="D83" t="s">
        <v>243</v>
      </c>
      <c r="E83" t="s">
        <v>260</v>
      </c>
      <c r="F83" t="s">
        <v>209</v>
      </c>
      <c r="G83" t="s">
        <v>229</v>
      </c>
      <c r="H83">
        <v>151</v>
      </c>
      <c r="I83" t="str">
        <f t="shared" si="0"/>
        <v>Shell Luxury Apartment Buildings|C|Good</v>
      </c>
      <c r="J83" t="s">
        <v>261</v>
      </c>
    </row>
    <row r="84" spans="2:10">
      <c r="B84" t="s">
        <v>256</v>
      </c>
      <c r="C84" t="s">
        <v>257</v>
      </c>
      <c r="D84" t="s">
        <v>243</v>
      </c>
      <c r="E84" t="s">
        <v>260</v>
      </c>
      <c r="F84" t="s">
        <v>209</v>
      </c>
      <c r="G84" t="s">
        <v>44</v>
      </c>
      <c r="H84">
        <v>121</v>
      </c>
      <c r="I84" t="str">
        <f t="shared" si="0"/>
        <v>Shell Luxury Apartment Buildings|C|Average</v>
      </c>
      <c r="J84" t="s">
        <v>261</v>
      </c>
    </row>
    <row r="85" spans="2:10">
      <c r="B85" t="s">
        <v>256</v>
      </c>
      <c r="C85" t="s">
        <v>257</v>
      </c>
      <c r="D85" t="s">
        <v>243</v>
      </c>
      <c r="E85" t="s">
        <v>260</v>
      </c>
      <c r="F85" t="s">
        <v>255</v>
      </c>
      <c r="G85" t="s">
        <v>231</v>
      </c>
      <c r="H85">
        <v>178</v>
      </c>
      <c r="I85" t="str">
        <f t="shared" si="0"/>
        <v>Shell Luxury Apartment Buildings|DMASVEN|Excellent</v>
      </c>
      <c r="J85" t="s">
        <v>261</v>
      </c>
    </row>
    <row r="86" spans="2:10">
      <c r="B86" t="s">
        <v>256</v>
      </c>
      <c r="C86" t="s">
        <v>257</v>
      </c>
      <c r="D86" t="s">
        <v>243</v>
      </c>
      <c r="E86" t="s">
        <v>260</v>
      </c>
      <c r="F86" t="s">
        <v>255</v>
      </c>
      <c r="G86" t="s">
        <v>229</v>
      </c>
      <c r="H86">
        <v>142</v>
      </c>
      <c r="I86" t="str">
        <f t="shared" si="0"/>
        <v>Shell Luxury Apartment Buildings|DMASVEN|Good</v>
      </c>
      <c r="J86" t="s">
        <v>261</v>
      </c>
    </row>
    <row r="87" spans="2:10">
      <c r="B87" t="s">
        <v>256</v>
      </c>
      <c r="C87" t="s">
        <v>257</v>
      </c>
      <c r="D87" t="s">
        <v>243</v>
      </c>
      <c r="E87" t="s">
        <v>260</v>
      </c>
      <c r="F87" t="s">
        <v>255</v>
      </c>
      <c r="G87" t="s">
        <v>44</v>
      </c>
      <c r="H87">
        <v>114</v>
      </c>
      <c r="I87" t="str">
        <f t="shared" si="0"/>
        <v>Shell Luxury Apartment Buildings|DMASVEN|Average</v>
      </c>
      <c r="J87" t="s">
        <v>261</v>
      </c>
    </row>
    <row r="88" spans="2:10">
      <c r="B88" t="s">
        <v>256</v>
      </c>
      <c r="C88" t="s">
        <v>257</v>
      </c>
      <c r="D88" t="s">
        <v>243</v>
      </c>
      <c r="E88" t="s">
        <v>260</v>
      </c>
      <c r="F88" t="s">
        <v>214</v>
      </c>
      <c r="G88" t="s">
        <v>231</v>
      </c>
      <c r="H88">
        <v>175</v>
      </c>
      <c r="I88" t="str">
        <f t="shared" si="0"/>
        <v>Shell Luxury Apartment Buildings|D|Excellent</v>
      </c>
      <c r="J88" t="s">
        <v>261</v>
      </c>
    </row>
    <row r="89" spans="2:10">
      <c r="B89" t="s">
        <v>256</v>
      </c>
      <c r="C89" t="s">
        <v>257</v>
      </c>
      <c r="D89" t="s">
        <v>243</v>
      </c>
      <c r="E89" t="s">
        <v>260</v>
      </c>
      <c r="F89" t="s">
        <v>214</v>
      </c>
      <c r="G89" t="s">
        <v>229</v>
      </c>
      <c r="H89">
        <v>139</v>
      </c>
      <c r="I89" t="str">
        <f t="shared" si="0"/>
        <v>Shell Luxury Apartment Buildings|D|Good</v>
      </c>
      <c r="J89" t="s">
        <v>261</v>
      </c>
    </row>
    <row r="90" spans="2:10">
      <c r="B90" t="s">
        <v>256</v>
      </c>
      <c r="C90" t="s">
        <v>257</v>
      </c>
      <c r="D90" t="s">
        <v>243</v>
      </c>
      <c r="E90" t="s">
        <v>260</v>
      </c>
      <c r="F90" t="s">
        <v>214</v>
      </c>
      <c r="G90" t="s">
        <v>44</v>
      </c>
      <c r="H90">
        <v>111</v>
      </c>
      <c r="I90" t="str">
        <f t="shared" si="0"/>
        <v>Shell Luxury Apartment Buildings|D|Average</v>
      </c>
      <c r="J90" t="s">
        <v>261</v>
      </c>
    </row>
    <row r="91" spans="2:10">
      <c r="B91" t="s">
        <v>262</v>
      </c>
      <c r="C91" t="s">
        <v>263</v>
      </c>
      <c r="D91" t="s">
        <v>243</v>
      </c>
      <c r="E91" t="s">
        <v>264</v>
      </c>
      <c r="F91" t="s">
        <v>202</v>
      </c>
      <c r="G91" t="s">
        <v>229</v>
      </c>
      <c r="H91">
        <v>249</v>
      </c>
      <c r="I91" t="str">
        <f t="shared" si="0"/>
        <v>Apartments (High-Rise)|A|Good</v>
      </c>
      <c r="J91" t="s">
        <v>265</v>
      </c>
    </row>
    <row r="92" spans="2:10">
      <c r="B92" t="s">
        <v>262</v>
      </c>
      <c r="C92" t="s">
        <v>263</v>
      </c>
      <c r="D92" t="s">
        <v>243</v>
      </c>
      <c r="E92" t="s">
        <v>264</v>
      </c>
      <c r="F92" t="s">
        <v>202</v>
      </c>
      <c r="G92" t="s">
        <v>44</v>
      </c>
      <c r="H92">
        <v>197</v>
      </c>
      <c r="I92" t="str">
        <f t="shared" si="0"/>
        <v>Apartments (High-Rise)|A|Average</v>
      </c>
      <c r="J92" t="s">
        <v>265</v>
      </c>
    </row>
    <row r="93" spans="2:10">
      <c r="B93" t="s">
        <v>262</v>
      </c>
      <c r="C93" t="s">
        <v>263</v>
      </c>
      <c r="D93" t="s">
        <v>243</v>
      </c>
      <c r="E93" t="s">
        <v>264</v>
      </c>
      <c r="F93" t="s">
        <v>202</v>
      </c>
      <c r="G93" t="s">
        <v>226</v>
      </c>
      <c r="H93">
        <v>156</v>
      </c>
      <c r="I93" t="str">
        <f t="shared" si="0"/>
        <v>Apartments (High-Rise)|A|Low Cost</v>
      </c>
      <c r="J93" t="s">
        <v>265</v>
      </c>
    </row>
    <row r="94" spans="2:10">
      <c r="B94" t="s">
        <v>262</v>
      </c>
      <c r="C94" t="s">
        <v>263</v>
      </c>
      <c r="D94" t="s">
        <v>243</v>
      </c>
      <c r="E94" t="s">
        <v>264</v>
      </c>
      <c r="F94" t="s">
        <v>207</v>
      </c>
      <c r="G94" t="s">
        <v>229</v>
      </c>
      <c r="H94">
        <v>220</v>
      </c>
      <c r="I94" t="str">
        <f t="shared" ref="I94:I157" si="1">B94&amp;"|"&amp;F94&amp;"|"&amp;G94</f>
        <v>Apartments (High-Rise)|B|Good</v>
      </c>
      <c r="J94" t="s">
        <v>265</v>
      </c>
    </row>
    <row r="95" spans="2:10">
      <c r="B95" t="s">
        <v>262</v>
      </c>
      <c r="C95" t="s">
        <v>263</v>
      </c>
      <c r="D95" t="s">
        <v>243</v>
      </c>
      <c r="E95" t="s">
        <v>264</v>
      </c>
      <c r="F95" t="s">
        <v>207</v>
      </c>
      <c r="G95" t="s">
        <v>44</v>
      </c>
      <c r="H95">
        <v>175</v>
      </c>
      <c r="I95" t="str">
        <f t="shared" si="1"/>
        <v>Apartments (High-Rise)|B|Average</v>
      </c>
      <c r="J95" t="s">
        <v>265</v>
      </c>
    </row>
    <row r="96" spans="2:10">
      <c r="B96" t="s">
        <v>262</v>
      </c>
      <c r="C96" t="s">
        <v>263</v>
      </c>
      <c r="D96" t="s">
        <v>243</v>
      </c>
      <c r="E96" t="s">
        <v>264</v>
      </c>
      <c r="F96" t="s">
        <v>207</v>
      </c>
      <c r="G96" t="s">
        <v>226</v>
      </c>
      <c r="H96">
        <v>139</v>
      </c>
      <c r="I96" t="str">
        <f t="shared" si="1"/>
        <v>Apartments (High-Rise)|B|Low Cost</v>
      </c>
      <c r="J96" t="s">
        <v>265</v>
      </c>
    </row>
    <row r="97" spans="2:10">
      <c r="B97" t="s">
        <v>262</v>
      </c>
      <c r="C97" t="s">
        <v>263</v>
      </c>
      <c r="D97" t="s">
        <v>243</v>
      </c>
      <c r="E97" t="s">
        <v>264</v>
      </c>
      <c r="F97" t="s">
        <v>209</v>
      </c>
      <c r="G97" t="s">
        <v>229</v>
      </c>
      <c r="H97">
        <v>176</v>
      </c>
      <c r="I97" t="str">
        <f t="shared" si="1"/>
        <v>Apartments (High-Rise)|C|Good</v>
      </c>
      <c r="J97" t="s">
        <v>265</v>
      </c>
    </row>
    <row r="98" spans="2:10">
      <c r="B98" t="s">
        <v>262</v>
      </c>
      <c r="C98" t="s">
        <v>263</v>
      </c>
      <c r="D98" t="s">
        <v>243</v>
      </c>
      <c r="E98" t="s">
        <v>264</v>
      </c>
      <c r="F98" t="s">
        <v>209</v>
      </c>
      <c r="G98" t="s">
        <v>44</v>
      </c>
      <c r="H98">
        <v>135</v>
      </c>
      <c r="I98" t="str">
        <f t="shared" si="1"/>
        <v>Apartments (High-Rise)|C|Average</v>
      </c>
      <c r="J98" t="s">
        <v>265</v>
      </c>
    </row>
    <row r="99" spans="2:10">
      <c r="B99" t="s">
        <v>262</v>
      </c>
      <c r="C99" t="s">
        <v>263</v>
      </c>
      <c r="D99" t="s">
        <v>243</v>
      </c>
      <c r="E99" t="s">
        <v>264</v>
      </c>
      <c r="F99" t="s">
        <v>209</v>
      </c>
      <c r="G99" t="s">
        <v>226</v>
      </c>
      <c r="H99">
        <v>102</v>
      </c>
      <c r="I99" t="str">
        <f t="shared" si="1"/>
        <v>Apartments (High-Rise)|C|Low Cost</v>
      </c>
      <c r="J99" t="s">
        <v>265</v>
      </c>
    </row>
    <row r="100" spans="2:10">
      <c r="B100" t="s">
        <v>262</v>
      </c>
      <c r="C100" t="s">
        <v>263</v>
      </c>
      <c r="D100" t="s">
        <v>243</v>
      </c>
      <c r="E100" t="s">
        <v>264</v>
      </c>
      <c r="F100" t="s">
        <v>266</v>
      </c>
      <c r="G100" t="s">
        <v>229</v>
      </c>
      <c r="H100">
        <v>200</v>
      </c>
      <c r="I100" t="str">
        <f t="shared" si="1"/>
        <v>Apartments (High-Rise)|CMILL|Good</v>
      </c>
      <c r="J100" t="s">
        <v>265</v>
      </c>
    </row>
    <row r="101" spans="2:10">
      <c r="B101" t="s">
        <v>262</v>
      </c>
      <c r="C101" t="s">
        <v>263</v>
      </c>
      <c r="D101" t="s">
        <v>243</v>
      </c>
      <c r="E101" t="s">
        <v>264</v>
      </c>
      <c r="F101" t="s">
        <v>266</v>
      </c>
      <c r="G101" t="s">
        <v>44</v>
      </c>
      <c r="H101">
        <v>164</v>
      </c>
      <c r="I101" t="str">
        <f t="shared" si="1"/>
        <v>Apartments (High-Rise)|CMILL|Average</v>
      </c>
      <c r="J101" t="s">
        <v>265</v>
      </c>
    </row>
    <row r="102" spans="2:10">
      <c r="B102" t="s">
        <v>262</v>
      </c>
      <c r="C102" t="s">
        <v>263</v>
      </c>
      <c r="D102" t="s">
        <v>243</v>
      </c>
      <c r="E102" t="s">
        <v>264</v>
      </c>
      <c r="F102" t="s">
        <v>255</v>
      </c>
      <c r="G102" t="s">
        <v>229</v>
      </c>
      <c r="H102">
        <v>172</v>
      </c>
      <c r="I102" t="str">
        <f t="shared" si="1"/>
        <v>Apartments (High-Rise)|DMASVEN|Good</v>
      </c>
      <c r="J102" t="s">
        <v>265</v>
      </c>
    </row>
    <row r="103" spans="2:10">
      <c r="B103" t="s">
        <v>262</v>
      </c>
      <c r="C103" t="s">
        <v>263</v>
      </c>
      <c r="D103" t="s">
        <v>243</v>
      </c>
      <c r="E103" t="s">
        <v>264</v>
      </c>
      <c r="F103" t="s">
        <v>255</v>
      </c>
      <c r="G103" t="s">
        <v>44</v>
      </c>
      <c r="H103">
        <v>131</v>
      </c>
      <c r="I103" t="str">
        <f t="shared" si="1"/>
        <v>Apartments (High-Rise)|DMASVEN|Average</v>
      </c>
      <c r="J103" t="s">
        <v>265</v>
      </c>
    </row>
    <row r="104" spans="2:10">
      <c r="B104" t="s">
        <v>262</v>
      </c>
      <c r="C104" t="s">
        <v>263</v>
      </c>
      <c r="D104" t="s">
        <v>243</v>
      </c>
      <c r="E104" t="s">
        <v>264</v>
      </c>
      <c r="F104" t="s">
        <v>214</v>
      </c>
      <c r="G104" t="s">
        <v>229</v>
      </c>
      <c r="H104">
        <v>167</v>
      </c>
      <c r="I104" t="str">
        <f t="shared" si="1"/>
        <v>Apartments (High-Rise)|D|Good</v>
      </c>
      <c r="J104" t="s">
        <v>265</v>
      </c>
    </row>
    <row r="105" spans="2:10">
      <c r="B105" t="s">
        <v>262</v>
      </c>
      <c r="C105" t="s">
        <v>263</v>
      </c>
      <c r="D105" t="s">
        <v>243</v>
      </c>
      <c r="E105" t="s">
        <v>264</v>
      </c>
      <c r="F105" t="s">
        <v>214</v>
      </c>
      <c r="G105" t="s">
        <v>44</v>
      </c>
      <c r="H105">
        <v>127</v>
      </c>
      <c r="I105" t="str">
        <f t="shared" si="1"/>
        <v>Apartments (High-Rise)|D|Average</v>
      </c>
      <c r="J105" t="s">
        <v>265</v>
      </c>
    </row>
    <row r="106" spans="2:10">
      <c r="B106" t="s">
        <v>262</v>
      </c>
      <c r="C106" t="s">
        <v>263</v>
      </c>
      <c r="D106" t="s">
        <v>243</v>
      </c>
      <c r="E106" t="s">
        <v>264</v>
      </c>
      <c r="F106" t="s">
        <v>214</v>
      </c>
      <c r="G106" t="s">
        <v>226</v>
      </c>
      <c r="H106">
        <v>95.5</v>
      </c>
      <c r="I106" t="str">
        <f t="shared" si="1"/>
        <v>Apartments (High-Rise)|D|Low Cost</v>
      </c>
      <c r="J106" t="s">
        <v>265</v>
      </c>
    </row>
    <row r="107" spans="2:10">
      <c r="B107" t="s">
        <v>262</v>
      </c>
      <c r="C107" t="s">
        <v>263</v>
      </c>
      <c r="D107" t="s">
        <v>243</v>
      </c>
      <c r="E107" t="s">
        <v>264</v>
      </c>
      <c r="F107" t="s">
        <v>219</v>
      </c>
      <c r="G107" t="s">
        <v>229</v>
      </c>
      <c r="H107">
        <v>163</v>
      </c>
      <c r="I107" t="str">
        <f t="shared" si="1"/>
        <v>Apartments (High-Rise)|S|Good</v>
      </c>
      <c r="J107" t="s">
        <v>265</v>
      </c>
    </row>
    <row r="108" spans="2:10">
      <c r="B108" t="s">
        <v>262</v>
      </c>
      <c r="C108" t="s">
        <v>263</v>
      </c>
      <c r="D108" t="s">
        <v>243</v>
      </c>
      <c r="E108" t="s">
        <v>264</v>
      </c>
      <c r="F108" t="s">
        <v>219</v>
      </c>
      <c r="G108" t="s">
        <v>44</v>
      </c>
      <c r="H108">
        <v>123</v>
      </c>
      <c r="I108" t="str">
        <f t="shared" si="1"/>
        <v>Apartments (High-Rise)|S|Average</v>
      </c>
      <c r="J108" t="s">
        <v>265</v>
      </c>
    </row>
    <row r="109" spans="2:10">
      <c r="B109" t="s">
        <v>267</v>
      </c>
      <c r="C109" t="s">
        <v>268</v>
      </c>
      <c r="D109" t="s">
        <v>243</v>
      </c>
      <c r="E109" t="s">
        <v>269</v>
      </c>
      <c r="F109" t="s">
        <v>270</v>
      </c>
      <c r="G109" t="s">
        <v>229</v>
      </c>
      <c r="H109">
        <v>304</v>
      </c>
      <c r="I109" t="str">
        <f t="shared" si="1"/>
        <v>City Clubs|A-B|Good</v>
      </c>
      <c r="J109" t="s">
        <v>271</v>
      </c>
    </row>
    <row r="110" spans="2:10">
      <c r="B110" t="s">
        <v>267</v>
      </c>
      <c r="C110" t="s">
        <v>268</v>
      </c>
      <c r="D110" t="s">
        <v>243</v>
      </c>
      <c r="E110" t="s">
        <v>269</v>
      </c>
      <c r="F110" t="s">
        <v>270</v>
      </c>
      <c r="G110" t="s">
        <v>44</v>
      </c>
      <c r="H110">
        <v>237</v>
      </c>
      <c r="I110" t="str">
        <f t="shared" si="1"/>
        <v>City Clubs|A-B|Average</v>
      </c>
      <c r="J110" t="s">
        <v>271</v>
      </c>
    </row>
    <row r="111" spans="2:10">
      <c r="B111" t="s">
        <v>267</v>
      </c>
      <c r="C111" t="s">
        <v>268</v>
      </c>
      <c r="D111" t="s">
        <v>243</v>
      </c>
      <c r="E111" t="s">
        <v>269</v>
      </c>
      <c r="F111" t="s">
        <v>209</v>
      </c>
      <c r="G111" t="s">
        <v>229</v>
      </c>
      <c r="H111">
        <v>238</v>
      </c>
      <c r="I111" t="str">
        <f t="shared" si="1"/>
        <v>City Clubs|C|Good</v>
      </c>
      <c r="J111" t="s">
        <v>271</v>
      </c>
    </row>
    <row r="112" spans="2:10">
      <c r="B112" t="s">
        <v>267</v>
      </c>
      <c r="C112" t="s">
        <v>268</v>
      </c>
      <c r="D112" t="s">
        <v>243</v>
      </c>
      <c r="E112" t="s">
        <v>269</v>
      </c>
      <c r="F112" t="s">
        <v>209</v>
      </c>
      <c r="G112" t="s">
        <v>44</v>
      </c>
      <c r="H112">
        <v>191</v>
      </c>
      <c r="I112" t="str">
        <f t="shared" si="1"/>
        <v>City Clubs|C|Average</v>
      </c>
      <c r="J112" t="s">
        <v>271</v>
      </c>
    </row>
    <row r="113" spans="2:10">
      <c r="B113" t="s">
        <v>272</v>
      </c>
      <c r="C113" t="s">
        <v>273</v>
      </c>
      <c r="D113" t="s">
        <v>243</v>
      </c>
      <c r="E113" t="s">
        <v>274</v>
      </c>
      <c r="F113" t="s">
        <v>202</v>
      </c>
      <c r="G113" t="s">
        <v>229</v>
      </c>
      <c r="H113">
        <v>154</v>
      </c>
      <c r="I113" t="str">
        <f t="shared" si="1"/>
        <v>Shell Apartment Buildings|A|Good</v>
      </c>
      <c r="J113" t="s">
        <v>275</v>
      </c>
    </row>
    <row r="114" spans="2:10">
      <c r="B114" t="s">
        <v>272</v>
      </c>
      <c r="C114" t="s">
        <v>273</v>
      </c>
      <c r="D114" t="s">
        <v>243</v>
      </c>
      <c r="E114" t="s">
        <v>274</v>
      </c>
      <c r="F114" t="s">
        <v>202</v>
      </c>
      <c r="G114" t="s">
        <v>44</v>
      </c>
      <c r="H114">
        <v>121</v>
      </c>
      <c r="I114" t="str">
        <f t="shared" si="1"/>
        <v>Shell Apartment Buildings|A|Average</v>
      </c>
      <c r="J114" t="s">
        <v>275</v>
      </c>
    </row>
    <row r="115" spans="2:10">
      <c r="B115" t="s">
        <v>272</v>
      </c>
      <c r="C115" t="s">
        <v>273</v>
      </c>
      <c r="D115" t="s">
        <v>243</v>
      </c>
      <c r="E115" t="s">
        <v>274</v>
      </c>
      <c r="F115" t="s">
        <v>202</v>
      </c>
      <c r="G115" t="s">
        <v>226</v>
      </c>
      <c r="H115">
        <v>96</v>
      </c>
      <c r="I115" t="str">
        <f t="shared" si="1"/>
        <v>Shell Apartment Buildings|A|Low Cost</v>
      </c>
      <c r="J115" t="s">
        <v>275</v>
      </c>
    </row>
    <row r="116" spans="2:10">
      <c r="B116" t="s">
        <v>272</v>
      </c>
      <c r="C116" t="s">
        <v>273</v>
      </c>
      <c r="D116" t="s">
        <v>243</v>
      </c>
      <c r="E116" t="s">
        <v>274</v>
      </c>
      <c r="F116" t="s">
        <v>207</v>
      </c>
      <c r="G116" t="s">
        <v>229</v>
      </c>
      <c r="H116">
        <v>132</v>
      </c>
      <c r="I116" t="str">
        <f t="shared" si="1"/>
        <v>Shell Apartment Buildings|B|Good</v>
      </c>
      <c r="J116" t="s">
        <v>275</v>
      </c>
    </row>
    <row r="117" spans="2:10">
      <c r="B117" t="s">
        <v>272</v>
      </c>
      <c r="C117" t="s">
        <v>273</v>
      </c>
      <c r="D117" t="s">
        <v>243</v>
      </c>
      <c r="E117" t="s">
        <v>274</v>
      </c>
      <c r="F117" t="s">
        <v>207</v>
      </c>
      <c r="G117" t="s">
        <v>44</v>
      </c>
      <c r="H117">
        <v>105</v>
      </c>
      <c r="I117" t="str">
        <f t="shared" si="1"/>
        <v>Shell Apartment Buildings|B|Average</v>
      </c>
      <c r="J117" t="s">
        <v>275</v>
      </c>
    </row>
    <row r="118" spans="2:10">
      <c r="B118" t="s">
        <v>272</v>
      </c>
      <c r="C118" t="s">
        <v>273</v>
      </c>
      <c r="D118" t="s">
        <v>243</v>
      </c>
      <c r="E118" t="s">
        <v>274</v>
      </c>
      <c r="F118" t="s">
        <v>207</v>
      </c>
      <c r="G118" t="s">
        <v>226</v>
      </c>
      <c r="H118">
        <v>82.5</v>
      </c>
      <c r="I118" t="str">
        <f t="shared" si="1"/>
        <v>Shell Apartment Buildings|B|Low Cost</v>
      </c>
      <c r="J118" t="s">
        <v>275</v>
      </c>
    </row>
    <row r="119" spans="2:10">
      <c r="B119" t="s">
        <v>272</v>
      </c>
      <c r="C119" t="s">
        <v>273</v>
      </c>
      <c r="D119" t="s">
        <v>243</v>
      </c>
      <c r="E119" t="s">
        <v>276</v>
      </c>
      <c r="F119" t="s">
        <v>209</v>
      </c>
      <c r="G119" t="s">
        <v>229</v>
      </c>
      <c r="H119">
        <v>109</v>
      </c>
      <c r="I119" t="str">
        <f t="shared" si="1"/>
        <v>Shell Apartment Buildings|C|Good</v>
      </c>
      <c r="J119" t="s">
        <v>277</v>
      </c>
    </row>
    <row r="120" spans="2:10">
      <c r="B120" t="s">
        <v>272</v>
      </c>
      <c r="C120" t="s">
        <v>273</v>
      </c>
      <c r="D120" t="s">
        <v>243</v>
      </c>
      <c r="E120" t="s">
        <v>276</v>
      </c>
      <c r="F120" t="s">
        <v>209</v>
      </c>
      <c r="G120" t="s">
        <v>44</v>
      </c>
      <c r="H120">
        <v>85.5</v>
      </c>
      <c r="I120" t="str">
        <f t="shared" si="1"/>
        <v>Shell Apartment Buildings|C|Average</v>
      </c>
      <c r="J120" t="s">
        <v>277</v>
      </c>
    </row>
    <row r="121" spans="2:10">
      <c r="B121" t="s">
        <v>272</v>
      </c>
      <c r="C121" t="s">
        <v>273</v>
      </c>
      <c r="D121" t="s">
        <v>243</v>
      </c>
      <c r="E121" t="s">
        <v>276</v>
      </c>
      <c r="F121" t="s">
        <v>209</v>
      </c>
      <c r="G121" t="s">
        <v>226</v>
      </c>
      <c r="H121">
        <v>63.5</v>
      </c>
      <c r="I121" t="str">
        <f t="shared" si="1"/>
        <v>Shell Apartment Buildings|C|Low Cost</v>
      </c>
      <c r="J121" t="s">
        <v>277</v>
      </c>
    </row>
    <row r="122" spans="2:10">
      <c r="B122" t="s">
        <v>272</v>
      </c>
      <c r="C122" t="s">
        <v>273</v>
      </c>
      <c r="D122" t="s">
        <v>243</v>
      </c>
      <c r="E122" t="s">
        <v>276</v>
      </c>
      <c r="F122" t="s">
        <v>255</v>
      </c>
      <c r="G122" t="s">
        <v>229</v>
      </c>
      <c r="H122">
        <v>103</v>
      </c>
      <c r="I122" t="str">
        <f t="shared" si="1"/>
        <v>Shell Apartment Buildings|DMASVEN|Good</v>
      </c>
      <c r="J122" t="s">
        <v>277</v>
      </c>
    </row>
    <row r="123" spans="2:10">
      <c r="B123" t="s">
        <v>272</v>
      </c>
      <c r="C123" t="s">
        <v>273</v>
      </c>
      <c r="D123" t="s">
        <v>243</v>
      </c>
      <c r="E123" t="s">
        <v>276</v>
      </c>
      <c r="F123" t="s">
        <v>255</v>
      </c>
      <c r="G123" t="s">
        <v>44</v>
      </c>
      <c r="H123">
        <v>80.5</v>
      </c>
      <c r="I123" t="str">
        <f t="shared" si="1"/>
        <v>Shell Apartment Buildings|DMASVEN|Average</v>
      </c>
      <c r="J123" t="s">
        <v>277</v>
      </c>
    </row>
    <row r="124" spans="2:10">
      <c r="B124" t="s">
        <v>272</v>
      </c>
      <c r="C124" t="s">
        <v>273</v>
      </c>
      <c r="D124" t="s">
        <v>243</v>
      </c>
      <c r="E124" t="s">
        <v>276</v>
      </c>
      <c r="F124" t="s">
        <v>214</v>
      </c>
      <c r="G124" t="s">
        <v>229</v>
      </c>
      <c r="H124">
        <v>100</v>
      </c>
      <c r="I124" t="str">
        <f t="shared" si="1"/>
        <v>Shell Apartment Buildings|D|Good</v>
      </c>
      <c r="J124" t="s">
        <v>277</v>
      </c>
    </row>
    <row r="125" spans="2:10">
      <c r="B125" t="s">
        <v>272</v>
      </c>
      <c r="C125" t="s">
        <v>273</v>
      </c>
      <c r="D125" t="s">
        <v>243</v>
      </c>
      <c r="E125" t="s">
        <v>276</v>
      </c>
      <c r="F125" t="s">
        <v>214</v>
      </c>
      <c r="G125" t="s">
        <v>44</v>
      </c>
      <c r="H125">
        <v>78</v>
      </c>
      <c r="I125" t="str">
        <f t="shared" si="1"/>
        <v>Shell Apartment Buildings|D|Average</v>
      </c>
      <c r="J125" t="s">
        <v>277</v>
      </c>
    </row>
    <row r="126" spans="2:10">
      <c r="B126" t="s">
        <v>272</v>
      </c>
      <c r="C126" t="s">
        <v>273</v>
      </c>
      <c r="D126" t="s">
        <v>243</v>
      </c>
      <c r="E126" t="s">
        <v>276</v>
      </c>
      <c r="F126" t="s">
        <v>214</v>
      </c>
      <c r="G126" t="s">
        <v>226</v>
      </c>
      <c r="H126">
        <v>57.5</v>
      </c>
      <c r="I126" t="str">
        <f t="shared" si="1"/>
        <v>Shell Apartment Buildings|D|Low Cost</v>
      </c>
      <c r="J126" t="s">
        <v>277</v>
      </c>
    </row>
    <row r="127" spans="2:10">
      <c r="B127" t="s">
        <v>272</v>
      </c>
      <c r="C127" t="s">
        <v>273</v>
      </c>
      <c r="D127" t="s">
        <v>243</v>
      </c>
      <c r="E127" t="s">
        <v>276</v>
      </c>
      <c r="F127" t="s">
        <v>219</v>
      </c>
      <c r="G127" t="s">
        <v>229</v>
      </c>
      <c r="H127">
        <v>95.5</v>
      </c>
      <c r="I127" t="str">
        <f t="shared" si="1"/>
        <v>Shell Apartment Buildings|S|Good</v>
      </c>
      <c r="J127" t="s">
        <v>277</v>
      </c>
    </row>
    <row r="128" spans="2:10">
      <c r="B128" t="s">
        <v>272</v>
      </c>
      <c r="C128" t="s">
        <v>273</v>
      </c>
      <c r="D128" t="s">
        <v>243</v>
      </c>
      <c r="E128" t="s">
        <v>276</v>
      </c>
      <c r="F128" t="s">
        <v>219</v>
      </c>
      <c r="G128" t="s">
        <v>44</v>
      </c>
      <c r="H128">
        <v>74.5</v>
      </c>
      <c r="I128" t="str">
        <f t="shared" si="1"/>
        <v>Shell Apartment Buildings|S|Average</v>
      </c>
      <c r="J128" t="s">
        <v>277</v>
      </c>
    </row>
    <row r="129" spans="2:10">
      <c r="B129" t="s">
        <v>278</v>
      </c>
      <c r="C129" t="s">
        <v>279</v>
      </c>
      <c r="D129" t="s">
        <v>243</v>
      </c>
      <c r="E129" t="s">
        <v>280</v>
      </c>
      <c r="F129" t="s">
        <v>202</v>
      </c>
      <c r="G129" t="s">
        <v>231</v>
      </c>
      <c r="H129">
        <v>271</v>
      </c>
      <c r="I129" t="str">
        <f t="shared" si="1"/>
        <v>Hotels, Limited Service|A|Excellent</v>
      </c>
      <c r="J129" t="s">
        <v>281</v>
      </c>
    </row>
    <row r="130" spans="2:10">
      <c r="B130" t="s">
        <v>278</v>
      </c>
      <c r="C130" t="s">
        <v>279</v>
      </c>
      <c r="D130" t="s">
        <v>243</v>
      </c>
      <c r="E130" t="s">
        <v>280</v>
      </c>
      <c r="F130" t="s">
        <v>202</v>
      </c>
      <c r="G130" t="s">
        <v>229</v>
      </c>
      <c r="H130">
        <v>228</v>
      </c>
      <c r="I130" t="str">
        <f t="shared" si="1"/>
        <v>Hotels, Limited Service|A|Good</v>
      </c>
      <c r="J130" t="s">
        <v>281</v>
      </c>
    </row>
    <row r="131" spans="2:10">
      <c r="B131" t="s">
        <v>278</v>
      </c>
      <c r="C131" t="s">
        <v>279</v>
      </c>
      <c r="D131" t="s">
        <v>243</v>
      </c>
      <c r="E131" t="s">
        <v>280</v>
      </c>
      <c r="F131" t="s">
        <v>202</v>
      </c>
      <c r="G131" t="s">
        <v>44</v>
      </c>
      <c r="H131">
        <v>197</v>
      </c>
      <c r="I131" t="str">
        <f t="shared" si="1"/>
        <v>Hotels, Limited Service|A|Average</v>
      </c>
      <c r="J131" t="s">
        <v>281</v>
      </c>
    </row>
    <row r="132" spans="2:10">
      <c r="B132" t="s">
        <v>278</v>
      </c>
      <c r="C132" t="s">
        <v>279</v>
      </c>
      <c r="D132" t="s">
        <v>243</v>
      </c>
      <c r="E132" t="s">
        <v>280</v>
      </c>
      <c r="F132" t="s">
        <v>202</v>
      </c>
      <c r="G132" t="s">
        <v>226</v>
      </c>
      <c r="H132">
        <v>165</v>
      </c>
      <c r="I132" t="str">
        <f t="shared" si="1"/>
        <v>Hotels, Limited Service|A|Low Cost</v>
      </c>
      <c r="J132" t="s">
        <v>281</v>
      </c>
    </row>
    <row r="133" spans="2:10">
      <c r="B133" t="s">
        <v>278</v>
      </c>
      <c r="C133" t="s">
        <v>279</v>
      </c>
      <c r="D133" t="s">
        <v>243</v>
      </c>
      <c r="E133" t="s">
        <v>280</v>
      </c>
      <c r="F133" t="s">
        <v>207</v>
      </c>
      <c r="G133" t="s">
        <v>231</v>
      </c>
      <c r="H133">
        <v>245</v>
      </c>
      <c r="I133" t="str">
        <f t="shared" si="1"/>
        <v>Hotels, Limited Service|B|Excellent</v>
      </c>
      <c r="J133" t="s">
        <v>281</v>
      </c>
    </row>
    <row r="134" spans="2:10">
      <c r="B134" t="s">
        <v>278</v>
      </c>
      <c r="C134" t="s">
        <v>279</v>
      </c>
      <c r="D134" t="s">
        <v>243</v>
      </c>
      <c r="E134" t="s">
        <v>280</v>
      </c>
      <c r="F134" t="s">
        <v>207</v>
      </c>
      <c r="G134" t="s">
        <v>229</v>
      </c>
      <c r="H134">
        <v>205</v>
      </c>
      <c r="I134" t="str">
        <f t="shared" si="1"/>
        <v>Hotels, Limited Service|B|Good</v>
      </c>
      <c r="J134" t="s">
        <v>281</v>
      </c>
    </row>
    <row r="135" spans="2:10">
      <c r="B135" t="s">
        <v>278</v>
      </c>
      <c r="C135" t="s">
        <v>279</v>
      </c>
      <c r="D135" t="s">
        <v>243</v>
      </c>
      <c r="E135" t="s">
        <v>280</v>
      </c>
      <c r="F135" t="s">
        <v>207</v>
      </c>
      <c r="G135" t="s">
        <v>44</v>
      </c>
      <c r="H135">
        <v>177</v>
      </c>
      <c r="I135" t="str">
        <f t="shared" si="1"/>
        <v>Hotels, Limited Service|B|Average</v>
      </c>
      <c r="J135" t="s">
        <v>281</v>
      </c>
    </row>
    <row r="136" spans="2:10">
      <c r="B136" t="s">
        <v>278</v>
      </c>
      <c r="C136" t="s">
        <v>279</v>
      </c>
      <c r="D136" t="s">
        <v>243</v>
      </c>
      <c r="E136" t="s">
        <v>280</v>
      </c>
      <c r="F136" t="s">
        <v>207</v>
      </c>
      <c r="G136" t="s">
        <v>226</v>
      </c>
      <c r="H136">
        <v>147</v>
      </c>
      <c r="I136" t="str">
        <f t="shared" si="1"/>
        <v>Hotels, Limited Service|B|Low Cost</v>
      </c>
      <c r="J136" t="s">
        <v>281</v>
      </c>
    </row>
    <row r="137" spans="2:10">
      <c r="B137" t="s">
        <v>278</v>
      </c>
      <c r="C137" t="s">
        <v>279</v>
      </c>
      <c r="D137" t="s">
        <v>243</v>
      </c>
      <c r="E137" t="s">
        <v>280</v>
      </c>
      <c r="F137" t="s">
        <v>209</v>
      </c>
      <c r="G137" t="s">
        <v>231</v>
      </c>
      <c r="H137">
        <v>222</v>
      </c>
      <c r="I137" t="str">
        <f t="shared" si="1"/>
        <v>Hotels, Limited Service|C|Excellent</v>
      </c>
      <c r="J137" t="s">
        <v>281</v>
      </c>
    </row>
    <row r="138" spans="2:10">
      <c r="B138" t="s">
        <v>278</v>
      </c>
      <c r="C138" t="s">
        <v>279</v>
      </c>
      <c r="D138" t="s">
        <v>243</v>
      </c>
      <c r="E138" t="s">
        <v>280</v>
      </c>
      <c r="F138" t="s">
        <v>209</v>
      </c>
      <c r="G138" t="s">
        <v>229</v>
      </c>
      <c r="H138">
        <v>183</v>
      </c>
      <c r="I138" t="str">
        <f t="shared" si="1"/>
        <v>Hotels, Limited Service|C|Good</v>
      </c>
      <c r="J138" t="s">
        <v>281</v>
      </c>
    </row>
    <row r="139" spans="2:10">
      <c r="B139" t="s">
        <v>278</v>
      </c>
      <c r="C139" t="s">
        <v>279</v>
      </c>
      <c r="D139" t="s">
        <v>243</v>
      </c>
      <c r="E139" t="s">
        <v>280</v>
      </c>
      <c r="F139" t="s">
        <v>209</v>
      </c>
      <c r="G139" t="s">
        <v>44</v>
      </c>
      <c r="H139">
        <v>145</v>
      </c>
      <c r="I139" t="str">
        <f t="shared" si="1"/>
        <v>Hotels, Limited Service|C|Average</v>
      </c>
      <c r="J139" t="s">
        <v>281</v>
      </c>
    </row>
    <row r="140" spans="2:10">
      <c r="B140" t="s">
        <v>278</v>
      </c>
      <c r="C140" t="s">
        <v>279</v>
      </c>
      <c r="D140" t="s">
        <v>243</v>
      </c>
      <c r="E140" t="s">
        <v>280</v>
      </c>
      <c r="F140" t="s">
        <v>209</v>
      </c>
      <c r="G140" t="s">
        <v>226</v>
      </c>
      <c r="H140">
        <v>121</v>
      </c>
      <c r="I140" t="str">
        <f t="shared" si="1"/>
        <v>Hotels, Limited Service|C|Low Cost</v>
      </c>
      <c r="J140" t="s">
        <v>281</v>
      </c>
    </row>
    <row r="141" spans="2:10">
      <c r="B141" t="s">
        <v>278</v>
      </c>
      <c r="C141" t="s">
        <v>279</v>
      </c>
      <c r="D141" t="s">
        <v>243</v>
      </c>
      <c r="E141" t="s">
        <v>280</v>
      </c>
      <c r="F141" t="s">
        <v>214</v>
      </c>
      <c r="G141" t="s">
        <v>229</v>
      </c>
      <c r="H141">
        <v>174</v>
      </c>
      <c r="I141" t="str">
        <f t="shared" si="1"/>
        <v>Hotels, Limited Service|D|Good</v>
      </c>
      <c r="J141" t="s">
        <v>281</v>
      </c>
    </row>
    <row r="142" spans="2:10">
      <c r="B142" t="s">
        <v>278</v>
      </c>
      <c r="C142" t="s">
        <v>279</v>
      </c>
      <c r="D142" t="s">
        <v>243</v>
      </c>
      <c r="E142" t="s">
        <v>280</v>
      </c>
      <c r="F142" t="s">
        <v>214</v>
      </c>
      <c r="G142" t="s">
        <v>44</v>
      </c>
      <c r="H142">
        <v>137</v>
      </c>
      <c r="I142" t="str">
        <f t="shared" si="1"/>
        <v>Hotels, Limited Service|D|Average</v>
      </c>
      <c r="J142" t="s">
        <v>281</v>
      </c>
    </row>
    <row r="143" spans="2:10">
      <c r="B143" t="s">
        <v>278</v>
      </c>
      <c r="C143" t="s">
        <v>279</v>
      </c>
      <c r="D143" t="s">
        <v>243</v>
      </c>
      <c r="E143" t="s">
        <v>280</v>
      </c>
      <c r="F143" t="s">
        <v>214</v>
      </c>
      <c r="G143" t="s">
        <v>226</v>
      </c>
      <c r="H143">
        <v>114</v>
      </c>
      <c r="I143" t="str">
        <f t="shared" si="1"/>
        <v>Hotels, Limited Service|D|Low Cost</v>
      </c>
      <c r="J143" t="s">
        <v>281</v>
      </c>
    </row>
    <row r="144" spans="2:10">
      <c r="B144" t="s">
        <v>278</v>
      </c>
      <c r="C144" t="s">
        <v>279</v>
      </c>
      <c r="D144" t="s">
        <v>243</v>
      </c>
      <c r="E144" t="s">
        <v>280</v>
      </c>
      <c r="F144" t="s">
        <v>219</v>
      </c>
      <c r="G144" t="s">
        <v>44</v>
      </c>
      <c r="H144">
        <v>135</v>
      </c>
      <c r="I144" t="str">
        <f t="shared" si="1"/>
        <v>Hotels, Limited Service|S|Average</v>
      </c>
      <c r="J144" t="s">
        <v>281</v>
      </c>
    </row>
    <row r="145" spans="2:10">
      <c r="B145" t="s">
        <v>282</v>
      </c>
      <c r="C145" t="s">
        <v>283</v>
      </c>
      <c r="D145" t="s">
        <v>243</v>
      </c>
      <c r="E145" t="s">
        <v>284</v>
      </c>
      <c r="F145" t="s">
        <v>202</v>
      </c>
      <c r="G145" t="s">
        <v>231</v>
      </c>
      <c r="H145">
        <v>162</v>
      </c>
      <c r="I145" t="str">
        <f t="shared" si="1"/>
        <v>Shell Hotels: Limited Service Buildings|A|Excellent</v>
      </c>
      <c r="J145" t="s">
        <v>285</v>
      </c>
    </row>
    <row r="146" spans="2:10">
      <c r="B146" t="s">
        <v>282</v>
      </c>
      <c r="C146" t="s">
        <v>283</v>
      </c>
      <c r="D146" t="s">
        <v>243</v>
      </c>
      <c r="E146" t="s">
        <v>284</v>
      </c>
      <c r="F146" t="s">
        <v>202</v>
      </c>
      <c r="G146" t="s">
        <v>229</v>
      </c>
      <c r="H146">
        <v>141</v>
      </c>
      <c r="I146" t="str">
        <f t="shared" si="1"/>
        <v>Shell Hotels: Limited Service Buildings|A|Good</v>
      </c>
      <c r="J146" t="s">
        <v>285</v>
      </c>
    </row>
    <row r="147" spans="2:10">
      <c r="B147" t="s">
        <v>282</v>
      </c>
      <c r="C147" t="s">
        <v>283</v>
      </c>
      <c r="D147" t="s">
        <v>243</v>
      </c>
      <c r="E147" t="s">
        <v>284</v>
      </c>
      <c r="F147" t="s">
        <v>202</v>
      </c>
      <c r="G147" t="s">
        <v>44</v>
      </c>
      <c r="H147">
        <v>123</v>
      </c>
      <c r="I147" t="str">
        <f t="shared" si="1"/>
        <v>Shell Hotels: Limited Service Buildings|A|Average</v>
      </c>
      <c r="J147" t="s">
        <v>285</v>
      </c>
    </row>
    <row r="148" spans="2:10">
      <c r="B148" t="s">
        <v>282</v>
      </c>
      <c r="C148" t="s">
        <v>283</v>
      </c>
      <c r="D148" t="s">
        <v>243</v>
      </c>
      <c r="E148" t="s">
        <v>284</v>
      </c>
      <c r="F148" t="s">
        <v>202</v>
      </c>
      <c r="G148" t="s">
        <v>226</v>
      </c>
      <c r="H148">
        <v>107</v>
      </c>
      <c r="I148" t="str">
        <f t="shared" si="1"/>
        <v>Shell Hotels: Limited Service Buildings|A|Low Cost</v>
      </c>
      <c r="J148" t="s">
        <v>285</v>
      </c>
    </row>
    <row r="149" spans="2:10">
      <c r="B149" t="s">
        <v>282</v>
      </c>
      <c r="C149" t="s">
        <v>283</v>
      </c>
      <c r="D149" t="s">
        <v>243</v>
      </c>
      <c r="E149" t="s">
        <v>284</v>
      </c>
      <c r="F149" t="s">
        <v>207</v>
      </c>
      <c r="G149" t="s">
        <v>231</v>
      </c>
      <c r="H149">
        <v>144</v>
      </c>
      <c r="I149" t="str">
        <f t="shared" si="1"/>
        <v>Shell Hotels: Limited Service Buildings|B|Excellent</v>
      </c>
      <c r="J149" t="s">
        <v>285</v>
      </c>
    </row>
    <row r="150" spans="2:10">
      <c r="B150" t="s">
        <v>282</v>
      </c>
      <c r="C150" t="s">
        <v>283</v>
      </c>
      <c r="D150" t="s">
        <v>243</v>
      </c>
      <c r="E150" t="s">
        <v>284</v>
      </c>
      <c r="F150" t="s">
        <v>207</v>
      </c>
      <c r="G150" t="s">
        <v>229</v>
      </c>
      <c r="H150">
        <v>124</v>
      </c>
      <c r="I150" t="str">
        <f t="shared" si="1"/>
        <v>Shell Hotels: Limited Service Buildings|B|Good</v>
      </c>
      <c r="J150" t="s">
        <v>285</v>
      </c>
    </row>
    <row r="151" spans="2:10">
      <c r="B151" t="s">
        <v>282</v>
      </c>
      <c r="C151" t="s">
        <v>283</v>
      </c>
      <c r="D151" t="s">
        <v>243</v>
      </c>
      <c r="E151" t="s">
        <v>284</v>
      </c>
      <c r="F151" t="s">
        <v>207</v>
      </c>
      <c r="G151" t="s">
        <v>44</v>
      </c>
      <c r="H151">
        <v>108</v>
      </c>
      <c r="I151" t="str">
        <f t="shared" si="1"/>
        <v>Shell Hotels: Limited Service Buildings|B|Average</v>
      </c>
      <c r="J151" t="s">
        <v>285</v>
      </c>
    </row>
    <row r="152" spans="2:10">
      <c r="B152" t="s">
        <v>282</v>
      </c>
      <c r="C152" t="s">
        <v>283</v>
      </c>
      <c r="D152" t="s">
        <v>243</v>
      </c>
      <c r="E152" t="s">
        <v>284</v>
      </c>
      <c r="F152" t="s">
        <v>207</v>
      </c>
      <c r="G152" t="s">
        <v>226</v>
      </c>
      <c r="H152">
        <v>94</v>
      </c>
      <c r="I152" t="str">
        <f t="shared" si="1"/>
        <v>Shell Hotels: Limited Service Buildings|B|Low Cost</v>
      </c>
      <c r="J152" t="s">
        <v>285</v>
      </c>
    </row>
    <row r="153" spans="2:10">
      <c r="B153" t="s">
        <v>282</v>
      </c>
      <c r="C153" t="s">
        <v>283</v>
      </c>
      <c r="D153" t="s">
        <v>243</v>
      </c>
      <c r="E153" t="s">
        <v>286</v>
      </c>
      <c r="F153" t="s">
        <v>209</v>
      </c>
      <c r="G153" t="s">
        <v>231</v>
      </c>
      <c r="H153">
        <v>138</v>
      </c>
      <c r="I153" t="str">
        <f t="shared" si="1"/>
        <v>Shell Hotels: Limited Service Buildings|C|Excellent</v>
      </c>
      <c r="J153" t="s">
        <v>287</v>
      </c>
    </row>
    <row r="154" spans="2:10">
      <c r="B154" t="s">
        <v>282</v>
      </c>
      <c r="C154" t="s">
        <v>283</v>
      </c>
      <c r="D154" t="s">
        <v>243</v>
      </c>
      <c r="E154" t="s">
        <v>286</v>
      </c>
      <c r="F154" t="s">
        <v>209</v>
      </c>
      <c r="G154" t="s">
        <v>229</v>
      </c>
      <c r="H154">
        <v>114</v>
      </c>
      <c r="I154" t="str">
        <f t="shared" si="1"/>
        <v>Shell Hotels: Limited Service Buildings|C|Good</v>
      </c>
      <c r="J154" t="s">
        <v>287</v>
      </c>
    </row>
    <row r="155" spans="2:10">
      <c r="B155" t="s">
        <v>282</v>
      </c>
      <c r="C155" t="s">
        <v>283</v>
      </c>
      <c r="D155" t="s">
        <v>243</v>
      </c>
      <c r="E155" t="s">
        <v>286</v>
      </c>
      <c r="F155" t="s">
        <v>209</v>
      </c>
      <c r="G155" t="s">
        <v>44</v>
      </c>
      <c r="H155">
        <v>93.5</v>
      </c>
      <c r="I155" t="str">
        <f t="shared" si="1"/>
        <v>Shell Hotels: Limited Service Buildings|C|Average</v>
      </c>
      <c r="J155" t="s">
        <v>287</v>
      </c>
    </row>
    <row r="156" spans="2:10">
      <c r="B156" t="s">
        <v>282</v>
      </c>
      <c r="C156" t="s">
        <v>283</v>
      </c>
      <c r="D156" t="s">
        <v>243</v>
      </c>
      <c r="E156" t="s">
        <v>286</v>
      </c>
      <c r="F156" t="s">
        <v>209</v>
      </c>
      <c r="G156" t="s">
        <v>226</v>
      </c>
      <c r="H156">
        <v>77.5</v>
      </c>
      <c r="I156" t="str">
        <f t="shared" si="1"/>
        <v>Shell Hotels: Limited Service Buildings|C|Low Cost</v>
      </c>
      <c r="J156" t="s">
        <v>287</v>
      </c>
    </row>
    <row r="157" spans="2:10">
      <c r="B157" t="s">
        <v>282</v>
      </c>
      <c r="C157" t="s">
        <v>283</v>
      </c>
      <c r="D157" t="s">
        <v>243</v>
      </c>
      <c r="E157" t="s">
        <v>286</v>
      </c>
      <c r="F157" t="s">
        <v>214</v>
      </c>
      <c r="G157" t="s">
        <v>229</v>
      </c>
      <c r="H157">
        <v>105</v>
      </c>
      <c r="I157" t="str">
        <f t="shared" si="1"/>
        <v>Shell Hotels: Limited Service Buildings|D|Good</v>
      </c>
      <c r="J157" t="s">
        <v>287</v>
      </c>
    </row>
    <row r="158" spans="2:10">
      <c r="B158" t="s">
        <v>282</v>
      </c>
      <c r="C158" t="s">
        <v>283</v>
      </c>
      <c r="D158" t="s">
        <v>243</v>
      </c>
      <c r="E158" t="s">
        <v>286</v>
      </c>
      <c r="F158" t="s">
        <v>214</v>
      </c>
      <c r="G158" t="s">
        <v>44</v>
      </c>
      <c r="H158">
        <v>86.5</v>
      </c>
      <c r="I158" t="str">
        <f t="shared" ref="I158:I221" si="2">B158&amp;"|"&amp;F158&amp;"|"&amp;G158</f>
        <v>Shell Hotels: Limited Service Buildings|D|Average</v>
      </c>
      <c r="J158" t="s">
        <v>287</v>
      </c>
    </row>
    <row r="159" spans="2:10">
      <c r="B159" t="s">
        <v>282</v>
      </c>
      <c r="C159" t="s">
        <v>283</v>
      </c>
      <c r="D159" t="s">
        <v>243</v>
      </c>
      <c r="E159" t="s">
        <v>286</v>
      </c>
      <c r="F159" t="s">
        <v>214</v>
      </c>
      <c r="G159" t="s">
        <v>226</v>
      </c>
      <c r="H159">
        <v>71</v>
      </c>
      <c r="I159" t="str">
        <f t="shared" si="2"/>
        <v>Shell Hotels: Limited Service Buildings|D|Low Cost</v>
      </c>
      <c r="J159" t="s">
        <v>287</v>
      </c>
    </row>
    <row r="160" spans="2:10">
      <c r="B160" t="s">
        <v>282</v>
      </c>
      <c r="C160" t="s">
        <v>283</v>
      </c>
      <c r="D160" t="s">
        <v>243</v>
      </c>
      <c r="E160" t="s">
        <v>286</v>
      </c>
      <c r="F160" t="s">
        <v>219</v>
      </c>
      <c r="G160" t="s">
        <v>44</v>
      </c>
      <c r="H160">
        <v>84.5</v>
      </c>
      <c r="I160" t="str">
        <f t="shared" si="2"/>
        <v>Shell Hotels: Limited Service Buildings|S|Average</v>
      </c>
      <c r="J160" t="s">
        <v>287</v>
      </c>
    </row>
    <row r="161" spans="2:10">
      <c r="B161" t="s">
        <v>288</v>
      </c>
      <c r="C161" t="s">
        <v>289</v>
      </c>
      <c r="D161" t="s">
        <v>243</v>
      </c>
      <c r="E161" t="s">
        <v>290</v>
      </c>
      <c r="F161" t="s">
        <v>202</v>
      </c>
      <c r="G161" t="s">
        <v>231</v>
      </c>
      <c r="H161">
        <v>380</v>
      </c>
      <c r="I161" t="str">
        <f t="shared" si="2"/>
        <v>Hotels, Full Service|A|Excellent</v>
      </c>
      <c r="J161" t="s">
        <v>291</v>
      </c>
    </row>
    <row r="162" spans="2:10">
      <c r="B162" t="s">
        <v>288</v>
      </c>
      <c r="C162" t="s">
        <v>289</v>
      </c>
      <c r="D162" t="s">
        <v>243</v>
      </c>
      <c r="E162" t="s">
        <v>290</v>
      </c>
      <c r="F162" t="s">
        <v>202</v>
      </c>
      <c r="G162" t="s">
        <v>229</v>
      </c>
      <c r="H162">
        <v>310</v>
      </c>
      <c r="I162" t="str">
        <f t="shared" si="2"/>
        <v>Hotels, Full Service|A|Good</v>
      </c>
      <c r="J162" t="s">
        <v>291</v>
      </c>
    </row>
    <row r="163" spans="2:10">
      <c r="B163" t="s">
        <v>288</v>
      </c>
      <c r="C163" t="s">
        <v>289</v>
      </c>
      <c r="D163" t="s">
        <v>243</v>
      </c>
      <c r="E163" t="s">
        <v>290</v>
      </c>
      <c r="F163" t="s">
        <v>202</v>
      </c>
      <c r="G163" t="s">
        <v>44</v>
      </c>
      <c r="H163">
        <v>244</v>
      </c>
      <c r="I163" t="str">
        <f t="shared" si="2"/>
        <v>Hotels, Full Service|A|Average</v>
      </c>
      <c r="J163" t="s">
        <v>291</v>
      </c>
    </row>
    <row r="164" spans="2:10">
      <c r="B164" t="s">
        <v>288</v>
      </c>
      <c r="C164" t="s">
        <v>289</v>
      </c>
      <c r="D164" t="s">
        <v>243</v>
      </c>
      <c r="E164" t="s">
        <v>290</v>
      </c>
      <c r="F164" t="s">
        <v>202</v>
      </c>
      <c r="G164" t="s">
        <v>226</v>
      </c>
      <c r="H164">
        <v>194</v>
      </c>
      <c r="I164" t="str">
        <f t="shared" si="2"/>
        <v>Hotels, Full Service|A|Low Cost</v>
      </c>
      <c r="J164" t="s">
        <v>291</v>
      </c>
    </row>
    <row r="165" spans="2:10">
      <c r="B165" t="s">
        <v>288</v>
      </c>
      <c r="C165" t="s">
        <v>289</v>
      </c>
      <c r="D165" t="s">
        <v>243</v>
      </c>
      <c r="E165" t="s">
        <v>290</v>
      </c>
      <c r="F165" t="s">
        <v>207</v>
      </c>
      <c r="G165" t="s">
        <v>231</v>
      </c>
      <c r="H165">
        <v>343</v>
      </c>
      <c r="I165" t="str">
        <f t="shared" si="2"/>
        <v>Hotels, Full Service|B|Excellent</v>
      </c>
      <c r="J165" t="s">
        <v>291</v>
      </c>
    </row>
    <row r="166" spans="2:10">
      <c r="B166" t="s">
        <v>288</v>
      </c>
      <c r="C166" t="s">
        <v>289</v>
      </c>
      <c r="D166" t="s">
        <v>243</v>
      </c>
      <c r="E166" t="s">
        <v>290</v>
      </c>
      <c r="F166" t="s">
        <v>207</v>
      </c>
      <c r="G166" t="s">
        <v>229</v>
      </c>
      <c r="H166">
        <v>280</v>
      </c>
      <c r="I166" t="str">
        <f t="shared" si="2"/>
        <v>Hotels, Full Service|B|Good</v>
      </c>
      <c r="J166" t="s">
        <v>291</v>
      </c>
    </row>
    <row r="167" spans="2:10">
      <c r="B167" t="s">
        <v>288</v>
      </c>
      <c r="C167" t="s">
        <v>289</v>
      </c>
      <c r="D167" t="s">
        <v>243</v>
      </c>
      <c r="E167" t="s">
        <v>290</v>
      </c>
      <c r="F167" t="s">
        <v>207</v>
      </c>
      <c r="G167" t="s">
        <v>44</v>
      </c>
      <c r="H167">
        <v>219</v>
      </c>
      <c r="I167" t="str">
        <f t="shared" si="2"/>
        <v>Hotels, Full Service|B|Average</v>
      </c>
      <c r="J167" t="s">
        <v>291</v>
      </c>
    </row>
    <row r="168" spans="2:10">
      <c r="B168" t="s">
        <v>288</v>
      </c>
      <c r="C168" t="s">
        <v>289</v>
      </c>
      <c r="D168" t="s">
        <v>243</v>
      </c>
      <c r="E168" t="s">
        <v>290</v>
      </c>
      <c r="F168" t="s">
        <v>207</v>
      </c>
      <c r="G168" t="s">
        <v>226</v>
      </c>
      <c r="H168">
        <v>173</v>
      </c>
      <c r="I168" t="str">
        <f t="shared" si="2"/>
        <v>Hotels, Full Service|B|Low Cost</v>
      </c>
      <c r="J168" t="s">
        <v>291</v>
      </c>
    </row>
    <row r="169" spans="2:10">
      <c r="B169" t="s">
        <v>288</v>
      </c>
      <c r="C169" t="s">
        <v>289</v>
      </c>
      <c r="D169" t="s">
        <v>243</v>
      </c>
      <c r="E169" t="s">
        <v>290</v>
      </c>
      <c r="F169" t="s">
        <v>209</v>
      </c>
      <c r="G169" t="s">
        <v>231</v>
      </c>
      <c r="H169">
        <v>281</v>
      </c>
      <c r="I169" t="str">
        <f t="shared" si="2"/>
        <v>Hotels, Full Service|C|Excellent</v>
      </c>
      <c r="J169" t="s">
        <v>291</v>
      </c>
    </row>
    <row r="170" spans="2:10">
      <c r="B170" t="s">
        <v>288</v>
      </c>
      <c r="C170" t="s">
        <v>289</v>
      </c>
      <c r="D170" t="s">
        <v>243</v>
      </c>
      <c r="E170" t="s">
        <v>290</v>
      </c>
      <c r="F170" t="s">
        <v>209</v>
      </c>
      <c r="G170" t="s">
        <v>229</v>
      </c>
      <c r="H170">
        <v>228</v>
      </c>
      <c r="I170" t="str">
        <f t="shared" si="2"/>
        <v>Hotels, Full Service|C|Good</v>
      </c>
      <c r="J170" t="s">
        <v>291</v>
      </c>
    </row>
    <row r="171" spans="2:10">
      <c r="B171" t="s">
        <v>288</v>
      </c>
      <c r="C171" t="s">
        <v>289</v>
      </c>
      <c r="D171" t="s">
        <v>243</v>
      </c>
      <c r="E171" t="s">
        <v>290</v>
      </c>
      <c r="F171" t="s">
        <v>209</v>
      </c>
      <c r="G171" t="s">
        <v>44</v>
      </c>
      <c r="H171">
        <v>191</v>
      </c>
      <c r="I171" t="str">
        <f t="shared" si="2"/>
        <v>Hotels, Full Service|C|Average</v>
      </c>
      <c r="J171" t="s">
        <v>291</v>
      </c>
    </row>
    <row r="172" spans="2:10">
      <c r="B172" t="s">
        <v>288</v>
      </c>
      <c r="C172" t="s">
        <v>289</v>
      </c>
      <c r="D172" t="s">
        <v>243</v>
      </c>
      <c r="E172" t="s">
        <v>290</v>
      </c>
      <c r="F172" t="s">
        <v>209</v>
      </c>
      <c r="G172" t="s">
        <v>226</v>
      </c>
      <c r="H172">
        <v>154</v>
      </c>
      <c r="I172" t="str">
        <f t="shared" si="2"/>
        <v>Hotels, Full Service|C|Low Cost</v>
      </c>
      <c r="J172" t="s">
        <v>291</v>
      </c>
    </row>
    <row r="173" spans="2:10">
      <c r="B173" t="s">
        <v>288</v>
      </c>
      <c r="C173" t="s">
        <v>289</v>
      </c>
      <c r="D173" t="s">
        <v>243</v>
      </c>
      <c r="E173" t="s">
        <v>290</v>
      </c>
      <c r="F173" t="s">
        <v>214</v>
      </c>
      <c r="G173" t="s">
        <v>231</v>
      </c>
      <c r="H173">
        <v>268</v>
      </c>
      <c r="I173" t="str">
        <f t="shared" si="2"/>
        <v>Hotels, Full Service|D|Excellent</v>
      </c>
      <c r="J173" t="s">
        <v>291</v>
      </c>
    </row>
    <row r="174" spans="2:10">
      <c r="B174" t="s">
        <v>288</v>
      </c>
      <c r="C174" t="s">
        <v>289</v>
      </c>
      <c r="D174" t="s">
        <v>243</v>
      </c>
      <c r="E174" t="s">
        <v>290</v>
      </c>
      <c r="F174" t="s">
        <v>214</v>
      </c>
      <c r="G174" t="s">
        <v>229</v>
      </c>
      <c r="H174">
        <v>216</v>
      </c>
      <c r="I174" t="str">
        <f t="shared" si="2"/>
        <v>Hotels, Full Service|D|Good</v>
      </c>
      <c r="J174" t="s">
        <v>291</v>
      </c>
    </row>
    <row r="175" spans="2:10">
      <c r="B175" t="s">
        <v>288</v>
      </c>
      <c r="C175" t="s">
        <v>289</v>
      </c>
      <c r="D175" t="s">
        <v>243</v>
      </c>
      <c r="E175" t="s">
        <v>290</v>
      </c>
      <c r="F175" t="s">
        <v>214</v>
      </c>
      <c r="G175" t="s">
        <v>44</v>
      </c>
      <c r="H175">
        <v>180</v>
      </c>
      <c r="I175" t="str">
        <f t="shared" si="2"/>
        <v>Hotels, Full Service|D|Average</v>
      </c>
      <c r="J175" t="s">
        <v>291</v>
      </c>
    </row>
    <row r="176" spans="2:10">
      <c r="B176" t="s">
        <v>288</v>
      </c>
      <c r="C176" t="s">
        <v>289</v>
      </c>
      <c r="D176" t="s">
        <v>243</v>
      </c>
      <c r="E176" t="s">
        <v>290</v>
      </c>
      <c r="F176" t="s">
        <v>214</v>
      </c>
      <c r="G176" t="s">
        <v>226</v>
      </c>
      <c r="H176">
        <v>144</v>
      </c>
      <c r="I176" t="str">
        <f t="shared" si="2"/>
        <v>Hotels, Full Service|D|Low Cost</v>
      </c>
      <c r="J176" t="s">
        <v>291</v>
      </c>
    </row>
    <row r="177" spans="2:10">
      <c r="B177" t="s">
        <v>292</v>
      </c>
      <c r="C177" t="s">
        <v>293</v>
      </c>
      <c r="D177" t="s">
        <v>243</v>
      </c>
      <c r="E177" t="s">
        <v>294</v>
      </c>
      <c r="F177" t="s">
        <v>202</v>
      </c>
      <c r="G177" t="s">
        <v>231</v>
      </c>
      <c r="H177">
        <v>210</v>
      </c>
      <c r="I177" t="str">
        <f t="shared" si="2"/>
        <v>Shell Hotels: Full Service Buildings|A|Excellent</v>
      </c>
      <c r="J177" t="s">
        <v>295</v>
      </c>
    </row>
    <row r="178" spans="2:10">
      <c r="B178" t="s">
        <v>292</v>
      </c>
      <c r="C178" t="s">
        <v>293</v>
      </c>
      <c r="D178" t="s">
        <v>243</v>
      </c>
      <c r="E178" t="s">
        <v>294</v>
      </c>
      <c r="F178" t="s">
        <v>202</v>
      </c>
      <c r="G178" t="s">
        <v>229</v>
      </c>
      <c r="H178">
        <v>168</v>
      </c>
      <c r="I178" t="str">
        <f t="shared" si="2"/>
        <v>Shell Hotels: Full Service Buildings|A|Good</v>
      </c>
      <c r="J178" t="s">
        <v>295</v>
      </c>
    </row>
    <row r="179" spans="2:10">
      <c r="B179" t="s">
        <v>292</v>
      </c>
      <c r="C179" t="s">
        <v>293</v>
      </c>
      <c r="D179" t="s">
        <v>243</v>
      </c>
      <c r="E179" t="s">
        <v>294</v>
      </c>
      <c r="F179" t="s">
        <v>202</v>
      </c>
      <c r="G179" t="s">
        <v>44</v>
      </c>
      <c r="H179">
        <v>135</v>
      </c>
      <c r="I179" t="str">
        <f t="shared" si="2"/>
        <v>Shell Hotels: Full Service Buildings|A|Average</v>
      </c>
      <c r="J179" t="s">
        <v>295</v>
      </c>
    </row>
    <row r="180" spans="2:10">
      <c r="B180" t="s">
        <v>292</v>
      </c>
      <c r="C180" t="s">
        <v>293</v>
      </c>
      <c r="D180" t="s">
        <v>243</v>
      </c>
      <c r="E180" t="s">
        <v>294</v>
      </c>
      <c r="F180" t="s">
        <v>202</v>
      </c>
      <c r="G180" t="s">
        <v>226</v>
      </c>
      <c r="H180">
        <v>108</v>
      </c>
      <c r="I180" t="str">
        <f t="shared" si="2"/>
        <v>Shell Hotels: Full Service Buildings|A|Low Cost</v>
      </c>
      <c r="J180" t="s">
        <v>295</v>
      </c>
    </row>
    <row r="181" spans="2:10">
      <c r="B181" t="s">
        <v>292</v>
      </c>
      <c r="C181" t="s">
        <v>293</v>
      </c>
      <c r="D181" t="s">
        <v>243</v>
      </c>
      <c r="E181" t="s">
        <v>294</v>
      </c>
      <c r="F181" t="s">
        <v>207</v>
      </c>
      <c r="G181" t="s">
        <v>231</v>
      </c>
      <c r="H181">
        <v>186</v>
      </c>
      <c r="I181" t="str">
        <f t="shared" si="2"/>
        <v>Shell Hotels: Full Service Buildings|B|Excellent</v>
      </c>
      <c r="J181" t="s">
        <v>295</v>
      </c>
    </row>
    <row r="182" spans="2:10">
      <c r="B182" t="s">
        <v>292</v>
      </c>
      <c r="C182" t="s">
        <v>293</v>
      </c>
      <c r="D182" t="s">
        <v>243</v>
      </c>
      <c r="E182" t="s">
        <v>294</v>
      </c>
      <c r="F182" t="s">
        <v>207</v>
      </c>
      <c r="G182" t="s">
        <v>229</v>
      </c>
      <c r="H182">
        <v>148</v>
      </c>
      <c r="I182" t="str">
        <f t="shared" si="2"/>
        <v>Shell Hotels: Full Service Buildings|B|Good</v>
      </c>
      <c r="J182" t="s">
        <v>295</v>
      </c>
    </row>
    <row r="183" spans="2:10">
      <c r="B183" t="s">
        <v>292</v>
      </c>
      <c r="C183" t="s">
        <v>293</v>
      </c>
      <c r="D183" t="s">
        <v>243</v>
      </c>
      <c r="E183" t="s">
        <v>294</v>
      </c>
      <c r="F183" t="s">
        <v>207</v>
      </c>
      <c r="G183" t="s">
        <v>44</v>
      </c>
      <c r="H183">
        <v>118</v>
      </c>
      <c r="I183" t="str">
        <f t="shared" si="2"/>
        <v>Shell Hotels: Full Service Buildings|B|Average</v>
      </c>
      <c r="J183" t="s">
        <v>295</v>
      </c>
    </row>
    <row r="184" spans="2:10">
      <c r="B184" t="s">
        <v>292</v>
      </c>
      <c r="C184" t="s">
        <v>293</v>
      </c>
      <c r="D184" t="s">
        <v>243</v>
      </c>
      <c r="E184" t="s">
        <v>294</v>
      </c>
      <c r="F184" t="s">
        <v>207</v>
      </c>
      <c r="G184" t="s">
        <v>226</v>
      </c>
      <c r="H184">
        <v>94.5</v>
      </c>
      <c r="I184" t="str">
        <f t="shared" si="2"/>
        <v>Shell Hotels: Full Service Buildings|B|Low Cost</v>
      </c>
      <c r="J184" t="s">
        <v>295</v>
      </c>
    </row>
    <row r="185" spans="2:10">
      <c r="B185" t="s">
        <v>292</v>
      </c>
      <c r="C185" t="s">
        <v>293</v>
      </c>
      <c r="D185" t="s">
        <v>243</v>
      </c>
      <c r="E185" t="s">
        <v>296</v>
      </c>
      <c r="F185" t="s">
        <v>209</v>
      </c>
      <c r="G185" t="s">
        <v>231</v>
      </c>
      <c r="H185">
        <v>151</v>
      </c>
      <c r="I185" t="str">
        <f t="shared" si="2"/>
        <v>Shell Hotels: Full Service Buildings|C|Excellent</v>
      </c>
      <c r="J185" t="s">
        <v>297</v>
      </c>
    </row>
    <row r="186" spans="2:10">
      <c r="B186" t="s">
        <v>292</v>
      </c>
      <c r="C186" t="s">
        <v>293</v>
      </c>
      <c r="D186" t="s">
        <v>243</v>
      </c>
      <c r="E186" t="s">
        <v>296</v>
      </c>
      <c r="F186" t="s">
        <v>209</v>
      </c>
      <c r="G186" t="s">
        <v>229</v>
      </c>
      <c r="H186">
        <v>126</v>
      </c>
      <c r="I186" t="str">
        <f t="shared" si="2"/>
        <v>Shell Hotels: Full Service Buildings|C|Good</v>
      </c>
      <c r="J186" t="s">
        <v>297</v>
      </c>
    </row>
    <row r="187" spans="2:10">
      <c r="B187" t="s">
        <v>292</v>
      </c>
      <c r="C187" t="s">
        <v>293</v>
      </c>
      <c r="D187" t="s">
        <v>243</v>
      </c>
      <c r="E187" t="s">
        <v>296</v>
      </c>
      <c r="F187" t="s">
        <v>209</v>
      </c>
      <c r="G187" t="s">
        <v>44</v>
      </c>
      <c r="H187">
        <v>106</v>
      </c>
      <c r="I187" t="str">
        <f t="shared" si="2"/>
        <v>Shell Hotels: Full Service Buildings|C|Average</v>
      </c>
      <c r="J187" t="s">
        <v>297</v>
      </c>
    </row>
    <row r="188" spans="2:10">
      <c r="B188" t="s">
        <v>292</v>
      </c>
      <c r="C188" t="s">
        <v>293</v>
      </c>
      <c r="D188" t="s">
        <v>243</v>
      </c>
      <c r="E188" t="s">
        <v>296</v>
      </c>
      <c r="F188" t="s">
        <v>209</v>
      </c>
      <c r="G188" t="s">
        <v>226</v>
      </c>
      <c r="H188">
        <v>89</v>
      </c>
      <c r="I188" t="str">
        <f t="shared" si="2"/>
        <v>Shell Hotels: Full Service Buildings|C|Low Cost</v>
      </c>
      <c r="J188" t="s">
        <v>297</v>
      </c>
    </row>
    <row r="189" spans="2:10">
      <c r="B189" t="s">
        <v>292</v>
      </c>
      <c r="C189" t="s">
        <v>293</v>
      </c>
      <c r="D189" t="s">
        <v>243</v>
      </c>
      <c r="E189" t="s">
        <v>296</v>
      </c>
      <c r="F189" t="s">
        <v>214</v>
      </c>
      <c r="G189" t="s">
        <v>231</v>
      </c>
      <c r="H189">
        <v>139</v>
      </c>
      <c r="I189" t="str">
        <f t="shared" si="2"/>
        <v>Shell Hotels: Full Service Buildings|D|Excellent</v>
      </c>
      <c r="J189" t="s">
        <v>297</v>
      </c>
    </row>
    <row r="190" spans="2:10">
      <c r="B190" t="s">
        <v>292</v>
      </c>
      <c r="C190" t="s">
        <v>293</v>
      </c>
      <c r="D190" t="s">
        <v>243</v>
      </c>
      <c r="E190" t="s">
        <v>296</v>
      </c>
      <c r="F190" t="s">
        <v>214</v>
      </c>
      <c r="G190" t="s">
        <v>229</v>
      </c>
      <c r="H190">
        <v>115</v>
      </c>
      <c r="I190" t="str">
        <f t="shared" si="2"/>
        <v>Shell Hotels: Full Service Buildings|D|Good</v>
      </c>
      <c r="J190" t="s">
        <v>297</v>
      </c>
    </row>
    <row r="191" spans="2:10">
      <c r="B191" t="s">
        <v>292</v>
      </c>
      <c r="C191" t="s">
        <v>293</v>
      </c>
      <c r="D191" t="s">
        <v>243</v>
      </c>
      <c r="E191" t="s">
        <v>296</v>
      </c>
      <c r="F191" t="s">
        <v>214</v>
      </c>
      <c r="G191" t="s">
        <v>44</v>
      </c>
      <c r="H191">
        <v>95.5</v>
      </c>
      <c r="I191" t="str">
        <f t="shared" si="2"/>
        <v>Shell Hotels: Full Service Buildings|D|Average</v>
      </c>
      <c r="J191" t="s">
        <v>297</v>
      </c>
    </row>
    <row r="192" spans="2:10">
      <c r="B192" t="s">
        <v>292</v>
      </c>
      <c r="C192" t="s">
        <v>293</v>
      </c>
      <c r="D192" t="s">
        <v>243</v>
      </c>
      <c r="E192" t="s">
        <v>296</v>
      </c>
      <c r="F192" t="s">
        <v>214</v>
      </c>
      <c r="G192" t="s">
        <v>226</v>
      </c>
      <c r="H192">
        <v>79.5</v>
      </c>
      <c r="I192" t="str">
        <f t="shared" si="2"/>
        <v>Shell Hotels: Full Service Buildings|D|Low Cost</v>
      </c>
      <c r="J192" t="s">
        <v>297</v>
      </c>
    </row>
    <row r="193" spans="2:10">
      <c r="B193" t="s">
        <v>298</v>
      </c>
      <c r="C193" t="s">
        <v>299</v>
      </c>
      <c r="D193" t="s">
        <v>243</v>
      </c>
      <c r="E193" t="s">
        <v>300</v>
      </c>
      <c r="F193" t="s">
        <v>209</v>
      </c>
      <c r="G193" t="s">
        <v>229</v>
      </c>
      <c r="H193">
        <v>163</v>
      </c>
      <c r="I193" t="str">
        <f t="shared" si="2"/>
        <v>Rooming Houses|C|Good</v>
      </c>
      <c r="J193" t="s">
        <v>301</v>
      </c>
    </row>
    <row r="194" spans="2:10">
      <c r="B194" t="s">
        <v>298</v>
      </c>
      <c r="C194" t="s">
        <v>299</v>
      </c>
      <c r="D194" t="s">
        <v>243</v>
      </c>
      <c r="E194" t="s">
        <v>300</v>
      </c>
      <c r="F194" t="s">
        <v>209</v>
      </c>
      <c r="G194" t="s">
        <v>44</v>
      </c>
      <c r="H194">
        <v>125</v>
      </c>
      <c r="I194" t="str">
        <f t="shared" si="2"/>
        <v>Rooming Houses|C|Average</v>
      </c>
      <c r="J194" t="s">
        <v>301</v>
      </c>
    </row>
    <row r="195" spans="2:10">
      <c r="B195" t="s">
        <v>298</v>
      </c>
      <c r="C195" t="s">
        <v>299</v>
      </c>
      <c r="D195" t="s">
        <v>243</v>
      </c>
      <c r="E195" t="s">
        <v>300</v>
      </c>
      <c r="F195" t="s">
        <v>209</v>
      </c>
      <c r="G195" t="s">
        <v>302</v>
      </c>
      <c r="H195">
        <v>105</v>
      </c>
      <c r="I195" t="str">
        <f t="shared" si="2"/>
        <v>Rooming Houses|C|Fair</v>
      </c>
      <c r="J195" t="s">
        <v>301</v>
      </c>
    </row>
    <row r="196" spans="2:10">
      <c r="B196" t="s">
        <v>298</v>
      </c>
      <c r="C196" t="s">
        <v>299</v>
      </c>
      <c r="D196" t="s">
        <v>243</v>
      </c>
      <c r="E196" t="s">
        <v>300</v>
      </c>
      <c r="F196" t="s">
        <v>214</v>
      </c>
      <c r="G196" t="s">
        <v>229</v>
      </c>
      <c r="H196">
        <v>154</v>
      </c>
      <c r="I196" t="str">
        <f t="shared" si="2"/>
        <v>Rooming Houses|D|Good</v>
      </c>
      <c r="J196" t="s">
        <v>301</v>
      </c>
    </row>
    <row r="197" spans="2:10">
      <c r="B197" t="s">
        <v>298</v>
      </c>
      <c r="C197" t="s">
        <v>299</v>
      </c>
      <c r="D197" t="s">
        <v>243</v>
      </c>
      <c r="E197" t="s">
        <v>300</v>
      </c>
      <c r="F197" t="s">
        <v>214</v>
      </c>
      <c r="G197" t="s">
        <v>44</v>
      </c>
      <c r="H197">
        <v>117</v>
      </c>
      <c r="I197" t="str">
        <f t="shared" si="2"/>
        <v>Rooming Houses|D|Average</v>
      </c>
      <c r="J197" t="s">
        <v>301</v>
      </c>
    </row>
    <row r="198" spans="2:10">
      <c r="B198" t="s">
        <v>298</v>
      </c>
      <c r="C198" t="s">
        <v>299</v>
      </c>
      <c r="D198" t="s">
        <v>243</v>
      </c>
      <c r="E198" t="s">
        <v>300</v>
      </c>
      <c r="F198" t="s">
        <v>214</v>
      </c>
      <c r="G198" t="s">
        <v>302</v>
      </c>
      <c r="H198">
        <v>98</v>
      </c>
      <c r="I198" t="str">
        <f t="shared" si="2"/>
        <v>Rooming Houses|D|Fair</v>
      </c>
      <c r="J198" t="s">
        <v>301</v>
      </c>
    </row>
    <row r="199" spans="2:10">
      <c r="B199" t="s">
        <v>298</v>
      </c>
      <c r="C199" t="s">
        <v>299</v>
      </c>
      <c r="D199" t="s">
        <v>243</v>
      </c>
      <c r="E199" t="s">
        <v>300</v>
      </c>
      <c r="F199" t="s">
        <v>214</v>
      </c>
      <c r="G199" t="s">
        <v>226</v>
      </c>
      <c r="H199">
        <v>86</v>
      </c>
      <c r="I199" t="str">
        <f t="shared" si="2"/>
        <v>Rooming Houses|D|Low Cost</v>
      </c>
      <c r="J199" t="s">
        <v>301</v>
      </c>
    </row>
    <row r="200" spans="2:10">
      <c r="B200" t="s">
        <v>303</v>
      </c>
      <c r="C200" t="s">
        <v>304</v>
      </c>
      <c r="D200" t="s">
        <v>243</v>
      </c>
      <c r="E200" t="s">
        <v>300</v>
      </c>
      <c r="F200" t="s">
        <v>209</v>
      </c>
      <c r="G200" t="s">
        <v>231</v>
      </c>
      <c r="H200">
        <v>265</v>
      </c>
      <c r="I200" t="str">
        <f t="shared" si="2"/>
        <v>Rectories|C|Excellent</v>
      </c>
      <c r="J200" t="s">
        <v>301</v>
      </c>
    </row>
    <row r="201" spans="2:10">
      <c r="B201" t="s">
        <v>303</v>
      </c>
      <c r="C201" t="s">
        <v>304</v>
      </c>
      <c r="D201" t="s">
        <v>243</v>
      </c>
      <c r="E201" t="s">
        <v>300</v>
      </c>
      <c r="F201" t="s">
        <v>209</v>
      </c>
      <c r="G201" t="s">
        <v>229</v>
      </c>
      <c r="H201">
        <v>200</v>
      </c>
      <c r="I201" t="str">
        <f t="shared" si="2"/>
        <v>Rectories|C|Good</v>
      </c>
      <c r="J201" t="s">
        <v>301</v>
      </c>
    </row>
    <row r="202" spans="2:10">
      <c r="B202" t="s">
        <v>303</v>
      </c>
      <c r="C202" t="s">
        <v>304</v>
      </c>
      <c r="D202" t="s">
        <v>243</v>
      </c>
      <c r="E202" t="s">
        <v>300</v>
      </c>
      <c r="F202" t="s">
        <v>209</v>
      </c>
      <c r="G202" t="s">
        <v>44</v>
      </c>
      <c r="H202">
        <v>152</v>
      </c>
      <c r="I202" t="str">
        <f t="shared" si="2"/>
        <v>Rectories|C|Average</v>
      </c>
      <c r="J202" t="s">
        <v>301</v>
      </c>
    </row>
    <row r="203" spans="2:10">
      <c r="B203" t="s">
        <v>303</v>
      </c>
      <c r="C203" t="s">
        <v>304</v>
      </c>
      <c r="D203" t="s">
        <v>243</v>
      </c>
      <c r="E203" t="s">
        <v>300</v>
      </c>
      <c r="F203" t="s">
        <v>209</v>
      </c>
      <c r="G203" t="s">
        <v>226</v>
      </c>
      <c r="H203">
        <v>112</v>
      </c>
      <c r="I203" t="str">
        <f t="shared" si="2"/>
        <v>Rectories|C|Low Cost</v>
      </c>
      <c r="J203" t="s">
        <v>301</v>
      </c>
    </row>
    <row r="204" spans="2:10">
      <c r="B204" t="s">
        <v>303</v>
      </c>
      <c r="C204" t="s">
        <v>304</v>
      </c>
      <c r="D204" t="s">
        <v>243</v>
      </c>
      <c r="E204" t="s">
        <v>300</v>
      </c>
      <c r="F204" t="s">
        <v>214</v>
      </c>
      <c r="G204" t="s">
        <v>231</v>
      </c>
      <c r="H204">
        <v>258</v>
      </c>
      <c r="I204" t="str">
        <f t="shared" si="2"/>
        <v>Rectories|D|Excellent</v>
      </c>
      <c r="J204" t="s">
        <v>301</v>
      </c>
    </row>
    <row r="205" spans="2:10">
      <c r="B205" t="s">
        <v>303</v>
      </c>
      <c r="C205" t="s">
        <v>304</v>
      </c>
      <c r="D205" t="s">
        <v>243</v>
      </c>
      <c r="E205" t="s">
        <v>300</v>
      </c>
      <c r="F205" t="s">
        <v>214</v>
      </c>
      <c r="G205" t="s">
        <v>229</v>
      </c>
      <c r="H205">
        <v>192</v>
      </c>
      <c r="I205" t="str">
        <f t="shared" si="2"/>
        <v>Rectories|D|Good</v>
      </c>
      <c r="J205" t="s">
        <v>301</v>
      </c>
    </row>
    <row r="206" spans="2:10">
      <c r="B206" t="s">
        <v>303</v>
      </c>
      <c r="C206" t="s">
        <v>304</v>
      </c>
      <c r="D206" t="s">
        <v>243</v>
      </c>
      <c r="E206" t="s">
        <v>300</v>
      </c>
      <c r="F206" t="s">
        <v>214</v>
      </c>
      <c r="G206" t="s">
        <v>44</v>
      </c>
      <c r="H206">
        <v>145</v>
      </c>
      <c r="I206" t="str">
        <f t="shared" si="2"/>
        <v>Rectories|D|Average</v>
      </c>
      <c r="J206" t="s">
        <v>301</v>
      </c>
    </row>
    <row r="207" spans="2:10">
      <c r="B207" t="s">
        <v>303</v>
      </c>
      <c r="C207" t="s">
        <v>304</v>
      </c>
      <c r="D207" t="s">
        <v>243</v>
      </c>
      <c r="E207" t="s">
        <v>300</v>
      </c>
      <c r="F207" t="s">
        <v>214</v>
      </c>
      <c r="G207" t="s">
        <v>226</v>
      </c>
      <c r="H207">
        <v>106</v>
      </c>
      <c r="I207" t="str">
        <f t="shared" si="2"/>
        <v>Rectories|D|Low Cost</v>
      </c>
      <c r="J207" t="s">
        <v>301</v>
      </c>
    </row>
    <row r="208" spans="2:10">
      <c r="B208" t="s">
        <v>305</v>
      </c>
      <c r="C208" t="s">
        <v>306</v>
      </c>
      <c r="D208" t="s">
        <v>243</v>
      </c>
      <c r="E208" t="s">
        <v>300</v>
      </c>
      <c r="F208" t="s">
        <v>209</v>
      </c>
      <c r="G208" t="s">
        <v>231</v>
      </c>
      <c r="H208">
        <v>256</v>
      </c>
      <c r="I208" t="str">
        <f t="shared" si="2"/>
        <v>Fraternity Housing|C|Excellent</v>
      </c>
      <c r="J208" t="s">
        <v>301</v>
      </c>
    </row>
    <row r="209" spans="2:10">
      <c r="B209" t="s">
        <v>305</v>
      </c>
      <c r="C209" t="s">
        <v>306</v>
      </c>
      <c r="D209" t="s">
        <v>243</v>
      </c>
      <c r="E209" t="s">
        <v>300</v>
      </c>
      <c r="F209" t="s">
        <v>209</v>
      </c>
      <c r="G209" t="s">
        <v>229</v>
      </c>
      <c r="H209">
        <v>202</v>
      </c>
      <c r="I209" t="str">
        <f t="shared" si="2"/>
        <v>Fraternity Housing|C|Good</v>
      </c>
      <c r="J209" t="s">
        <v>301</v>
      </c>
    </row>
    <row r="210" spans="2:10">
      <c r="B210" t="s">
        <v>305</v>
      </c>
      <c r="C210" t="s">
        <v>306</v>
      </c>
      <c r="D210" t="s">
        <v>243</v>
      </c>
      <c r="E210" t="s">
        <v>300</v>
      </c>
      <c r="F210" t="s">
        <v>209</v>
      </c>
      <c r="G210" t="s">
        <v>44</v>
      </c>
      <c r="H210">
        <v>153</v>
      </c>
      <c r="I210" t="str">
        <f t="shared" si="2"/>
        <v>Fraternity Housing|C|Average</v>
      </c>
      <c r="J210" t="s">
        <v>301</v>
      </c>
    </row>
    <row r="211" spans="2:10">
      <c r="B211" t="s">
        <v>305</v>
      </c>
      <c r="C211" t="s">
        <v>306</v>
      </c>
      <c r="D211" t="s">
        <v>243</v>
      </c>
      <c r="E211" t="s">
        <v>300</v>
      </c>
      <c r="F211" t="s">
        <v>214</v>
      </c>
      <c r="G211" t="s">
        <v>231</v>
      </c>
      <c r="H211">
        <v>249</v>
      </c>
      <c r="I211" t="str">
        <f t="shared" si="2"/>
        <v>Fraternity Housing|D|Excellent</v>
      </c>
      <c r="J211" t="s">
        <v>301</v>
      </c>
    </row>
    <row r="212" spans="2:10">
      <c r="B212" t="s">
        <v>305</v>
      </c>
      <c r="C212" t="s">
        <v>306</v>
      </c>
      <c r="D212" t="s">
        <v>243</v>
      </c>
      <c r="E212" t="s">
        <v>300</v>
      </c>
      <c r="F212" t="s">
        <v>214</v>
      </c>
      <c r="G212" t="s">
        <v>229</v>
      </c>
      <c r="H212">
        <v>194</v>
      </c>
      <c r="I212" t="str">
        <f t="shared" si="2"/>
        <v>Fraternity Housing|D|Good</v>
      </c>
      <c r="J212" t="s">
        <v>301</v>
      </c>
    </row>
    <row r="213" spans="2:10">
      <c r="B213" t="s">
        <v>305</v>
      </c>
      <c r="C213" t="s">
        <v>306</v>
      </c>
      <c r="D213" t="s">
        <v>243</v>
      </c>
      <c r="E213" t="s">
        <v>300</v>
      </c>
      <c r="F213" t="s">
        <v>214</v>
      </c>
      <c r="G213" t="s">
        <v>44</v>
      </c>
      <c r="H213">
        <v>147</v>
      </c>
      <c r="I213" t="str">
        <f t="shared" si="2"/>
        <v>Fraternity Housing|D|Average</v>
      </c>
      <c r="J213" t="s">
        <v>301</v>
      </c>
    </row>
    <row r="214" spans="2:10">
      <c r="B214" t="s">
        <v>307</v>
      </c>
      <c r="C214" t="s">
        <v>308</v>
      </c>
      <c r="D214" t="s">
        <v>243</v>
      </c>
      <c r="E214" t="s">
        <v>309</v>
      </c>
      <c r="F214" t="s">
        <v>209</v>
      </c>
      <c r="G214" t="s">
        <v>231</v>
      </c>
      <c r="H214">
        <v>301</v>
      </c>
      <c r="I214" t="str">
        <f t="shared" si="2"/>
        <v>Group Care Homes|C|Excellent</v>
      </c>
      <c r="J214" t="s">
        <v>310</v>
      </c>
    </row>
    <row r="215" spans="2:10">
      <c r="B215" t="s">
        <v>307</v>
      </c>
      <c r="C215" t="s">
        <v>308</v>
      </c>
      <c r="D215" t="s">
        <v>243</v>
      </c>
      <c r="E215" t="s">
        <v>309</v>
      </c>
      <c r="F215" t="s">
        <v>209</v>
      </c>
      <c r="G215" t="s">
        <v>250</v>
      </c>
      <c r="H215">
        <v>241</v>
      </c>
      <c r="I215" t="str">
        <f t="shared" si="2"/>
        <v>Group Care Homes|C|Very Good</v>
      </c>
      <c r="J215" t="s">
        <v>310</v>
      </c>
    </row>
    <row r="216" spans="2:10">
      <c r="B216" t="s">
        <v>307</v>
      </c>
      <c r="C216" t="s">
        <v>308</v>
      </c>
      <c r="D216" t="s">
        <v>243</v>
      </c>
      <c r="E216" t="s">
        <v>309</v>
      </c>
      <c r="F216" t="s">
        <v>209</v>
      </c>
      <c r="G216" t="s">
        <v>229</v>
      </c>
      <c r="H216">
        <v>191</v>
      </c>
      <c r="I216" t="str">
        <f t="shared" si="2"/>
        <v>Group Care Homes|C|Good</v>
      </c>
      <c r="J216" t="s">
        <v>310</v>
      </c>
    </row>
    <row r="217" spans="2:10">
      <c r="B217" t="s">
        <v>307</v>
      </c>
      <c r="C217" t="s">
        <v>308</v>
      </c>
      <c r="D217" t="s">
        <v>243</v>
      </c>
      <c r="E217" t="s">
        <v>309</v>
      </c>
      <c r="F217" t="s">
        <v>209</v>
      </c>
      <c r="G217" t="s">
        <v>44</v>
      </c>
      <c r="H217">
        <v>151</v>
      </c>
      <c r="I217" t="str">
        <f t="shared" si="2"/>
        <v>Group Care Homes|C|Average</v>
      </c>
      <c r="J217" t="s">
        <v>310</v>
      </c>
    </row>
    <row r="218" spans="2:10">
      <c r="B218" t="s">
        <v>307</v>
      </c>
      <c r="C218" t="s">
        <v>308</v>
      </c>
      <c r="D218" t="s">
        <v>243</v>
      </c>
      <c r="E218" t="s">
        <v>309</v>
      </c>
      <c r="F218" t="s">
        <v>209</v>
      </c>
      <c r="G218" t="s">
        <v>226</v>
      </c>
      <c r="H218">
        <v>117</v>
      </c>
      <c r="I218" t="str">
        <f t="shared" si="2"/>
        <v>Group Care Homes|C|Low Cost</v>
      </c>
      <c r="J218" t="s">
        <v>310</v>
      </c>
    </row>
    <row r="219" spans="2:10">
      <c r="B219" t="s">
        <v>307</v>
      </c>
      <c r="C219" t="s">
        <v>308</v>
      </c>
      <c r="D219" t="s">
        <v>243</v>
      </c>
      <c r="E219" t="s">
        <v>309</v>
      </c>
      <c r="F219" t="s">
        <v>214</v>
      </c>
      <c r="G219" t="s">
        <v>231</v>
      </c>
      <c r="H219">
        <v>291</v>
      </c>
      <c r="I219" t="str">
        <f t="shared" si="2"/>
        <v>Group Care Homes|D|Excellent</v>
      </c>
      <c r="J219" t="s">
        <v>310</v>
      </c>
    </row>
    <row r="220" spans="2:10">
      <c r="B220" t="s">
        <v>307</v>
      </c>
      <c r="C220" t="s">
        <v>308</v>
      </c>
      <c r="D220" t="s">
        <v>243</v>
      </c>
      <c r="E220" t="s">
        <v>309</v>
      </c>
      <c r="F220" t="s">
        <v>214</v>
      </c>
      <c r="G220" t="s">
        <v>250</v>
      </c>
      <c r="H220">
        <v>232</v>
      </c>
      <c r="I220" t="str">
        <f t="shared" si="2"/>
        <v>Group Care Homes|D|Very Good</v>
      </c>
      <c r="J220" t="s">
        <v>310</v>
      </c>
    </row>
    <row r="221" spans="2:10">
      <c r="B221" t="s">
        <v>307</v>
      </c>
      <c r="C221" t="s">
        <v>308</v>
      </c>
      <c r="D221" t="s">
        <v>243</v>
      </c>
      <c r="E221" t="s">
        <v>309</v>
      </c>
      <c r="F221" t="s">
        <v>214</v>
      </c>
      <c r="G221" t="s">
        <v>229</v>
      </c>
      <c r="H221">
        <v>182</v>
      </c>
      <c r="I221" t="str">
        <f t="shared" si="2"/>
        <v>Group Care Homes|D|Good</v>
      </c>
      <c r="J221" t="s">
        <v>310</v>
      </c>
    </row>
    <row r="222" spans="2:10">
      <c r="B222" t="s">
        <v>307</v>
      </c>
      <c r="C222" t="s">
        <v>308</v>
      </c>
      <c r="D222" t="s">
        <v>243</v>
      </c>
      <c r="E222" t="s">
        <v>309</v>
      </c>
      <c r="F222" t="s">
        <v>214</v>
      </c>
      <c r="G222" t="s">
        <v>44</v>
      </c>
      <c r="H222">
        <v>143</v>
      </c>
      <c r="I222" t="str">
        <f t="shared" ref="I222:I285" si="3">B222&amp;"|"&amp;F222&amp;"|"&amp;G222</f>
        <v>Group Care Homes|D|Average</v>
      </c>
      <c r="J222" t="s">
        <v>310</v>
      </c>
    </row>
    <row r="223" spans="2:10">
      <c r="B223" t="s">
        <v>307</v>
      </c>
      <c r="C223" t="s">
        <v>308</v>
      </c>
      <c r="D223" t="s">
        <v>243</v>
      </c>
      <c r="E223" t="s">
        <v>309</v>
      </c>
      <c r="F223" t="s">
        <v>214</v>
      </c>
      <c r="G223" t="s">
        <v>226</v>
      </c>
      <c r="H223">
        <v>110</v>
      </c>
      <c r="I223" t="str">
        <f t="shared" si="3"/>
        <v>Group Care Homes|D|Low Cost</v>
      </c>
      <c r="J223" t="s">
        <v>310</v>
      </c>
    </row>
    <row r="224" spans="2:10">
      <c r="B224" t="s">
        <v>311</v>
      </c>
      <c r="C224" t="s">
        <v>312</v>
      </c>
      <c r="D224" t="s">
        <v>243</v>
      </c>
      <c r="E224" t="s">
        <v>309</v>
      </c>
      <c r="F224" t="s">
        <v>209</v>
      </c>
      <c r="G224" t="s">
        <v>229</v>
      </c>
      <c r="H224">
        <v>114</v>
      </c>
      <c r="I224" t="str">
        <f t="shared" si="3"/>
        <v>Recreational (Pool) Enclosures|C|Good</v>
      </c>
      <c r="J224" t="s">
        <v>310</v>
      </c>
    </row>
    <row r="225" spans="2:10">
      <c r="B225" t="s">
        <v>311</v>
      </c>
      <c r="C225" t="s">
        <v>312</v>
      </c>
      <c r="D225" t="s">
        <v>243</v>
      </c>
      <c r="E225" t="s">
        <v>309</v>
      </c>
      <c r="F225" t="s">
        <v>209</v>
      </c>
      <c r="G225" t="s">
        <v>44</v>
      </c>
      <c r="H225">
        <v>76.5</v>
      </c>
      <c r="I225" t="str">
        <f t="shared" si="3"/>
        <v>Recreational (Pool) Enclosures|C|Average</v>
      </c>
      <c r="J225" t="s">
        <v>310</v>
      </c>
    </row>
    <row r="226" spans="2:10">
      <c r="B226" t="s">
        <v>311</v>
      </c>
      <c r="C226" t="s">
        <v>312</v>
      </c>
      <c r="D226" t="s">
        <v>243</v>
      </c>
      <c r="E226" t="s">
        <v>309</v>
      </c>
      <c r="F226" t="s">
        <v>209</v>
      </c>
      <c r="G226" t="s">
        <v>226</v>
      </c>
      <c r="H226">
        <v>48.75</v>
      </c>
      <c r="I226" t="str">
        <f t="shared" si="3"/>
        <v>Recreational (Pool) Enclosures|C|Low Cost</v>
      </c>
      <c r="J226" t="s">
        <v>310</v>
      </c>
    </row>
    <row r="227" spans="2:10">
      <c r="B227" t="s">
        <v>311</v>
      </c>
      <c r="C227" t="s">
        <v>312</v>
      </c>
      <c r="D227" t="s">
        <v>243</v>
      </c>
      <c r="E227" t="s">
        <v>309</v>
      </c>
      <c r="F227" t="s">
        <v>214</v>
      </c>
      <c r="G227" t="s">
        <v>229</v>
      </c>
      <c r="H227">
        <v>106</v>
      </c>
      <c r="I227" t="str">
        <f t="shared" si="3"/>
        <v>Recreational (Pool) Enclosures|D|Good</v>
      </c>
      <c r="J227" t="s">
        <v>310</v>
      </c>
    </row>
    <row r="228" spans="2:10">
      <c r="B228" t="s">
        <v>311</v>
      </c>
      <c r="C228" t="s">
        <v>312</v>
      </c>
      <c r="D228" t="s">
        <v>243</v>
      </c>
      <c r="E228" t="s">
        <v>309</v>
      </c>
      <c r="F228" t="s">
        <v>214</v>
      </c>
      <c r="G228" t="s">
        <v>44</v>
      </c>
      <c r="H228">
        <v>69.5</v>
      </c>
      <c r="I228" t="str">
        <f t="shared" si="3"/>
        <v>Recreational (Pool) Enclosures|D|Average</v>
      </c>
      <c r="J228" t="s">
        <v>310</v>
      </c>
    </row>
    <row r="229" spans="2:10">
      <c r="B229" t="s">
        <v>311</v>
      </c>
      <c r="C229" t="s">
        <v>312</v>
      </c>
      <c r="D229" t="s">
        <v>243</v>
      </c>
      <c r="E229" t="s">
        <v>309</v>
      </c>
      <c r="F229" t="s">
        <v>214</v>
      </c>
      <c r="G229" t="s">
        <v>226</v>
      </c>
      <c r="H229">
        <v>43.25</v>
      </c>
      <c r="I229" t="str">
        <f t="shared" si="3"/>
        <v>Recreational (Pool) Enclosures|D|Low Cost</v>
      </c>
      <c r="J229" t="s">
        <v>310</v>
      </c>
    </row>
    <row r="230" spans="2:10">
      <c r="B230" t="s">
        <v>311</v>
      </c>
      <c r="C230" t="s">
        <v>312</v>
      </c>
      <c r="D230" t="s">
        <v>243</v>
      </c>
      <c r="E230" t="s">
        <v>309</v>
      </c>
      <c r="F230" t="s">
        <v>313</v>
      </c>
      <c r="G230" t="s">
        <v>226</v>
      </c>
      <c r="H230">
        <v>37.75</v>
      </c>
      <c r="I230" t="str">
        <f t="shared" si="3"/>
        <v>Recreational (Pool) Enclosures|DPOLE|Low Cost</v>
      </c>
      <c r="J230" t="s">
        <v>310</v>
      </c>
    </row>
    <row r="231" spans="2:10">
      <c r="B231" t="s">
        <v>311</v>
      </c>
      <c r="C231" t="s">
        <v>312</v>
      </c>
      <c r="D231" t="s">
        <v>243</v>
      </c>
      <c r="E231" t="s">
        <v>309</v>
      </c>
      <c r="F231" t="s">
        <v>219</v>
      </c>
      <c r="G231" t="s">
        <v>229</v>
      </c>
      <c r="H231">
        <v>102</v>
      </c>
      <c r="I231" t="str">
        <f t="shared" si="3"/>
        <v>Recreational (Pool) Enclosures|S|Good</v>
      </c>
      <c r="J231" t="s">
        <v>310</v>
      </c>
    </row>
    <row r="232" spans="2:10">
      <c r="B232" t="s">
        <v>311</v>
      </c>
      <c r="C232" t="s">
        <v>312</v>
      </c>
      <c r="D232" t="s">
        <v>243</v>
      </c>
      <c r="E232" t="s">
        <v>309</v>
      </c>
      <c r="F232" t="s">
        <v>219</v>
      </c>
      <c r="G232" t="s">
        <v>44</v>
      </c>
      <c r="H232">
        <v>64.5</v>
      </c>
      <c r="I232" t="str">
        <f t="shared" si="3"/>
        <v>Recreational (Pool) Enclosures|S|Average</v>
      </c>
      <c r="J232" t="s">
        <v>310</v>
      </c>
    </row>
    <row r="233" spans="2:10">
      <c r="B233" t="s">
        <v>311</v>
      </c>
      <c r="C233" t="s">
        <v>312</v>
      </c>
      <c r="D233" t="s">
        <v>243</v>
      </c>
      <c r="E233" t="s">
        <v>309</v>
      </c>
      <c r="F233" t="s">
        <v>219</v>
      </c>
      <c r="G233" t="s">
        <v>226</v>
      </c>
      <c r="H233">
        <v>38.25</v>
      </c>
      <c r="I233" t="str">
        <f t="shared" si="3"/>
        <v>Recreational (Pool) Enclosures|S|Low Cost</v>
      </c>
      <c r="J233" t="s">
        <v>310</v>
      </c>
    </row>
    <row r="234" spans="2:10">
      <c r="B234" t="s">
        <v>311</v>
      </c>
      <c r="C234" t="s">
        <v>312</v>
      </c>
      <c r="D234" t="s">
        <v>243</v>
      </c>
      <c r="E234" t="s">
        <v>309</v>
      </c>
      <c r="F234" t="s">
        <v>219</v>
      </c>
      <c r="G234" t="s">
        <v>314</v>
      </c>
      <c r="H234">
        <v>23.85</v>
      </c>
      <c r="I234" t="str">
        <f t="shared" si="3"/>
        <v>Recreational (Pool) Enclosures|S|Cheap</v>
      </c>
      <c r="J234" t="s">
        <v>310</v>
      </c>
    </row>
    <row r="235" spans="2:10">
      <c r="B235" t="s">
        <v>315</v>
      </c>
      <c r="C235" t="s">
        <v>316</v>
      </c>
      <c r="D235" t="s">
        <v>243</v>
      </c>
      <c r="E235" t="s">
        <v>317</v>
      </c>
      <c r="F235" t="s">
        <v>209</v>
      </c>
      <c r="G235" t="s">
        <v>231</v>
      </c>
      <c r="H235">
        <v>272</v>
      </c>
      <c r="I235" t="str">
        <f t="shared" si="3"/>
        <v>Clubhouses|C|Excellent</v>
      </c>
      <c r="J235" t="s">
        <v>318</v>
      </c>
    </row>
    <row r="236" spans="2:10">
      <c r="B236" t="s">
        <v>315</v>
      </c>
      <c r="C236" t="s">
        <v>316</v>
      </c>
      <c r="D236" t="s">
        <v>243</v>
      </c>
      <c r="E236" t="s">
        <v>317</v>
      </c>
      <c r="F236" t="s">
        <v>209</v>
      </c>
      <c r="G236" t="s">
        <v>229</v>
      </c>
      <c r="H236">
        <v>199</v>
      </c>
      <c r="I236" t="str">
        <f t="shared" si="3"/>
        <v>Clubhouses|C|Good</v>
      </c>
      <c r="J236" t="s">
        <v>318</v>
      </c>
    </row>
    <row r="237" spans="2:10">
      <c r="B237" t="s">
        <v>315</v>
      </c>
      <c r="C237" t="s">
        <v>316</v>
      </c>
      <c r="D237" t="s">
        <v>243</v>
      </c>
      <c r="E237" t="s">
        <v>317</v>
      </c>
      <c r="F237" t="s">
        <v>209</v>
      </c>
      <c r="G237" t="s">
        <v>44</v>
      </c>
      <c r="H237">
        <v>143</v>
      </c>
      <c r="I237" t="str">
        <f t="shared" si="3"/>
        <v>Clubhouses|C|Average</v>
      </c>
      <c r="J237" t="s">
        <v>318</v>
      </c>
    </row>
    <row r="238" spans="2:10">
      <c r="B238" t="s">
        <v>315</v>
      </c>
      <c r="C238" t="s">
        <v>316</v>
      </c>
      <c r="D238" t="s">
        <v>243</v>
      </c>
      <c r="E238" t="s">
        <v>317</v>
      </c>
      <c r="F238" t="s">
        <v>209</v>
      </c>
      <c r="G238" t="s">
        <v>226</v>
      </c>
      <c r="H238">
        <v>101</v>
      </c>
      <c r="I238" t="str">
        <f t="shared" si="3"/>
        <v>Clubhouses|C|Low Cost</v>
      </c>
      <c r="J238" t="s">
        <v>318</v>
      </c>
    </row>
    <row r="239" spans="2:10">
      <c r="B239" t="s">
        <v>315</v>
      </c>
      <c r="C239" t="s">
        <v>316</v>
      </c>
      <c r="D239" t="s">
        <v>243</v>
      </c>
      <c r="E239" t="s">
        <v>317</v>
      </c>
      <c r="F239" t="s">
        <v>214</v>
      </c>
      <c r="G239" t="s">
        <v>231</v>
      </c>
      <c r="H239">
        <v>264</v>
      </c>
      <c r="I239" t="str">
        <f t="shared" si="3"/>
        <v>Clubhouses|D|Excellent</v>
      </c>
      <c r="J239" t="s">
        <v>318</v>
      </c>
    </row>
    <row r="240" spans="2:10">
      <c r="B240" t="s">
        <v>315</v>
      </c>
      <c r="C240" t="s">
        <v>316</v>
      </c>
      <c r="D240" t="s">
        <v>243</v>
      </c>
      <c r="E240" t="s">
        <v>317</v>
      </c>
      <c r="F240" t="s">
        <v>214</v>
      </c>
      <c r="G240" t="s">
        <v>229</v>
      </c>
      <c r="H240">
        <v>191</v>
      </c>
      <c r="I240" t="str">
        <f t="shared" si="3"/>
        <v>Clubhouses|D|Good</v>
      </c>
      <c r="J240" t="s">
        <v>318</v>
      </c>
    </row>
    <row r="241" spans="2:10">
      <c r="B241" t="s">
        <v>315</v>
      </c>
      <c r="C241" t="s">
        <v>316</v>
      </c>
      <c r="D241" t="s">
        <v>243</v>
      </c>
      <c r="E241" t="s">
        <v>317</v>
      </c>
      <c r="F241" t="s">
        <v>214</v>
      </c>
      <c r="G241" t="s">
        <v>44</v>
      </c>
      <c r="H241">
        <v>135</v>
      </c>
      <c r="I241" t="str">
        <f t="shared" si="3"/>
        <v>Clubhouses|D|Average</v>
      </c>
      <c r="J241" t="s">
        <v>318</v>
      </c>
    </row>
    <row r="242" spans="2:10">
      <c r="B242" t="s">
        <v>315</v>
      </c>
      <c r="C242" t="s">
        <v>316</v>
      </c>
      <c r="D242" t="s">
        <v>243</v>
      </c>
      <c r="E242" t="s">
        <v>317</v>
      </c>
      <c r="F242" t="s">
        <v>214</v>
      </c>
      <c r="G242" t="s">
        <v>226</v>
      </c>
      <c r="H242">
        <v>93.5</v>
      </c>
      <c r="I242" t="str">
        <f t="shared" si="3"/>
        <v>Clubhouses|D|Low Cost</v>
      </c>
      <c r="J242" t="s">
        <v>318</v>
      </c>
    </row>
    <row r="243" spans="2:10">
      <c r="B243" t="s">
        <v>315</v>
      </c>
      <c r="C243" t="s">
        <v>316</v>
      </c>
      <c r="D243" t="s">
        <v>243</v>
      </c>
      <c r="E243" t="s">
        <v>317</v>
      </c>
      <c r="F243" t="s">
        <v>313</v>
      </c>
      <c r="G243" t="s">
        <v>226</v>
      </c>
      <c r="H243">
        <v>84.5</v>
      </c>
      <c r="I243" t="str">
        <f t="shared" si="3"/>
        <v>Clubhouses|DPOLE|Low Cost</v>
      </c>
      <c r="J243" t="s">
        <v>318</v>
      </c>
    </row>
    <row r="244" spans="2:10">
      <c r="B244" t="s">
        <v>315</v>
      </c>
      <c r="C244" t="s">
        <v>316</v>
      </c>
      <c r="D244" t="s">
        <v>243</v>
      </c>
      <c r="E244" t="s">
        <v>317</v>
      </c>
      <c r="F244" t="s">
        <v>219</v>
      </c>
      <c r="G244" t="s">
        <v>231</v>
      </c>
      <c r="H244">
        <v>236</v>
      </c>
      <c r="I244" t="str">
        <f t="shared" si="3"/>
        <v>Clubhouses|S|Excellent</v>
      </c>
      <c r="J244" t="s">
        <v>318</v>
      </c>
    </row>
    <row r="245" spans="2:10">
      <c r="B245" t="s">
        <v>315</v>
      </c>
      <c r="C245" t="s">
        <v>316</v>
      </c>
      <c r="D245" t="s">
        <v>243</v>
      </c>
      <c r="E245" t="s">
        <v>317</v>
      </c>
      <c r="F245" t="s">
        <v>219</v>
      </c>
      <c r="G245" t="s">
        <v>229</v>
      </c>
      <c r="H245">
        <v>172</v>
      </c>
      <c r="I245" t="str">
        <f t="shared" si="3"/>
        <v>Clubhouses|S|Good</v>
      </c>
      <c r="J245" t="s">
        <v>318</v>
      </c>
    </row>
    <row r="246" spans="2:10">
      <c r="B246" t="s">
        <v>315</v>
      </c>
      <c r="C246" t="s">
        <v>316</v>
      </c>
      <c r="D246" t="s">
        <v>243</v>
      </c>
      <c r="E246" t="s">
        <v>317</v>
      </c>
      <c r="F246" t="s">
        <v>219</v>
      </c>
      <c r="G246" t="s">
        <v>44</v>
      </c>
      <c r="H246">
        <v>122</v>
      </c>
      <c r="I246" t="str">
        <f t="shared" si="3"/>
        <v>Clubhouses|S|Average</v>
      </c>
      <c r="J246" t="s">
        <v>318</v>
      </c>
    </row>
    <row r="247" spans="2:10">
      <c r="B247" t="s">
        <v>315</v>
      </c>
      <c r="C247" t="s">
        <v>316</v>
      </c>
      <c r="D247" t="s">
        <v>243</v>
      </c>
      <c r="E247" t="s">
        <v>317</v>
      </c>
      <c r="F247" t="s">
        <v>219</v>
      </c>
      <c r="G247" t="s">
        <v>226</v>
      </c>
      <c r="H247">
        <v>85.5</v>
      </c>
      <c r="I247" t="str">
        <f t="shared" si="3"/>
        <v>Clubhouses|S|Low Cost</v>
      </c>
      <c r="J247" t="s">
        <v>318</v>
      </c>
    </row>
    <row r="248" spans="2:10">
      <c r="B248" t="s">
        <v>319</v>
      </c>
      <c r="C248" t="s">
        <v>320</v>
      </c>
      <c r="D248" t="s">
        <v>243</v>
      </c>
      <c r="E248" t="s">
        <v>317</v>
      </c>
      <c r="F248" t="s">
        <v>209</v>
      </c>
      <c r="G248" t="s">
        <v>231</v>
      </c>
      <c r="H248">
        <v>361</v>
      </c>
      <c r="I248" t="str">
        <f t="shared" si="3"/>
        <v>Senior (Clubhouse) Centers|C|Excellent</v>
      </c>
      <c r="J248" t="s">
        <v>318</v>
      </c>
    </row>
    <row r="249" spans="2:10">
      <c r="B249" t="s">
        <v>319</v>
      </c>
      <c r="C249" t="s">
        <v>320</v>
      </c>
      <c r="D249" t="s">
        <v>243</v>
      </c>
      <c r="E249" t="s">
        <v>317</v>
      </c>
      <c r="F249" t="s">
        <v>209</v>
      </c>
      <c r="G249" t="s">
        <v>229</v>
      </c>
      <c r="H249">
        <v>275</v>
      </c>
      <c r="I249" t="str">
        <f t="shared" si="3"/>
        <v>Senior (Clubhouse) Centers|C|Good</v>
      </c>
      <c r="J249" t="s">
        <v>318</v>
      </c>
    </row>
    <row r="250" spans="2:10">
      <c r="B250" t="s">
        <v>319</v>
      </c>
      <c r="C250" t="s">
        <v>320</v>
      </c>
      <c r="D250" t="s">
        <v>243</v>
      </c>
      <c r="E250" t="s">
        <v>317</v>
      </c>
      <c r="F250" t="s">
        <v>209</v>
      </c>
      <c r="G250" t="s">
        <v>44</v>
      </c>
      <c r="H250">
        <v>210</v>
      </c>
      <c r="I250" t="str">
        <f t="shared" si="3"/>
        <v>Senior (Clubhouse) Centers|C|Average</v>
      </c>
      <c r="J250" t="s">
        <v>318</v>
      </c>
    </row>
    <row r="251" spans="2:10">
      <c r="B251" t="s">
        <v>319</v>
      </c>
      <c r="C251" t="s">
        <v>320</v>
      </c>
      <c r="D251" t="s">
        <v>243</v>
      </c>
      <c r="E251" t="s">
        <v>317</v>
      </c>
      <c r="F251" t="s">
        <v>209</v>
      </c>
      <c r="G251" t="s">
        <v>226</v>
      </c>
      <c r="H251">
        <v>157</v>
      </c>
      <c r="I251" t="str">
        <f t="shared" si="3"/>
        <v>Senior (Clubhouse) Centers|C|Low Cost</v>
      </c>
      <c r="J251" t="s">
        <v>318</v>
      </c>
    </row>
    <row r="252" spans="2:10">
      <c r="B252" t="s">
        <v>319</v>
      </c>
      <c r="C252" t="s">
        <v>320</v>
      </c>
      <c r="D252" t="s">
        <v>243</v>
      </c>
      <c r="E252" t="s">
        <v>317</v>
      </c>
      <c r="F252" t="s">
        <v>214</v>
      </c>
      <c r="G252" t="s">
        <v>231</v>
      </c>
      <c r="H252">
        <v>350</v>
      </c>
      <c r="I252" t="str">
        <f t="shared" si="3"/>
        <v>Senior (Clubhouse) Centers|D|Excellent</v>
      </c>
      <c r="J252" t="s">
        <v>318</v>
      </c>
    </row>
    <row r="253" spans="2:10">
      <c r="B253" t="s">
        <v>319</v>
      </c>
      <c r="C253" t="s">
        <v>320</v>
      </c>
      <c r="D253" t="s">
        <v>243</v>
      </c>
      <c r="E253" t="s">
        <v>317</v>
      </c>
      <c r="F253" t="s">
        <v>214</v>
      </c>
      <c r="G253" t="s">
        <v>229</v>
      </c>
      <c r="H253">
        <v>264</v>
      </c>
      <c r="I253" t="str">
        <f t="shared" si="3"/>
        <v>Senior (Clubhouse) Centers|D|Good</v>
      </c>
      <c r="J253" t="s">
        <v>318</v>
      </c>
    </row>
    <row r="254" spans="2:10">
      <c r="B254" t="s">
        <v>319</v>
      </c>
      <c r="C254" t="s">
        <v>320</v>
      </c>
      <c r="D254" t="s">
        <v>243</v>
      </c>
      <c r="E254" t="s">
        <v>317</v>
      </c>
      <c r="F254" t="s">
        <v>214</v>
      </c>
      <c r="G254" t="s">
        <v>44</v>
      </c>
      <c r="H254">
        <v>200</v>
      </c>
      <c r="I254" t="str">
        <f t="shared" si="3"/>
        <v>Senior (Clubhouse) Centers|D|Average</v>
      </c>
      <c r="J254" t="s">
        <v>318</v>
      </c>
    </row>
    <row r="255" spans="2:10">
      <c r="B255" t="s">
        <v>319</v>
      </c>
      <c r="C255" t="s">
        <v>320</v>
      </c>
      <c r="D255" t="s">
        <v>243</v>
      </c>
      <c r="E255" t="s">
        <v>317</v>
      </c>
      <c r="F255" t="s">
        <v>214</v>
      </c>
      <c r="G255" t="s">
        <v>226</v>
      </c>
      <c r="H255">
        <v>148</v>
      </c>
      <c r="I255" t="str">
        <f t="shared" si="3"/>
        <v>Senior (Clubhouse) Centers|D|Low Cost</v>
      </c>
      <c r="J255" t="s">
        <v>318</v>
      </c>
    </row>
    <row r="256" spans="2:10">
      <c r="B256" t="s">
        <v>319</v>
      </c>
      <c r="C256" t="s">
        <v>320</v>
      </c>
      <c r="D256" t="s">
        <v>243</v>
      </c>
      <c r="E256" t="s">
        <v>317</v>
      </c>
      <c r="F256" t="s">
        <v>219</v>
      </c>
      <c r="G256" t="s">
        <v>226</v>
      </c>
      <c r="H256">
        <v>136</v>
      </c>
      <c r="I256" t="str">
        <f t="shared" si="3"/>
        <v>Senior (Clubhouse) Centers|S|Low Cost</v>
      </c>
      <c r="J256" t="s">
        <v>318</v>
      </c>
    </row>
    <row r="257" spans="2:10">
      <c r="B257" t="s">
        <v>321</v>
      </c>
      <c r="C257" t="s">
        <v>322</v>
      </c>
      <c r="D257" t="s">
        <v>243</v>
      </c>
      <c r="E257" t="s">
        <v>323</v>
      </c>
      <c r="F257" t="s">
        <v>209</v>
      </c>
      <c r="G257" t="s">
        <v>231</v>
      </c>
      <c r="H257">
        <v>341</v>
      </c>
      <c r="I257" t="str">
        <f t="shared" si="3"/>
        <v>Country Clubs|C|Excellent</v>
      </c>
      <c r="J257" t="s">
        <v>324</v>
      </c>
    </row>
    <row r="258" spans="2:10">
      <c r="B258" t="s">
        <v>321</v>
      </c>
      <c r="C258" t="s">
        <v>322</v>
      </c>
      <c r="D258" t="s">
        <v>243</v>
      </c>
      <c r="E258" t="s">
        <v>323</v>
      </c>
      <c r="F258" t="s">
        <v>209</v>
      </c>
      <c r="G258" t="s">
        <v>229</v>
      </c>
      <c r="H258">
        <v>259</v>
      </c>
      <c r="I258" t="str">
        <f t="shared" si="3"/>
        <v>Country Clubs|C|Good</v>
      </c>
      <c r="J258" t="s">
        <v>324</v>
      </c>
    </row>
    <row r="259" spans="2:10">
      <c r="B259" t="s">
        <v>321</v>
      </c>
      <c r="C259" t="s">
        <v>322</v>
      </c>
      <c r="D259" t="s">
        <v>243</v>
      </c>
      <c r="E259" t="s">
        <v>323</v>
      </c>
      <c r="F259" t="s">
        <v>209</v>
      </c>
      <c r="G259" t="s">
        <v>44</v>
      </c>
      <c r="H259">
        <v>198</v>
      </c>
      <c r="I259" t="str">
        <f t="shared" si="3"/>
        <v>Country Clubs|C|Average</v>
      </c>
      <c r="J259" t="s">
        <v>324</v>
      </c>
    </row>
    <row r="260" spans="2:10">
      <c r="B260" t="s">
        <v>321</v>
      </c>
      <c r="C260" t="s">
        <v>322</v>
      </c>
      <c r="D260" t="s">
        <v>243</v>
      </c>
      <c r="E260" t="s">
        <v>323</v>
      </c>
      <c r="F260" t="s">
        <v>209</v>
      </c>
      <c r="G260" t="s">
        <v>226</v>
      </c>
      <c r="H260">
        <v>148</v>
      </c>
      <c r="I260" t="str">
        <f t="shared" si="3"/>
        <v>Country Clubs|C|Low Cost</v>
      </c>
      <c r="J260" t="s">
        <v>324</v>
      </c>
    </row>
    <row r="261" spans="2:10">
      <c r="B261" t="s">
        <v>321</v>
      </c>
      <c r="C261" t="s">
        <v>322</v>
      </c>
      <c r="D261" t="s">
        <v>243</v>
      </c>
      <c r="E261" t="s">
        <v>323</v>
      </c>
      <c r="F261" t="s">
        <v>214</v>
      </c>
      <c r="G261" t="s">
        <v>231</v>
      </c>
      <c r="H261">
        <v>334</v>
      </c>
      <c r="I261" t="str">
        <f t="shared" si="3"/>
        <v>Country Clubs|D|Excellent</v>
      </c>
      <c r="J261" t="s">
        <v>324</v>
      </c>
    </row>
    <row r="262" spans="2:10">
      <c r="B262" t="s">
        <v>321</v>
      </c>
      <c r="C262" t="s">
        <v>322</v>
      </c>
      <c r="D262" t="s">
        <v>243</v>
      </c>
      <c r="E262" t="s">
        <v>323</v>
      </c>
      <c r="F262" t="s">
        <v>214</v>
      </c>
      <c r="G262" t="s">
        <v>229</v>
      </c>
      <c r="H262">
        <v>250</v>
      </c>
      <c r="I262" t="str">
        <f t="shared" si="3"/>
        <v>Country Clubs|D|Good</v>
      </c>
      <c r="J262" t="s">
        <v>324</v>
      </c>
    </row>
    <row r="263" spans="2:10">
      <c r="B263" t="s">
        <v>321</v>
      </c>
      <c r="C263" t="s">
        <v>322</v>
      </c>
      <c r="D263" t="s">
        <v>243</v>
      </c>
      <c r="E263" t="s">
        <v>323</v>
      </c>
      <c r="F263" t="s">
        <v>214</v>
      </c>
      <c r="G263" t="s">
        <v>44</v>
      </c>
      <c r="H263">
        <v>189</v>
      </c>
      <c r="I263" t="str">
        <f t="shared" si="3"/>
        <v>Country Clubs|D|Average</v>
      </c>
      <c r="J263" t="s">
        <v>324</v>
      </c>
    </row>
    <row r="264" spans="2:10">
      <c r="B264" t="s">
        <v>321</v>
      </c>
      <c r="C264" t="s">
        <v>322</v>
      </c>
      <c r="D264" t="s">
        <v>243</v>
      </c>
      <c r="E264" t="s">
        <v>323</v>
      </c>
      <c r="F264" t="s">
        <v>214</v>
      </c>
      <c r="G264" t="s">
        <v>226</v>
      </c>
      <c r="H264">
        <v>139</v>
      </c>
      <c r="I264" t="str">
        <f t="shared" si="3"/>
        <v>Country Clubs|D|Low Cost</v>
      </c>
      <c r="J264" t="s">
        <v>324</v>
      </c>
    </row>
    <row r="265" spans="2:10">
      <c r="B265" t="s">
        <v>321</v>
      </c>
      <c r="C265" t="s">
        <v>322</v>
      </c>
      <c r="D265" t="s">
        <v>243</v>
      </c>
      <c r="E265" t="s">
        <v>323</v>
      </c>
      <c r="F265" t="s">
        <v>219</v>
      </c>
      <c r="G265" t="s">
        <v>44</v>
      </c>
      <c r="H265">
        <v>178</v>
      </c>
      <c r="I265" t="str">
        <f t="shared" si="3"/>
        <v>Country Clubs|S|Average</v>
      </c>
      <c r="J265" t="s">
        <v>324</v>
      </c>
    </row>
    <row r="266" spans="2:10">
      <c r="B266" t="s">
        <v>321</v>
      </c>
      <c r="C266" t="s">
        <v>322</v>
      </c>
      <c r="D266" t="s">
        <v>243</v>
      </c>
      <c r="E266" t="s">
        <v>323</v>
      </c>
      <c r="F266" t="s">
        <v>219</v>
      </c>
      <c r="G266" t="s">
        <v>226</v>
      </c>
      <c r="H266">
        <v>130</v>
      </c>
      <c r="I266" t="str">
        <f t="shared" si="3"/>
        <v>Country Clubs|S|Low Cost</v>
      </c>
      <c r="J266" t="s">
        <v>324</v>
      </c>
    </row>
    <row r="267" spans="2:10">
      <c r="B267" t="s">
        <v>325</v>
      </c>
      <c r="C267" t="s">
        <v>326</v>
      </c>
      <c r="D267" t="s">
        <v>243</v>
      </c>
      <c r="E267" t="s">
        <v>323</v>
      </c>
      <c r="F267" t="s">
        <v>209</v>
      </c>
      <c r="G267" t="s">
        <v>229</v>
      </c>
      <c r="H267">
        <v>236</v>
      </c>
      <c r="I267" t="str">
        <f t="shared" si="3"/>
        <v>Health Clubs (Spas)|C|Good</v>
      </c>
      <c r="J267" t="s">
        <v>324</v>
      </c>
    </row>
    <row r="268" spans="2:10">
      <c r="B268" t="s">
        <v>325</v>
      </c>
      <c r="C268" t="s">
        <v>326</v>
      </c>
      <c r="D268" t="s">
        <v>243</v>
      </c>
      <c r="E268" t="s">
        <v>323</v>
      </c>
      <c r="F268" t="s">
        <v>209</v>
      </c>
      <c r="G268" t="s">
        <v>44</v>
      </c>
      <c r="H268">
        <v>172</v>
      </c>
      <c r="I268" t="str">
        <f t="shared" si="3"/>
        <v>Health Clubs (Spas)|C|Average</v>
      </c>
      <c r="J268" t="s">
        <v>324</v>
      </c>
    </row>
    <row r="269" spans="2:10">
      <c r="B269" t="s">
        <v>325</v>
      </c>
      <c r="C269" t="s">
        <v>326</v>
      </c>
      <c r="D269" t="s">
        <v>243</v>
      </c>
      <c r="E269" t="s">
        <v>323</v>
      </c>
      <c r="F269" t="s">
        <v>209</v>
      </c>
      <c r="G269" t="s">
        <v>226</v>
      </c>
      <c r="H269">
        <v>127</v>
      </c>
      <c r="I269" t="str">
        <f t="shared" si="3"/>
        <v>Health Clubs (Spas)|C|Low Cost</v>
      </c>
      <c r="J269" t="s">
        <v>324</v>
      </c>
    </row>
    <row r="270" spans="2:10">
      <c r="B270" t="s">
        <v>325</v>
      </c>
      <c r="C270" t="s">
        <v>326</v>
      </c>
      <c r="D270" t="s">
        <v>243</v>
      </c>
      <c r="E270" t="s">
        <v>323</v>
      </c>
      <c r="F270" t="s">
        <v>214</v>
      </c>
      <c r="G270" t="s">
        <v>229</v>
      </c>
      <c r="H270">
        <v>227</v>
      </c>
      <c r="I270" t="str">
        <f t="shared" si="3"/>
        <v>Health Clubs (Spas)|D|Good</v>
      </c>
      <c r="J270" t="s">
        <v>324</v>
      </c>
    </row>
    <row r="271" spans="2:10">
      <c r="B271" t="s">
        <v>325</v>
      </c>
      <c r="C271" t="s">
        <v>326</v>
      </c>
      <c r="D271" t="s">
        <v>243</v>
      </c>
      <c r="E271" t="s">
        <v>323</v>
      </c>
      <c r="F271" t="s">
        <v>214</v>
      </c>
      <c r="G271" t="s">
        <v>44</v>
      </c>
      <c r="H271">
        <v>164</v>
      </c>
      <c r="I271" t="str">
        <f t="shared" si="3"/>
        <v>Health Clubs (Spas)|D|Average</v>
      </c>
      <c r="J271" t="s">
        <v>324</v>
      </c>
    </row>
    <row r="272" spans="2:10">
      <c r="B272" t="s">
        <v>325</v>
      </c>
      <c r="C272" t="s">
        <v>326</v>
      </c>
      <c r="D272" t="s">
        <v>243</v>
      </c>
      <c r="E272" t="s">
        <v>323</v>
      </c>
      <c r="F272" t="s">
        <v>214</v>
      </c>
      <c r="G272" t="s">
        <v>226</v>
      </c>
      <c r="H272">
        <v>119</v>
      </c>
      <c r="I272" t="str">
        <f t="shared" si="3"/>
        <v>Health Clubs (Spas)|D|Low Cost</v>
      </c>
      <c r="J272" t="s">
        <v>324</v>
      </c>
    </row>
    <row r="273" spans="2:10">
      <c r="B273" t="s">
        <v>325</v>
      </c>
      <c r="C273" t="s">
        <v>326</v>
      </c>
      <c r="D273" t="s">
        <v>243</v>
      </c>
      <c r="E273" t="s">
        <v>323</v>
      </c>
      <c r="F273" t="s">
        <v>219</v>
      </c>
      <c r="G273" t="s">
        <v>44</v>
      </c>
      <c r="H273">
        <v>157</v>
      </c>
      <c r="I273" t="str">
        <f t="shared" si="3"/>
        <v>Health Clubs (Spas)|S|Average</v>
      </c>
      <c r="J273" t="s">
        <v>324</v>
      </c>
    </row>
    <row r="274" spans="2:10">
      <c r="B274" t="s">
        <v>325</v>
      </c>
      <c r="C274" t="s">
        <v>326</v>
      </c>
      <c r="D274" t="s">
        <v>243</v>
      </c>
      <c r="E274" t="s">
        <v>323</v>
      </c>
      <c r="F274" t="s">
        <v>219</v>
      </c>
      <c r="G274" t="s">
        <v>226</v>
      </c>
      <c r="H274">
        <v>113</v>
      </c>
      <c r="I274" t="str">
        <f t="shared" si="3"/>
        <v>Health Clubs (Spas)|S|Low Cost</v>
      </c>
      <c r="J274" t="s">
        <v>324</v>
      </c>
    </row>
    <row r="275" spans="2:10">
      <c r="B275" t="s">
        <v>327</v>
      </c>
      <c r="C275" t="s">
        <v>328</v>
      </c>
      <c r="D275" t="s">
        <v>243</v>
      </c>
      <c r="E275" t="s">
        <v>329</v>
      </c>
      <c r="F275" t="s">
        <v>270</v>
      </c>
      <c r="G275" t="s">
        <v>229</v>
      </c>
      <c r="H275">
        <v>324</v>
      </c>
      <c r="I275" t="str">
        <f t="shared" si="3"/>
        <v>Mortuaries / Funeral Homes|A-B|Good</v>
      </c>
      <c r="J275" t="s">
        <v>330</v>
      </c>
    </row>
    <row r="276" spans="2:10">
      <c r="B276" t="s">
        <v>327</v>
      </c>
      <c r="C276" t="s">
        <v>328</v>
      </c>
      <c r="D276" t="s">
        <v>243</v>
      </c>
      <c r="E276" t="s">
        <v>329</v>
      </c>
      <c r="F276" t="s">
        <v>270</v>
      </c>
      <c r="G276" t="s">
        <v>44</v>
      </c>
      <c r="H276">
        <v>258</v>
      </c>
      <c r="I276" t="str">
        <f t="shared" si="3"/>
        <v>Mortuaries / Funeral Homes|A-B|Average</v>
      </c>
      <c r="J276" t="s">
        <v>330</v>
      </c>
    </row>
    <row r="277" spans="2:10">
      <c r="B277" t="s">
        <v>327</v>
      </c>
      <c r="C277" t="s">
        <v>328</v>
      </c>
      <c r="D277" t="s">
        <v>243</v>
      </c>
      <c r="E277" t="s">
        <v>329</v>
      </c>
      <c r="F277" t="s">
        <v>209</v>
      </c>
      <c r="G277" t="s">
        <v>231</v>
      </c>
      <c r="H277">
        <v>291</v>
      </c>
      <c r="I277" t="str">
        <f t="shared" si="3"/>
        <v>Mortuaries / Funeral Homes|C|Excellent</v>
      </c>
      <c r="J277" t="s">
        <v>330</v>
      </c>
    </row>
    <row r="278" spans="2:10">
      <c r="B278" t="s">
        <v>327</v>
      </c>
      <c r="C278" t="s">
        <v>328</v>
      </c>
      <c r="D278" t="s">
        <v>243</v>
      </c>
      <c r="E278" t="s">
        <v>329</v>
      </c>
      <c r="F278" t="s">
        <v>209</v>
      </c>
      <c r="G278" t="s">
        <v>229</v>
      </c>
      <c r="H278">
        <v>214</v>
      </c>
      <c r="I278" t="str">
        <f t="shared" si="3"/>
        <v>Mortuaries / Funeral Homes|C|Good</v>
      </c>
      <c r="J278" t="s">
        <v>330</v>
      </c>
    </row>
    <row r="279" spans="2:10">
      <c r="B279" t="s">
        <v>327</v>
      </c>
      <c r="C279" t="s">
        <v>328</v>
      </c>
      <c r="D279" t="s">
        <v>243</v>
      </c>
      <c r="E279" t="s">
        <v>329</v>
      </c>
      <c r="F279" t="s">
        <v>209</v>
      </c>
      <c r="G279" t="s">
        <v>44</v>
      </c>
      <c r="H279">
        <v>159</v>
      </c>
      <c r="I279" t="str">
        <f t="shared" si="3"/>
        <v>Mortuaries / Funeral Homes|C|Average</v>
      </c>
      <c r="J279" t="s">
        <v>330</v>
      </c>
    </row>
    <row r="280" spans="2:10">
      <c r="B280" t="s">
        <v>327</v>
      </c>
      <c r="C280" t="s">
        <v>328</v>
      </c>
      <c r="D280" t="s">
        <v>243</v>
      </c>
      <c r="E280" t="s">
        <v>329</v>
      </c>
      <c r="F280" t="s">
        <v>209</v>
      </c>
      <c r="G280" t="s">
        <v>226</v>
      </c>
      <c r="H280">
        <v>115</v>
      </c>
      <c r="I280" t="str">
        <f t="shared" si="3"/>
        <v>Mortuaries / Funeral Homes|C|Low Cost</v>
      </c>
      <c r="J280" t="s">
        <v>330</v>
      </c>
    </row>
    <row r="281" spans="2:10">
      <c r="B281" t="s">
        <v>327</v>
      </c>
      <c r="C281" t="s">
        <v>328</v>
      </c>
      <c r="D281" t="s">
        <v>243</v>
      </c>
      <c r="E281" t="s">
        <v>329</v>
      </c>
      <c r="F281" t="s">
        <v>214</v>
      </c>
      <c r="G281" t="s">
        <v>231</v>
      </c>
      <c r="H281">
        <v>283</v>
      </c>
      <c r="I281" t="str">
        <f t="shared" si="3"/>
        <v>Mortuaries / Funeral Homes|D|Excellent</v>
      </c>
      <c r="J281" t="s">
        <v>330</v>
      </c>
    </row>
    <row r="282" spans="2:10">
      <c r="B282" t="s">
        <v>327</v>
      </c>
      <c r="C282" t="s">
        <v>328</v>
      </c>
      <c r="D282" t="s">
        <v>243</v>
      </c>
      <c r="E282" t="s">
        <v>329</v>
      </c>
      <c r="F282" t="s">
        <v>214</v>
      </c>
      <c r="G282" t="s">
        <v>229</v>
      </c>
      <c r="H282">
        <v>206</v>
      </c>
      <c r="I282" t="str">
        <f t="shared" si="3"/>
        <v>Mortuaries / Funeral Homes|D|Good</v>
      </c>
      <c r="J282" t="s">
        <v>330</v>
      </c>
    </row>
    <row r="283" spans="2:10">
      <c r="B283" t="s">
        <v>327</v>
      </c>
      <c r="C283" t="s">
        <v>328</v>
      </c>
      <c r="D283" t="s">
        <v>243</v>
      </c>
      <c r="E283" t="s">
        <v>329</v>
      </c>
      <c r="F283" t="s">
        <v>214</v>
      </c>
      <c r="G283" t="s">
        <v>44</v>
      </c>
      <c r="H283">
        <v>151</v>
      </c>
      <c r="I283" t="str">
        <f t="shared" si="3"/>
        <v>Mortuaries / Funeral Homes|D|Average</v>
      </c>
      <c r="J283" t="s">
        <v>330</v>
      </c>
    </row>
    <row r="284" spans="2:10">
      <c r="B284" t="s">
        <v>327</v>
      </c>
      <c r="C284" t="s">
        <v>328</v>
      </c>
      <c r="D284" t="s">
        <v>243</v>
      </c>
      <c r="E284" t="s">
        <v>329</v>
      </c>
      <c r="F284" t="s">
        <v>214</v>
      </c>
      <c r="G284" t="s">
        <v>226</v>
      </c>
      <c r="H284">
        <v>108</v>
      </c>
      <c r="I284" t="str">
        <f t="shared" si="3"/>
        <v>Mortuaries / Funeral Homes|D|Low Cost</v>
      </c>
      <c r="J284" t="s">
        <v>330</v>
      </c>
    </row>
    <row r="285" spans="2:10">
      <c r="B285" t="s">
        <v>327</v>
      </c>
      <c r="C285" t="s">
        <v>328</v>
      </c>
      <c r="D285" t="s">
        <v>243</v>
      </c>
      <c r="E285" t="s">
        <v>329</v>
      </c>
      <c r="F285" t="s">
        <v>313</v>
      </c>
      <c r="G285" t="s">
        <v>226</v>
      </c>
      <c r="H285">
        <v>101</v>
      </c>
      <c r="I285" t="str">
        <f t="shared" si="3"/>
        <v>Mortuaries / Funeral Homes|DPOLE|Low Cost</v>
      </c>
      <c r="J285" t="s">
        <v>330</v>
      </c>
    </row>
    <row r="286" spans="2:10">
      <c r="B286" t="s">
        <v>327</v>
      </c>
      <c r="C286" t="s">
        <v>328</v>
      </c>
      <c r="D286" t="s">
        <v>243</v>
      </c>
      <c r="E286" t="s">
        <v>329</v>
      </c>
      <c r="F286" t="s">
        <v>219</v>
      </c>
      <c r="G286" t="s">
        <v>44</v>
      </c>
      <c r="H286">
        <v>143</v>
      </c>
      <c r="I286" t="str">
        <f t="shared" ref="I286:I349" si="4">B286&amp;"|"&amp;F286&amp;"|"&amp;G286</f>
        <v>Mortuaries / Funeral Homes|S|Average</v>
      </c>
      <c r="J286" t="s">
        <v>330</v>
      </c>
    </row>
    <row r="287" spans="2:10">
      <c r="B287" t="s">
        <v>327</v>
      </c>
      <c r="C287" t="s">
        <v>328</v>
      </c>
      <c r="D287" t="s">
        <v>243</v>
      </c>
      <c r="E287" t="s">
        <v>329</v>
      </c>
      <c r="F287" t="s">
        <v>219</v>
      </c>
      <c r="G287" t="s">
        <v>226</v>
      </c>
      <c r="H287">
        <v>101</v>
      </c>
      <c r="I287" t="str">
        <f t="shared" si="4"/>
        <v>Mortuaries / Funeral Homes|S|Low Cost</v>
      </c>
      <c r="J287" t="s">
        <v>330</v>
      </c>
    </row>
    <row r="288" spans="2:10">
      <c r="B288" t="s">
        <v>331</v>
      </c>
      <c r="C288" t="s">
        <v>332</v>
      </c>
      <c r="D288" t="s">
        <v>243</v>
      </c>
      <c r="E288" t="s">
        <v>333</v>
      </c>
      <c r="F288" t="s">
        <v>209</v>
      </c>
      <c r="G288" t="s">
        <v>231</v>
      </c>
      <c r="H288">
        <v>222</v>
      </c>
      <c r="I288" t="str">
        <f t="shared" si="4"/>
        <v>High-Rise Row (Town) Houses|C|Excellent</v>
      </c>
      <c r="J288" t="s">
        <v>334</v>
      </c>
    </row>
    <row r="289" spans="2:10">
      <c r="B289" t="s">
        <v>331</v>
      </c>
      <c r="C289" t="s">
        <v>332</v>
      </c>
      <c r="D289" t="s">
        <v>243</v>
      </c>
      <c r="E289" t="s">
        <v>333</v>
      </c>
      <c r="F289" t="s">
        <v>209</v>
      </c>
      <c r="G289" t="s">
        <v>229</v>
      </c>
      <c r="H289">
        <v>166</v>
      </c>
      <c r="I289" t="str">
        <f t="shared" si="4"/>
        <v>High-Rise Row (Town) Houses|C|Good</v>
      </c>
      <c r="J289" t="s">
        <v>334</v>
      </c>
    </row>
    <row r="290" spans="2:10">
      <c r="B290" t="s">
        <v>331</v>
      </c>
      <c r="C290" t="s">
        <v>332</v>
      </c>
      <c r="D290" t="s">
        <v>243</v>
      </c>
      <c r="E290" t="s">
        <v>333</v>
      </c>
      <c r="F290" t="s">
        <v>209</v>
      </c>
      <c r="G290" t="s">
        <v>44</v>
      </c>
      <c r="H290">
        <v>128</v>
      </c>
      <c r="I290" t="str">
        <f t="shared" si="4"/>
        <v>High-Rise Row (Town) Houses|C|Average</v>
      </c>
      <c r="J290" t="s">
        <v>334</v>
      </c>
    </row>
    <row r="291" spans="2:10">
      <c r="B291" t="s">
        <v>331</v>
      </c>
      <c r="C291" t="s">
        <v>332</v>
      </c>
      <c r="D291" t="s">
        <v>243</v>
      </c>
      <c r="E291" t="s">
        <v>333</v>
      </c>
      <c r="F291" t="s">
        <v>266</v>
      </c>
      <c r="G291" t="s">
        <v>231</v>
      </c>
      <c r="H291">
        <v>237</v>
      </c>
      <c r="I291" t="str">
        <f t="shared" si="4"/>
        <v>High-Rise Row (Town) Houses|CMILL|Excellent</v>
      </c>
      <c r="J291" t="s">
        <v>334</v>
      </c>
    </row>
    <row r="292" spans="2:10">
      <c r="B292" t="s">
        <v>331</v>
      </c>
      <c r="C292" t="s">
        <v>332</v>
      </c>
      <c r="D292" t="s">
        <v>243</v>
      </c>
      <c r="E292" t="s">
        <v>333</v>
      </c>
      <c r="F292" t="s">
        <v>266</v>
      </c>
      <c r="G292" t="s">
        <v>229</v>
      </c>
      <c r="H292">
        <v>190</v>
      </c>
      <c r="I292" t="str">
        <f t="shared" si="4"/>
        <v>High-Rise Row (Town) Houses|CMILL|Good</v>
      </c>
      <c r="J292" t="s">
        <v>334</v>
      </c>
    </row>
    <row r="293" spans="2:10">
      <c r="B293" t="s">
        <v>331</v>
      </c>
      <c r="C293" t="s">
        <v>332</v>
      </c>
      <c r="D293" t="s">
        <v>243</v>
      </c>
      <c r="E293" t="s">
        <v>333</v>
      </c>
      <c r="F293" t="s">
        <v>266</v>
      </c>
      <c r="G293" t="s">
        <v>44</v>
      </c>
      <c r="H293">
        <v>153</v>
      </c>
      <c r="I293" t="str">
        <f t="shared" si="4"/>
        <v>High-Rise Row (Town) Houses|CMILL|Average</v>
      </c>
      <c r="J293" t="s">
        <v>334</v>
      </c>
    </row>
    <row r="294" spans="2:10">
      <c r="B294" t="s">
        <v>331</v>
      </c>
      <c r="C294" t="s">
        <v>332</v>
      </c>
      <c r="D294" t="s">
        <v>243</v>
      </c>
      <c r="E294" t="s">
        <v>333</v>
      </c>
      <c r="F294" t="s">
        <v>255</v>
      </c>
      <c r="G294" t="s">
        <v>231</v>
      </c>
      <c r="H294">
        <v>218</v>
      </c>
      <c r="I294" t="str">
        <f t="shared" si="4"/>
        <v>High-Rise Row (Town) Houses|DMASVEN|Excellent</v>
      </c>
      <c r="J294" t="s">
        <v>334</v>
      </c>
    </row>
    <row r="295" spans="2:10">
      <c r="B295" t="s">
        <v>331</v>
      </c>
      <c r="C295" t="s">
        <v>332</v>
      </c>
      <c r="D295" t="s">
        <v>243</v>
      </c>
      <c r="E295" t="s">
        <v>333</v>
      </c>
      <c r="F295" t="s">
        <v>255</v>
      </c>
      <c r="G295" t="s">
        <v>229</v>
      </c>
      <c r="H295">
        <v>163</v>
      </c>
      <c r="I295" t="str">
        <f t="shared" si="4"/>
        <v>High-Rise Row (Town) Houses|DMASVEN|Good</v>
      </c>
      <c r="J295" t="s">
        <v>334</v>
      </c>
    </row>
    <row r="296" spans="2:10">
      <c r="B296" t="s">
        <v>331</v>
      </c>
      <c r="C296" t="s">
        <v>332</v>
      </c>
      <c r="D296" t="s">
        <v>243</v>
      </c>
      <c r="E296" t="s">
        <v>333</v>
      </c>
      <c r="F296" t="s">
        <v>255</v>
      </c>
      <c r="G296" t="s">
        <v>44</v>
      </c>
      <c r="H296">
        <v>125</v>
      </c>
      <c r="I296" t="str">
        <f t="shared" si="4"/>
        <v>High-Rise Row (Town) Houses|DMASVEN|Average</v>
      </c>
      <c r="J296" t="s">
        <v>334</v>
      </c>
    </row>
    <row r="297" spans="2:10">
      <c r="B297" t="s">
        <v>331</v>
      </c>
      <c r="C297" t="s">
        <v>332</v>
      </c>
      <c r="D297" t="s">
        <v>243</v>
      </c>
      <c r="E297" t="s">
        <v>333</v>
      </c>
      <c r="F297" t="s">
        <v>214</v>
      </c>
      <c r="G297" t="s">
        <v>231</v>
      </c>
      <c r="H297">
        <v>209</v>
      </c>
      <c r="I297" t="str">
        <f t="shared" si="4"/>
        <v>High-Rise Row (Town) Houses|D|Excellent</v>
      </c>
      <c r="J297" t="s">
        <v>334</v>
      </c>
    </row>
    <row r="298" spans="2:10">
      <c r="B298" t="s">
        <v>331</v>
      </c>
      <c r="C298" t="s">
        <v>332</v>
      </c>
      <c r="D298" t="s">
        <v>243</v>
      </c>
      <c r="E298" t="s">
        <v>333</v>
      </c>
      <c r="F298" t="s">
        <v>214</v>
      </c>
      <c r="G298" t="s">
        <v>229</v>
      </c>
      <c r="H298">
        <v>157</v>
      </c>
      <c r="I298" t="str">
        <f t="shared" si="4"/>
        <v>High-Rise Row (Town) Houses|D|Good</v>
      </c>
      <c r="J298" t="s">
        <v>334</v>
      </c>
    </row>
    <row r="299" spans="2:10">
      <c r="B299" t="s">
        <v>331</v>
      </c>
      <c r="C299" t="s">
        <v>332</v>
      </c>
      <c r="D299" t="s">
        <v>243</v>
      </c>
      <c r="E299" t="s">
        <v>333</v>
      </c>
      <c r="F299" t="s">
        <v>214</v>
      </c>
      <c r="G299" t="s">
        <v>44</v>
      </c>
      <c r="H299">
        <v>121</v>
      </c>
      <c r="I299" t="str">
        <f t="shared" si="4"/>
        <v>High-Rise Row (Town) Houses|D|Average</v>
      </c>
      <c r="J299" t="s">
        <v>334</v>
      </c>
    </row>
    <row r="300" spans="2:10">
      <c r="B300" t="s">
        <v>335</v>
      </c>
      <c r="C300" t="s">
        <v>336</v>
      </c>
      <c r="D300" t="s">
        <v>337</v>
      </c>
      <c r="E300" t="s">
        <v>338</v>
      </c>
      <c r="F300" t="s">
        <v>209</v>
      </c>
      <c r="G300" t="s">
        <v>231</v>
      </c>
      <c r="H300">
        <v>237</v>
      </c>
      <c r="I300" t="str">
        <f t="shared" si="4"/>
        <v>Motels|C|Excellent</v>
      </c>
      <c r="J300" t="s">
        <v>339</v>
      </c>
    </row>
    <row r="301" spans="2:10">
      <c r="B301" t="s">
        <v>335</v>
      </c>
      <c r="C301" t="s">
        <v>336</v>
      </c>
      <c r="D301" t="s">
        <v>337</v>
      </c>
      <c r="E301" t="s">
        <v>338</v>
      </c>
      <c r="F301" t="s">
        <v>209</v>
      </c>
      <c r="G301" t="s">
        <v>229</v>
      </c>
      <c r="H301">
        <v>176</v>
      </c>
      <c r="I301" t="str">
        <f t="shared" si="4"/>
        <v>Motels|C|Good</v>
      </c>
      <c r="J301" t="s">
        <v>339</v>
      </c>
    </row>
    <row r="302" spans="2:10">
      <c r="B302" t="s">
        <v>335</v>
      </c>
      <c r="C302" t="s">
        <v>336</v>
      </c>
      <c r="D302" t="s">
        <v>337</v>
      </c>
      <c r="E302" t="s">
        <v>338</v>
      </c>
      <c r="F302" t="s">
        <v>209</v>
      </c>
      <c r="G302" t="s">
        <v>44</v>
      </c>
      <c r="H302">
        <v>128</v>
      </c>
      <c r="I302" t="str">
        <f t="shared" si="4"/>
        <v>Motels|C|Average</v>
      </c>
      <c r="J302" t="s">
        <v>339</v>
      </c>
    </row>
    <row r="303" spans="2:10">
      <c r="B303" t="s">
        <v>335</v>
      </c>
      <c r="C303" t="s">
        <v>336</v>
      </c>
      <c r="D303" t="s">
        <v>337</v>
      </c>
      <c r="E303" t="s">
        <v>338</v>
      </c>
      <c r="F303" t="s">
        <v>209</v>
      </c>
      <c r="G303" t="s">
        <v>302</v>
      </c>
      <c r="H303">
        <v>112</v>
      </c>
      <c r="I303" t="str">
        <f t="shared" si="4"/>
        <v>Motels|C|Fair</v>
      </c>
      <c r="J303" t="s">
        <v>339</v>
      </c>
    </row>
    <row r="304" spans="2:10">
      <c r="B304" t="s">
        <v>335</v>
      </c>
      <c r="C304" t="s">
        <v>336</v>
      </c>
      <c r="D304" t="s">
        <v>337</v>
      </c>
      <c r="E304" t="s">
        <v>338</v>
      </c>
      <c r="F304" t="s">
        <v>209</v>
      </c>
      <c r="G304" t="s">
        <v>226</v>
      </c>
      <c r="H304">
        <v>95</v>
      </c>
      <c r="I304" t="str">
        <f t="shared" si="4"/>
        <v>Motels|C|Low Cost</v>
      </c>
      <c r="J304" t="s">
        <v>339</v>
      </c>
    </row>
    <row r="305" spans="2:10">
      <c r="B305" t="s">
        <v>335</v>
      </c>
      <c r="C305" t="s">
        <v>336</v>
      </c>
      <c r="D305" t="s">
        <v>337</v>
      </c>
      <c r="E305" t="s">
        <v>338</v>
      </c>
      <c r="F305" t="s">
        <v>209</v>
      </c>
      <c r="G305" t="s">
        <v>314</v>
      </c>
      <c r="H305">
        <v>79</v>
      </c>
      <c r="I305" t="str">
        <f t="shared" si="4"/>
        <v>Motels|C|Cheap</v>
      </c>
      <c r="J305" t="s">
        <v>339</v>
      </c>
    </row>
    <row r="306" spans="2:10">
      <c r="B306" t="s">
        <v>335</v>
      </c>
      <c r="C306" t="s">
        <v>336</v>
      </c>
      <c r="D306" t="s">
        <v>337</v>
      </c>
      <c r="E306" t="s">
        <v>338</v>
      </c>
      <c r="F306" t="s">
        <v>214</v>
      </c>
      <c r="G306" t="s">
        <v>231</v>
      </c>
      <c r="H306">
        <v>233</v>
      </c>
      <c r="I306" t="str">
        <f t="shared" si="4"/>
        <v>Motels|D|Excellent</v>
      </c>
      <c r="J306" t="s">
        <v>339</v>
      </c>
    </row>
    <row r="307" spans="2:10">
      <c r="B307" t="s">
        <v>335</v>
      </c>
      <c r="C307" t="s">
        <v>336</v>
      </c>
      <c r="D307" t="s">
        <v>337</v>
      </c>
      <c r="E307" t="s">
        <v>338</v>
      </c>
      <c r="F307" t="s">
        <v>214</v>
      </c>
      <c r="G307" t="s">
        <v>229</v>
      </c>
      <c r="H307">
        <v>172</v>
      </c>
      <c r="I307" t="str">
        <f t="shared" si="4"/>
        <v>Motels|D|Good</v>
      </c>
      <c r="J307" t="s">
        <v>339</v>
      </c>
    </row>
    <row r="308" spans="2:10">
      <c r="B308" t="s">
        <v>335</v>
      </c>
      <c r="C308" t="s">
        <v>336</v>
      </c>
      <c r="D308" t="s">
        <v>337</v>
      </c>
      <c r="E308" t="s">
        <v>338</v>
      </c>
      <c r="F308" t="s">
        <v>214</v>
      </c>
      <c r="G308" t="s">
        <v>44</v>
      </c>
      <c r="H308">
        <v>125</v>
      </c>
      <c r="I308" t="str">
        <f t="shared" si="4"/>
        <v>Motels|D|Average</v>
      </c>
      <c r="J308" t="s">
        <v>339</v>
      </c>
    </row>
    <row r="309" spans="2:10">
      <c r="B309" t="s">
        <v>335</v>
      </c>
      <c r="C309" t="s">
        <v>336</v>
      </c>
      <c r="D309" t="s">
        <v>337</v>
      </c>
      <c r="E309" t="s">
        <v>338</v>
      </c>
      <c r="F309" t="s">
        <v>214</v>
      </c>
      <c r="G309" t="s">
        <v>302</v>
      </c>
      <c r="H309">
        <v>109</v>
      </c>
      <c r="I309" t="str">
        <f t="shared" si="4"/>
        <v>Motels|D|Fair</v>
      </c>
      <c r="J309" t="s">
        <v>339</v>
      </c>
    </row>
    <row r="310" spans="2:10">
      <c r="B310" t="s">
        <v>335</v>
      </c>
      <c r="C310" t="s">
        <v>336</v>
      </c>
      <c r="D310" t="s">
        <v>337</v>
      </c>
      <c r="E310" t="s">
        <v>338</v>
      </c>
      <c r="F310" t="s">
        <v>214</v>
      </c>
      <c r="G310" t="s">
        <v>226</v>
      </c>
      <c r="H310">
        <v>92.5</v>
      </c>
      <c r="I310" t="str">
        <f t="shared" si="4"/>
        <v>Motels|D|Low Cost</v>
      </c>
      <c r="J310" t="s">
        <v>339</v>
      </c>
    </row>
    <row r="311" spans="2:10">
      <c r="B311" t="s">
        <v>335</v>
      </c>
      <c r="C311" t="s">
        <v>336</v>
      </c>
      <c r="D311" t="s">
        <v>337</v>
      </c>
      <c r="E311" t="s">
        <v>338</v>
      </c>
      <c r="F311" t="s">
        <v>214</v>
      </c>
      <c r="G311" t="s">
        <v>314</v>
      </c>
      <c r="H311">
        <v>77</v>
      </c>
      <c r="I311" t="str">
        <f t="shared" si="4"/>
        <v>Motels|D|Cheap</v>
      </c>
      <c r="J311" t="s">
        <v>339</v>
      </c>
    </row>
    <row r="312" spans="2:10">
      <c r="B312" t="s">
        <v>335</v>
      </c>
      <c r="C312" t="s">
        <v>336</v>
      </c>
      <c r="D312" t="s">
        <v>337</v>
      </c>
      <c r="E312" t="s">
        <v>338</v>
      </c>
      <c r="F312" t="s">
        <v>219</v>
      </c>
      <c r="G312" t="s">
        <v>44</v>
      </c>
      <c r="H312">
        <v>122</v>
      </c>
      <c r="I312" t="str">
        <f t="shared" si="4"/>
        <v>Motels|S|Average</v>
      </c>
      <c r="J312" t="s">
        <v>339</v>
      </c>
    </row>
    <row r="313" spans="2:10">
      <c r="B313" t="s">
        <v>340</v>
      </c>
      <c r="C313" t="s">
        <v>341</v>
      </c>
      <c r="D313" t="s">
        <v>337</v>
      </c>
      <c r="E313" t="s">
        <v>342</v>
      </c>
      <c r="F313" t="s">
        <v>209</v>
      </c>
      <c r="G313" t="s">
        <v>231</v>
      </c>
      <c r="H313">
        <v>115</v>
      </c>
      <c r="I313" t="str">
        <f t="shared" si="4"/>
        <v>Shell Motels|C|Excellent</v>
      </c>
      <c r="J313" t="s">
        <v>343</v>
      </c>
    </row>
    <row r="314" spans="2:10">
      <c r="B314" t="s">
        <v>340</v>
      </c>
      <c r="C314" t="s">
        <v>341</v>
      </c>
      <c r="D314" t="s">
        <v>337</v>
      </c>
      <c r="E314" t="s">
        <v>342</v>
      </c>
      <c r="F314" t="s">
        <v>209</v>
      </c>
      <c r="G314" t="s">
        <v>229</v>
      </c>
      <c r="H314">
        <v>89</v>
      </c>
      <c r="I314" t="str">
        <f t="shared" si="4"/>
        <v>Shell Motels|C|Good</v>
      </c>
      <c r="J314" t="s">
        <v>343</v>
      </c>
    </row>
    <row r="315" spans="2:10">
      <c r="B315" t="s">
        <v>340</v>
      </c>
      <c r="C315" t="s">
        <v>341</v>
      </c>
      <c r="D315" t="s">
        <v>337</v>
      </c>
      <c r="E315" t="s">
        <v>342</v>
      </c>
      <c r="F315" t="s">
        <v>209</v>
      </c>
      <c r="G315" t="s">
        <v>44</v>
      </c>
      <c r="H315">
        <v>69</v>
      </c>
      <c r="I315" t="str">
        <f t="shared" si="4"/>
        <v>Shell Motels|C|Average</v>
      </c>
      <c r="J315" t="s">
        <v>343</v>
      </c>
    </row>
    <row r="316" spans="2:10">
      <c r="B316" t="s">
        <v>340</v>
      </c>
      <c r="C316" t="s">
        <v>341</v>
      </c>
      <c r="D316" t="s">
        <v>337</v>
      </c>
      <c r="E316" t="s">
        <v>342</v>
      </c>
      <c r="F316" t="s">
        <v>209</v>
      </c>
      <c r="G316" t="s">
        <v>302</v>
      </c>
      <c r="H316">
        <v>61</v>
      </c>
      <c r="I316" t="str">
        <f t="shared" si="4"/>
        <v>Shell Motels|C|Fair</v>
      </c>
      <c r="J316" t="s">
        <v>343</v>
      </c>
    </row>
    <row r="317" spans="2:10">
      <c r="B317" t="s">
        <v>340</v>
      </c>
      <c r="C317" t="s">
        <v>341</v>
      </c>
      <c r="D317" t="s">
        <v>337</v>
      </c>
      <c r="E317" t="s">
        <v>342</v>
      </c>
      <c r="F317" t="s">
        <v>209</v>
      </c>
      <c r="G317" t="s">
        <v>226</v>
      </c>
      <c r="H317">
        <v>53.5</v>
      </c>
      <c r="I317" t="str">
        <f t="shared" si="4"/>
        <v>Shell Motels|C|Low Cost</v>
      </c>
      <c r="J317" t="s">
        <v>343</v>
      </c>
    </row>
    <row r="318" spans="2:10">
      <c r="B318" t="s">
        <v>340</v>
      </c>
      <c r="C318" t="s">
        <v>341</v>
      </c>
      <c r="D318" t="s">
        <v>337</v>
      </c>
      <c r="E318" t="s">
        <v>342</v>
      </c>
      <c r="F318" t="s">
        <v>209</v>
      </c>
      <c r="G318" t="s">
        <v>314</v>
      </c>
      <c r="H318">
        <v>45.25</v>
      </c>
      <c r="I318" t="str">
        <f t="shared" si="4"/>
        <v>Shell Motels|C|Cheap</v>
      </c>
      <c r="J318" t="s">
        <v>343</v>
      </c>
    </row>
    <row r="319" spans="2:10">
      <c r="B319" t="s">
        <v>340</v>
      </c>
      <c r="C319" t="s">
        <v>341</v>
      </c>
      <c r="D319" t="s">
        <v>337</v>
      </c>
      <c r="E319" t="s">
        <v>342</v>
      </c>
      <c r="F319" t="s">
        <v>214</v>
      </c>
      <c r="G319" t="s">
        <v>231</v>
      </c>
      <c r="H319">
        <v>110</v>
      </c>
      <c r="I319" t="str">
        <f t="shared" si="4"/>
        <v>Shell Motels|D|Excellent</v>
      </c>
      <c r="J319" t="s">
        <v>343</v>
      </c>
    </row>
    <row r="320" spans="2:10">
      <c r="B320" t="s">
        <v>340</v>
      </c>
      <c r="C320" t="s">
        <v>341</v>
      </c>
      <c r="D320" t="s">
        <v>337</v>
      </c>
      <c r="E320" t="s">
        <v>342</v>
      </c>
      <c r="F320" t="s">
        <v>214</v>
      </c>
      <c r="G320" t="s">
        <v>229</v>
      </c>
      <c r="H320">
        <v>85</v>
      </c>
      <c r="I320" t="str">
        <f t="shared" si="4"/>
        <v>Shell Motels|D|Good</v>
      </c>
      <c r="J320" t="s">
        <v>343</v>
      </c>
    </row>
    <row r="321" spans="2:10">
      <c r="B321" t="s">
        <v>340</v>
      </c>
      <c r="C321" t="s">
        <v>341</v>
      </c>
      <c r="D321" t="s">
        <v>337</v>
      </c>
      <c r="E321" t="s">
        <v>342</v>
      </c>
      <c r="F321" t="s">
        <v>214</v>
      </c>
      <c r="G321" t="s">
        <v>44</v>
      </c>
      <c r="H321">
        <v>65.5</v>
      </c>
      <c r="I321" t="str">
        <f t="shared" si="4"/>
        <v>Shell Motels|D|Average</v>
      </c>
      <c r="J321" t="s">
        <v>343</v>
      </c>
    </row>
    <row r="322" spans="2:10">
      <c r="B322" t="s">
        <v>340</v>
      </c>
      <c r="C322" t="s">
        <v>341</v>
      </c>
      <c r="D322" t="s">
        <v>337</v>
      </c>
      <c r="E322" t="s">
        <v>342</v>
      </c>
      <c r="F322" t="s">
        <v>214</v>
      </c>
      <c r="G322" t="s">
        <v>302</v>
      </c>
      <c r="H322">
        <v>57.5</v>
      </c>
      <c r="I322" t="str">
        <f t="shared" si="4"/>
        <v>Shell Motels|D|Fair</v>
      </c>
      <c r="J322" t="s">
        <v>343</v>
      </c>
    </row>
    <row r="323" spans="2:10">
      <c r="B323" t="s">
        <v>340</v>
      </c>
      <c r="C323" t="s">
        <v>341</v>
      </c>
      <c r="D323" t="s">
        <v>337</v>
      </c>
      <c r="E323" t="s">
        <v>342</v>
      </c>
      <c r="F323" t="s">
        <v>214</v>
      </c>
      <c r="G323" t="s">
        <v>226</v>
      </c>
      <c r="H323">
        <v>50.5</v>
      </c>
      <c r="I323" t="str">
        <f t="shared" si="4"/>
        <v>Shell Motels|D|Low Cost</v>
      </c>
      <c r="J323" t="s">
        <v>343</v>
      </c>
    </row>
    <row r="324" spans="2:10">
      <c r="B324" t="s">
        <v>340</v>
      </c>
      <c r="C324" t="s">
        <v>341</v>
      </c>
      <c r="D324" t="s">
        <v>337</v>
      </c>
      <c r="E324" t="s">
        <v>342</v>
      </c>
      <c r="F324" t="s">
        <v>214</v>
      </c>
      <c r="G324" t="s">
        <v>314</v>
      </c>
      <c r="H324">
        <v>42.75</v>
      </c>
      <c r="I324" t="str">
        <f t="shared" si="4"/>
        <v>Shell Motels|D|Cheap</v>
      </c>
      <c r="J324" t="s">
        <v>343</v>
      </c>
    </row>
    <row r="325" spans="2:10">
      <c r="B325" t="s">
        <v>340</v>
      </c>
      <c r="C325" t="s">
        <v>341</v>
      </c>
      <c r="D325" t="s">
        <v>337</v>
      </c>
      <c r="E325" t="s">
        <v>342</v>
      </c>
      <c r="F325" t="s">
        <v>219</v>
      </c>
      <c r="G325" t="s">
        <v>44</v>
      </c>
      <c r="H325">
        <v>63.5</v>
      </c>
      <c r="I325" t="str">
        <f t="shared" si="4"/>
        <v>Shell Motels|S|Average</v>
      </c>
      <c r="J325" t="s">
        <v>343</v>
      </c>
    </row>
    <row r="326" spans="2:10">
      <c r="B326" t="s">
        <v>344</v>
      </c>
      <c r="C326" t="s">
        <v>345</v>
      </c>
      <c r="D326" t="s">
        <v>337</v>
      </c>
      <c r="E326" t="s">
        <v>243</v>
      </c>
      <c r="F326" t="s">
        <v>209</v>
      </c>
      <c r="G326" t="s">
        <v>231</v>
      </c>
      <c r="H326">
        <v>189</v>
      </c>
      <c r="I326" t="str">
        <f t="shared" si="4"/>
        <v>Extended-Stay Motels|C|Excellent</v>
      </c>
      <c r="J326" t="s">
        <v>346</v>
      </c>
    </row>
    <row r="327" spans="2:10">
      <c r="B327" t="s">
        <v>344</v>
      </c>
      <c r="C327" t="s">
        <v>345</v>
      </c>
      <c r="D327" t="s">
        <v>337</v>
      </c>
      <c r="E327" t="s">
        <v>243</v>
      </c>
      <c r="F327" t="s">
        <v>209</v>
      </c>
      <c r="G327" t="s">
        <v>229</v>
      </c>
      <c r="H327">
        <v>152</v>
      </c>
      <c r="I327" t="str">
        <f t="shared" si="4"/>
        <v>Extended-Stay Motels|C|Good</v>
      </c>
      <c r="J327" t="s">
        <v>346</v>
      </c>
    </row>
    <row r="328" spans="2:10">
      <c r="B328" t="s">
        <v>344</v>
      </c>
      <c r="C328" t="s">
        <v>345</v>
      </c>
      <c r="D328" t="s">
        <v>337</v>
      </c>
      <c r="E328" t="s">
        <v>243</v>
      </c>
      <c r="F328" t="s">
        <v>209</v>
      </c>
      <c r="G328" t="s">
        <v>44</v>
      </c>
      <c r="H328">
        <v>121</v>
      </c>
      <c r="I328" t="str">
        <f t="shared" si="4"/>
        <v>Extended-Stay Motels|C|Average</v>
      </c>
      <c r="J328" t="s">
        <v>346</v>
      </c>
    </row>
    <row r="329" spans="2:10">
      <c r="B329" t="s">
        <v>344</v>
      </c>
      <c r="C329" t="s">
        <v>345</v>
      </c>
      <c r="D329" t="s">
        <v>337</v>
      </c>
      <c r="E329" t="s">
        <v>243</v>
      </c>
      <c r="F329" t="s">
        <v>209</v>
      </c>
      <c r="G329" t="s">
        <v>302</v>
      </c>
      <c r="H329">
        <v>109</v>
      </c>
      <c r="I329" t="str">
        <f t="shared" si="4"/>
        <v>Extended-Stay Motels|C|Fair</v>
      </c>
      <c r="J329" t="s">
        <v>346</v>
      </c>
    </row>
    <row r="330" spans="2:10">
      <c r="B330" t="s">
        <v>344</v>
      </c>
      <c r="C330" t="s">
        <v>345</v>
      </c>
      <c r="D330" t="s">
        <v>337</v>
      </c>
      <c r="E330" t="s">
        <v>243</v>
      </c>
      <c r="F330" t="s">
        <v>209</v>
      </c>
      <c r="G330" t="s">
        <v>226</v>
      </c>
      <c r="H330">
        <v>98.5</v>
      </c>
      <c r="I330" t="str">
        <f t="shared" si="4"/>
        <v>Extended-Stay Motels|C|Low Cost</v>
      </c>
      <c r="J330" t="s">
        <v>346</v>
      </c>
    </row>
    <row r="331" spans="2:10">
      <c r="B331" t="s">
        <v>344</v>
      </c>
      <c r="C331" t="s">
        <v>345</v>
      </c>
      <c r="D331" t="s">
        <v>337</v>
      </c>
      <c r="E331" t="s">
        <v>243</v>
      </c>
      <c r="F331" t="s">
        <v>214</v>
      </c>
      <c r="G331" t="s">
        <v>231</v>
      </c>
      <c r="H331">
        <v>184</v>
      </c>
      <c r="I331" t="str">
        <f t="shared" si="4"/>
        <v>Extended-Stay Motels|D|Excellent</v>
      </c>
      <c r="J331" t="s">
        <v>346</v>
      </c>
    </row>
    <row r="332" spans="2:10">
      <c r="B332" t="s">
        <v>344</v>
      </c>
      <c r="C332" t="s">
        <v>345</v>
      </c>
      <c r="D332" t="s">
        <v>337</v>
      </c>
      <c r="E332" t="s">
        <v>243</v>
      </c>
      <c r="F332" t="s">
        <v>214</v>
      </c>
      <c r="G332" t="s">
        <v>229</v>
      </c>
      <c r="H332">
        <v>148</v>
      </c>
      <c r="I332" t="str">
        <f t="shared" si="4"/>
        <v>Extended-Stay Motels|D|Good</v>
      </c>
      <c r="J332" t="s">
        <v>346</v>
      </c>
    </row>
    <row r="333" spans="2:10">
      <c r="B333" t="s">
        <v>344</v>
      </c>
      <c r="C333" t="s">
        <v>345</v>
      </c>
      <c r="D333" t="s">
        <v>337</v>
      </c>
      <c r="E333" t="s">
        <v>243</v>
      </c>
      <c r="F333" t="s">
        <v>214</v>
      </c>
      <c r="G333" t="s">
        <v>44</v>
      </c>
      <c r="H333">
        <v>117</v>
      </c>
      <c r="I333" t="str">
        <f t="shared" si="4"/>
        <v>Extended-Stay Motels|D|Average</v>
      </c>
      <c r="J333" t="s">
        <v>346</v>
      </c>
    </row>
    <row r="334" spans="2:10">
      <c r="B334" t="s">
        <v>344</v>
      </c>
      <c r="C334" t="s">
        <v>345</v>
      </c>
      <c r="D334" t="s">
        <v>337</v>
      </c>
      <c r="E334" t="s">
        <v>243</v>
      </c>
      <c r="F334" t="s">
        <v>214</v>
      </c>
      <c r="G334" t="s">
        <v>302</v>
      </c>
      <c r="H334">
        <v>106</v>
      </c>
      <c r="I334" t="str">
        <f t="shared" si="4"/>
        <v>Extended-Stay Motels|D|Fair</v>
      </c>
      <c r="J334" t="s">
        <v>346</v>
      </c>
    </row>
    <row r="335" spans="2:10">
      <c r="B335" t="s">
        <v>344</v>
      </c>
      <c r="C335" t="s">
        <v>345</v>
      </c>
      <c r="D335" t="s">
        <v>337</v>
      </c>
      <c r="E335" t="s">
        <v>243</v>
      </c>
      <c r="F335" t="s">
        <v>214</v>
      </c>
      <c r="G335" t="s">
        <v>226</v>
      </c>
      <c r="H335">
        <v>96</v>
      </c>
      <c r="I335" t="str">
        <f t="shared" si="4"/>
        <v>Extended-Stay Motels|D|Low Cost</v>
      </c>
      <c r="J335" t="s">
        <v>346</v>
      </c>
    </row>
    <row r="336" spans="2:10">
      <c r="B336" t="s">
        <v>347</v>
      </c>
      <c r="C336" t="s">
        <v>348</v>
      </c>
      <c r="D336" t="s">
        <v>337</v>
      </c>
      <c r="E336" t="s">
        <v>337</v>
      </c>
      <c r="F336" t="s">
        <v>209</v>
      </c>
      <c r="G336" t="s">
        <v>231</v>
      </c>
      <c r="H336">
        <v>107</v>
      </c>
      <c r="I336" t="str">
        <f t="shared" si="4"/>
        <v>Shell Extended Stay - Motels|C|Excellent</v>
      </c>
      <c r="J336" t="s">
        <v>349</v>
      </c>
    </row>
    <row r="337" spans="2:10">
      <c r="B337" t="s">
        <v>347</v>
      </c>
      <c r="C337" t="s">
        <v>348</v>
      </c>
      <c r="D337" t="s">
        <v>337</v>
      </c>
      <c r="E337" t="s">
        <v>337</v>
      </c>
      <c r="F337" t="s">
        <v>209</v>
      </c>
      <c r="G337" t="s">
        <v>229</v>
      </c>
      <c r="H337">
        <v>88.5</v>
      </c>
      <c r="I337" t="str">
        <f t="shared" si="4"/>
        <v>Shell Extended Stay - Motels|C|Good</v>
      </c>
      <c r="J337" t="s">
        <v>349</v>
      </c>
    </row>
    <row r="338" spans="2:10">
      <c r="B338" t="s">
        <v>347</v>
      </c>
      <c r="C338" t="s">
        <v>348</v>
      </c>
      <c r="D338" t="s">
        <v>337</v>
      </c>
      <c r="E338" t="s">
        <v>337</v>
      </c>
      <c r="F338" t="s">
        <v>209</v>
      </c>
      <c r="G338" t="s">
        <v>44</v>
      </c>
      <c r="H338">
        <v>73</v>
      </c>
      <c r="I338" t="str">
        <f t="shared" si="4"/>
        <v>Shell Extended Stay - Motels|C|Average</v>
      </c>
      <c r="J338" t="s">
        <v>349</v>
      </c>
    </row>
    <row r="339" spans="2:10">
      <c r="B339" t="s">
        <v>347</v>
      </c>
      <c r="C339" t="s">
        <v>348</v>
      </c>
      <c r="D339" t="s">
        <v>337</v>
      </c>
      <c r="E339" t="s">
        <v>337</v>
      </c>
      <c r="F339" t="s">
        <v>209</v>
      </c>
      <c r="G339" t="s">
        <v>302</v>
      </c>
      <c r="H339">
        <v>66.5</v>
      </c>
      <c r="I339" t="str">
        <f t="shared" si="4"/>
        <v>Shell Extended Stay - Motels|C|Fair</v>
      </c>
      <c r="J339" t="s">
        <v>349</v>
      </c>
    </row>
    <row r="340" spans="2:10">
      <c r="B340" t="s">
        <v>347</v>
      </c>
      <c r="C340" t="s">
        <v>348</v>
      </c>
      <c r="D340" t="s">
        <v>337</v>
      </c>
      <c r="E340" t="s">
        <v>337</v>
      </c>
      <c r="F340" t="s">
        <v>209</v>
      </c>
      <c r="G340" t="s">
        <v>226</v>
      </c>
      <c r="H340">
        <v>60.5</v>
      </c>
      <c r="I340" t="str">
        <f t="shared" si="4"/>
        <v>Shell Extended Stay - Motels|C|Low Cost</v>
      </c>
      <c r="J340" t="s">
        <v>349</v>
      </c>
    </row>
    <row r="341" spans="2:10">
      <c r="B341" t="s">
        <v>347</v>
      </c>
      <c r="C341" t="s">
        <v>348</v>
      </c>
      <c r="D341" t="s">
        <v>337</v>
      </c>
      <c r="E341" t="s">
        <v>337</v>
      </c>
      <c r="F341" t="s">
        <v>214</v>
      </c>
      <c r="G341" t="s">
        <v>231</v>
      </c>
      <c r="H341">
        <v>101</v>
      </c>
      <c r="I341" t="str">
        <f t="shared" si="4"/>
        <v>Shell Extended Stay - Motels|D|Excellent</v>
      </c>
      <c r="J341" t="s">
        <v>349</v>
      </c>
    </row>
    <row r="342" spans="2:10">
      <c r="B342" t="s">
        <v>347</v>
      </c>
      <c r="C342" t="s">
        <v>348</v>
      </c>
      <c r="D342" t="s">
        <v>337</v>
      </c>
      <c r="E342" t="s">
        <v>337</v>
      </c>
      <c r="F342" t="s">
        <v>214</v>
      </c>
      <c r="G342" t="s">
        <v>229</v>
      </c>
      <c r="H342">
        <v>83.5</v>
      </c>
      <c r="I342" t="str">
        <f t="shared" si="4"/>
        <v>Shell Extended Stay - Motels|D|Good</v>
      </c>
      <c r="J342" t="s">
        <v>349</v>
      </c>
    </row>
    <row r="343" spans="2:10">
      <c r="B343" t="s">
        <v>347</v>
      </c>
      <c r="C343" t="s">
        <v>348</v>
      </c>
      <c r="D343" t="s">
        <v>337</v>
      </c>
      <c r="E343" t="s">
        <v>337</v>
      </c>
      <c r="F343" t="s">
        <v>214</v>
      </c>
      <c r="G343" t="s">
        <v>44</v>
      </c>
      <c r="H343">
        <v>69.5</v>
      </c>
      <c r="I343" t="str">
        <f t="shared" si="4"/>
        <v>Shell Extended Stay - Motels|D|Average</v>
      </c>
      <c r="J343" t="s">
        <v>349</v>
      </c>
    </row>
    <row r="344" spans="2:10">
      <c r="B344" t="s">
        <v>347</v>
      </c>
      <c r="C344" t="s">
        <v>348</v>
      </c>
      <c r="D344" t="s">
        <v>337</v>
      </c>
      <c r="E344" t="s">
        <v>337</v>
      </c>
      <c r="F344" t="s">
        <v>214</v>
      </c>
      <c r="G344" t="s">
        <v>302</v>
      </c>
      <c r="H344">
        <v>63</v>
      </c>
      <c r="I344" t="str">
        <f t="shared" si="4"/>
        <v>Shell Extended Stay - Motels|D|Fair</v>
      </c>
      <c r="J344" t="s">
        <v>349</v>
      </c>
    </row>
    <row r="345" spans="2:10">
      <c r="B345" t="s">
        <v>347</v>
      </c>
      <c r="C345" t="s">
        <v>348</v>
      </c>
      <c r="D345" t="s">
        <v>337</v>
      </c>
      <c r="E345" t="s">
        <v>337</v>
      </c>
      <c r="F345" t="s">
        <v>214</v>
      </c>
      <c r="G345" t="s">
        <v>226</v>
      </c>
      <c r="H345">
        <v>57.5</v>
      </c>
      <c r="I345" t="str">
        <f t="shared" si="4"/>
        <v>Shell Extended Stay - Motels|D|Low Cost</v>
      </c>
      <c r="J345" t="s">
        <v>349</v>
      </c>
    </row>
    <row r="346" spans="2:10">
      <c r="B346" t="s">
        <v>350</v>
      </c>
      <c r="C346" t="s">
        <v>351</v>
      </c>
      <c r="D346" t="s">
        <v>337</v>
      </c>
      <c r="E346" t="s">
        <v>244</v>
      </c>
      <c r="F346" t="s">
        <v>209</v>
      </c>
      <c r="G346" t="s">
        <v>231</v>
      </c>
      <c r="H346">
        <v>258</v>
      </c>
      <c r="I346" t="str">
        <f t="shared" si="4"/>
        <v>Office-Apartments|C|Excellent</v>
      </c>
      <c r="J346" t="s">
        <v>352</v>
      </c>
    </row>
    <row r="347" spans="2:10">
      <c r="B347" t="s">
        <v>350</v>
      </c>
      <c r="C347" t="s">
        <v>351</v>
      </c>
      <c r="D347" t="s">
        <v>337</v>
      </c>
      <c r="E347" t="s">
        <v>244</v>
      </c>
      <c r="F347" t="s">
        <v>209</v>
      </c>
      <c r="G347" t="s">
        <v>229</v>
      </c>
      <c r="H347">
        <v>186</v>
      </c>
      <c r="I347" t="str">
        <f t="shared" si="4"/>
        <v>Office-Apartments|C|Good</v>
      </c>
      <c r="J347" t="s">
        <v>352</v>
      </c>
    </row>
    <row r="348" spans="2:10">
      <c r="B348" t="s">
        <v>350</v>
      </c>
      <c r="C348" t="s">
        <v>351</v>
      </c>
      <c r="D348" t="s">
        <v>337</v>
      </c>
      <c r="E348" t="s">
        <v>244</v>
      </c>
      <c r="F348" t="s">
        <v>209</v>
      </c>
      <c r="G348" t="s">
        <v>44</v>
      </c>
      <c r="H348">
        <v>133</v>
      </c>
      <c r="I348" t="str">
        <f t="shared" si="4"/>
        <v>Office-Apartments|C|Average</v>
      </c>
      <c r="J348" t="s">
        <v>352</v>
      </c>
    </row>
    <row r="349" spans="2:10">
      <c r="B349" t="s">
        <v>350</v>
      </c>
      <c r="C349" t="s">
        <v>351</v>
      </c>
      <c r="D349" t="s">
        <v>337</v>
      </c>
      <c r="E349" t="s">
        <v>244</v>
      </c>
      <c r="F349" t="s">
        <v>209</v>
      </c>
      <c r="G349" t="s">
        <v>226</v>
      </c>
      <c r="H349">
        <v>94</v>
      </c>
      <c r="I349" t="str">
        <f t="shared" si="4"/>
        <v>Office-Apartments|C|Low Cost</v>
      </c>
      <c r="J349" t="s">
        <v>352</v>
      </c>
    </row>
    <row r="350" spans="2:10">
      <c r="B350" t="s">
        <v>350</v>
      </c>
      <c r="C350" t="s">
        <v>351</v>
      </c>
      <c r="D350" t="s">
        <v>337</v>
      </c>
      <c r="E350" t="s">
        <v>244</v>
      </c>
      <c r="F350" t="s">
        <v>209</v>
      </c>
      <c r="G350" t="s">
        <v>314</v>
      </c>
      <c r="H350">
        <v>78</v>
      </c>
      <c r="I350" t="str">
        <f t="shared" ref="I350:I413" si="5">B350&amp;"|"&amp;F350&amp;"|"&amp;G350</f>
        <v>Office-Apartments|C|Cheap</v>
      </c>
      <c r="J350" t="s">
        <v>352</v>
      </c>
    </row>
    <row r="351" spans="2:10">
      <c r="B351" t="s">
        <v>350</v>
      </c>
      <c r="C351" t="s">
        <v>351</v>
      </c>
      <c r="D351" t="s">
        <v>337</v>
      </c>
      <c r="E351" t="s">
        <v>244</v>
      </c>
      <c r="F351" t="s">
        <v>214</v>
      </c>
      <c r="G351" t="s">
        <v>231</v>
      </c>
      <c r="H351">
        <v>254</v>
      </c>
      <c r="I351" t="str">
        <f t="shared" si="5"/>
        <v>Office-Apartments|D|Excellent</v>
      </c>
      <c r="J351" t="s">
        <v>352</v>
      </c>
    </row>
    <row r="352" spans="2:10">
      <c r="B352" t="s">
        <v>350</v>
      </c>
      <c r="C352" t="s">
        <v>351</v>
      </c>
      <c r="D352" t="s">
        <v>337</v>
      </c>
      <c r="E352" t="s">
        <v>244</v>
      </c>
      <c r="F352" t="s">
        <v>214</v>
      </c>
      <c r="G352" t="s">
        <v>229</v>
      </c>
      <c r="H352">
        <v>182</v>
      </c>
      <c r="I352" t="str">
        <f t="shared" si="5"/>
        <v>Office-Apartments|D|Good</v>
      </c>
      <c r="J352" t="s">
        <v>352</v>
      </c>
    </row>
    <row r="353" spans="2:10">
      <c r="B353" t="s">
        <v>350</v>
      </c>
      <c r="C353" t="s">
        <v>351</v>
      </c>
      <c r="D353" t="s">
        <v>337</v>
      </c>
      <c r="E353" t="s">
        <v>244</v>
      </c>
      <c r="F353" t="s">
        <v>214</v>
      </c>
      <c r="G353" t="s">
        <v>44</v>
      </c>
      <c r="H353">
        <v>129</v>
      </c>
      <c r="I353" t="str">
        <f t="shared" si="5"/>
        <v>Office-Apartments|D|Average</v>
      </c>
      <c r="J353" t="s">
        <v>352</v>
      </c>
    </row>
    <row r="354" spans="2:10">
      <c r="B354" t="s">
        <v>350</v>
      </c>
      <c r="C354" t="s">
        <v>351</v>
      </c>
      <c r="D354" t="s">
        <v>337</v>
      </c>
      <c r="E354" t="s">
        <v>244</v>
      </c>
      <c r="F354" t="s">
        <v>214</v>
      </c>
      <c r="G354" t="s">
        <v>226</v>
      </c>
      <c r="H354">
        <v>91.5</v>
      </c>
      <c r="I354" t="str">
        <f t="shared" si="5"/>
        <v>Office-Apartments|D|Low Cost</v>
      </c>
      <c r="J354" t="s">
        <v>352</v>
      </c>
    </row>
    <row r="355" spans="2:10">
      <c r="B355" t="s">
        <v>350</v>
      </c>
      <c r="C355" t="s">
        <v>351</v>
      </c>
      <c r="D355" t="s">
        <v>337</v>
      </c>
      <c r="E355" t="s">
        <v>244</v>
      </c>
      <c r="F355" t="s">
        <v>214</v>
      </c>
      <c r="G355" t="s">
        <v>314</v>
      </c>
      <c r="H355">
        <v>75.5</v>
      </c>
      <c r="I355" t="str">
        <f t="shared" si="5"/>
        <v>Office-Apartments|D|Cheap</v>
      </c>
      <c r="J355" t="s">
        <v>352</v>
      </c>
    </row>
    <row r="356" spans="2:10">
      <c r="B356" t="s">
        <v>350</v>
      </c>
      <c r="C356" t="s">
        <v>351</v>
      </c>
      <c r="D356" t="s">
        <v>337</v>
      </c>
      <c r="E356" t="s">
        <v>244</v>
      </c>
      <c r="F356" t="s">
        <v>219</v>
      </c>
      <c r="G356" t="s">
        <v>44</v>
      </c>
      <c r="H356">
        <v>126</v>
      </c>
      <c r="I356" t="str">
        <f t="shared" si="5"/>
        <v>Office-Apartments|S|Average</v>
      </c>
      <c r="J356" t="s">
        <v>352</v>
      </c>
    </row>
    <row r="357" spans="2:10">
      <c r="B357" t="s">
        <v>353</v>
      </c>
      <c r="C357" t="s">
        <v>354</v>
      </c>
      <c r="D357" t="s">
        <v>337</v>
      </c>
      <c r="E357" t="s">
        <v>244</v>
      </c>
      <c r="F357" t="s">
        <v>209</v>
      </c>
      <c r="G357" t="s">
        <v>231</v>
      </c>
      <c r="H357">
        <v>226</v>
      </c>
      <c r="I357" t="str">
        <f t="shared" si="5"/>
        <v>Motel Guest Rooms|C|Excellent</v>
      </c>
      <c r="J357" t="s">
        <v>352</v>
      </c>
    </row>
    <row r="358" spans="2:10">
      <c r="B358" t="s">
        <v>353</v>
      </c>
      <c r="C358" t="s">
        <v>354</v>
      </c>
      <c r="D358" t="s">
        <v>337</v>
      </c>
      <c r="E358" t="s">
        <v>244</v>
      </c>
      <c r="F358" t="s">
        <v>209</v>
      </c>
      <c r="G358" t="s">
        <v>229</v>
      </c>
      <c r="H358">
        <v>171</v>
      </c>
      <c r="I358" t="str">
        <f t="shared" si="5"/>
        <v>Motel Guest Rooms|C|Good</v>
      </c>
      <c r="J358" t="s">
        <v>352</v>
      </c>
    </row>
    <row r="359" spans="2:10">
      <c r="B359" t="s">
        <v>353</v>
      </c>
      <c r="C359" t="s">
        <v>354</v>
      </c>
      <c r="D359" t="s">
        <v>337</v>
      </c>
      <c r="E359" t="s">
        <v>244</v>
      </c>
      <c r="F359" t="s">
        <v>209</v>
      </c>
      <c r="G359" t="s">
        <v>44</v>
      </c>
      <c r="H359">
        <v>126</v>
      </c>
      <c r="I359" t="str">
        <f t="shared" si="5"/>
        <v>Motel Guest Rooms|C|Average</v>
      </c>
      <c r="J359" t="s">
        <v>352</v>
      </c>
    </row>
    <row r="360" spans="2:10">
      <c r="B360" t="s">
        <v>353</v>
      </c>
      <c r="C360" t="s">
        <v>354</v>
      </c>
      <c r="D360" t="s">
        <v>337</v>
      </c>
      <c r="E360" t="s">
        <v>244</v>
      </c>
      <c r="F360" t="s">
        <v>209</v>
      </c>
      <c r="G360" t="s">
        <v>226</v>
      </c>
      <c r="H360">
        <v>95</v>
      </c>
      <c r="I360" t="str">
        <f t="shared" si="5"/>
        <v>Motel Guest Rooms|C|Low Cost</v>
      </c>
      <c r="J360" t="s">
        <v>352</v>
      </c>
    </row>
    <row r="361" spans="2:10">
      <c r="B361" t="s">
        <v>353</v>
      </c>
      <c r="C361" t="s">
        <v>354</v>
      </c>
      <c r="D361" t="s">
        <v>337</v>
      </c>
      <c r="E361" t="s">
        <v>244</v>
      </c>
      <c r="F361" t="s">
        <v>209</v>
      </c>
      <c r="G361" t="s">
        <v>314</v>
      </c>
      <c r="H361">
        <v>79.5</v>
      </c>
      <c r="I361" t="str">
        <f t="shared" si="5"/>
        <v>Motel Guest Rooms|C|Cheap</v>
      </c>
      <c r="J361" t="s">
        <v>352</v>
      </c>
    </row>
    <row r="362" spans="2:10">
      <c r="B362" t="s">
        <v>353</v>
      </c>
      <c r="C362" t="s">
        <v>354</v>
      </c>
      <c r="D362" t="s">
        <v>337</v>
      </c>
      <c r="E362" t="s">
        <v>244</v>
      </c>
      <c r="F362" t="s">
        <v>214</v>
      </c>
      <c r="G362" t="s">
        <v>231</v>
      </c>
      <c r="H362">
        <v>222</v>
      </c>
      <c r="I362" t="str">
        <f t="shared" si="5"/>
        <v>Motel Guest Rooms|D|Excellent</v>
      </c>
      <c r="J362" t="s">
        <v>352</v>
      </c>
    </row>
    <row r="363" spans="2:10">
      <c r="B363" t="s">
        <v>353</v>
      </c>
      <c r="C363" t="s">
        <v>354</v>
      </c>
      <c r="D363" t="s">
        <v>337</v>
      </c>
      <c r="E363" t="s">
        <v>244</v>
      </c>
      <c r="F363" t="s">
        <v>214</v>
      </c>
      <c r="G363" t="s">
        <v>229</v>
      </c>
      <c r="H363">
        <v>167</v>
      </c>
      <c r="I363" t="str">
        <f t="shared" si="5"/>
        <v>Motel Guest Rooms|D|Good</v>
      </c>
      <c r="J363" t="s">
        <v>352</v>
      </c>
    </row>
    <row r="364" spans="2:10">
      <c r="B364" t="s">
        <v>353</v>
      </c>
      <c r="C364" t="s">
        <v>354</v>
      </c>
      <c r="D364" t="s">
        <v>337</v>
      </c>
      <c r="E364" t="s">
        <v>244</v>
      </c>
      <c r="F364" t="s">
        <v>214</v>
      </c>
      <c r="G364" t="s">
        <v>44</v>
      </c>
      <c r="H364">
        <v>123</v>
      </c>
      <c r="I364" t="str">
        <f t="shared" si="5"/>
        <v>Motel Guest Rooms|D|Average</v>
      </c>
      <c r="J364" t="s">
        <v>352</v>
      </c>
    </row>
    <row r="365" spans="2:10">
      <c r="B365" t="s">
        <v>353</v>
      </c>
      <c r="C365" t="s">
        <v>354</v>
      </c>
      <c r="D365" t="s">
        <v>337</v>
      </c>
      <c r="E365" t="s">
        <v>244</v>
      </c>
      <c r="F365" t="s">
        <v>214</v>
      </c>
      <c r="G365" t="s">
        <v>226</v>
      </c>
      <c r="H365">
        <v>92.5</v>
      </c>
      <c r="I365" t="str">
        <f t="shared" si="5"/>
        <v>Motel Guest Rooms|D|Low Cost</v>
      </c>
      <c r="J365" t="s">
        <v>352</v>
      </c>
    </row>
    <row r="366" spans="2:10">
      <c r="B366" t="s">
        <v>353</v>
      </c>
      <c r="C366" t="s">
        <v>354</v>
      </c>
      <c r="D366" t="s">
        <v>337</v>
      </c>
      <c r="E366" t="s">
        <v>244</v>
      </c>
      <c r="F366" t="s">
        <v>214</v>
      </c>
      <c r="G366" t="s">
        <v>314</v>
      </c>
      <c r="H366">
        <v>77</v>
      </c>
      <c r="I366" t="str">
        <f t="shared" si="5"/>
        <v>Motel Guest Rooms|D|Cheap</v>
      </c>
      <c r="J366" t="s">
        <v>352</v>
      </c>
    </row>
    <row r="367" spans="2:10">
      <c r="B367" t="s">
        <v>353</v>
      </c>
      <c r="C367" t="s">
        <v>354</v>
      </c>
      <c r="D367" t="s">
        <v>337</v>
      </c>
      <c r="E367" t="s">
        <v>244</v>
      </c>
      <c r="F367" t="s">
        <v>219</v>
      </c>
      <c r="G367" t="s">
        <v>44</v>
      </c>
      <c r="H367">
        <v>120</v>
      </c>
      <c r="I367" t="str">
        <f t="shared" si="5"/>
        <v>Motel Guest Rooms|S|Average</v>
      </c>
      <c r="J367" t="s">
        <v>352</v>
      </c>
    </row>
    <row r="368" spans="2:10">
      <c r="B368" t="s">
        <v>355</v>
      </c>
      <c r="C368" t="s">
        <v>356</v>
      </c>
      <c r="D368" t="s">
        <v>337</v>
      </c>
      <c r="E368" t="s">
        <v>248</v>
      </c>
      <c r="F368" t="s">
        <v>209</v>
      </c>
      <c r="G368" t="s">
        <v>231</v>
      </c>
      <c r="H368">
        <v>285</v>
      </c>
      <c r="I368" t="str">
        <f t="shared" si="5"/>
        <v>Lodges|C|Excellent</v>
      </c>
      <c r="J368" t="s">
        <v>357</v>
      </c>
    </row>
    <row r="369" spans="2:10">
      <c r="B369" t="s">
        <v>355</v>
      </c>
      <c r="C369" t="s">
        <v>356</v>
      </c>
      <c r="D369" t="s">
        <v>337</v>
      </c>
      <c r="E369" t="s">
        <v>248</v>
      </c>
      <c r="F369" t="s">
        <v>209</v>
      </c>
      <c r="G369" t="s">
        <v>250</v>
      </c>
      <c r="H369">
        <v>242</v>
      </c>
      <c r="I369" t="str">
        <f t="shared" si="5"/>
        <v>Lodges|C|Very Good</v>
      </c>
      <c r="J369" t="s">
        <v>357</v>
      </c>
    </row>
    <row r="370" spans="2:10">
      <c r="B370" t="s">
        <v>355</v>
      </c>
      <c r="C370" t="s">
        <v>356</v>
      </c>
      <c r="D370" t="s">
        <v>337</v>
      </c>
      <c r="E370" t="s">
        <v>248</v>
      </c>
      <c r="F370" t="s">
        <v>209</v>
      </c>
      <c r="G370" t="s">
        <v>229</v>
      </c>
      <c r="H370">
        <v>206</v>
      </c>
      <c r="I370" t="str">
        <f t="shared" si="5"/>
        <v>Lodges|C|Good</v>
      </c>
      <c r="J370" t="s">
        <v>357</v>
      </c>
    </row>
    <row r="371" spans="2:10">
      <c r="B371" t="s">
        <v>355</v>
      </c>
      <c r="C371" t="s">
        <v>356</v>
      </c>
      <c r="D371" t="s">
        <v>337</v>
      </c>
      <c r="E371" t="s">
        <v>248</v>
      </c>
      <c r="F371" t="s">
        <v>209</v>
      </c>
      <c r="G371" t="s">
        <v>44</v>
      </c>
      <c r="H371">
        <v>147</v>
      </c>
      <c r="I371" t="str">
        <f t="shared" si="5"/>
        <v>Lodges|C|Average</v>
      </c>
      <c r="J371" t="s">
        <v>357</v>
      </c>
    </row>
    <row r="372" spans="2:10">
      <c r="B372" t="s">
        <v>355</v>
      </c>
      <c r="C372" t="s">
        <v>356</v>
      </c>
      <c r="D372" t="s">
        <v>337</v>
      </c>
      <c r="E372" t="s">
        <v>248</v>
      </c>
      <c r="F372" t="s">
        <v>209</v>
      </c>
      <c r="G372" t="s">
        <v>302</v>
      </c>
      <c r="H372">
        <v>125</v>
      </c>
      <c r="I372" t="str">
        <f t="shared" si="5"/>
        <v>Lodges|C|Fair</v>
      </c>
      <c r="J372" t="s">
        <v>357</v>
      </c>
    </row>
    <row r="373" spans="2:10">
      <c r="B373" t="s">
        <v>355</v>
      </c>
      <c r="C373" t="s">
        <v>356</v>
      </c>
      <c r="D373" t="s">
        <v>337</v>
      </c>
      <c r="E373" t="s">
        <v>248</v>
      </c>
      <c r="F373" t="s">
        <v>209</v>
      </c>
      <c r="G373" t="s">
        <v>226</v>
      </c>
      <c r="H373">
        <v>105</v>
      </c>
      <c r="I373" t="str">
        <f t="shared" si="5"/>
        <v>Lodges|C|Low Cost</v>
      </c>
      <c r="J373" t="s">
        <v>357</v>
      </c>
    </row>
    <row r="374" spans="2:10">
      <c r="B374" t="s">
        <v>355</v>
      </c>
      <c r="C374" t="s">
        <v>356</v>
      </c>
      <c r="D374" t="s">
        <v>337</v>
      </c>
      <c r="E374" t="s">
        <v>248</v>
      </c>
      <c r="F374" t="s">
        <v>209</v>
      </c>
      <c r="G374" t="s">
        <v>314</v>
      </c>
      <c r="H374">
        <v>84</v>
      </c>
      <c r="I374" t="str">
        <f t="shared" si="5"/>
        <v>Lodges|C|Cheap</v>
      </c>
      <c r="J374" t="s">
        <v>357</v>
      </c>
    </row>
    <row r="375" spans="2:10">
      <c r="B375" t="s">
        <v>355</v>
      </c>
      <c r="C375" t="s">
        <v>356</v>
      </c>
      <c r="D375" t="s">
        <v>337</v>
      </c>
      <c r="E375" t="s">
        <v>248</v>
      </c>
      <c r="F375" t="s">
        <v>214</v>
      </c>
      <c r="G375" t="s">
        <v>231</v>
      </c>
      <c r="H375">
        <v>284</v>
      </c>
      <c r="I375" t="str">
        <f t="shared" si="5"/>
        <v>Lodges|D|Excellent</v>
      </c>
      <c r="J375" t="s">
        <v>357</v>
      </c>
    </row>
    <row r="376" spans="2:10">
      <c r="B376" t="s">
        <v>355</v>
      </c>
      <c r="C376" t="s">
        <v>356</v>
      </c>
      <c r="D376" t="s">
        <v>337</v>
      </c>
      <c r="E376" t="s">
        <v>248</v>
      </c>
      <c r="F376" t="s">
        <v>214</v>
      </c>
      <c r="G376" t="s">
        <v>250</v>
      </c>
      <c r="H376">
        <v>239</v>
      </c>
      <c r="I376" t="str">
        <f t="shared" si="5"/>
        <v>Lodges|D|Very Good</v>
      </c>
      <c r="J376" t="s">
        <v>357</v>
      </c>
    </row>
    <row r="377" spans="2:10">
      <c r="B377" t="s">
        <v>355</v>
      </c>
      <c r="C377" t="s">
        <v>356</v>
      </c>
      <c r="D377" t="s">
        <v>337</v>
      </c>
      <c r="E377" t="s">
        <v>248</v>
      </c>
      <c r="F377" t="s">
        <v>214</v>
      </c>
      <c r="G377" t="s">
        <v>229</v>
      </c>
      <c r="H377">
        <v>202</v>
      </c>
      <c r="I377" t="str">
        <f t="shared" si="5"/>
        <v>Lodges|D|Good</v>
      </c>
      <c r="J377" t="s">
        <v>357</v>
      </c>
    </row>
    <row r="378" spans="2:10">
      <c r="B378" t="s">
        <v>355</v>
      </c>
      <c r="C378" t="s">
        <v>356</v>
      </c>
      <c r="D378" t="s">
        <v>337</v>
      </c>
      <c r="E378" t="s">
        <v>248</v>
      </c>
      <c r="F378" t="s">
        <v>214</v>
      </c>
      <c r="G378" t="s">
        <v>44</v>
      </c>
      <c r="H378">
        <v>142</v>
      </c>
      <c r="I378" t="str">
        <f t="shared" si="5"/>
        <v>Lodges|D|Average</v>
      </c>
      <c r="J378" t="s">
        <v>357</v>
      </c>
    </row>
    <row r="379" spans="2:10">
      <c r="B379" t="s">
        <v>355</v>
      </c>
      <c r="C379" t="s">
        <v>356</v>
      </c>
      <c r="D379" t="s">
        <v>337</v>
      </c>
      <c r="E379" t="s">
        <v>248</v>
      </c>
      <c r="F379" t="s">
        <v>214</v>
      </c>
      <c r="G379" t="s">
        <v>302</v>
      </c>
      <c r="H379">
        <v>120</v>
      </c>
      <c r="I379" t="str">
        <f t="shared" si="5"/>
        <v>Lodges|D|Fair</v>
      </c>
      <c r="J379" t="s">
        <v>357</v>
      </c>
    </row>
    <row r="380" spans="2:10">
      <c r="B380" t="s">
        <v>355</v>
      </c>
      <c r="C380" t="s">
        <v>356</v>
      </c>
      <c r="D380" t="s">
        <v>337</v>
      </c>
      <c r="E380" t="s">
        <v>248</v>
      </c>
      <c r="F380" t="s">
        <v>214</v>
      </c>
      <c r="G380" t="s">
        <v>226</v>
      </c>
      <c r="H380">
        <v>99.5</v>
      </c>
      <c r="I380" t="str">
        <f t="shared" si="5"/>
        <v>Lodges|D|Low Cost</v>
      </c>
      <c r="J380" t="s">
        <v>357</v>
      </c>
    </row>
    <row r="381" spans="2:10">
      <c r="B381" t="s">
        <v>355</v>
      </c>
      <c r="C381" t="s">
        <v>356</v>
      </c>
      <c r="D381" t="s">
        <v>337</v>
      </c>
      <c r="E381" t="s">
        <v>248</v>
      </c>
      <c r="F381" t="s">
        <v>214</v>
      </c>
      <c r="G381" t="s">
        <v>314</v>
      </c>
      <c r="H381">
        <v>79</v>
      </c>
      <c r="I381" t="str">
        <f t="shared" si="5"/>
        <v>Lodges|D|Cheap</v>
      </c>
      <c r="J381" t="s">
        <v>357</v>
      </c>
    </row>
    <row r="382" spans="2:10">
      <c r="B382" t="s">
        <v>358</v>
      </c>
      <c r="C382" t="s">
        <v>359</v>
      </c>
      <c r="D382" t="s">
        <v>337</v>
      </c>
      <c r="E382" t="s">
        <v>253</v>
      </c>
      <c r="F382" t="s">
        <v>209</v>
      </c>
      <c r="G382" t="s">
        <v>231</v>
      </c>
      <c r="H382">
        <v>263</v>
      </c>
      <c r="I382" t="str">
        <f t="shared" si="5"/>
        <v>Guest Cottages|C|Excellent</v>
      </c>
      <c r="J382" t="s">
        <v>360</v>
      </c>
    </row>
    <row r="383" spans="2:10">
      <c r="B383" t="s">
        <v>358</v>
      </c>
      <c r="C383" t="s">
        <v>359</v>
      </c>
      <c r="D383" t="s">
        <v>337</v>
      </c>
      <c r="E383" t="s">
        <v>253</v>
      </c>
      <c r="F383" t="s">
        <v>209</v>
      </c>
      <c r="G383" t="s">
        <v>229</v>
      </c>
      <c r="H383">
        <v>201</v>
      </c>
      <c r="I383" t="str">
        <f t="shared" si="5"/>
        <v>Guest Cottages|C|Good</v>
      </c>
      <c r="J383" t="s">
        <v>360</v>
      </c>
    </row>
    <row r="384" spans="2:10">
      <c r="B384" t="s">
        <v>358</v>
      </c>
      <c r="C384" t="s">
        <v>359</v>
      </c>
      <c r="D384" t="s">
        <v>337</v>
      </c>
      <c r="E384" t="s">
        <v>253</v>
      </c>
      <c r="F384" t="s">
        <v>209</v>
      </c>
      <c r="G384" t="s">
        <v>44</v>
      </c>
      <c r="H384">
        <v>150</v>
      </c>
      <c r="I384" t="str">
        <f t="shared" si="5"/>
        <v>Guest Cottages|C|Average</v>
      </c>
      <c r="J384" t="s">
        <v>360</v>
      </c>
    </row>
    <row r="385" spans="2:10">
      <c r="B385" t="s">
        <v>358</v>
      </c>
      <c r="C385" t="s">
        <v>359</v>
      </c>
      <c r="D385" t="s">
        <v>337</v>
      </c>
      <c r="E385" t="s">
        <v>253</v>
      </c>
      <c r="F385" t="s">
        <v>209</v>
      </c>
      <c r="G385" t="s">
        <v>302</v>
      </c>
      <c r="H385">
        <v>131</v>
      </c>
      <c r="I385" t="str">
        <f t="shared" si="5"/>
        <v>Guest Cottages|C|Fair</v>
      </c>
      <c r="J385" t="s">
        <v>360</v>
      </c>
    </row>
    <row r="386" spans="2:10">
      <c r="B386" t="s">
        <v>358</v>
      </c>
      <c r="C386" t="s">
        <v>359</v>
      </c>
      <c r="D386" t="s">
        <v>337</v>
      </c>
      <c r="E386" t="s">
        <v>253</v>
      </c>
      <c r="F386" t="s">
        <v>209</v>
      </c>
      <c r="G386" t="s">
        <v>226</v>
      </c>
      <c r="H386">
        <v>112</v>
      </c>
      <c r="I386" t="str">
        <f t="shared" si="5"/>
        <v>Guest Cottages|C|Low Cost</v>
      </c>
      <c r="J386" t="s">
        <v>360</v>
      </c>
    </row>
    <row r="387" spans="2:10">
      <c r="B387" t="s">
        <v>358</v>
      </c>
      <c r="C387" t="s">
        <v>359</v>
      </c>
      <c r="D387" t="s">
        <v>337</v>
      </c>
      <c r="E387" t="s">
        <v>253</v>
      </c>
      <c r="F387" t="s">
        <v>214</v>
      </c>
      <c r="G387" t="s">
        <v>231</v>
      </c>
      <c r="H387">
        <v>255</v>
      </c>
      <c r="I387" t="str">
        <f t="shared" si="5"/>
        <v>Guest Cottages|D|Excellent</v>
      </c>
      <c r="J387" t="s">
        <v>360</v>
      </c>
    </row>
    <row r="388" spans="2:10">
      <c r="B388" t="s">
        <v>358</v>
      </c>
      <c r="C388" t="s">
        <v>359</v>
      </c>
      <c r="D388" t="s">
        <v>337</v>
      </c>
      <c r="E388" t="s">
        <v>253</v>
      </c>
      <c r="F388" t="s">
        <v>214</v>
      </c>
      <c r="G388" t="s">
        <v>229</v>
      </c>
      <c r="H388">
        <v>194</v>
      </c>
      <c r="I388" t="str">
        <f t="shared" si="5"/>
        <v>Guest Cottages|D|Good</v>
      </c>
      <c r="J388" t="s">
        <v>360</v>
      </c>
    </row>
    <row r="389" spans="2:10">
      <c r="B389" t="s">
        <v>358</v>
      </c>
      <c r="C389" t="s">
        <v>359</v>
      </c>
      <c r="D389" t="s">
        <v>337</v>
      </c>
      <c r="E389" t="s">
        <v>253</v>
      </c>
      <c r="F389" t="s">
        <v>214</v>
      </c>
      <c r="G389" t="s">
        <v>44</v>
      </c>
      <c r="H389">
        <v>144</v>
      </c>
      <c r="I389" t="str">
        <f t="shared" si="5"/>
        <v>Guest Cottages|D|Average</v>
      </c>
      <c r="J389" t="s">
        <v>360</v>
      </c>
    </row>
    <row r="390" spans="2:10">
      <c r="B390" t="s">
        <v>358</v>
      </c>
      <c r="C390" t="s">
        <v>359</v>
      </c>
      <c r="D390" t="s">
        <v>337</v>
      </c>
      <c r="E390" t="s">
        <v>253</v>
      </c>
      <c r="F390" t="s">
        <v>214</v>
      </c>
      <c r="G390" t="s">
        <v>302</v>
      </c>
      <c r="H390">
        <v>124</v>
      </c>
      <c r="I390" t="str">
        <f t="shared" si="5"/>
        <v>Guest Cottages|D|Fair</v>
      </c>
      <c r="J390" t="s">
        <v>360</v>
      </c>
    </row>
    <row r="391" spans="2:10">
      <c r="B391" t="s">
        <v>358</v>
      </c>
      <c r="C391" t="s">
        <v>359</v>
      </c>
      <c r="D391" t="s">
        <v>337</v>
      </c>
      <c r="E391" t="s">
        <v>253</v>
      </c>
      <c r="F391" t="s">
        <v>214</v>
      </c>
      <c r="G391" t="s">
        <v>226</v>
      </c>
      <c r="H391">
        <v>106</v>
      </c>
      <c r="I391" t="str">
        <f t="shared" si="5"/>
        <v>Guest Cottages|D|Low Cost</v>
      </c>
      <c r="J391" t="s">
        <v>360</v>
      </c>
    </row>
    <row r="392" spans="2:10">
      <c r="B392" t="s">
        <v>358</v>
      </c>
      <c r="C392" t="s">
        <v>359</v>
      </c>
      <c r="D392" t="s">
        <v>337</v>
      </c>
      <c r="E392" t="s">
        <v>253</v>
      </c>
      <c r="F392" t="s">
        <v>361</v>
      </c>
      <c r="G392" t="s">
        <v>314</v>
      </c>
      <c r="H392">
        <v>67</v>
      </c>
      <c r="I392" t="str">
        <f t="shared" si="5"/>
        <v>Guest Cottages|WALL|Cheap</v>
      </c>
      <c r="J392" t="s">
        <v>360</v>
      </c>
    </row>
    <row r="393" spans="2:10">
      <c r="B393" t="s">
        <v>362</v>
      </c>
      <c r="C393" t="s">
        <v>363</v>
      </c>
      <c r="D393" t="s">
        <v>337</v>
      </c>
      <c r="E393" t="s">
        <v>253</v>
      </c>
      <c r="F393" t="s">
        <v>209</v>
      </c>
      <c r="G393" t="s">
        <v>231</v>
      </c>
      <c r="H393">
        <v>251</v>
      </c>
      <c r="I393" t="str">
        <f t="shared" si="5"/>
        <v>Bed and Breakfast Inns|C|Excellent</v>
      </c>
      <c r="J393" t="s">
        <v>360</v>
      </c>
    </row>
    <row r="394" spans="2:10">
      <c r="B394" t="s">
        <v>362</v>
      </c>
      <c r="C394" t="s">
        <v>363</v>
      </c>
      <c r="D394" t="s">
        <v>337</v>
      </c>
      <c r="E394" t="s">
        <v>253</v>
      </c>
      <c r="F394" t="s">
        <v>209</v>
      </c>
      <c r="G394" t="s">
        <v>229</v>
      </c>
      <c r="H394">
        <v>189</v>
      </c>
      <c r="I394" t="str">
        <f t="shared" si="5"/>
        <v>Bed and Breakfast Inns|C|Good</v>
      </c>
      <c r="J394" t="s">
        <v>360</v>
      </c>
    </row>
    <row r="395" spans="2:10">
      <c r="B395" t="s">
        <v>362</v>
      </c>
      <c r="C395" t="s">
        <v>363</v>
      </c>
      <c r="D395" t="s">
        <v>337</v>
      </c>
      <c r="E395" t="s">
        <v>253</v>
      </c>
      <c r="F395" t="s">
        <v>209</v>
      </c>
      <c r="G395" t="s">
        <v>44</v>
      </c>
      <c r="H395">
        <v>139</v>
      </c>
      <c r="I395" t="str">
        <f t="shared" si="5"/>
        <v>Bed and Breakfast Inns|C|Average</v>
      </c>
      <c r="J395" t="s">
        <v>360</v>
      </c>
    </row>
    <row r="396" spans="2:10">
      <c r="B396" t="s">
        <v>362</v>
      </c>
      <c r="C396" t="s">
        <v>363</v>
      </c>
      <c r="D396" t="s">
        <v>337</v>
      </c>
      <c r="E396" t="s">
        <v>253</v>
      </c>
      <c r="F396" t="s">
        <v>209</v>
      </c>
      <c r="G396" t="s">
        <v>226</v>
      </c>
      <c r="H396">
        <v>104</v>
      </c>
      <c r="I396" t="str">
        <f t="shared" si="5"/>
        <v>Bed and Breakfast Inns|C|Low Cost</v>
      </c>
      <c r="J396" t="s">
        <v>360</v>
      </c>
    </row>
    <row r="397" spans="2:10">
      <c r="B397" t="s">
        <v>362</v>
      </c>
      <c r="C397" t="s">
        <v>363</v>
      </c>
      <c r="D397" t="s">
        <v>337</v>
      </c>
      <c r="E397" t="s">
        <v>253</v>
      </c>
      <c r="F397" t="s">
        <v>214</v>
      </c>
      <c r="G397" t="s">
        <v>231</v>
      </c>
      <c r="H397">
        <v>246</v>
      </c>
      <c r="I397" t="str">
        <f t="shared" si="5"/>
        <v>Bed and Breakfast Inns|D|Excellent</v>
      </c>
      <c r="J397" t="s">
        <v>360</v>
      </c>
    </row>
    <row r="398" spans="2:10">
      <c r="B398" t="s">
        <v>362</v>
      </c>
      <c r="C398" t="s">
        <v>363</v>
      </c>
      <c r="D398" t="s">
        <v>337</v>
      </c>
      <c r="E398" t="s">
        <v>253</v>
      </c>
      <c r="F398" t="s">
        <v>214</v>
      </c>
      <c r="G398" t="s">
        <v>229</v>
      </c>
      <c r="H398">
        <v>182</v>
      </c>
      <c r="I398" t="str">
        <f t="shared" si="5"/>
        <v>Bed and Breakfast Inns|D|Good</v>
      </c>
      <c r="J398" t="s">
        <v>360</v>
      </c>
    </row>
    <row r="399" spans="2:10">
      <c r="B399" t="s">
        <v>362</v>
      </c>
      <c r="C399" t="s">
        <v>363</v>
      </c>
      <c r="D399" t="s">
        <v>337</v>
      </c>
      <c r="E399" t="s">
        <v>253</v>
      </c>
      <c r="F399" t="s">
        <v>214</v>
      </c>
      <c r="G399" t="s">
        <v>44</v>
      </c>
      <c r="H399">
        <v>132</v>
      </c>
      <c r="I399" t="str">
        <f t="shared" si="5"/>
        <v>Bed and Breakfast Inns|D|Average</v>
      </c>
      <c r="J399" t="s">
        <v>360</v>
      </c>
    </row>
    <row r="400" spans="2:10">
      <c r="B400" t="s">
        <v>362</v>
      </c>
      <c r="C400" t="s">
        <v>363</v>
      </c>
      <c r="D400" t="s">
        <v>337</v>
      </c>
      <c r="E400" t="s">
        <v>253</v>
      </c>
      <c r="F400" t="s">
        <v>361</v>
      </c>
      <c r="G400" t="s">
        <v>226</v>
      </c>
      <c r="H400">
        <v>97.5</v>
      </c>
      <c r="I400" t="str">
        <f t="shared" si="5"/>
        <v>Bed and Breakfast Inns|WALL|Low Cost</v>
      </c>
      <c r="J400" t="s">
        <v>360</v>
      </c>
    </row>
    <row r="401" spans="2:10">
      <c r="B401" t="s">
        <v>364</v>
      </c>
      <c r="C401" t="s">
        <v>365</v>
      </c>
      <c r="D401" t="s">
        <v>337</v>
      </c>
      <c r="E401" t="s">
        <v>258</v>
      </c>
      <c r="F401" t="s">
        <v>209</v>
      </c>
      <c r="G401" t="s">
        <v>231</v>
      </c>
      <c r="H401">
        <v>198</v>
      </c>
      <c r="I401" t="str">
        <f t="shared" si="5"/>
        <v>Multiple Residences|C|Excellent</v>
      </c>
      <c r="J401" t="s">
        <v>366</v>
      </c>
    </row>
    <row r="402" spans="2:10">
      <c r="B402" t="s">
        <v>364</v>
      </c>
      <c r="C402" t="s">
        <v>365</v>
      </c>
      <c r="D402" t="s">
        <v>337</v>
      </c>
      <c r="E402" t="s">
        <v>258</v>
      </c>
      <c r="F402" t="s">
        <v>209</v>
      </c>
      <c r="G402" t="s">
        <v>229</v>
      </c>
      <c r="H402">
        <v>147</v>
      </c>
      <c r="I402" t="str">
        <f t="shared" si="5"/>
        <v>Multiple Residences|C|Good</v>
      </c>
      <c r="J402" t="s">
        <v>366</v>
      </c>
    </row>
    <row r="403" spans="2:10">
      <c r="B403" t="s">
        <v>364</v>
      </c>
      <c r="C403" t="s">
        <v>365</v>
      </c>
      <c r="D403" t="s">
        <v>337</v>
      </c>
      <c r="E403" t="s">
        <v>258</v>
      </c>
      <c r="F403" t="s">
        <v>209</v>
      </c>
      <c r="G403" t="s">
        <v>44</v>
      </c>
      <c r="H403">
        <v>109</v>
      </c>
      <c r="I403" t="str">
        <f t="shared" si="5"/>
        <v>Multiple Residences|C|Average</v>
      </c>
      <c r="J403" t="s">
        <v>366</v>
      </c>
    </row>
    <row r="404" spans="2:10">
      <c r="B404" t="s">
        <v>364</v>
      </c>
      <c r="C404" t="s">
        <v>365</v>
      </c>
      <c r="D404" t="s">
        <v>337</v>
      </c>
      <c r="E404" t="s">
        <v>258</v>
      </c>
      <c r="F404" t="s">
        <v>209</v>
      </c>
      <c r="G404" t="s">
        <v>302</v>
      </c>
      <c r="H404">
        <v>94.5</v>
      </c>
      <c r="I404" t="str">
        <f t="shared" si="5"/>
        <v>Multiple Residences|C|Fair</v>
      </c>
      <c r="J404" t="s">
        <v>366</v>
      </c>
    </row>
    <row r="405" spans="2:10">
      <c r="B405" t="s">
        <v>364</v>
      </c>
      <c r="C405" t="s">
        <v>365</v>
      </c>
      <c r="D405" t="s">
        <v>337</v>
      </c>
      <c r="E405" t="s">
        <v>258</v>
      </c>
      <c r="F405" t="s">
        <v>209</v>
      </c>
      <c r="G405" t="s">
        <v>226</v>
      </c>
      <c r="H405">
        <v>80.5</v>
      </c>
      <c r="I405" t="str">
        <f t="shared" si="5"/>
        <v>Multiple Residences|C|Low Cost</v>
      </c>
      <c r="J405" t="s">
        <v>366</v>
      </c>
    </row>
    <row r="406" spans="2:10">
      <c r="B406" t="s">
        <v>364</v>
      </c>
      <c r="C406" t="s">
        <v>365</v>
      </c>
      <c r="D406" t="s">
        <v>337</v>
      </c>
      <c r="E406" t="s">
        <v>258</v>
      </c>
      <c r="F406" t="s">
        <v>255</v>
      </c>
      <c r="G406" t="s">
        <v>231</v>
      </c>
      <c r="H406">
        <v>197</v>
      </c>
      <c r="I406" t="str">
        <f t="shared" si="5"/>
        <v>Multiple Residences|DMASVEN|Excellent</v>
      </c>
      <c r="J406" t="s">
        <v>366</v>
      </c>
    </row>
    <row r="407" spans="2:10">
      <c r="B407" t="s">
        <v>364</v>
      </c>
      <c r="C407" t="s">
        <v>365</v>
      </c>
      <c r="D407" t="s">
        <v>337</v>
      </c>
      <c r="E407" t="s">
        <v>258</v>
      </c>
      <c r="F407" t="s">
        <v>255</v>
      </c>
      <c r="G407" t="s">
        <v>229</v>
      </c>
      <c r="H407">
        <v>145</v>
      </c>
      <c r="I407" t="str">
        <f t="shared" si="5"/>
        <v>Multiple Residences|DMASVEN|Good</v>
      </c>
      <c r="J407" t="s">
        <v>366</v>
      </c>
    </row>
    <row r="408" spans="2:10">
      <c r="B408" t="s">
        <v>364</v>
      </c>
      <c r="C408" t="s">
        <v>365</v>
      </c>
      <c r="D408" t="s">
        <v>337</v>
      </c>
      <c r="E408" t="s">
        <v>258</v>
      </c>
      <c r="F408" t="s">
        <v>255</v>
      </c>
      <c r="G408" t="s">
        <v>44</v>
      </c>
      <c r="H408">
        <v>107</v>
      </c>
      <c r="I408" t="str">
        <f t="shared" si="5"/>
        <v>Multiple Residences|DMASVEN|Average</v>
      </c>
      <c r="J408" t="s">
        <v>366</v>
      </c>
    </row>
    <row r="409" spans="2:10">
      <c r="B409" t="s">
        <v>364</v>
      </c>
      <c r="C409" t="s">
        <v>365</v>
      </c>
      <c r="D409" t="s">
        <v>337</v>
      </c>
      <c r="E409" t="s">
        <v>258</v>
      </c>
      <c r="F409" t="s">
        <v>255</v>
      </c>
      <c r="G409" t="s">
        <v>302</v>
      </c>
      <c r="H409">
        <v>93</v>
      </c>
      <c r="I409" t="str">
        <f t="shared" si="5"/>
        <v>Multiple Residences|DMASVEN|Fair</v>
      </c>
      <c r="J409" t="s">
        <v>366</v>
      </c>
    </row>
    <row r="410" spans="2:10">
      <c r="B410" t="s">
        <v>364</v>
      </c>
      <c r="C410" t="s">
        <v>365</v>
      </c>
      <c r="D410" t="s">
        <v>337</v>
      </c>
      <c r="E410" t="s">
        <v>258</v>
      </c>
      <c r="F410" t="s">
        <v>255</v>
      </c>
      <c r="G410" t="s">
        <v>226</v>
      </c>
      <c r="H410">
        <v>78.5</v>
      </c>
      <c r="I410" t="str">
        <f t="shared" si="5"/>
        <v>Multiple Residences|DMASVEN|Low Cost</v>
      </c>
      <c r="J410" t="s">
        <v>366</v>
      </c>
    </row>
    <row r="411" spans="2:10">
      <c r="B411" t="s">
        <v>364</v>
      </c>
      <c r="C411" t="s">
        <v>365</v>
      </c>
      <c r="D411" t="s">
        <v>337</v>
      </c>
      <c r="E411" t="s">
        <v>258</v>
      </c>
      <c r="F411" t="s">
        <v>214</v>
      </c>
      <c r="G411" t="s">
        <v>231</v>
      </c>
      <c r="H411">
        <v>193</v>
      </c>
      <c r="I411" t="str">
        <f t="shared" si="5"/>
        <v>Multiple Residences|D|Excellent</v>
      </c>
      <c r="J411" t="s">
        <v>366</v>
      </c>
    </row>
    <row r="412" spans="2:10">
      <c r="B412" t="s">
        <v>364</v>
      </c>
      <c r="C412" t="s">
        <v>365</v>
      </c>
      <c r="D412" t="s">
        <v>337</v>
      </c>
      <c r="E412" t="s">
        <v>258</v>
      </c>
      <c r="F412" t="s">
        <v>214</v>
      </c>
      <c r="G412" t="s">
        <v>229</v>
      </c>
      <c r="H412">
        <v>142</v>
      </c>
      <c r="I412" t="str">
        <f t="shared" si="5"/>
        <v>Multiple Residences|D|Good</v>
      </c>
      <c r="J412" t="s">
        <v>366</v>
      </c>
    </row>
    <row r="413" spans="2:10">
      <c r="B413" t="s">
        <v>364</v>
      </c>
      <c r="C413" t="s">
        <v>365</v>
      </c>
      <c r="D413" t="s">
        <v>337</v>
      </c>
      <c r="E413" t="s">
        <v>258</v>
      </c>
      <c r="F413" t="s">
        <v>214</v>
      </c>
      <c r="G413" t="s">
        <v>44</v>
      </c>
      <c r="H413">
        <v>104</v>
      </c>
      <c r="I413" t="str">
        <f t="shared" si="5"/>
        <v>Multiple Residences|D|Average</v>
      </c>
      <c r="J413" t="s">
        <v>366</v>
      </c>
    </row>
    <row r="414" spans="2:10">
      <c r="B414" t="s">
        <v>364</v>
      </c>
      <c r="C414" t="s">
        <v>365</v>
      </c>
      <c r="D414" t="s">
        <v>337</v>
      </c>
      <c r="E414" t="s">
        <v>258</v>
      </c>
      <c r="F414" t="s">
        <v>214</v>
      </c>
      <c r="G414" t="s">
        <v>302</v>
      </c>
      <c r="H414">
        <v>90</v>
      </c>
      <c r="I414" t="str">
        <f t="shared" ref="I414:I477" si="6">B414&amp;"|"&amp;F414&amp;"|"&amp;G414</f>
        <v>Multiple Residences|D|Fair</v>
      </c>
      <c r="J414" t="s">
        <v>366</v>
      </c>
    </row>
    <row r="415" spans="2:10">
      <c r="B415" t="s">
        <v>364</v>
      </c>
      <c r="C415" t="s">
        <v>365</v>
      </c>
      <c r="D415" t="s">
        <v>337</v>
      </c>
      <c r="E415" t="s">
        <v>258</v>
      </c>
      <c r="F415" t="s">
        <v>214</v>
      </c>
      <c r="G415" t="s">
        <v>226</v>
      </c>
      <c r="H415">
        <v>76.5</v>
      </c>
      <c r="I415" t="str">
        <f t="shared" si="6"/>
        <v>Multiple Residences|D|Low Cost</v>
      </c>
      <c r="J415" t="s">
        <v>366</v>
      </c>
    </row>
    <row r="416" spans="2:10">
      <c r="B416" t="s">
        <v>364</v>
      </c>
      <c r="C416" t="s">
        <v>365</v>
      </c>
      <c r="D416" t="s">
        <v>337</v>
      </c>
      <c r="E416" t="s">
        <v>258</v>
      </c>
      <c r="F416" t="s">
        <v>219</v>
      </c>
      <c r="G416" t="s">
        <v>229</v>
      </c>
      <c r="H416">
        <v>138</v>
      </c>
      <c r="I416" t="str">
        <f t="shared" si="6"/>
        <v>Multiple Residences|S|Good</v>
      </c>
      <c r="J416" t="s">
        <v>366</v>
      </c>
    </row>
    <row r="417" spans="2:10">
      <c r="B417" t="s">
        <v>364</v>
      </c>
      <c r="C417" t="s">
        <v>365</v>
      </c>
      <c r="D417" t="s">
        <v>337</v>
      </c>
      <c r="E417" t="s">
        <v>258</v>
      </c>
      <c r="F417" t="s">
        <v>219</v>
      </c>
      <c r="G417" t="s">
        <v>44</v>
      </c>
      <c r="H417">
        <v>102</v>
      </c>
      <c r="I417" t="str">
        <f t="shared" si="6"/>
        <v>Multiple Residences|S|Average</v>
      </c>
      <c r="J417" t="s">
        <v>366</v>
      </c>
    </row>
    <row r="418" spans="2:10">
      <c r="B418" t="s">
        <v>367</v>
      </c>
      <c r="C418" t="s">
        <v>368</v>
      </c>
      <c r="D418" t="s">
        <v>337</v>
      </c>
      <c r="E418" t="s">
        <v>260</v>
      </c>
      <c r="F418" t="s">
        <v>209</v>
      </c>
      <c r="G418" t="s">
        <v>231</v>
      </c>
      <c r="H418">
        <v>90</v>
      </c>
      <c r="I418" t="str">
        <f t="shared" si="6"/>
        <v>Shell Multiple Residence Buildings|C|Excellent</v>
      </c>
      <c r="J418" t="s">
        <v>369</v>
      </c>
    </row>
    <row r="419" spans="2:10">
      <c r="B419" t="s">
        <v>367</v>
      </c>
      <c r="C419" t="s">
        <v>368</v>
      </c>
      <c r="D419" t="s">
        <v>337</v>
      </c>
      <c r="E419" t="s">
        <v>260</v>
      </c>
      <c r="F419" t="s">
        <v>209</v>
      </c>
      <c r="G419" t="s">
        <v>229</v>
      </c>
      <c r="H419">
        <v>69.5</v>
      </c>
      <c r="I419" t="str">
        <f t="shared" si="6"/>
        <v>Shell Multiple Residence Buildings|C|Good</v>
      </c>
      <c r="J419" t="s">
        <v>369</v>
      </c>
    </row>
    <row r="420" spans="2:10">
      <c r="B420" t="s">
        <v>367</v>
      </c>
      <c r="C420" t="s">
        <v>368</v>
      </c>
      <c r="D420" t="s">
        <v>337</v>
      </c>
      <c r="E420" t="s">
        <v>260</v>
      </c>
      <c r="F420" t="s">
        <v>209</v>
      </c>
      <c r="G420" t="s">
        <v>44</v>
      </c>
      <c r="H420">
        <v>54.5</v>
      </c>
      <c r="I420" t="str">
        <f t="shared" si="6"/>
        <v>Shell Multiple Residence Buildings|C|Average</v>
      </c>
      <c r="J420" t="s">
        <v>369</v>
      </c>
    </row>
    <row r="421" spans="2:10">
      <c r="B421" t="s">
        <v>367</v>
      </c>
      <c r="C421" t="s">
        <v>368</v>
      </c>
      <c r="D421" t="s">
        <v>337</v>
      </c>
      <c r="E421" t="s">
        <v>260</v>
      </c>
      <c r="F421" t="s">
        <v>209</v>
      </c>
      <c r="G421" t="s">
        <v>302</v>
      </c>
      <c r="H421">
        <v>48.25</v>
      </c>
      <c r="I421" t="str">
        <f t="shared" si="6"/>
        <v>Shell Multiple Residence Buildings|C|Fair</v>
      </c>
      <c r="J421" t="s">
        <v>369</v>
      </c>
    </row>
    <row r="422" spans="2:10">
      <c r="B422" t="s">
        <v>367</v>
      </c>
      <c r="C422" t="s">
        <v>368</v>
      </c>
      <c r="D422" t="s">
        <v>337</v>
      </c>
      <c r="E422" t="s">
        <v>260</v>
      </c>
      <c r="F422" t="s">
        <v>255</v>
      </c>
      <c r="G422" t="s">
        <v>231</v>
      </c>
      <c r="H422">
        <v>85.5</v>
      </c>
      <c r="I422" t="str">
        <f t="shared" si="6"/>
        <v>Shell Multiple Residence Buildings|DMASVEN|Excellent</v>
      </c>
      <c r="J422" t="s">
        <v>369</v>
      </c>
    </row>
    <row r="423" spans="2:10">
      <c r="B423" t="s">
        <v>367</v>
      </c>
      <c r="C423" t="s">
        <v>368</v>
      </c>
      <c r="D423" t="s">
        <v>337</v>
      </c>
      <c r="E423" t="s">
        <v>260</v>
      </c>
      <c r="F423" t="s">
        <v>255</v>
      </c>
      <c r="G423" t="s">
        <v>229</v>
      </c>
      <c r="H423">
        <v>65.5</v>
      </c>
      <c r="I423" t="str">
        <f t="shared" si="6"/>
        <v>Shell Multiple Residence Buildings|DMASVEN|Good</v>
      </c>
      <c r="J423" t="s">
        <v>369</v>
      </c>
    </row>
    <row r="424" spans="2:10">
      <c r="B424" t="s">
        <v>367</v>
      </c>
      <c r="C424" t="s">
        <v>368</v>
      </c>
      <c r="D424" t="s">
        <v>337</v>
      </c>
      <c r="E424" t="s">
        <v>260</v>
      </c>
      <c r="F424" t="s">
        <v>255</v>
      </c>
      <c r="G424" t="s">
        <v>44</v>
      </c>
      <c r="H424">
        <v>51</v>
      </c>
      <c r="I424" t="str">
        <f t="shared" si="6"/>
        <v>Shell Multiple Residence Buildings|DMASVEN|Average</v>
      </c>
      <c r="J424" t="s">
        <v>369</v>
      </c>
    </row>
    <row r="425" spans="2:10">
      <c r="B425" t="s">
        <v>367</v>
      </c>
      <c r="C425" t="s">
        <v>368</v>
      </c>
      <c r="D425" t="s">
        <v>337</v>
      </c>
      <c r="E425" t="s">
        <v>260</v>
      </c>
      <c r="F425" t="s">
        <v>255</v>
      </c>
      <c r="G425" t="s">
        <v>302</v>
      </c>
      <c r="H425">
        <v>45</v>
      </c>
      <c r="I425" t="str">
        <f t="shared" si="6"/>
        <v>Shell Multiple Residence Buildings|DMASVEN|Fair</v>
      </c>
      <c r="J425" t="s">
        <v>369</v>
      </c>
    </row>
    <row r="426" spans="2:10">
      <c r="B426" t="s">
        <v>367</v>
      </c>
      <c r="C426" t="s">
        <v>368</v>
      </c>
      <c r="D426" t="s">
        <v>337</v>
      </c>
      <c r="E426" t="s">
        <v>260</v>
      </c>
      <c r="F426" t="s">
        <v>214</v>
      </c>
      <c r="G426" t="s">
        <v>231</v>
      </c>
      <c r="H426">
        <v>83.5</v>
      </c>
      <c r="I426" t="str">
        <f t="shared" si="6"/>
        <v>Shell Multiple Residence Buildings|D|Excellent</v>
      </c>
      <c r="J426" t="s">
        <v>369</v>
      </c>
    </row>
    <row r="427" spans="2:10">
      <c r="B427" t="s">
        <v>367</v>
      </c>
      <c r="C427" t="s">
        <v>368</v>
      </c>
      <c r="D427" t="s">
        <v>337</v>
      </c>
      <c r="E427" t="s">
        <v>260</v>
      </c>
      <c r="F427" t="s">
        <v>214</v>
      </c>
      <c r="G427" t="s">
        <v>229</v>
      </c>
      <c r="H427">
        <v>64</v>
      </c>
      <c r="I427" t="str">
        <f t="shared" si="6"/>
        <v>Shell Multiple Residence Buildings|D|Good</v>
      </c>
      <c r="J427" t="s">
        <v>369</v>
      </c>
    </row>
    <row r="428" spans="2:10">
      <c r="B428" t="s">
        <v>367</v>
      </c>
      <c r="C428" t="s">
        <v>368</v>
      </c>
      <c r="D428" t="s">
        <v>337</v>
      </c>
      <c r="E428" t="s">
        <v>260</v>
      </c>
      <c r="F428" t="s">
        <v>214</v>
      </c>
      <c r="G428" t="s">
        <v>44</v>
      </c>
      <c r="H428">
        <v>49.25</v>
      </c>
      <c r="I428" t="str">
        <f t="shared" si="6"/>
        <v>Shell Multiple Residence Buildings|D|Average</v>
      </c>
      <c r="J428" t="s">
        <v>369</v>
      </c>
    </row>
    <row r="429" spans="2:10">
      <c r="B429" t="s">
        <v>367</v>
      </c>
      <c r="C429" t="s">
        <v>368</v>
      </c>
      <c r="D429" t="s">
        <v>337</v>
      </c>
      <c r="E429" t="s">
        <v>260</v>
      </c>
      <c r="F429" t="s">
        <v>214</v>
      </c>
      <c r="G429" t="s">
        <v>302</v>
      </c>
      <c r="H429">
        <v>43.5</v>
      </c>
      <c r="I429" t="str">
        <f t="shared" si="6"/>
        <v>Shell Multiple Residence Buildings|D|Fair</v>
      </c>
      <c r="J429" t="s">
        <v>369</v>
      </c>
    </row>
    <row r="430" spans="2:10">
      <c r="B430" t="s">
        <v>367</v>
      </c>
      <c r="C430" t="s">
        <v>368</v>
      </c>
      <c r="D430" t="s">
        <v>337</v>
      </c>
      <c r="E430" t="s">
        <v>260</v>
      </c>
      <c r="F430" t="s">
        <v>219</v>
      </c>
      <c r="G430" t="s">
        <v>229</v>
      </c>
      <c r="H430">
        <v>61.5</v>
      </c>
      <c r="I430" t="str">
        <f t="shared" si="6"/>
        <v>Shell Multiple Residence Buildings|S|Good</v>
      </c>
      <c r="J430" t="s">
        <v>369</v>
      </c>
    </row>
    <row r="431" spans="2:10">
      <c r="B431" t="s">
        <v>367</v>
      </c>
      <c r="C431" t="s">
        <v>368</v>
      </c>
      <c r="D431" t="s">
        <v>337</v>
      </c>
      <c r="E431" t="s">
        <v>260</v>
      </c>
      <c r="F431" t="s">
        <v>219</v>
      </c>
      <c r="G431" t="s">
        <v>44</v>
      </c>
      <c r="H431">
        <v>47.75</v>
      </c>
      <c r="I431" t="str">
        <f t="shared" si="6"/>
        <v>Shell Multiple Residence Buildings|S|Average</v>
      </c>
      <c r="J431" t="s">
        <v>369</v>
      </c>
    </row>
    <row r="432" spans="2:10">
      <c r="B432" t="s">
        <v>370</v>
      </c>
      <c r="C432" t="s">
        <v>371</v>
      </c>
      <c r="D432" t="s">
        <v>337</v>
      </c>
      <c r="E432" t="s">
        <v>264</v>
      </c>
      <c r="F432" t="s">
        <v>209</v>
      </c>
      <c r="G432" t="s">
        <v>231</v>
      </c>
      <c r="H432">
        <v>187</v>
      </c>
      <c r="I432" t="str">
        <f t="shared" si="6"/>
        <v>Multiple Residences – Senior Citizen|C|Excellent</v>
      </c>
      <c r="J432" t="s">
        <v>372</v>
      </c>
    </row>
    <row r="433" spans="2:10">
      <c r="B433" t="s">
        <v>370</v>
      </c>
      <c r="C433" t="s">
        <v>371</v>
      </c>
      <c r="D433" t="s">
        <v>337</v>
      </c>
      <c r="E433" t="s">
        <v>264</v>
      </c>
      <c r="F433" t="s">
        <v>209</v>
      </c>
      <c r="G433" t="s">
        <v>229</v>
      </c>
      <c r="H433">
        <v>149</v>
      </c>
      <c r="I433" t="str">
        <f t="shared" si="6"/>
        <v>Multiple Residences – Senior Citizen|C|Good</v>
      </c>
      <c r="J433" t="s">
        <v>372</v>
      </c>
    </row>
    <row r="434" spans="2:10">
      <c r="B434" t="s">
        <v>370</v>
      </c>
      <c r="C434" t="s">
        <v>371</v>
      </c>
      <c r="D434" t="s">
        <v>337</v>
      </c>
      <c r="E434" t="s">
        <v>264</v>
      </c>
      <c r="F434" t="s">
        <v>209</v>
      </c>
      <c r="G434" t="s">
        <v>44</v>
      </c>
      <c r="H434">
        <v>119</v>
      </c>
      <c r="I434" t="str">
        <f t="shared" si="6"/>
        <v>Multiple Residences – Senior Citizen|C|Average</v>
      </c>
      <c r="J434" t="s">
        <v>372</v>
      </c>
    </row>
    <row r="435" spans="2:10">
      <c r="B435" t="s">
        <v>370</v>
      </c>
      <c r="C435" t="s">
        <v>371</v>
      </c>
      <c r="D435" t="s">
        <v>337</v>
      </c>
      <c r="E435" t="s">
        <v>264</v>
      </c>
      <c r="F435" t="s">
        <v>209</v>
      </c>
      <c r="G435" t="s">
        <v>302</v>
      </c>
      <c r="H435">
        <v>103</v>
      </c>
      <c r="I435" t="str">
        <f t="shared" si="6"/>
        <v>Multiple Residences – Senior Citizen|C|Fair</v>
      </c>
      <c r="J435" t="s">
        <v>372</v>
      </c>
    </row>
    <row r="436" spans="2:10">
      <c r="B436" t="s">
        <v>370</v>
      </c>
      <c r="C436" t="s">
        <v>371</v>
      </c>
      <c r="D436" t="s">
        <v>337</v>
      </c>
      <c r="E436" t="s">
        <v>264</v>
      </c>
      <c r="F436" t="s">
        <v>255</v>
      </c>
      <c r="G436" t="s">
        <v>231</v>
      </c>
      <c r="H436">
        <v>186</v>
      </c>
      <c r="I436" t="str">
        <f t="shared" si="6"/>
        <v>Multiple Residences – Senior Citizen|DMASVEN|Excellent</v>
      </c>
      <c r="J436" t="s">
        <v>372</v>
      </c>
    </row>
    <row r="437" spans="2:10">
      <c r="B437" t="s">
        <v>370</v>
      </c>
      <c r="C437" t="s">
        <v>371</v>
      </c>
      <c r="D437" t="s">
        <v>337</v>
      </c>
      <c r="E437" t="s">
        <v>264</v>
      </c>
      <c r="F437" t="s">
        <v>255</v>
      </c>
      <c r="G437" t="s">
        <v>229</v>
      </c>
      <c r="H437">
        <v>147</v>
      </c>
      <c r="I437" t="str">
        <f t="shared" si="6"/>
        <v>Multiple Residences – Senior Citizen|DMASVEN|Good</v>
      </c>
      <c r="J437" t="s">
        <v>372</v>
      </c>
    </row>
    <row r="438" spans="2:10">
      <c r="B438" t="s">
        <v>370</v>
      </c>
      <c r="C438" t="s">
        <v>371</v>
      </c>
      <c r="D438" t="s">
        <v>337</v>
      </c>
      <c r="E438" t="s">
        <v>264</v>
      </c>
      <c r="F438" t="s">
        <v>255</v>
      </c>
      <c r="G438" t="s">
        <v>44</v>
      </c>
      <c r="H438">
        <v>117</v>
      </c>
      <c r="I438" t="str">
        <f t="shared" si="6"/>
        <v>Multiple Residences – Senior Citizen|DMASVEN|Average</v>
      </c>
      <c r="J438" t="s">
        <v>372</v>
      </c>
    </row>
    <row r="439" spans="2:10">
      <c r="B439" t="s">
        <v>370</v>
      </c>
      <c r="C439" t="s">
        <v>371</v>
      </c>
      <c r="D439" t="s">
        <v>337</v>
      </c>
      <c r="E439" t="s">
        <v>264</v>
      </c>
      <c r="F439" t="s">
        <v>255</v>
      </c>
      <c r="G439" t="s">
        <v>302</v>
      </c>
      <c r="H439">
        <v>101</v>
      </c>
      <c r="I439" t="str">
        <f t="shared" si="6"/>
        <v>Multiple Residences – Senior Citizen|DMASVEN|Fair</v>
      </c>
      <c r="J439" t="s">
        <v>372</v>
      </c>
    </row>
    <row r="440" spans="2:10">
      <c r="B440" t="s">
        <v>370</v>
      </c>
      <c r="C440" t="s">
        <v>371</v>
      </c>
      <c r="D440" t="s">
        <v>337</v>
      </c>
      <c r="E440" t="s">
        <v>264</v>
      </c>
      <c r="F440" t="s">
        <v>214</v>
      </c>
      <c r="G440" t="s">
        <v>231</v>
      </c>
      <c r="H440">
        <v>181</v>
      </c>
      <c r="I440" t="str">
        <f t="shared" si="6"/>
        <v>Multiple Residences – Senior Citizen|D|Excellent</v>
      </c>
      <c r="J440" t="s">
        <v>372</v>
      </c>
    </row>
    <row r="441" spans="2:10">
      <c r="B441" t="s">
        <v>370</v>
      </c>
      <c r="C441" t="s">
        <v>371</v>
      </c>
      <c r="D441" t="s">
        <v>337</v>
      </c>
      <c r="E441" t="s">
        <v>264</v>
      </c>
      <c r="F441" t="s">
        <v>214</v>
      </c>
      <c r="G441" t="s">
        <v>229</v>
      </c>
      <c r="H441">
        <v>143</v>
      </c>
      <c r="I441" t="str">
        <f t="shared" si="6"/>
        <v>Multiple Residences – Senior Citizen|D|Good</v>
      </c>
      <c r="J441" t="s">
        <v>372</v>
      </c>
    </row>
    <row r="442" spans="2:10">
      <c r="B442" t="s">
        <v>370</v>
      </c>
      <c r="C442" t="s">
        <v>371</v>
      </c>
      <c r="D442" t="s">
        <v>337</v>
      </c>
      <c r="E442" t="s">
        <v>264</v>
      </c>
      <c r="F442" t="s">
        <v>214</v>
      </c>
      <c r="G442" t="s">
        <v>44</v>
      </c>
      <c r="H442">
        <v>114</v>
      </c>
      <c r="I442" t="str">
        <f t="shared" si="6"/>
        <v>Multiple Residences – Senior Citizen|D|Average</v>
      </c>
      <c r="J442" t="s">
        <v>372</v>
      </c>
    </row>
    <row r="443" spans="2:10">
      <c r="B443" t="s">
        <v>370</v>
      </c>
      <c r="C443" t="s">
        <v>371</v>
      </c>
      <c r="D443" t="s">
        <v>337</v>
      </c>
      <c r="E443" t="s">
        <v>264</v>
      </c>
      <c r="F443" t="s">
        <v>214</v>
      </c>
      <c r="G443" t="s">
        <v>302</v>
      </c>
      <c r="H443">
        <v>98</v>
      </c>
      <c r="I443" t="str">
        <f t="shared" si="6"/>
        <v>Multiple Residences – Senior Citizen|D|Fair</v>
      </c>
      <c r="J443" t="s">
        <v>372</v>
      </c>
    </row>
    <row r="444" spans="2:10">
      <c r="B444" t="s">
        <v>370</v>
      </c>
      <c r="C444" t="s">
        <v>371</v>
      </c>
      <c r="D444" t="s">
        <v>337</v>
      </c>
      <c r="E444" t="s">
        <v>264</v>
      </c>
      <c r="F444" t="s">
        <v>214</v>
      </c>
      <c r="G444" t="s">
        <v>226</v>
      </c>
      <c r="H444">
        <v>86.5</v>
      </c>
      <c r="I444" t="str">
        <f t="shared" si="6"/>
        <v>Multiple Residences – Senior Citizen|D|Low Cost</v>
      </c>
      <c r="J444" t="s">
        <v>372</v>
      </c>
    </row>
    <row r="445" spans="2:10">
      <c r="B445" t="s">
        <v>370</v>
      </c>
      <c r="C445" t="s">
        <v>371</v>
      </c>
      <c r="D445" t="s">
        <v>337</v>
      </c>
      <c r="E445" t="s">
        <v>264</v>
      </c>
      <c r="F445" t="s">
        <v>219</v>
      </c>
      <c r="G445" t="s">
        <v>229</v>
      </c>
      <c r="H445">
        <v>140</v>
      </c>
      <c r="I445" t="str">
        <f t="shared" si="6"/>
        <v>Multiple Residences – Senior Citizen|S|Good</v>
      </c>
      <c r="J445" t="s">
        <v>372</v>
      </c>
    </row>
    <row r="446" spans="2:10">
      <c r="B446" t="s">
        <v>370</v>
      </c>
      <c r="C446" t="s">
        <v>371</v>
      </c>
      <c r="D446" t="s">
        <v>337</v>
      </c>
      <c r="E446" t="s">
        <v>264</v>
      </c>
      <c r="F446" t="s">
        <v>219</v>
      </c>
      <c r="G446" t="s">
        <v>44</v>
      </c>
      <c r="H446">
        <v>112</v>
      </c>
      <c r="I446" t="str">
        <f t="shared" si="6"/>
        <v>Multiple Residences – Senior Citizen|S|Average</v>
      </c>
      <c r="J446" t="s">
        <v>372</v>
      </c>
    </row>
    <row r="447" spans="2:10">
      <c r="B447" t="s">
        <v>373</v>
      </c>
      <c r="C447" t="s">
        <v>374</v>
      </c>
      <c r="D447" t="s">
        <v>337</v>
      </c>
      <c r="E447" t="s">
        <v>269</v>
      </c>
      <c r="F447" t="s">
        <v>209</v>
      </c>
      <c r="G447" t="s">
        <v>231</v>
      </c>
      <c r="H447">
        <v>102</v>
      </c>
      <c r="I447" t="str">
        <f t="shared" si="6"/>
        <v>Shell Multiple Residences - Senior Citizen|C|Excellent</v>
      </c>
      <c r="J447" t="s">
        <v>375</v>
      </c>
    </row>
    <row r="448" spans="2:10">
      <c r="B448" t="s">
        <v>373</v>
      </c>
      <c r="C448" t="s">
        <v>374</v>
      </c>
      <c r="D448" t="s">
        <v>337</v>
      </c>
      <c r="E448" t="s">
        <v>269</v>
      </c>
      <c r="F448" t="s">
        <v>209</v>
      </c>
      <c r="G448" t="s">
        <v>229</v>
      </c>
      <c r="H448">
        <v>82</v>
      </c>
      <c r="I448" t="str">
        <f t="shared" si="6"/>
        <v>Shell Multiple Residences - Senior Citizen|C|Good</v>
      </c>
      <c r="J448" t="s">
        <v>375</v>
      </c>
    </row>
    <row r="449" spans="2:10">
      <c r="B449" t="s">
        <v>373</v>
      </c>
      <c r="C449" t="s">
        <v>374</v>
      </c>
      <c r="D449" t="s">
        <v>337</v>
      </c>
      <c r="E449" t="s">
        <v>269</v>
      </c>
      <c r="F449" t="s">
        <v>209</v>
      </c>
      <c r="G449" t="s">
        <v>44</v>
      </c>
      <c r="H449">
        <v>66.5</v>
      </c>
      <c r="I449" t="str">
        <f t="shared" si="6"/>
        <v>Shell Multiple Residences - Senior Citizen|C|Average</v>
      </c>
      <c r="J449" t="s">
        <v>375</v>
      </c>
    </row>
    <row r="450" spans="2:10">
      <c r="B450" t="s">
        <v>373</v>
      </c>
      <c r="C450" t="s">
        <v>374</v>
      </c>
      <c r="D450" t="s">
        <v>337</v>
      </c>
      <c r="E450" t="s">
        <v>269</v>
      </c>
      <c r="F450" t="s">
        <v>209</v>
      </c>
      <c r="G450" t="s">
        <v>302</v>
      </c>
      <c r="H450">
        <v>59.5</v>
      </c>
      <c r="I450" t="str">
        <f t="shared" si="6"/>
        <v>Shell Multiple Residences - Senior Citizen|C|Fair</v>
      </c>
      <c r="J450" t="s">
        <v>375</v>
      </c>
    </row>
    <row r="451" spans="2:10">
      <c r="B451" t="s">
        <v>373</v>
      </c>
      <c r="C451" t="s">
        <v>374</v>
      </c>
      <c r="D451" t="s">
        <v>337</v>
      </c>
      <c r="E451" t="s">
        <v>269</v>
      </c>
      <c r="F451" t="s">
        <v>255</v>
      </c>
      <c r="G451" t="s">
        <v>231</v>
      </c>
      <c r="H451">
        <v>97</v>
      </c>
      <c r="I451" t="str">
        <f t="shared" si="6"/>
        <v>Shell Multiple Residences - Senior Citizen|DMASVEN|Excellent</v>
      </c>
      <c r="J451" t="s">
        <v>375</v>
      </c>
    </row>
    <row r="452" spans="2:10">
      <c r="B452" t="s">
        <v>373</v>
      </c>
      <c r="C452" t="s">
        <v>374</v>
      </c>
      <c r="D452" t="s">
        <v>337</v>
      </c>
      <c r="E452" t="s">
        <v>269</v>
      </c>
      <c r="F452" t="s">
        <v>255</v>
      </c>
      <c r="G452" t="s">
        <v>229</v>
      </c>
      <c r="H452">
        <v>78.5</v>
      </c>
      <c r="I452" t="str">
        <f t="shared" si="6"/>
        <v>Shell Multiple Residences - Senior Citizen|DMASVEN|Good</v>
      </c>
      <c r="J452" t="s">
        <v>375</v>
      </c>
    </row>
    <row r="453" spans="2:10">
      <c r="B453" t="s">
        <v>373</v>
      </c>
      <c r="C453" t="s">
        <v>374</v>
      </c>
      <c r="D453" t="s">
        <v>337</v>
      </c>
      <c r="E453" t="s">
        <v>269</v>
      </c>
      <c r="F453" t="s">
        <v>255</v>
      </c>
      <c r="G453" t="s">
        <v>44</v>
      </c>
      <c r="H453">
        <v>63</v>
      </c>
      <c r="I453" t="str">
        <f t="shared" si="6"/>
        <v>Shell Multiple Residences - Senior Citizen|DMASVEN|Average</v>
      </c>
      <c r="J453" t="s">
        <v>375</v>
      </c>
    </row>
    <row r="454" spans="2:10">
      <c r="B454" t="s">
        <v>373</v>
      </c>
      <c r="C454" t="s">
        <v>374</v>
      </c>
      <c r="D454" t="s">
        <v>337</v>
      </c>
      <c r="E454" t="s">
        <v>269</v>
      </c>
      <c r="F454" t="s">
        <v>255</v>
      </c>
      <c r="G454" t="s">
        <v>302</v>
      </c>
      <c r="H454">
        <v>56.5</v>
      </c>
      <c r="I454" t="str">
        <f t="shared" si="6"/>
        <v>Shell Multiple Residences - Senior Citizen|DMASVEN|Fair</v>
      </c>
      <c r="J454" t="s">
        <v>375</v>
      </c>
    </row>
    <row r="455" spans="2:10">
      <c r="B455" t="s">
        <v>373</v>
      </c>
      <c r="C455" t="s">
        <v>374</v>
      </c>
      <c r="D455" t="s">
        <v>337</v>
      </c>
      <c r="E455" t="s">
        <v>269</v>
      </c>
      <c r="F455" t="s">
        <v>214</v>
      </c>
      <c r="G455" t="s">
        <v>231</v>
      </c>
      <c r="H455">
        <v>94.5</v>
      </c>
      <c r="I455" t="str">
        <f t="shared" si="6"/>
        <v>Shell Multiple Residences - Senior Citizen|D|Excellent</v>
      </c>
      <c r="J455" t="s">
        <v>375</v>
      </c>
    </row>
    <row r="456" spans="2:10">
      <c r="B456" t="s">
        <v>373</v>
      </c>
      <c r="C456" t="s">
        <v>374</v>
      </c>
      <c r="D456" t="s">
        <v>337</v>
      </c>
      <c r="E456" t="s">
        <v>269</v>
      </c>
      <c r="F456" t="s">
        <v>214</v>
      </c>
      <c r="G456" t="s">
        <v>229</v>
      </c>
      <c r="H456">
        <v>76</v>
      </c>
      <c r="I456" t="str">
        <f t="shared" si="6"/>
        <v>Shell Multiple Residences - Senior Citizen|D|Good</v>
      </c>
      <c r="J456" t="s">
        <v>375</v>
      </c>
    </row>
    <row r="457" spans="2:10">
      <c r="B457" t="s">
        <v>373</v>
      </c>
      <c r="C457" t="s">
        <v>374</v>
      </c>
      <c r="D457" t="s">
        <v>337</v>
      </c>
      <c r="E457" t="s">
        <v>269</v>
      </c>
      <c r="F457" t="s">
        <v>214</v>
      </c>
      <c r="G457" t="s">
        <v>44</v>
      </c>
      <c r="H457">
        <v>61</v>
      </c>
      <c r="I457" t="str">
        <f t="shared" si="6"/>
        <v>Shell Multiple Residences - Senior Citizen|D|Average</v>
      </c>
      <c r="J457" t="s">
        <v>375</v>
      </c>
    </row>
    <row r="458" spans="2:10">
      <c r="B458" t="s">
        <v>373</v>
      </c>
      <c r="C458" t="s">
        <v>374</v>
      </c>
      <c r="D458" t="s">
        <v>337</v>
      </c>
      <c r="E458" t="s">
        <v>269</v>
      </c>
      <c r="F458" t="s">
        <v>214</v>
      </c>
      <c r="G458" t="s">
        <v>302</v>
      </c>
      <c r="H458">
        <v>55</v>
      </c>
      <c r="I458" t="str">
        <f t="shared" si="6"/>
        <v>Shell Multiple Residences - Senior Citizen|D|Fair</v>
      </c>
      <c r="J458" t="s">
        <v>375</v>
      </c>
    </row>
    <row r="459" spans="2:10">
      <c r="B459" t="s">
        <v>373</v>
      </c>
      <c r="C459" t="s">
        <v>374</v>
      </c>
      <c r="D459" t="s">
        <v>337</v>
      </c>
      <c r="E459" t="s">
        <v>269</v>
      </c>
      <c r="F459" t="s">
        <v>214</v>
      </c>
      <c r="G459" t="s">
        <v>226</v>
      </c>
      <c r="H459">
        <v>49.25</v>
      </c>
      <c r="I459" t="str">
        <f t="shared" si="6"/>
        <v>Shell Multiple Residences - Senior Citizen|D|Low Cost</v>
      </c>
      <c r="J459" t="s">
        <v>375</v>
      </c>
    </row>
    <row r="460" spans="2:10">
      <c r="B460" t="s">
        <v>373</v>
      </c>
      <c r="C460" t="s">
        <v>374</v>
      </c>
      <c r="D460" t="s">
        <v>337</v>
      </c>
      <c r="E460" t="s">
        <v>269</v>
      </c>
      <c r="F460" t="s">
        <v>219</v>
      </c>
      <c r="G460" t="s">
        <v>229</v>
      </c>
      <c r="H460">
        <v>73.5</v>
      </c>
      <c r="I460" t="str">
        <f t="shared" si="6"/>
        <v>Shell Multiple Residences - Senior Citizen|S|Good</v>
      </c>
      <c r="J460" t="s">
        <v>375</v>
      </c>
    </row>
    <row r="461" spans="2:10">
      <c r="B461" t="s">
        <v>373</v>
      </c>
      <c r="C461" t="s">
        <v>374</v>
      </c>
      <c r="D461" t="s">
        <v>337</v>
      </c>
      <c r="E461" t="s">
        <v>269</v>
      </c>
      <c r="F461" t="s">
        <v>219</v>
      </c>
      <c r="G461" t="s">
        <v>44</v>
      </c>
      <c r="H461">
        <v>59.5</v>
      </c>
      <c r="I461" t="str">
        <f t="shared" si="6"/>
        <v>Shell Multiple Residences - Senior Citizen|S|Average</v>
      </c>
      <c r="J461" t="s">
        <v>375</v>
      </c>
    </row>
    <row r="462" spans="2:10">
      <c r="B462" t="s">
        <v>376</v>
      </c>
      <c r="C462" t="s">
        <v>377</v>
      </c>
      <c r="D462" t="s">
        <v>337</v>
      </c>
      <c r="E462" t="s">
        <v>274</v>
      </c>
      <c r="F462" t="s">
        <v>209</v>
      </c>
      <c r="G462" t="s">
        <v>231</v>
      </c>
      <c r="H462">
        <v>202</v>
      </c>
      <c r="I462" t="str">
        <f t="shared" si="6"/>
        <v>Multiple Residences – Elderly Assisted Living|C|Excellent</v>
      </c>
      <c r="J462" t="s">
        <v>378</v>
      </c>
    </row>
    <row r="463" spans="2:10">
      <c r="B463" t="s">
        <v>376</v>
      </c>
      <c r="C463" t="s">
        <v>377</v>
      </c>
      <c r="D463" t="s">
        <v>337</v>
      </c>
      <c r="E463" t="s">
        <v>274</v>
      </c>
      <c r="F463" t="s">
        <v>209</v>
      </c>
      <c r="G463" t="s">
        <v>229</v>
      </c>
      <c r="H463">
        <v>165</v>
      </c>
      <c r="I463" t="str">
        <f t="shared" si="6"/>
        <v>Multiple Residences – Elderly Assisted Living|C|Good</v>
      </c>
      <c r="J463" t="s">
        <v>378</v>
      </c>
    </row>
    <row r="464" spans="2:10">
      <c r="B464" t="s">
        <v>376</v>
      </c>
      <c r="C464" t="s">
        <v>377</v>
      </c>
      <c r="D464" t="s">
        <v>337</v>
      </c>
      <c r="E464" t="s">
        <v>274</v>
      </c>
      <c r="F464" t="s">
        <v>209</v>
      </c>
      <c r="G464" t="s">
        <v>44</v>
      </c>
      <c r="H464">
        <v>135</v>
      </c>
      <c r="I464" t="str">
        <f t="shared" si="6"/>
        <v>Multiple Residences – Elderly Assisted Living|C|Average</v>
      </c>
      <c r="J464" t="s">
        <v>378</v>
      </c>
    </row>
    <row r="465" spans="2:10">
      <c r="B465" t="s">
        <v>376</v>
      </c>
      <c r="C465" t="s">
        <v>377</v>
      </c>
      <c r="D465" t="s">
        <v>337</v>
      </c>
      <c r="E465" t="s">
        <v>274</v>
      </c>
      <c r="F465" t="s">
        <v>209</v>
      </c>
      <c r="G465" t="s">
        <v>302</v>
      </c>
      <c r="H465">
        <v>119</v>
      </c>
      <c r="I465" t="str">
        <f t="shared" si="6"/>
        <v>Multiple Residences – Elderly Assisted Living|C|Fair</v>
      </c>
      <c r="J465" t="s">
        <v>378</v>
      </c>
    </row>
    <row r="466" spans="2:10">
      <c r="B466" t="s">
        <v>376</v>
      </c>
      <c r="C466" t="s">
        <v>377</v>
      </c>
      <c r="D466" t="s">
        <v>337</v>
      </c>
      <c r="E466" t="s">
        <v>274</v>
      </c>
      <c r="F466" t="s">
        <v>255</v>
      </c>
      <c r="G466" t="s">
        <v>231</v>
      </c>
      <c r="H466">
        <v>201</v>
      </c>
      <c r="I466" t="str">
        <f t="shared" si="6"/>
        <v>Multiple Residences – Elderly Assisted Living|DMASVEN|Excellent</v>
      </c>
      <c r="J466" t="s">
        <v>378</v>
      </c>
    </row>
    <row r="467" spans="2:10">
      <c r="B467" t="s">
        <v>376</v>
      </c>
      <c r="C467" t="s">
        <v>377</v>
      </c>
      <c r="D467" t="s">
        <v>337</v>
      </c>
      <c r="E467" t="s">
        <v>274</v>
      </c>
      <c r="F467" t="s">
        <v>255</v>
      </c>
      <c r="G467" t="s">
        <v>229</v>
      </c>
      <c r="H467">
        <v>163</v>
      </c>
      <c r="I467" t="str">
        <f t="shared" si="6"/>
        <v>Multiple Residences – Elderly Assisted Living|DMASVEN|Good</v>
      </c>
      <c r="J467" t="s">
        <v>378</v>
      </c>
    </row>
    <row r="468" spans="2:10">
      <c r="B468" t="s">
        <v>376</v>
      </c>
      <c r="C468" t="s">
        <v>377</v>
      </c>
      <c r="D468" t="s">
        <v>337</v>
      </c>
      <c r="E468" t="s">
        <v>274</v>
      </c>
      <c r="F468" t="s">
        <v>255</v>
      </c>
      <c r="G468" t="s">
        <v>44</v>
      </c>
      <c r="H468">
        <v>134</v>
      </c>
      <c r="I468" t="str">
        <f t="shared" si="6"/>
        <v>Multiple Residences – Elderly Assisted Living|DMASVEN|Average</v>
      </c>
      <c r="J468" t="s">
        <v>378</v>
      </c>
    </row>
    <row r="469" spans="2:10">
      <c r="B469" t="s">
        <v>376</v>
      </c>
      <c r="C469" t="s">
        <v>377</v>
      </c>
      <c r="D469" t="s">
        <v>337</v>
      </c>
      <c r="E469" t="s">
        <v>274</v>
      </c>
      <c r="F469" t="s">
        <v>255</v>
      </c>
      <c r="G469" t="s">
        <v>302</v>
      </c>
      <c r="H469">
        <v>118</v>
      </c>
      <c r="I469" t="str">
        <f t="shared" si="6"/>
        <v>Multiple Residences – Elderly Assisted Living|DMASVEN|Fair</v>
      </c>
      <c r="J469" t="s">
        <v>378</v>
      </c>
    </row>
    <row r="470" spans="2:10">
      <c r="B470" t="s">
        <v>376</v>
      </c>
      <c r="C470" t="s">
        <v>377</v>
      </c>
      <c r="D470" t="s">
        <v>337</v>
      </c>
      <c r="E470" t="s">
        <v>274</v>
      </c>
      <c r="F470" t="s">
        <v>214</v>
      </c>
      <c r="G470" t="s">
        <v>231</v>
      </c>
      <c r="H470">
        <v>195</v>
      </c>
      <c r="I470" t="str">
        <f t="shared" si="6"/>
        <v>Multiple Residences – Elderly Assisted Living|D|Excellent</v>
      </c>
      <c r="J470" t="s">
        <v>378</v>
      </c>
    </row>
    <row r="471" spans="2:10">
      <c r="B471" t="s">
        <v>376</v>
      </c>
      <c r="C471" t="s">
        <v>377</v>
      </c>
      <c r="D471" t="s">
        <v>337</v>
      </c>
      <c r="E471" t="s">
        <v>274</v>
      </c>
      <c r="F471" t="s">
        <v>214</v>
      </c>
      <c r="G471" t="s">
        <v>229</v>
      </c>
      <c r="H471">
        <v>159</v>
      </c>
      <c r="I471" t="str">
        <f t="shared" si="6"/>
        <v>Multiple Residences – Elderly Assisted Living|D|Good</v>
      </c>
      <c r="J471" t="s">
        <v>378</v>
      </c>
    </row>
    <row r="472" spans="2:10">
      <c r="B472" t="s">
        <v>376</v>
      </c>
      <c r="C472" t="s">
        <v>377</v>
      </c>
      <c r="D472" t="s">
        <v>337</v>
      </c>
      <c r="E472" t="s">
        <v>274</v>
      </c>
      <c r="F472" t="s">
        <v>214</v>
      </c>
      <c r="G472" t="s">
        <v>44</v>
      </c>
      <c r="H472">
        <v>130</v>
      </c>
      <c r="I472" t="str">
        <f t="shared" si="6"/>
        <v>Multiple Residences – Elderly Assisted Living|D|Average</v>
      </c>
      <c r="J472" t="s">
        <v>378</v>
      </c>
    </row>
    <row r="473" spans="2:10">
      <c r="B473" t="s">
        <v>376</v>
      </c>
      <c r="C473" t="s">
        <v>377</v>
      </c>
      <c r="D473" t="s">
        <v>337</v>
      </c>
      <c r="E473" t="s">
        <v>274</v>
      </c>
      <c r="F473" t="s">
        <v>214</v>
      </c>
      <c r="G473" t="s">
        <v>302</v>
      </c>
      <c r="H473">
        <v>115</v>
      </c>
      <c r="I473" t="str">
        <f t="shared" si="6"/>
        <v>Multiple Residences – Elderly Assisted Living|D|Fair</v>
      </c>
      <c r="J473" t="s">
        <v>378</v>
      </c>
    </row>
    <row r="474" spans="2:10">
      <c r="B474" t="s">
        <v>376</v>
      </c>
      <c r="C474" t="s">
        <v>377</v>
      </c>
      <c r="D474" t="s">
        <v>337</v>
      </c>
      <c r="E474" t="s">
        <v>274</v>
      </c>
      <c r="F474" t="s">
        <v>214</v>
      </c>
      <c r="G474" t="s">
        <v>226</v>
      </c>
      <c r="H474">
        <v>104</v>
      </c>
      <c r="I474" t="str">
        <f t="shared" si="6"/>
        <v>Multiple Residences – Elderly Assisted Living|D|Low Cost</v>
      </c>
      <c r="J474" t="s">
        <v>378</v>
      </c>
    </row>
    <row r="475" spans="2:10">
      <c r="B475" t="s">
        <v>376</v>
      </c>
      <c r="C475" t="s">
        <v>377</v>
      </c>
      <c r="D475" t="s">
        <v>337</v>
      </c>
      <c r="E475" t="s">
        <v>274</v>
      </c>
      <c r="F475" t="s">
        <v>219</v>
      </c>
      <c r="G475" t="s">
        <v>229</v>
      </c>
      <c r="H475">
        <v>155</v>
      </c>
      <c r="I475" t="str">
        <f t="shared" si="6"/>
        <v>Multiple Residences – Elderly Assisted Living|S|Good</v>
      </c>
      <c r="J475" t="s">
        <v>378</v>
      </c>
    </row>
    <row r="476" spans="2:10">
      <c r="B476" t="s">
        <v>376</v>
      </c>
      <c r="C476" t="s">
        <v>377</v>
      </c>
      <c r="D476" t="s">
        <v>337</v>
      </c>
      <c r="E476" t="s">
        <v>274</v>
      </c>
      <c r="F476" t="s">
        <v>219</v>
      </c>
      <c r="G476" t="s">
        <v>44</v>
      </c>
      <c r="H476">
        <v>127</v>
      </c>
      <c r="I476" t="str">
        <f t="shared" si="6"/>
        <v>Multiple Residences – Elderly Assisted Living|S|Average</v>
      </c>
      <c r="J476" t="s">
        <v>378</v>
      </c>
    </row>
    <row r="477" spans="2:10">
      <c r="B477" t="s">
        <v>379</v>
      </c>
      <c r="C477" t="s">
        <v>380</v>
      </c>
      <c r="D477" t="s">
        <v>337</v>
      </c>
      <c r="E477" t="s">
        <v>276</v>
      </c>
      <c r="F477" t="s">
        <v>209</v>
      </c>
      <c r="G477" t="s">
        <v>231</v>
      </c>
      <c r="H477">
        <v>86.5</v>
      </c>
      <c r="I477" t="str">
        <f t="shared" si="6"/>
        <v>Shell Multiple Residences - Elderly Assisted Living|C|Excellent</v>
      </c>
      <c r="J477" t="s">
        <v>381</v>
      </c>
    </row>
    <row r="478" spans="2:10">
      <c r="B478" t="s">
        <v>379</v>
      </c>
      <c r="C478" t="s">
        <v>380</v>
      </c>
      <c r="D478" t="s">
        <v>337</v>
      </c>
      <c r="E478" t="s">
        <v>276</v>
      </c>
      <c r="F478" t="s">
        <v>209</v>
      </c>
      <c r="G478" t="s">
        <v>229</v>
      </c>
      <c r="H478">
        <v>74</v>
      </c>
      <c r="I478" t="str">
        <f t="shared" ref="I478:I541" si="7">B478&amp;"|"&amp;F478&amp;"|"&amp;G478</f>
        <v>Shell Multiple Residences - Elderly Assisted Living|C|Good</v>
      </c>
      <c r="J478" t="s">
        <v>381</v>
      </c>
    </row>
    <row r="479" spans="2:10">
      <c r="B479" t="s">
        <v>379</v>
      </c>
      <c r="C479" t="s">
        <v>380</v>
      </c>
      <c r="D479" t="s">
        <v>337</v>
      </c>
      <c r="E479" t="s">
        <v>276</v>
      </c>
      <c r="F479" t="s">
        <v>209</v>
      </c>
      <c r="G479" t="s">
        <v>44</v>
      </c>
      <c r="H479">
        <v>63</v>
      </c>
      <c r="I479" t="str">
        <f t="shared" si="7"/>
        <v>Shell Multiple Residences - Elderly Assisted Living|C|Average</v>
      </c>
      <c r="J479" t="s">
        <v>381</v>
      </c>
    </row>
    <row r="480" spans="2:10">
      <c r="B480" t="s">
        <v>379</v>
      </c>
      <c r="C480" t="s">
        <v>380</v>
      </c>
      <c r="D480" t="s">
        <v>337</v>
      </c>
      <c r="E480" t="s">
        <v>276</v>
      </c>
      <c r="F480" t="s">
        <v>209</v>
      </c>
      <c r="G480" t="s">
        <v>302</v>
      </c>
      <c r="H480">
        <v>58</v>
      </c>
      <c r="I480" t="str">
        <f t="shared" si="7"/>
        <v>Shell Multiple Residences - Elderly Assisted Living|C|Fair</v>
      </c>
      <c r="J480" t="s">
        <v>381</v>
      </c>
    </row>
    <row r="481" spans="2:10">
      <c r="B481" t="s">
        <v>379</v>
      </c>
      <c r="C481" t="s">
        <v>380</v>
      </c>
      <c r="D481" t="s">
        <v>337</v>
      </c>
      <c r="E481" t="s">
        <v>276</v>
      </c>
      <c r="F481" t="s">
        <v>255</v>
      </c>
      <c r="G481" t="s">
        <v>231</v>
      </c>
      <c r="H481">
        <v>81</v>
      </c>
      <c r="I481" t="str">
        <f t="shared" si="7"/>
        <v>Shell Multiple Residences - Elderly Assisted Living|DMASVEN|Excellent</v>
      </c>
      <c r="J481" t="s">
        <v>381</v>
      </c>
    </row>
    <row r="482" spans="2:10">
      <c r="B482" t="s">
        <v>379</v>
      </c>
      <c r="C482" t="s">
        <v>380</v>
      </c>
      <c r="D482" t="s">
        <v>337</v>
      </c>
      <c r="E482" t="s">
        <v>276</v>
      </c>
      <c r="F482" t="s">
        <v>255</v>
      </c>
      <c r="G482" t="s">
        <v>229</v>
      </c>
      <c r="H482">
        <v>69.5</v>
      </c>
      <c r="I482" t="str">
        <f t="shared" si="7"/>
        <v>Shell Multiple Residences - Elderly Assisted Living|DMASVEN|Good</v>
      </c>
      <c r="J482" t="s">
        <v>381</v>
      </c>
    </row>
    <row r="483" spans="2:10">
      <c r="B483" t="s">
        <v>379</v>
      </c>
      <c r="C483" t="s">
        <v>380</v>
      </c>
      <c r="D483" t="s">
        <v>337</v>
      </c>
      <c r="E483" t="s">
        <v>276</v>
      </c>
      <c r="F483" t="s">
        <v>255</v>
      </c>
      <c r="G483" t="s">
        <v>44</v>
      </c>
      <c r="H483">
        <v>59</v>
      </c>
      <c r="I483" t="str">
        <f t="shared" si="7"/>
        <v>Shell Multiple Residences - Elderly Assisted Living|DMASVEN|Average</v>
      </c>
      <c r="J483" t="s">
        <v>381</v>
      </c>
    </row>
    <row r="484" spans="2:10">
      <c r="B484" t="s">
        <v>379</v>
      </c>
      <c r="C484" t="s">
        <v>380</v>
      </c>
      <c r="D484" t="s">
        <v>337</v>
      </c>
      <c r="E484" t="s">
        <v>276</v>
      </c>
      <c r="F484" t="s">
        <v>255</v>
      </c>
      <c r="G484" t="s">
        <v>302</v>
      </c>
      <c r="H484">
        <v>55</v>
      </c>
      <c r="I484" t="str">
        <f t="shared" si="7"/>
        <v>Shell Multiple Residences - Elderly Assisted Living|DMASVEN|Fair</v>
      </c>
      <c r="J484" t="s">
        <v>381</v>
      </c>
    </row>
    <row r="485" spans="2:10">
      <c r="B485" t="s">
        <v>379</v>
      </c>
      <c r="C485" t="s">
        <v>380</v>
      </c>
      <c r="D485" t="s">
        <v>337</v>
      </c>
      <c r="E485" t="s">
        <v>276</v>
      </c>
      <c r="F485" t="s">
        <v>214</v>
      </c>
      <c r="G485" t="s">
        <v>231</v>
      </c>
      <c r="H485">
        <v>78.5</v>
      </c>
      <c r="I485" t="str">
        <f t="shared" si="7"/>
        <v>Shell Multiple Residences - Elderly Assisted Living|D|Excellent</v>
      </c>
      <c r="J485" t="s">
        <v>381</v>
      </c>
    </row>
    <row r="486" spans="2:10">
      <c r="B486" t="s">
        <v>379</v>
      </c>
      <c r="C486" t="s">
        <v>380</v>
      </c>
      <c r="D486" t="s">
        <v>337</v>
      </c>
      <c r="E486" t="s">
        <v>276</v>
      </c>
      <c r="F486" t="s">
        <v>214</v>
      </c>
      <c r="G486" t="s">
        <v>229</v>
      </c>
      <c r="H486">
        <v>67.5</v>
      </c>
      <c r="I486" t="str">
        <f t="shared" si="7"/>
        <v>Shell Multiple Residences - Elderly Assisted Living|D|Good</v>
      </c>
      <c r="J486" t="s">
        <v>381</v>
      </c>
    </row>
    <row r="487" spans="2:10">
      <c r="B487" t="s">
        <v>379</v>
      </c>
      <c r="C487" t="s">
        <v>380</v>
      </c>
      <c r="D487" t="s">
        <v>337</v>
      </c>
      <c r="E487" t="s">
        <v>276</v>
      </c>
      <c r="F487" t="s">
        <v>214</v>
      </c>
      <c r="G487" t="s">
        <v>44</v>
      </c>
      <c r="H487">
        <v>57.5</v>
      </c>
      <c r="I487" t="str">
        <f t="shared" si="7"/>
        <v>Shell Multiple Residences - Elderly Assisted Living|D|Average</v>
      </c>
      <c r="J487" t="s">
        <v>381</v>
      </c>
    </row>
    <row r="488" spans="2:10">
      <c r="B488" t="s">
        <v>379</v>
      </c>
      <c r="C488" t="s">
        <v>380</v>
      </c>
      <c r="D488" t="s">
        <v>337</v>
      </c>
      <c r="E488" t="s">
        <v>276</v>
      </c>
      <c r="F488" t="s">
        <v>214</v>
      </c>
      <c r="G488" t="s">
        <v>302</v>
      </c>
      <c r="H488">
        <v>53.5</v>
      </c>
      <c r="I488" t="str">
        <f t="shared" si="7"/>
        <v>Shell Multiple Residences - Elderly Assisted Living|D|Fair</v>
      </c>
      <c r="J488" t="s">
        <v>381</v>
      </c>
    </row>
    <row r="489" spans="2:10">
      <c r="B489" t="s">
        <v>379</v>
      </c>
      <c r="C489" t="s">
        <v>380</v>
      </c>
      <c r="D489" t="s">
        <v>337</v>
      </c>
      <c r="E489" t="s">
        <v>276</v>
      </c>
      <c r="F489" t="s">
        <v>214</v>
      </c>
      <c r="G489" t="s">
        <v>226</v>
      </c>
      <c r="H489">
        <v>49.25</v>
      </c>
      <c r="I489" t="str">
        <f t="shared" si="7"/>
        <v>Shell Multiple Residences - Elderly Assisted Living|D|Low Cost</v>
      </c>
      <c r="J489" t="s">
        <v>381</v>
      </c>
    </row>
    <row r="490" spans="2:10">
      <c r="B490" t="s">
        <v>379</v>
      </c>
      <c r="C490" t="s">
        <v>380</v>
      </c>
      <c r="D490" t="s">
        <v>337</v>
      </c>
      <c r="E490" t="s">
        <v>276</v>
      </c>
      <c r="F490" t="s">
        <v>219</v>
      </c>
      <c r="G490" t="s">
        <v>229</v>
      </c>
      <c r="H490">
        <v>65</v>
      </c>
      <c r="I490" t="str">
        <f t="shared" si="7"/>
        <v>Shell Multiple Residences - Elderly Assisted Living|S|Good</v>
      </c>
      <c r="J490" t="s">
        <v>381</v>
      </c>
    </row>
    <row r="491" spans="2:10">
      <c r="B491" t="s">
        <v>379</v>
      </c>
      <c r="C491" t="s">
        <v>380</v>
      </c>
      <c r="D491" t="s">
        <v>337</v>
      </c>
      <c r="E491" t="s">
        <v>276</v>
      </c>
      <c r="F491" t="s">
        <v>219</v>
      </c>
      <c r="G491" t="s">
        <v>44</v>
      </c>
      <c r="H491">
        <v>55.5</v>
      </c>
      <c r="I491" t="str">
        <f t="shared" si="7"/>
        <v>Shell Multiple Residences - Elderly Assisted Living|S|Average</v>
      </c>
      <c r="J491" t="s">
        <v>381</v>
      </c>
    </row>
    <row r="492" spans="2:10">
      <c r="B492" t="s">
        <v>382</v>
      </c>
      <c r="C492" t="s">
        <v>383</v>
      </c>
      <c r="D492" t="s">
        <v>337</v>
      </c>
      <c r="E492" t="s">
        <v>280</v>
      </c>
      <c r="F492" t="s">
        <v>209</v>
      </c>
      <c r="G492" t="s">
        <v>229</v>
      </c>
      <c r="H492">
        <v>234</v>
      </c>
      <c r="I492" t="str">
        <f t="shared" si="7"/>
        <v>Multiple Residences – Retirement Community Complex|C|Good</v>
      </c>
      <c r="J492" t="s">
        <v>384</v>
      </c>
    </row>
    <row r="493" spans="2:10">
      <c r="B493" t="s">
        <v>382</v>
      </c>
      <c r="C493" t="s">
        <v>383</v>
      </c>
      <c r="D493" t="s">
        <v>337</v>
      </c>
      <c r="E493" t="s">
        <v>280</v>
      </c>
      <c r="F493" t="s">
        <v>209</v>
      </c>
      <c r="G493" t="s">
        <v>44</v>
      </c>
      <c r="H493">
        <v>188</v>
      </c>
      <c r="I493" t="str">
        <f t="shared" si="7"/>
        <v>Multiple Residences – Retirement Community Complex|C|Average</v>
      </c>
      <c r="J493" t="s">
        <v>384</v>
      </c>
    </row>
    <row r="494" spans="2:10">
      <c r="B494" t="s">
        <v>382</v>
      </c>
      <c r="C494" t="s">
        <v>383</v>
      </c>
      <c r="D494" t="s">
        <v>337</v>
      </c>
      <c r="E494" t="s">
        <v>280</v>
      </c>
      <c r="F494" t="s">
        <v>209</v>
      </c>
      <c r="G494" t="s">
        <v>302</v>
      </c>
      <c r="H494">
        <v>168</v>
      </c>
      <c r="I494" t="str">
        <f t="shared" si="7"/>
        <v>Multiple Residences – Retirement Community Complex|C|Fair</v>
      </c>
      <c r="J494" t="s">
        <v>384</v>
      </c>
    </row>
    <row r="495" spans="2:10">
      <c r="B495" t="s">
        <v>382</v>
      </c>
      <c r="C495" t="s">
        <v>383</v>
      </c>
      <c r="D495" t="s">
        <v>337</v>
      </c>
      <c r="E495" t="s">
        <v>280</v>
      </c>
      <c r="F495" t="s">
        <v>209</v>
      </c>
      <c r="G495" t="s">
        <v>226</v>
      </c>
      <c r="H495">
        <v>147</v>
      </c>
      <c r="I495" t="str">
        <f t="shared" si="7"/>
        <v>Multiple Residences – Retirement Community Complex|C|Low Cost</v>
      </c>
      <c r="J495" t="s">
        <v>384</v>
      </c>
    </row>
    <row r="496" spans="2:10">
      <c r="B496" t="s">
        <v>382</v>
      </c>
      <c r="C496" t="s">
        <v>383</v>
      </c>
      <c r="D496" t="s">
        <v>337</v>
      </c>
      <c r="E496" t="s">
        <v>280</v>
      </c>
      <c r="F496" t="s">
        <v>255</v>
      </c>
      <c r="G496" t="s">
        <v>229</v>
      </c>
      <c r="H496">
        <v>233</v>
      </c>
      <c r="I496" t="str">
        <f t="shared" si="7"/>
        <v>Multiple Residences – Retirement Community Complex|DMASVEN|Good</v>
      </c>
      <c r="J496" t="s">
        <v>384</v>
      </c>
    </row>
    <row r="497" spans="2:10">
      <c r="B497" t="s">
        <v>382</v>
      </c>
      <c r="C497" t="s">
        <v>383</v>
      </c>
      <c r="D497" t="s">
        <v>337</v>
      </c>
      <c r="E497" t="s">
        <v>280</v>
      </c>
      <c r="F497" t="s">
        <v>255</v>
      </c>
      <c r="G497" t="s">
        <v>44</v>
      </c>
      <c r="H497">
        <v>186</v>
      </c>
      <c r="I497" t="str">
        <f t="shared" si="7"/>
        <v>Multiple Residences – Retirement Community Complex|DMASVEN|Average</v>
      </c>
      <c r="J497" t="s">
        <v>384</v>
      </c>
    </row>
    <row r="498" spans="2:10">
      <c r="B498" t="s">
        <v>382</v>
      </c>
      <c r="C498" t="s">
        <v>383</v>
      </c>
      <c r="D498" t="s">
        <v>337</v>
      </c>
      <c r="E498" t="s">
        <v>280</v>
      </c>
      <c r="F498" t="s">
        <v>255</v>
      </c>
      <c r="G498" t="s">
        <v>302</v>
      </c>
      <c r="H498">
        <v>167</v>
      </c>
      <c r="I498" t="str">
        <f t="shared" si="7"/>
        <v>Multiple Residences – Retirement Community Complex|DMASVEN|Fair</v>
      </c>
      <c r="J498" t="s">
        <v>384</v>
      </c>
    </row>
    <row r="499" spans="2:10">
      <c r="B499" t="s">
        <v>382</v>
      </c>
      <c r="C499" t="s">
        <v>383</v>
      </c>
      <c r="D499" t="s">
        <v>337</v>
      </c>
      <c r="E499" t="s">
        <v>280</v>
      </c>
      <c r="F499" t="s">
        <v>255</v>
      </c>
      <c r="G499" t="s">
        <v>226</v>
      </c>
      <c r="H499">
        <v>146</v>
      </c>
      <c r="I499" t="str">
        <f t="shared" si="7"/>
        <v>Multiple Residences – Retirement Community Complex|DMASVEN|Low Cost</v>
      </c>
      <c r="J499" t="s">
        <v>384</v>
      </c>
    </row>
    <row r="500" spans="2:10">
      <c r="B500" t="s">
        <v>382</v>
      </c>
      <c r="C500" t="s">
        <v>383</v>
      </c>
      <c r="D500" t="s">
        <v>337</v>
      </c>
      <c r="E500" t="s">
        <v>280</v>
      </c>
      <c r="F500" t="s">
        <v>214</v>
      </c>
      <c r="G500" t="s">
        <v>229</v>
      </c>
      <c r="H500">
        <v>228</v>
      </c>
      <c r="I500" t="str">
        <f t="shared" si="7"/>
        <v>Multiple Residences – Retirement Community Complex|D|Good</v>
      </c>
      <c r="J500" t="s">
        <v>384</v>
      </c>
    </row>
    <row r="501" spans="2:10">
      <c r="B501" t="s">
        <v>382</v>
      </c>
      <c r="C501" t="s">
        <v>383</v>
      </c>
      <c r="D501" t="s">
        <v>337</v>
      </c>
      <c r="E501" t="s">
        <v>280</v>
      </c>
      <c r="F501" t="s">
        <v>214</v>
      </c>
      <c r="G501" t="s">
        <v>44</v>
      </c>
      <c r="H501">
        <v>182</v>
      </c>
      <c r="I501" t="str">
        <f t="shared" si="7"/>
        <v>Multiple Residences – Retirement Community Complex|D|Average</v>
      </c>
      <c r="J501" t="s">
        <v>384</v>
      </c>
    </row>
    <row r="502" spans="2:10">
      <c r="B502" t="s">
        <v>382</v>
      </c>
      <c r="C502" t="s">
        <v>383</v>
      </c>
      <c r="D502" t="s">
        <v>337</v>
      </c>
      <c r="E502" t="s">
        <v>280</v>
      </c>
      <c r="F502" t="s">
        <v>214</v>
      </c>
      <c r="G502" t="s">
        <v>302</v>
      </c>
      <c r="H502">
        <v>162</v>
      </c>
      <c r="I502" t="str">
        <f t="shared" si="7"/>
        <v>Multiple Residences – Retirement Community Complex|D|Fair</v>
      </c>
      <c r="J502" t="s">
        <v>384</v>
      </c>
    </row>
    <row r="503" spans="2:10">
      <c r="B503" t="s">
        <v>382</v>
      </c>
      <c r="C503" t="s">
        <v>383</v>
      </c>
      <c r="D503" t="s">
        <v>337</v>
      </c>
      <c r="E503" t="s">
        <v>280</v>
      </c>
      <c r="F503" t="s">
        <v>214</v>
      </c>
      <c r="G503" t="s">
        <v>226</v>
      </c>
      <c r="H503">
        <v>142</v>
      </c>
      <c r="I503" t="str">
        <f t="shared" si="7"/>
        <v>Multiple Residences – Retirement Community Complex|D|Low Cost</v>
      </c>
      <c r="J503" t="s">
        <v>384</v>
      </c>
    </row>
    <row r="504" spans="2:10">
      <c r="B504" t="s">
        <v>382</v>
      </c>
      <c r="C504" t="s">
        <v>383</v>
      </c>
      <c r="D504" t="s">
        <v>337</v>
      </c>
      <c r="E504" t="s">
        <v>280</v>
      </c>
      <c r="F504" t="s">
        <v>219</v>
      </c>
      <c r="G504" t="s">
        <v>44</v>
      </c>
      <c r="H504">
        <v>177</v>
      </c>
      <c r="I504" t="str">
        <f t="shared" si="7"/>
        <v>Multiple Residences – Retirement Community Complex|S|Average</v>
      </c>
      <c r="J504" t="s">
        <v>384</v>
      </c>
    </row>
    <row r="505" spans="2:10">
      <c r="B505" t="s">
        <v>382</v>
      </c>
      <c r="C505" t="s">
        <v>383</v>
      </c>
      <c r="D505" t="s">
        <v>337</v>
      </c>
      <c r="E505" t="s">
        <v>280</v>
      </c>
      <c r="F505" t="s">
        <v>219</v>
      </c>
      <c r="G505" t="s">
        <v>302</v>
      </c>
      <c r="H505">
        <v>158</v>
      </c>
      <c r="I505" t="str">
        <f t="shared" si="7"/>
        <v>Multiple Residences – Retirement Community Complex|S|Fair</v>
      </c>
      <c r="J505" t="s">
        <v>384</v>
      </c>
    </row>
    <row r="506" spans="2:10">
      <c r="B506" t="s">
        <v>385</v>
      </c>
      <c r="C506" t="s">
        <v>386</v>
      </c>
      <c r="D506" t="s">
        <v>337</v>
      </c>
      <c r="E506" t="s">
        <v>284</v>
      </c>
      <c r="F506" t="s">
        <v>209</v>
      </c>
      <c r="G506" t="s">
        <v>229</v>
      </c>
      <c r="H506">
        <v>120</v>
      </c>
      <c r="I506" t="str">
        <f t="shared" si="7"/>
        <v>Shell Multiple Residences - Retirement Community Complex|C|Good</v>
      </c>
      <c r="J506" t="s">
        <v>387</v>
      </c>
    </row>
    <row r="507" spans="2:10">
      <c r="B507" t="s">
        <v>385</v>
      </c>
      <c r="C507" t="s">
        <v>386</v>
      </c>
      <c r="D507" t="s">
        <v>337</v>
      </c>
      <c r="E507" t="s">
        <v>284</v>
      </c>
      <c r="F507" t="s">
        <v>209</v>
      </c>
      <c r="G507" t="s">
        <v>44</v>
      </c>
      <c r="H507">
        <v>100</v>
      </c>
      <c r="I507" t="str">
        <f t="shared" si="7"/>
        <v>Shell Multiple Residences - Retirement Community Complex|C|Average</v>
      </c>
      <c r="J507" t="s">
        <v>387</v>
      </c>
    </row>
    <row r="508" spans="2:10">
      <c r="B508" t="s">
        <v>385</v>
      </c>
      <c r="C508" t="s">
        <v>386</v>
      </c>
      <c r="D508" t="s">
        <v>337</v>
      </c>
      <c r="E508" t="s">
        <v>284</v>
      </c>
      <c r="F508" t="s">
        <v>209</v>
      </c>
      <c r="G508" t="s">
        <v>302</v>
      </c>
      <c r="H508">
        <v>91.5</v>
      </c>
      <c r="I508" t="str">
        <f t="shared" si="7"/>
        <v>Shell Multiple Residences - Retirement Community Complex|C|Fair</v>
      </c>
      <c r="J508" t="s">
        <v>387</v>
      </c>
    </row>
    <row r="509" spans="2:10">
      <c r="B509" t="s">
        <v>385</v>
      </c>
      <c r="C509" t="s">
        <v>386</v>
      </c>
      <c r="D509" t="s">
        <v>337</v>
      </c>
      <c r="E509" t="s">
        <v>284</v>
      </c>
      <c r="F509" t="s">
        <v>209</v>
      </c>
      <c r="G509" t="s">
        <v>226</v>
      </c>
      <c r="H509">
        <v>83.5</v>
      </c>
      <c r="I509" t="str">
        <f t="shared" si="7"/>
        <v>Shell Multiple Residences - Retirement Community Complex|C|Low Cost</v>
      </c>
      <c r="J509" t="s">
        <v>387</v>
      </c>
    </row>
    <row r="510" spans="2:10">
      <c r="B510" t="s">
        <v>385</v>
      </c>
      <c r="C510" t="s">
        <v>386</v>
      </c>
      <c r="D510" t="s">
        <v>337</v>
      </c>
      <c r="E510" t="s">
        <v>284</v>
      </c>
      <c r="F510" t="s">
        <v>255</v>
      </c>
      <c r="G510" t="s">
        <v>229</v>
      </c>
      <c r="H510">
        <v>116</v>
      </c>
      <c r="I510" t="str">
        <f t="shared" si="7"/>
        <v>Shell Multiple Residences - Retirement Community Complex|DMASVEN|Good</v>
      </c>
      <c r="J510" t="s">
        <v>387</v>
      </c>
    </row>
    <row r="511" spans="2:10">
      <c r="B511" t="s">
        <v>385</v>
      </c>
      <c r="C511" t="s">
        <v>386</v>
      </c>
      <c r="D511" t="s">
        <v>337</v>
      </c>
      <c r="E511" t="s">
        <v>284</v>
      </c>
      <c r="F511" t="s">
        <v>255</v>
      </c>
      <c r="G511" t="s">
        <v>44</v>
      </c>
      <c r="H511">
        <v>96.5</v>
      </c>
      <c r="I511" t="str">
        <f t="shared" si="7"/>
        <v>Shell Multiple Residences - Retirement Community Complex|DMASVEN|Average</v>
      </c>
      <c r="J511" t="s">
        <v>387</v>
      </c>
    </row>
    <row r="512" spans="2:10">
      <c r="B512" t="s">
        <v>385</v>
      </c>
      <c r="C512" t="s">
        <v>386</v>
      </c>
      <c r="D512" t="s">
        <v>337</v>
      </c>
      <c r="E512" t="s">
        <v>284</v>
      </c>
      <c r="F512" t="s">
        <v>255</v>
      </c>
      <c r="G512" t="s">
        <v>302</v>
      </c>
      <c r="H512">
        <v>88</v>
      </c>
      <c r="I512" t="str">
        <f t="shared" si="7"/>
        <v>Shell Multiple Residences - Retirement Community Complex|DMASVEN|Fair</v>
      </c>
      <c r="J512" t="s">
        <v>387</v>
      </c>
    </row>
    <row r="513" spans="2:10">
      <c r="B513" t="s">
        <v>385</v>
      </c>
      <c r="C513" t="s">
        <v>386</v>
      </c>
      <c r="D513" t="s">
        <v>337</v>
      </c>
      <c r="E513" t="s">
        <v>284</v>
      </c>
      <c r="F513" t="s">
        <v>255</v>
      </c>
      <c r="G513" t="s">
        <v>226</v>
      </c>
      <c r="H513">
        <v>80</v>
      </c>
      <c r="I513" t="str">
        <f t="shared" si="7"/>
        <v>Shell Multiple Residences - Retirement Community Complex|DMASVEN|Low Cost</v>
      </c>
      <c r="J513" t="s">
        <v>387</v>
      </c>
    </row>
    <row r="514" spans="2:10">
      <c r="B514" t="s">
        <v>385</v>
      </c>
      <c r="C514" t="s">
        <v>386</v>
      </c>
      <c r="D514" t="s">
        <v>337</v>
      </c>
      <c r="E514" t="s">
        <v>284</v>
      </c>
      <c r="F514" t="s">
        <v>214</v>
      </c>
      <c r="G514" t="s">
        <v>229</v>
      </c>
      <c r="H514">
        <v>114</v>
      </c>
      <c r="I514" t="str">
        <f t="shared" si="7"/>
        <v>Shell Multiple Residences - Retirement Community Complex|D|Good</v>
      </c>
      <c r="J514" t="s">
        <v>387</v>
      </c>
    </row>
    <row r="515" spans="2:10">
      <c r="B515" t="s">
        <v>385</v>
      </c>
      <c r="C515" t="s">
        <v>386</v>
      </c>
      <c r="D515" t="s">
        <v>337</v>
      </c>
      <c r="E515" t="s">
        <v>284</v>
      </c>
      <c r="F515" t="s">
        <v>214</v>
      </c>
      <c r="G515" t="s">
        <v>44</v>
      </c>
      <c r="H515">
        <v>94</v>
      </c>
      <c r="I515" t="str">
        <f t="shared" si="7"/>
        <v>Shell Multiple Residences - Retirement Community Complex|D|Average</v>
      </c>
      <c r="J515" t="s">
        <v>387</v>
      </c>
    </row>
    <row r="516" spans="2:10">
      <c r="B516" t="s">
        <v>385</v>
      </c>
      <c r="C516" t="s">
        <v>386</v>
      </c>
      <c r="D516" t="s">
        <v>337</v>
      </c>
      <c r="E516" t="s">
        <v>284</v>
      </c>
      <c r="F516" t="s">
        <v>214</v>
      </c>
      <c r="G516" t="s">
        <v>302</v>
      </c>
      <c r="H516">
        <v>85.5</v>
      </c>
      <c r="I516" t="str">
        <f t="shared" si="7"/>
        <v>Shell Multiple Residences - Retirement Community Complex|D|Fair</v>
      </c>
      <c r="J516" t="s">
        <v>387</v>
      </c>
    </row>
    <row r="517" spans="2:10">
      <c r="B517" t="s">
        <v>385</v>
      </c>
      <c r="C517" t="s">
        <v>386</v>
      </c>
      <c r="D517" t="s">
        <v>337</v>
      </c>
      <c r="E517" t="s">
        <v>284</v>
      </c>
      <c r="F517" t="s">
        <v>214</v>
      </c>
      <c r="G517" t="s">
        <v>226</v>
      </c>
      <c r="H517">
        <v>78</v>
      </c>
      <c r="I517" t="str">
        <f t="shared" si="7"/>
        <v>Shell Multiple Residences - Retirement Community Complex|D|Low Cost</v>
      </c>
      <c r="J517" t="s">
        <v>387</v>
      </c>
    </row>
    <row r="518" spans="2:10">
      <c r="B518" t="s">
        <v>385</v>
      </c>
      <c r="C518" t="s">
        <v>386</v>
      </c>
      <c r="D518" t="s">
        <v>337</v>
      </c>
      <c r="E518" t="s">
        <v>284</v>
      </c>
      <c r="F518" t="s">
        <v>219</v>
      </c>
      <c r="G518" t="s">
        <v>44</v>
      </c>
      <c r="H518">
        <v>91</v>
      </c>
      <c r="I518" t="str">
        <f t="shared" si="7"/>
        <v>Shell Multiple Residences - Retirement Community Complex|S|Average</v>
      </c>
      <c r="J518" t="s">
        <v>387</v>
      </c>
    </row>
    <row r="519" spans="2:10">
      <c r="B519" t="s">
        <v>385</v>
      </c>
      <c r="C519" t="s">
        <v>386</v>
      </c>
      <c r="D519" t="s">
        <v>337</v>
      </c>
      <c r="E519" t="s">
        <v>284</v>
      </c>
      <c r="F519" t="s">
        <v>219</v>
      </c>
      <c r="G519" t="s">
        <v>302</v>
      </c>
      <c r="H519">
        <v>83</v>
      </c>
      <c r="I519" t="str">
        <f t="shared" si="7"/>
        <v>Shell Multiple Residences - Retirement Community Complex|S|Fair</v>
      </c>
      <c r="J519" t="s">
        <v>387</v>
      </c>
    </row>
    <row r="520" spans="2:10">
      <c r="B520" t="s">
        <v>388</v>
      </c>
      <c r="C520" t="s">
        <v>389</v>
      </c>
      <c r="D520" t="s">
        <v>337</v>
      </c>
      <c r="E520" t="s">
        <v>290</v>
      </c>
      <c r="F520" t="s">
        <v>209</v>
      </c>
      <c r="G520" t="s">
        <v>231</v>
      </c>
      <c r="H520">
        <v>266</v>
      </c>
      <c r="I520" t="str">
        <f t="shared" si="7"/>
        <v>Single-Family Residences|C|Excellent</v>
      </c>
      <c r="J520" t="s">
        <v>390</v>
      </c>
    </row>
    <row r="521" spans="2:10">
      <c r="B521" t="s">
        <v>388</v>
      </c>
      <c r="C521" t="s">
        <v>389</v>
      </c>
      <c r="D521" t="s">
        <v>337</v>
      </c>
      <c r="E521" t="s">
        <v>290</v>
      </c>
      <c r="F521" t="s">
        <v>209</v>
      </c>
      <c r="G521" t="s">
        <v>250</v>
      </c>
      <c r="H521">
        <v>220</v>
      </c>
      <c r="I521" t="str">
        <f t="shared" si="7"/>
        <v>Single-Family Residences|C|Very Good</v>
      </c>
      <c r="J521" t="s">
        <v>390</v>
      </c>
    </row>
    <row r="522" spans="2:10">
      <c r="B522" t="s">
        <v>388</v>
      </c>
      <c r="C522" t="s">
        <v>389</v>
      </c>
      <c r="D522" t="s">
        <v>337</v>
      </c>
      <c r="E522" t="s">
        <v>290</v>
      </c>
      <c r="F522" t="s">
        <v>209</v>
      </c>
      <c r="G522" t="s">
        <v>229</v>
      </c>
      <c r="H522">
        <v>185</v>
      </c>
      <c r="I522" t="str">
        <f t="shared" si="7"/>
        <v>Single-Family Residences|C|Good</v>
      </c>
      <c r="J522" t="s">
        <v>390</v>
      </c>
    </row>
    <row r="523" spans="2:10">
      <c r="B523" t="s">
        <v>388</v>
      </c>
      <c r="C523" t="s">
        <v>389</v>
      </c>
      <c r="D523" t="s">
        <v>337</v>
      </c>
      <c r="E523" t="s">
        <v>290</v>
      </c>
      <c r="F523" t="s">
        <v>209</v>
      </c>
      <c r="G523" t="s">
        <v>44</v>
      </c>
      <c r="H523">
        <v>132</v>
      </c>
      <c r="I523" t="str">
        <f t="shared" si="7"/>
        <v>Single-Family Residences|C|Average</v>
      </c>
      <c r="J523" t="s">
        <v>390</v>
      </c>
    </row>
    <row r="524" spans="2:10">
      <c r="B524" t="s">
        <v>388</v>
      </c>
      <c r="C524" t="s">
        <v>389</v>
      </c>
      <c r="D524" t="s">
        <v>337</v>
      </c>
      <c r="E524" t="s">
        <v>290</v>
      </c>
      <c r="F524" t="s">
        <v>209</v>
      </c>
      <c r="G524" t="s">
        <v>302</v>
      </c>
      <c r="H524">
        <v>113</v>
      </c>
      <c r="I524" t="str">
        <f t="shared" si="7"/>
        <v>Single-Family Residences|C|Fair</v>
      </c>
      <c r="J524" t="s">
        <v>390</v>
      </c>
    </row>
    <row r="525" spans="2:10">
      <c r="B525" t="s">
        <v>388</v>
      </c>
      <c r="C525" t="s">
        <v>389</v>
      </c>
      <c r="D525" t="s">
        <v>337</v>
      </c>
      <c r="E525" t="s">
        <v>290</v>
      </c>
      <c r="F525" t="s">
        <v>209</v>
      </c>
      <c r="G525" t="s">
        <v>226</v>
      </c>
      <c r="H525">
        <v>94.5</v>
      </c>
      <c r="I525" t="str">
        <f t="shared" si="7"/>
        <v>Single-Family Residences|C|Low Cost</v>
      </c>
      <c r="J525" t="s">
        <v>390</v>
      </c>
    </row>
    <row r="526" spans="2:10">
      <c r="B526" t="s">
        <v>388</v>
      </c>
      <c r="C526" t="s">
        <v>389</v>
      </c>
      <c r="D526" t="s">
        <v>337</v>
      </c>
      <c r="E526" t="s">
        <v>290</v>
      </c>
      <c r="F526" t="s">
        <v>209</v>
      </c>
      <c r="G526" t="s">
        <v>314</v>
      </c>
      <c r="H526">
        <v>79.5</v>
      </c>
      <c r="I526" t="str">
        <f t="shared" si="7"/>
        <v>Single-Family Residences|C|Cheap</v>
      </c>
      <c r="J526" t="s">
        <v>390</v>
      </c>
    </row>
    <row r="527" spans="2:10">
      <c r="B527" t="s">
        <v>388</v>
      </c>
      <c r="C527" t="s">
        <v>389</v>
      </c>
      <c r="D527" t="s">
        <v>337</v>
      </c>
      <c r="E527" t="s">
        <v>290</v>
      </c>
      <c r="F527" t="s">
        <v>255</v>
      </c>
      <c r="G527" t="s">
        <v>231</v>
      </c>
      <c r="H527">
        <v>263</v>
      </c>
      <c r="I527" t="str">
        <f t="shared" si="7"/>
        <v>Single-Family Residences|DMASVEN|Excellent</v>
      </c>
      <c r="J527" t="s">
        <v>390</v>
      </c>
    </row>
    <row r="528" spans="2:10">
      <c r="B528" t="s">
        <v>388</v>
      </c>
      <c r="C528" t="s">
        <v>389</v>
      </c>
      <c r="D528" t="s">
        <v>337</v>
      </c>
      <c r="E528" t="s">
        <v>290</v>
      </c>
      <c r="F528" t="s">
        <v>255</v>
      </c>
      <c r="G528" t="s">
        <v>250</v>
      </c>
      <c r="H528">
        <v>218</v>
      </c>
      <c r="I528" t="str">
        <f t="shared" si="7"/>
        <v>Single-Family Residences|DMASVEN|Very Good</v>
      </c>
      <c r="J528" t="s">
        <v>390</v>
      </c>
    </row>
    <row r="529" spans="2:10">
      <c r="B529" t="s">
        <v>388</v>
      </c>
      <c r="C529" t="s">
        <v>389</v>
      </c>
      <c r="D529" t="s">
        <v>337</v>
      </c>
      <c r="E529" t="s">
        <v>290</v>
      </c>
      <c r="F529" t="s">
        <v>255</v>
      </c>
      <c r="G529" t="s">
        <v>229</v>
      </c>
      <c r="H529">
        <v>184</v>
      </c>
      <c r="I529" t="str">
        <f t="shared" si="7"/>
        <v>Single-Family Residences|DMASVEN|Good</v>
      </c>
      <c r="J529" t="s">
        <v>390</v>
      </c>
    </row>
    <row r="530" spans="2:10">
      <c r="B530" t="s">
        <v>388</v>
      </c>
      <c r="C530" t="s">
        <v>389</v>
      </c>
      <c r="D530" t="s">
        <v>337</v>
      </c>
      <c r="E530" t="s">
        <v>290</v>
      </c>
      <c r="F530" t="s">
        <v>255</v>
      </c>
      <c r="G530" t="s">
        <v>44</v>
      </c>
      <c r="H530">
        <v>132</v>
      </c>
      <c r="I530" t="str">
        <f t="shared" si="7"/>
        <v>Single-Family Residences|DMASVEN|Average</v>
      </c>
      <c r="J530" t="s">
        <v>390</v>
      </c>
    </row>
    <row r="531" spans="2:10">
      <c r="B531" t="s">
        <v>388</v>
      </c>
      <c r="C531" t="s">
        <v>389</v>
      </c>
      <c r="D531" t="s">
        <v>337</v>
      </c>
      <c r="E531" t="s">
        <v>290</v>
      </c>
      <c r="F531" t="s">
        <v>255</v>
      </c>
      <c r="G531" t="s">
        <v>302</v>
      </c>
      <c r="H531">
        <v>113</v>
      </c>
      <c r="I531" t="str">
        <f t="shared" si="7"/>
        <v>Single-Family Residences|DMASVEN|Fair</v>
      </c>
      <c r="J531" t="s">
        <v>390</v>
      </c>
    </row>
    <row r="532" spans="2:10">
      <c r="B532" t="s">
        <v>388</v>
      </c>
      <c r="C532" t="s">
        <v>389</v>
      </c>
      <c r="D532" t="s">
        <v>337</v>
      </c>
      <c r="E532" t="s">
        <v>290</v>
      </c>
      <c r="F532" t="s">
        <v>255</v>
      </c>
      <c r="G532" t="s">
        <v>226</v>
      </c>
      <c r="H532">
        <v>95</v>
      </c>
      <c r="I532" t="str">
        <f t="shared" si="7"/>
        <v>Single-Family Residences|DMASVEN|Low Cost</v>
      </c>
      <c r="J532" t="s">
        <v>390</v>
      </c>
    </row>
    <row r="533" spans="2:10">
      <c r="B533" t="s">
        <v>388</v>
      </c>
      <c r="C533" t="s">
        <v>389</v>
      </c>
      <c r="D533" t="s">
        <v>337</v>
      </c>
      <c r="E533" t="s">
        <v>290</v>
      </c>
      <c r="F533" t="s">
        <v>214</v>
      </c>
      <c r="G533" t="s">
        <v>231</v>
      </c>
      <c r="H533">
        <v>243</v>
      </c>
      <c r="I533" t="str">
        <f t="shared" si="7"/>
        <v>Single-Family Residences|D|Excellent</v>
      </c>
      <c r="J533" t="s">
        <v>390</v>
      </c>
    </row>
    <row r="534" spans="2:10">
      <c r="B534" t="s">
        <v>388</v>
      </c>
      <c r="C534" t="s">
        <v>389</v>
      </c>
      <c r="D534" t="s">
        <v>337</v>
      </c>
      <c r="E534" t="s">
        <v>290</v>
      </c>
      <c r="F534" t="s">
        <v>214</v>
      </c>
      <c r="G534" t="s">
        <v>250</v>
      </c>
      <c r="H534">
        <v>202</v>
      </c>
      <c r="I534" t="str">
        <f t="shared" si="7"/>
        <v>Single-Family Residences|D|Very Good</v>
      </c>
      <c r="J534" t="s">
        <v>390</v>
      </c>
    </row>
    <row r="535" spans="2:10">
      <c r="B535" t="s">
        <v>388</v>
      </c>
      <c r="C535" t="s">
        <v>389</v>
      </c>
      <c r="D535" t="s">
        <v>337</v>
      </c>
      <c r="E535" t="s">
        <v>290</v>
      </c>
      <c r="F535" t="s">
        <v>214</v>
      </c>
      <c r="G535" t="s">
        <v>229</v>
      </c>
      <c r="H535">
        <v>172</v>
      </c>
      <c r="I535" t="str">
        <f t="shared" si="7"/>
        <v>Single-Family Residences|D|Good</v>
      </c>
      <c r="J535" t="s">
        <v>390</v>
      </c>
    </row>
    <row r="536" spans="2:10">
      <c r="B536" t="s">
        <v>388</v>
      </c>
      <c r="C536" t="s">
        <v>389</v>
      </c>
      <c r="D536" t="s">
        <v>337</v>
      </c>
      <c r="E536" t="s">
        <v>290</v>
      </c>
      <c r="F536" t="s">
        <v>214</v>
      </c>
      <c r="G536" t="s">
        <v>44</v>
      </c>
      <c r="H536">
        <v>124</v>
      </c>
      <c r="I536" t="str">
        <f t="shared" si="7"/>
        <v>Single-Family Residences|D|Average</v>
      </c>
      <c r="J536" t="s">
        <v>390</v>
      </c>
    </row>
    <row r="537" spans="2:10">
      <c r="B537" t="s">
        <v>388</v>
      </c>
      <c r="C537" t="s">
        <v>389</v>
      </c>
      <c r="D537" t="s">
        <v>337</v>
      </c>
      <c r="E537" t="s">
        <v>290</v>
      </c>
      <c r="F537" t="s">
        <v>214</v>
      </c>
      <c r="G537" t="s">
        <v>302</v>
      </c>
      <c r="H537">
        <v>106</v>
      </c>
      <c r="I537" t="str">
        <f t="shared" si="7"/>
        <v>Single-Family Residences|D|Fair</v>
      </c>
      <c r="J537" t="s">
        <v>390</v>
      </c>
    </row>
    <row r="538" spans="2:10">
      <c r="B538" t="s">
        <v>388</v>
      </c>
      <c r="C538" t="s">
        <v>389</v>
      </c>
      <c r="D538" t="s">
        <v>337</v>
      </c>
      <c r="E538" t="s">
        <v>290</v>
      </c>
      <c r="F538" t="s">
        <v>214</v>
      </c>
      <c r="G538" t="s">
        <v>226</v>
      </c>
      <c r="H538">
        <v>89.5</v>
      </c>
      <c r="I538" t="str">
        <f t="shared" si="7"/>
        <v>Single-Family Residences|D|Low Cost</v>
      </c>
      <c r="J538" t="s">
        <v>390</v>
      </c>
    </row>
    <row r="539" spans="2:10">
      <c r="B539" t="s">
        <v>388</v>
      </c>
      <c r="C539" t="s">
        <v>389</v>
      </c>
      <c r="D539" t="s">
        <v>337</v>
      </c>
      <c r="E539" t="s">
        <v>290</v>
      </c>
      <c r="F539" t="s">
        <v>214</v>
      </c>
      <c r="G539" t="s">
        <v>314</v>
      </c>
      <c r="H539">
        <v>75.5</v>
      </c>
      <c r="I539" t="str">
        <f t="shared" si="7"/>
        <v>Single-Family Residences|D|Cheap</v>
      </c>
      <c r="J539" t="s">
        <v>390</v>
      </c>
    </row>
    <row r="540" spans="2:10">
      <c r="B540" t="s">
        <v>388</v>
      </c>
      <c r="C540" t="s">
        <v>389</v>
      </c>
      <c r="D540" t="s">
        <v>337</v>
      </c>
      <c r="E540" t="s">
        <v>290</v>
      </c>
      <c r="F540" t="s">
        <v>219</v>
      </c>
      <c r="G540" t="s">
        <v>44</v>
      </c>
      <c r="H540">
        <v>123</v>
      </c>
      <c r="I540" t="str">
        <f t="shared" si="7"/>
        <v>Single-Family Residences|S|Average</v>
      </c>
      <c r="J540" t="s">
        <v>390</v>
      </c>
    </row>
    <row r="541" spans="2:10">
      <c r="B541" t="s">
        <v>391</v>
      </c>
      <c r="D541" t="s">
        <v>337</v>
      </c>
      <c r="E541" t="s">
        <v>309</v>
      </c>
      <c r="F541" t="s">
        <v>209</v>
      </c>
      <c r="G541" t="s">
        <v>231</v>
      </c>
      <c r="H541">
        <v>276</v>
      </c>
      <c r="I541" t="str">
        <f t="shared" si="7"/>
        <v>Guest Houses|C|Excellent</v>
      </c>
      <c r="J541" t="s">
        <v>392</v>
      </c>
    </row>
    <row r="542" spans="2:10">
      <c r="B542" t="s">
        <v>391</v>
      </c>
      <c r="D542" t="s">
        <v>337</v>
      </c>
      <c r="E542" t="s">
        <v>309</v>
      </c>
      <c r="F542" t="s">
        <v>209</v>
      </c>
      <c r="G542" t="s">
        <v>250</v>
      </c>
      <c r="H542">
        <v>208</v>
      </c>
      <c r="I542" t="str">
        <f t="shared" ref="I542:I605" si="8">B542&amp;"|"&amp;F542&amp;"|"&amp;G542</f>
        <v>Guest Houses|C|Very Good</v>
      </c>
      <c r="J542" t="s">
        <v>392</v>
      </c>
    </row>
    <row r="543" spans="2:10">
      <c r="B543" t="s">
        <v>391</v>
      </c>
      <c r="D543" t="s">
        <v>337</v>
      </c>
      <c r="E543" t="s">
        <v>309</v>
      </c>
      <c r="F543" t="s">
        <v>209</v>
      </c>
      <c r="G543" t="s">
        <v>229</v>
      </c>
      <c r="H543">
        <v>157</v>
      </c>
      <c r="I543" t="str">
        <f t="shared" si="8"/>
        <v>Guest Houses|C|Good</v>
      </c>
      <c r="J543" t="s">
        <v>392</v>
      </c>
    </row>
    <row r="544" spans="2:10">
      <c r="B544" t="s">
        <v>391</v>
      </c>
      <c r="D544" t="s">
        <v>337</v>
      </c>
      <c r="E544" t="s">
        <v>309</v>
      </c>
      <c r="F544" t="s">
        <v>209</v>
      </c>
      <c r="G544" t="s">
        <v>44</v>
      </c>
      <c r="H544">
        <v>117</v>
      </c>
      <c r="I544" t="str">
        <f t="shared" si="8"/>
        <v>Guest Houses|C|Average</v>
      </c>
      <c r="J544" t="s">
        <v>392</v>
      </c>
    </row>
    <row r="545" spans="2:10">
      <c r="B545" t="s">
        <v>391</v>
      </c>
      <c r="D545" t="s">
        <v>337</v>
      </c>
      <c r="E545" t="s">
        <v>309</v>
      </c>
      <c r="F545" t="s">
        <v>209</v>
      </c>
      <c r="G545" t="s">
        <v>226</v>
      </c>
      <c r="H545">
        <v>88.5</v>
      </c>
      <c r="I545" t="str">
        <f t="shared" si="8"/>
        <v>Guest Houses|C|Low Cost</v>
      </c>
      <c r="J545" t="s">
        <v>392</v>
      </c>
    </row>
    <row r="546" spans="2:10">
      <c r="B546" t="s">
        <v>391</v>
      </c>
      <c r="D546" t="s">
        <v>337</v>
      </c>
      <c r="E546" t="s">
        <v>309</v>
      </c>
      <c r="F546" t="s">
        <v>214</v>
      </c>
      <c r="G546" t="s">
        <v>231</v>
      </c>
      <c r="H546">
        <v>275</v>
      </c>
      <c r="I546" t="str">
        <f t="shared" si="8"/>
        <v>Guest Houses|D|Excellent</v>
      </c>
      <c r="J546" t="s">
        <v>392</v>
      </c>
    </row>
    <row r="547" spans="2:10">
      <c r="B547" t="s">
        <v>391</v>
      </c>
      <c r="D547" t="s">
        <v>337</v>
      </c>
      <c r="E547" t="s">
        <v>309</v>
      </c>
      <c r="F547" t="s">
        <v>214</v>
      </c>
      <c r="G547" t="s">
        <v>250</v>
      </c>
      <c r="H547">
        <v>204</v>
      </c>
      <c r="I547" t="str">
        <f t="shared" si="8"/>
        <v>Guest Houses|D|Very Good</v>
      </c>
      <c r="J547" t="s">
        <v>392</v>
      </c>
    </row>
    <row r="548" spans="2:10">
      <c r="B548" t="s">
        <v>391</v>
      </c>
      <c r="D548" t="s">
        <v>337</v>
      </c>
      <c r="E548" t="s">
        <v>309</v>
      </c>
      <c r="F548" t="s">
        <v>214</v>
      </c>
      <c r="G548" t="s">
        <v>229</v>
      </c>
      <c r="H548">
        <v>153</v>
      </c>
      <c r="I548" t="str">
        <f t="shared" si="8"/>
        <v>Guest Houses|D|Good</v>
      </c>
      <c r="J548" t="s">
        <v>392</v>
      </c>
    </row>
    <row r="549" spans="2:10">
      <c r="B549" t="s">
        <v>391</v>
      </c>
      <c r="D549" t="s">
        <v>337</v>
      </c>
      <c r="E549" t="s">
        <v>309</v>
      </c>
      <c r="F549" t="s">
        <v>214</v>
      </c>
      <c r="G549" t="s">
        <v>44</v>
      </c>
      <c r="H549">
        <v>112</v>
      </c>
      <c r="I549" t="str">
        <f t="shared" si="8"/>
        <v>Guest Houses|D|Average</v>
      </c>
      <c r="J549" t="s">
        <v>392</v>
      </c>
    </row>
    <row r="550" spans="2:10">
      <c r="B550" t="s">
        <v>391</v>
      </c>
      <c r="D550" t="s">
        <v>337</v>
      </c>
      <c r="E550" t="s">
        <v>309</v>
      </c>
      <c r="F550" t="s">
        <v>214</v>
      </c>
      <c r="G550" t="s">
        <v>226</v>
      </c>
      <c r="H550">
        <v>83.5</v>
      </c>
      <c r="I550" t="str">
        <f t="shared" si="8"/>
        <v>Guest Houses|D|Low Cost</v>
      </c>
      <c r="J550" t="s">
        <v>392</v>
      </c>
    </row>
    <row r="551" spans="2:10">
      <c r="B551" t="s">
        <v>391</v>
      </c>
      <c r="D551" t="s">
        <v>337</v>
      </c>
      <c r="E551" t="s">
        <v>309</v>
      </c>
      <c r="F551" t="s">
        <v>214</v>
      </c>
      <c r="G551" t="s">
        <v>314</v>
      </c>
      <c r="H551">
        <v>76</v>
      </c>
      <c r="I551" t="str">
        <f t="shared" si="8"/>
        <v>Guest Houses|D|Cheap</v>
      </c>
      <c r="J551" t="s">
        <v>392</v>
      </c>
    </row>
    <row r="552" spans="2:10">
      <c r="B552" t="s">
        <v>393</v>
      </c>
      <c r="C552" t="s">
        <v>394</v>
      </c>
      <c r="D552" t="s">
        <v>337</v>
      </c>
      <c r="E552" t="s">
        <v>317</v>
      </c>
      <c r="F552" t="s">
        <v>214</v>
      </c>
      <c r="G552" t="s">
        <v>231</v>
      </c>
      <c r="H552">
        <v>271</v>
      </c>
      <c r="I552" t="str">
        <f t="shared" si="8"/>
        <v>Log Homes|D|Excellent</v>
      </c>
      <c r="J552" t="s">
        <v>395</v>
      </c>
    </row>
    <row r="553" spans="2:10">
      <c r="B553" t="s">
        <v>393</v>
      </c>
      <c r="C553" t="s">
        <v>394</v>
      </c>
      <c r="D553" t="s">
        <v>337</v>
      </c>
      <c r="E553" t="s">
        <v>317</v>
      </c>
      <c r="F553" t="s">
        <v>214</v>
      </c>
      <c r="G553" t="s">
        <v>229</v>
      </c>
      <c r="H553">
        <v>192</v>
      </c>
      <c r="I553" t="str">
        <f t="shared" si="8"/>
        <v>Log Homes|D|Good</v>
      </c>
      <c r="J553" t="s">
        <v>395</v>
      </c>
    </row>
    <row r="554" spans="2:10">
      <c r="B554" t="s">
        <v>393</v>
      </c>
      <c r="C554" t="s">
        <v>394</v>
      </c>
      <c r="D554" t="s">
        <v>337</v>
      </c>
      <c r="E554" t="s">
        <v>317</v>
      </c>
      <c r="F554" t="s">
        <v>214</v>
      </c>
      <c r="G554" t="s">
        <v>44</v>
      </c>
      <c r="H554">
        <v>138</v>
      </c>
      <c r="I554" t="str">
        <f t="shared" si="8"/>
        <v>Log Homes|D|Average</v>
      </c>
      <c r="J554" t="s">
        <v>395</v>
      </c>
    </row>
    <row r="555" spans="2:10">
      <c r="B555" t="s">
        <v>393</v>
      </c>
      <c r="C555" t="s">
        <v>394</v>
      </c>
      <c r="D555" t="s">
        <v>337</v>
      </c>
      <c r="E555" t="s">
        <v>317</v>
      </c>
      <c r="F555" t="s">
        <v>214</v>
      </c>
      <c r="G555" t="s">
        <v>226</v>
      </c>
      <c r="H555">
        <v>99.5</v>
      </c>
      <c r="I555" t="str">
        <f t="shared" si="8"/>
        <v>Log Homes|D|Low Cost</v>
      </c>
      <c r="J555" t="s">
        <v>395</v>
      </c>
    </row>
    <row r="556" spans="2:10">
      <c r="B556" t="s">
        <v>396</v>
      </c>
      <c r="C556" t="s">
        <v>397</v>
      </c>
      <c r="D556" t="s">
        <v>337</v>
      </c>
      <c r="E556" t="s">
        <v>323</v>
      </c>
      <c r="F556" t="s">
        <v>209</v>
      </c>
      <c r="G556" t="s">
        <v>231</v>
      </c>
      <c r="H556">
        <v>221</v>
      </c>
      <c r="I556" t="str">
        <f t="shared" si="8"/>
        <v>Town Houses|C|Excellent</v>
      </c>
      <c r="J556" t="s">
        <v>398</v>
      </c>
    </row>
    <row r="557" spans="2:10">
      <c r="B557" t="s">
        <v>396</v>
      </c>
      <c r="C557" t="s">
        <v>397</v>
      </c>
      <c r="D557" t="s">
        <v>337</v>
      </c>
      <c r="E557" t="s">
        <v>323</v>
      </c>
      <c r="F557" t="s">
        <v>209</v>
      </c>
      <c r="G557" t="s">
        <v>229</v>
      </c>
      <c r="H557">
        <v>161</v>
      </c>
      <c r="I557" t="str">
        <f t="shared" si="8"/>
        <v>Town Houses|C|Good</v>
      </c>
      <c r="J557" t="s">
        <v>398</v>
      </c>
    </row>
    <row r="558" spans="2:10">
      <c r="B558" t="s">
        <v>396</v>
      </c>
      <c r="C558" t="s">
        <v>397</v>
      </c>
      <c r="D558" t="s">
        <v>337</v>
      </c>
      <c r="E558" t="s">
        <v>323</v>
      </c>
      <c r="F558" t="s">
        <v>209</v>
      </c>
      <c r="G558" t="s">
        <v>44</v>
      </c>
      <c r="H558">
        <v>117</v>
      </c>
      <c r="I558" t="str">
        <f t="shared" si="8"/>
        <v>Town Houses|C|Average</v>
      </c>
      <c r="J558" t="s">
        <v>398</v>
      </c>
    </row>
    <row r="559" spans="2:10">
      <c r="B559" t="s">
        <v>396</v>
      </c>
      <c r="C559" t="s">
        <v>397</v>
      </c>
      <c r="D559" t="s">
        <v>337</v>
      </c>
      <c r="E559" t="s">
        <v>323</v>
      </c>
      <c r="F559" t="s">
        <v>209</v>
      </c>
      <c r="G559" t="s">
        <v>302</v>
      </c>
      <c r="H559">
        <v>101</v>
      </c>
      <c r="I559" t="str">
        <f t="shared" si="8"/>
        <v>Town Houses|C|Fair</v>
      </c>
      <c r="J559" t="s">
        <v>398</v>
      </c>
    </row>
    <row r="560" spans="2:10">
      <c r="B560" t="s">
        <v>396</v>
      </c>
      <c r="C560" t="s">
        <v>397</v>
      </c>
      <c r="D560" t="s">
        <v>337</v>
      </c>
      <c r="E560" t="s">
        <v>323</v>
      </c>
      <c r="F560" t="s">
        <v>209</v>
      </c>
      <c r="G560" t="s">
        <v>226</v>
      </c>
      <c r="H560">
        <v>85.5</v>
      </c>
      <c r="I560" t="str">
        <f t="shared" si="8"/>
        <v>Town Houses|C|Low Cost</v>
      </c>
      <c r="J560" t="s">
        <v>398</v>
      </c>
    </row>
    <row r="561" spans="2:10">
      <c r="B561" t="s">
        <v>396</v>
      </c>
      <c r="C561" t="s">
        <v>397</v>
      </c>
      <c r="D561" t="s">
        <v>337</v>
      </c>
      <c r="E561" t="s">
        <v>323</v>
      </c>
      <c r="F561" t="s">
        <v>255</v>
      </c>
      <c r="G561" t="s">
        <v>231</v>
      </c>
      <c r="H561">
        <v>219</v>
      </c>
      <c r="I561" t="str">
        <f t="shared" si="8"/>
        <v>Town Houses|DMASVEN|Excellent</v>
      </c>
      <c r="J561" t="s">
        <v>398</v>
      </c>
    </row>
    <row r="562" spans="2:10">
      <c r="B562" t="s">
        <v>396</v>
      </c>
      <c r="C562" t="s">
        <v>397</v>
      </c>
      <c r="D562" t="s">
        <v>337</v>
      </c>
      <c r="E562" t="s">
        <v>323</v>
      </c>
      <c r="F562" t="s">
        <v>255</v>
      </c>
      <c r="G562" t="s">
        <v>229</v>
      </c>
      <c r="H562">
        <v>160</v>
      </c>
      <c r="I562" t="str">
        <f t="shared" si="8"/>
        <v>Town Houses|DMASVEN|Good</v>
      </c>
      <c r="J562" t="s">
        <v>398</v>
      </c>
    </row>
    <row r="563" spans="2:10">
      <c r="B563" t="s">
        <v>396</v>
      </c>
      <c r="C563" t="s">
        <v>397</v>
      </c>
      <c r="D563" t="s">
        <v>337</v>
      </c>
      <c r="E563" t="s">
        <v>323</v>
      </c>
      <c r="F563" t="s">
        <v>255</v>
      </c>
      <c r="G563" t="s">
        <v>44</v>
      </c>
      <c r="H563">
        <v>117</v>
      </c>
      <c r="I563" t="str">
        <f t="shared" si="8"/>
        <v>Town Houses|DMASVEN|Average</v>
      </c>
      <c r="J563" t="s">
        <v>398</v>
      </c>
    </row>
    <row r="564" spans="2:10">
      <c r="B564" t="s">
        <v>396</v>
      </c>
      <c r="C564" t="s">
        <v>397</v>
      </c>
      <c r="D564" t="s">
        <v>337</v>
      </c>
      <c r="E564" t="s">
        <v>323</v>
      </c>
      <c r="F564" t="s">
        <v>255</v>
      </c>
      <c r="G564" t="s">
        <v>302</v>
      </c>
      <c r="H564">
        <v>100</v>
      </c>
      <c r="I564" t="str">
        <f t="shared" si="8"/>
        <v>Town Houses|DMASVEN|Fair</v>
      </c>
      <c r="J564" t="s">
        <v>398</v>
      </c>
    </row>
    <row r="565" spans="2:10">
      <c r="B565" t="s">
        <v>396</v>
      </c>
      <c r="C565" t="s">
        <v>397</v>
      </c>
      <c r="D565" t="s">
        <v>337</v>
      </c>
      <c r="E565" t="s">
        <v>323</v>
      </c>
      <c r="F565" t="s">
        <v>255</v>
      </c>
      <c r="G565" t="s">
        <v>226</v>
      </c>
      <c r="H565">
        <v>85</v>
      </c>
      <c r="I565" t="str">
        <f t="shared" si="8"/>
        <v>Town Houses|DMASVEN|Low Cost</v>
      </c>
      <c r="J565" t="s">
        <v>398</v>
      </c>
    </row>
    <row r="566" spans="2:10">
      <c r="B566" t="s">
        <v>396</v>
      </c>
      <c r="C566" t="s">
        <v>397</v>
      </c>
      <c r="D566" t="s">
        <v>337</v>
      </c>
      <c r="E566" t="s">
        <v>323</v>
      </c>
      <c r="F566" t="s">
        <v>214</v>
      </c>
      <c r="G566" t="s">
        <v>231</v>
      </c>
      <c r="H566">
        <v>210</v>
      </c>
      <c r="I566" t="str">
        <f t="shared" si="8"/>
        <v>Town Houses|D|Excellent</v>
      </c>
      <c r="J566" t="s">
        <v>398</v>
      </c>
    </row>
    <row r="567" spans="2:10">
      <c r="B567" t="s">
        <v>396</v>
      </c>
      <c r="C567" t="s">
        <v>397</v>
      </c>
      <c r="D567" t="s">
        <v>337</v>
      </c>
      <c r="E567" t="s">
        <v>323</v>
      </c>
      <c r="F567" t="s">
        <v>214</v>
      </c>
      <c r="G567" t="s">
        <v>229</v>
      </c>
      <c r="H567">
        <v>154</v>
      </c>
      <c r="I567" t="str">
        <f t="shared" si="8"/>
        <v>Town Houses|D|Good</v>
      </c>
      <c r="J567" t="s">
        <v>398</v>
      </c>
    </row>
    <row r="568" spans="2:10">
      <c r="B568" t="s">
        <v>396</v>
      </c>
      <c r="C568" t="s">
        <v>397</v>
      </c>
      <c r="D568" t="s">
        <v>337</v>
      </c>
      <c r="E568" t="s">
        <v>323</v>
      </c>
      <c r="F568" t="s">
        <v>214</v>
      </c>
      <c r="G568" t="s">
        <v>44</v>
      </c>
      <c r="H568">
        <v>112</v>
      </c>
      <c r="I568" t="str">
        <f t="shared" si="8"/>
        <v>Town Houses|D|Average</v>
      </c>
      <c r="J568" t="s">
        <v>398</v>
      </c>
    </row>
    <row r="569" spans="2:10">
      <c r="B569" t="s">
        <v>396</v>
      </c>
      <c r="C569" t="s">
        <v>397</v>
      </c>
      <c r="D569" t="s">
        <v>337</v>
      </c>
      <c r="E569" t="s">
        <v>323</v>
      </c>
      <c r="F569" t="s">
        <v>214</v>
      </c>
      <c r="G569" t="s">
        <v>302</v>
      </c>
      <c r="H569">
        <v>96.5</v>
      </c>
      <c r="I569" t="str">
        <f t="shared" si="8"/>
        <v>Town Houses|D|Fair</v>
      </c>
      <c r="J569" t="s">
        <v>398</v>
      </c>
    </row>
    <row r="570" spans="2:10">
      <c r="B570" t="s">
        <v>396</v>
      </c>
      <c r="C570" t="s">
        <v>397</v>
      </c>
      <c r="D570" t="s">
        <v>337</v>
      </c>
      <c r="E570" t="s">
        <v>323</v>
      </c>
      <c r="F570" t="s">
        <v>214</v>
      </c>
      <c r="G570" t="s">
        <v>226</v>
      </c>
      <c r="H570">
        <v>81.5</v>
      </c>
      <c r="I570" t="str">
        <f t="shared" si="8"/>
        <v>Town Houses|D|Low Cost</v>
      </c>
      <c r="J570" t="s">
        <v>398</v>
      </c>
    </row>
    <row r="571" spans="2:10">
      <c r="B571" t="s">
        <v>399</v>
      </c>
      <c r="C571" t="s">
        <v>400</v>
      </c>
      <c r="D571" t="s">
        <v>337</v>
      </c>
      <c r="E571" t="s">
        <v>329</v>
      </c>
      <c r="F571" t="s">
        <v>209</v>
      </c>
      <c r="G571" t="s">
        <v>231</v>
      </c>
      <c r="H571">
        <v>218</v>
      </c>
      <c r="I571" t="str">
        <f t="shared" si="8"/>
        <v>Senior Citizen Town Houses|C|Excellent</v>
      </c>
      <c r="J571" t="s">
        <v>401</v>
      </c>
    </row>
    <row r="572" spans="2:10">
      <c r="B572" t="s">
        <v>399</v>
      </c>
      <c r="C572" t="s">
        <v>400</v>
      </c>
      <c r="D572" t="s">
        <v>337</v>
      </c>
      <c r="E572" t="s">
        <v>329</v>
      </c>
      <c r="F572" t="s">
        <v>209</v>
      </c>
      <c r="G572" t="s">
        <v>229</v>
      </c>
      <c r="H572">
        <v>166</v>
      </c>
      <c r="I572" t="str">
        <f t="shared" si="8"/>
        <v>Senior Citizen Town Houses|C|Good</v>
      </c>
      <c r="J572" t="s">
        <v>401</v>
      </c>
    </row>
    <row r="573" spans="2:10">
      <c r="B573" t="s">
        <v>399</v>
      </c>
      <c r="C573" t="s">
        <v>400</v>
      </c>
      <c r="D573" t="s">
        <v>337</v>
      </c>
      <c r="E573" t="s">
        <v>329</v>
      </c>
      <c r="F573" t="s">
        <v>209</v>
      </c>
      <c r="G573" t="s">
        <v>44</v>
      </c>
      <c r="H573">
        <v>127</v>
      </c>
      <c r="I573" t="str">
        <f t="shared" si="8"/>
        <v>Senior Citizen Town Houses|C|Average</v>
      </c>
      <c r="J573" t="s">
        <v>401</v>
      </c>
    </row>
    <row r="574" spans="2:10">
      <c r="B574" t="s">
        <v>399</v>
      </c>
      <c r="C574" t="s">
        <v>400</v>
      </c>
      <c r="D574" t="s">
        <v>337</v>
      </c>
      <c r="E574" t="s">
        <v>329</v>
      </c>
      <c r="F574" t="s">
        <v>209</v>
      </c>
      <c r="G574" t="s">
        <v>302</v>
      </c>
      <c r="H574">
        <v>108</v>
      </c>
      <c r="I574" t="str">
        <f t="shared" si="8"/>
        <v>Senior Citizen Town Houses|C|Fair</v>
      </c>
      <c r="J574" t="s">
        <v>401</v>
      </c>
    </row>
    <row r="575" spans="2:10">
      <c r="B575" t="s">
        <v>399</v>
      </c>
      <c r="C575" t="s">
        <v>400</v>
      </c>
      <c r="D575" t="s">
        <v>337</v>
      </c>
      <c r="E575" t="s">
        <v>329</v>
      </c>
      <c r="F575" t="s">
        <v>255</v>
      </c>
      <c r="G575" t="s">
        <v>231</v>
      </c>
      <c r="H575">
        <v>216</v>
      </c>
      <c r="I575" t="str">
        <f t="shared" si="8"/>
        <v>Senior Citizen Town Houses|DMASVEN|Excellent</v>
      </c>
      <c r="J575" t="s">
        <v>401</v>
      </c>
    </row>
    <row r="576" spans="2:10">
      <c r="B576" t="s">
        <v>399</v>
      </c>
      <c r="C576" t="s">
        <v>400</v>
      </c>
      <c r="D576" t="s">
        <v>337</v>
      </c>
      <c r="E576" t="s">
        <v>329</v>
      </c>
      <c r="F576" t="s">
        <v>255</v>
      </c>
      <c r="G576" t="s">
        <v>229</v>
      </c>
      <c r="H576">
        <v>165</v>
      </c>
      <c r="I576" t="str">
        <f t="shared" si="8"/>
        <v>Senior Citizen Town Houses|DMASVEN|Good</v>
      </c>
      <c r="J576" t="s">
        <v>401</v>
      </c>
    </row>
    <row r="577" spans="2:10">
      <c r="B577" t="s">
        <v>399</v>
      </c>
      <c r="C577" t="s">
        <v>400</v>
      </c>
      <c r="D577" t="s">
        <v>337</v>
      </c>
      <c r="E577" t="s">
        <v>329</v>
      </c>
      <c r="F577" t="s">
        <v>255</v>
      </c>
      <c r="G577" t="s">
        <v>44</v>
      </c>
      <c r="H577">
        <v>126</v>
      </c>
      <c r="I577" t="str">
        <f t="shared" si="8"/>
        <v>Senior Citizen Town Houses|DMASVEN|Average</v>
      </c>
      <c r="J577" t="s">
        <v>401</v>
      </c>
    </row>
    <row r="578" spans="2:10">
      <c r="B578" t="s">
        <v>399</v>
      </c>
      <c r="C578" t="s">
        <v>400</v>
      </c>
      <c r="D578" t="s">
        <v>337</v>
      </c>
      <c r="E578" t="s">
        <v>329</v>
      </c>
      <c r="F578" t="s">
        <v>255</v>
      </c>
      <c r="G578" t="s">
        <v>302</v>
      </c>
      <c r="H578">
        <v>107</v>
      </c>
      <c r="I578" t="str">
        <f t="shared" si="8"/>
        <v>Senior Citizen Town Houses|DMASVEN|Fair</v>
      </c>
      <c r="J578" t="s">
        <v>401</v>
      </c>
    </row>
    <row r="579" spans="2:10">
      <c r="B579" t="s">
        <v>399</v>
      </c>
      <c r="C579" t="s">
        <v>400</v>
      </c>
      <c r="D579" t="s">
        <v>337</v>
      </c>
      <c r="E579" t="s">
        <v>329</v>
      </c>
      <c r="F579" t="s">
        <v>214</v>
      </c>
      <c r="G579" t="s">
        <v>231</v>
      </c>
      <c r="H579">
        <v>208</v>
      </c>
      <c r="I579" t="str">
        <f t="shared" si="8"/>
        <v>Senior Citizen Town Houses|D|Excellent</v>
      </c>
      <c r="J579" t="s">
        <v>401</v>
      </c>
    </row>
    <row r="580" spans="2:10">
      <c r="B580" t="s">
        <v>399</v>
      </c>
      <c r="C580" t="s">
        <v>400</v>
      </c>
      <c r="D580" t="s">
        <v>337</v>
      </c>
      <c r="E580" t="s">
        <v>329</v>
      </c>
      <c r="F580" t="s">
        <v>214</v>
      </c>
      <c r="G580" t="s">
        <v>229</v>
      </c>
      <c r="H580">
        <v>158</v>
      </c>
      <c r="I580" t="str">
        <f t="shared" si="8"/>
        <v>Senior Citizen Town Houses|D|Good</v>
      </c>
      <c r="J580" t="s">
        <v>401</v>
      </c>
    </row>
    <row r="581" spans="2:10">
      <c r="B581" t="s">
        <v>399</v>
      </c>
      <c r="C581" t="s">
        <v>400</v>
      </c>
      <c r="D581" t="s">
        <v>337</v>
      </c>
      <c r="E581" t="s">
        <v>329</v>
      </c>
      <c r="F581" t="s">
        <v>214</v>
      </c>
      <c r="G581" t="s">
        <v>44</v>
      </c>
      <c r="H581">
        <v>121</v>
      </c>
      <c r="I581" t="str">
        <f t="shared" si="8"/>
        <v>Senior Citizen Town Houses|D|Average</v>
      </c>
      <c r="J581" t="s">
        <v>401</v>
      </c>
    </row>
    <row r="582" spans="2:10">
      <c r="B582" t="s">
        <v>399</v>
      </c>
      <c r="C582" t="s">
        <v>400</v>
      </c>
      <c r="D582" t="s">
        <v>337</v>
      </c>
      <c r="E582" t="s">
        <v>329</v>
      </c>
      <c r="F582" t="s">
        <v>214</v>
      </c>
      <c r="G582" t="s">
        <v>302</v>
      </c>
      <c r="H582">
        <v>103</v>
      </c>
      <c r="I582" t="str">
        <f t="shared" si="8"/>
        <v>Senior Citizen Town Houses|D|Fair</v>
      </c>
      <c r="J582" t="s">
        <v>401</v>
      </c>
    </row>
    <row r="583" spans="2:10">
      <c r="B583" t="s">
        <v>402</v>
      </c>
      <c r="C583" t="s">
        <v>403</v>
      </c>
      <c r="D583" t="s">
        <v>337</v>
      </c>
      <c r="E583" t="s">
        <v>333</v>
      </c>
      <c r="F583" t="s">
        <v>209</v>
      </c>
      <c r="G583" t="s">
        <v>231</v>
      </c>
      <c r="H583">
        <v>237</v>
      </c>
      <c r="I583" t="str">
        <f t="shared" si="8"/>
        <v>Urban Row (Town) Houses|C|Excellent</v>
      </c>
      <c r="J583" t="s">
        <v>404</v>
      </c>
    </row>
    <row r="584" spans="2:10">
      <c r="B584" t="s">
        <v>402</v>
      </c>
      <c r="C584" t="s">
        <v>403</v>
      </c>
      <c r="D584" t="s">
        <v>337</v>
      </c>
      <c r="E584" t="s">
        <v>333</v>
      </c>
      <c r="F584" t="s">
        <v>209</v>
      </c>
      <c r="G584" t="s">
        <v>229</v>
      </c>
      <c r="H584">
        <v>173</v>
      </c>
      <c r="I584" t="str">
        <f t="shared" si="8"/>
        <v>Urban Row (Town) Houses|C|Good</v>
      </c>
      <c r="J584" t="s">
        <v>404</v>
      </c>
    </row>
    <row r="585" spans="2:10">
      <c r="B585" t="s">
        <v>402</v>
      </c>
      <c r="C585" t="s">
        <v>403</v>
      </c>
      <c r="D585" t="s">
        <v>337</v>
      </c>
      <c r="E585" t="s">
        <v>333</v>
      </c>
      <c r="F585" t="s">
        <v>209</v>
      </c>
      <c r="G585" t="s">
        <v>44</v>
      </c>
      <c r="H585">
        <v>126</v>
      </c>
      <c r="I585" t="str">
        <f t="shared" si="8"/>
        <v>Urban Row (Town) Houses|C|Average</v>
      </c>
      <c r="J585" t="s">
        <v>404</v>
      </c>
    </row>
    <row r="586" spans="2:10">
      <c r="B586" t="s">
        <v>402</v>
      </c>
      <c r="C586" t="s">
        <v>403</v>
      </c>
      <c r="D586" t="s">
        <v>337</v>
      </c>
      <c r="E586" t="s">
        <v>333</v>
      </c>
      <c r="F586" t="s">
        <v>209</v>
      </c>
      <c r="G586" t="s">
        <v>302</v>
      </c>
      <c r="H586">
        <v>108</v>
      </c>
      <c r="I586" t="str">
        <f t="shared" si="8"/>
        <v>Urban Row (Town) Houses|C|Fair</v>
      </c>
      <c r="J586" t="s">
        <v>404</v>
      </c>
    </row>
    <row r="587" spans="2:10">
      <c r="B587" t="s">
        <v>402</v>
      </c>
      <c r="C587" t="s">
        <v>403</v>
      </c>
      <c r="D587" t="s">
        <v>337</v>
      </c>
      <c r="E587" t="s">
        <v>333</v>
      </c>
      <c r="F587" t="s">
        <v>266</v>
      </c>
      <c r="G587" t="s">
        <v>231</v>
      </c>
      <c r="H587">
        <v>258</v>
      </c>
      <c r="I587" t="str">
        <f t="shared" si="8"/>
        <v>Urban Row (Town) Houses|CMILL|Excellent</v>
      </c>
      <c r="J587" t="s">
        <v>404</v>
      </c>
    </row>
    <row r="588" spans="2:10">
      <c r="B588" t="s">
        <v>402</v>
      </c>
      <c r="C588" t="s">
        <v>403</v>
      </c>
      <c r="D588" t="s">
        <v>337</v>
      </c>
      <c r="E588" t="s">
        <v>333</v>
      </c>
      <c r="F588" t="s">
        <v>266</v>
      </c>
      <c r="G588" t="s">
        <v>229</v>
      </c>
      <c r="H588">
        <v>203</v>
      </c>
      <c r="I588" t="str">
        <f t="shared" si="8"/>
        <v>Urban Row (Town) Houses|CMILL|Good</v>
      </c>
      <c r="J588" t="s">
        <v>404</v>
      </c>
    </row>
    <row r="589" spans="2:10">
      <c r="B589" t="s">
        <v>402</v>
      </c>
      <c r="C589" t="s">
        <v>403</v>
      </c>
      <c r="D589" t="s">
        <v>337</v>
      </c>
      <c r="E589" t="s">
        <v>333</v>
      </c>
      <c r="F589" t="s">
        <v>266</v>
      </c>
      <c r="G589" t="s">
        <v>44</v>
      </c>
      <c r="H589">
        <v>160</v>
      </c>
      <c r="I589" t="str">
        <f t="shared" si="8"/>
        <v>Urban Row (Town) Houses|CMILL|Average</v>
      </c>
      <c r="J589" t="s">
        <v>404</v>
      </c>
    </row>
    <row r="590" spans="2:10">
      <c r="B590" t="s">
        <v>402</v>
      </c>
      <c r="C590" t="s">
        <v>403</v>
      </c>
      <c r="D590" t="s">
        <v>337</v>
      </c>
      <c r="E590" t="s">
        <v>333</v>
      </c>
      <c r="F590" t="s">
        <v>255</v>
      </c>
      <c r="G590" t="s">
        <v>231</v>
      </c>
      <c r="H590">
        <v>236</v>
      </c>
      <c r="I590" t="str">
        <f t="shared" si="8"/>
        <v>Urban Row (Town) Houses|DMASVEN|Excellent</v>
      </c>
      <c r="J590" t="s">
        <v>404</v>
      </c>
    </row>
    <row r="591" spans="2:10">
      <c r="B591" t="s">
        <v>402</v>
      </c>
      <c r="C591" t="s">
        <v>403</v>
      </c>
      <c r="D591" t="s">
        <v>337</v>
      </c>
      <c r="E591" t="s">
        <v>333</v>
      </c>
      <c r="F591" t="s">
        <v>255</v>
      </c>
      <c r="G591" t="s">
        <v>229</v>
      </c>
      <c r="H591">
        <v>172</v>
      </c>
      <c r="I591" t="str">
        <f t="shared" si="8"/>
        <v>Urban Row (Town) Houses|DMASVEN|Good</v>
      </c>
      <c r="J591" t="s">
        <v>404</v>
      </c>
    </row>
    <row r="592" spans="2:10">
      <c r="B592" t="s">
        <v>402</v>
      </c>
      <c r="C592" t="s">
        <v>403</v>
      </c>
      <c r="D592" t="s">
        <v>337</v>
      </c>
      <c r="E592" t="s">
        <v>333</v>
      </c>
      <c r="F592" t="s">
        <v>255</v>
      </c>
      <c r="G592" t="s">
        <v>44</v>
      </c>
      <c r="H592">
        <v>125</v>
      </c>
      <c r="I592" t="str">
        <f t="shared" si="8"/>
        <v>Urban Row (Town) Houses|DMASVEN|Average</v>
      </c>
      <c r="J592" t="s">
        <v>404</v>
      </c>
    </row>
    <row r="593" spans="2:10">
      <c r="B593" t="s">
        <v>402</v>
      </c>
      <c r="C593" t="s">
        <v>403</v>
      </c>
      <c r="D593" t="s">
        <v>337</v>
      </c>
      <c r="E593" t="s">
        <v>333</v>
      </c>
      <c r="F593" t="s">
        <v>255</v>
      </c>
      <c r="G593" t="s">
        <v>302</v>
      </c>
      <c r="H593">
        <v>107</v>
      </c>
      <c r="I593" t="str">
        <f t="shared" si="8"/>
        <v>Urban Row (Town) Houses|DMASVEN|Fair</v>
      </c>
      <c r="J593" t="s">
        <v>404</v>
      </c>
    </row>
    <row r="594" spans="2:10">
      <c r="B594" t="s">
        <v>402</v>
      </c>
      <c r="C594" t="s">
        <v>403</v>
      </c>
      <c r="D594" t="s">
        <v>337</v>
      </c>
      <c r="E594" t="s">
        <v>333</v>
      </c>
      <c r="F594" t="s">
        <v>214</v>
      </c>
      <c r="G594" t="s">
        <v>231</v>
      </c>
      <c r="H594">
        <v>226</v>
      </c>
      <c r="I594" t="str">
        <f t="shared" si="8"/>
        <v>Urban Row (Town) Houses|D|Excellent</v>
      </c>
      <c r="J594" t="s">
        <v>404</v>
      </c>
    </row>
    <row r="595" spans="2:10">
      <c r="B595" t="s">
        <v>402</v>
      </c>
      <c r="C595" t="s">
        <v>403</v>
      </c>
      <c r="D595" t="s">
        <v>337</v>
      </c>
      <c r="E595" t="s">
        <v>333</v>
      </c>
      <c r="F595" t="s">
        <v>214</v>
      </c>
      <c r="G595" t="s">
        <v>229</v>
      </c>
      <c r="H595">
        <v>165</v>
      </c>
      <c r="I595" t="str">
        <f t="shared" si="8"/>
        <v>Urban Row (Town) Houses|D|Good</v>
      </c>
      <c r="J595" t="s">
        <v>404</v>
      </c>
    </row>
    <row r="596" spans="2:10">
      <c r="B596" t="s">
        <v>402</v>
      </c>
      <c r="C596" t="s">
        <v>403</v>
      </c>
      <c r="D596" t="s">
        <v>337</v>
      </c>
      <c r="E596" t="s">
        <v>333</v>
      </c>
      <c r="F596" t="s">
        <v>214</v>
      </c>
      <c r="G596" t="s">
        <v>44</v>
      </c>
      <c r="H596">
        <v>120</v>
      </c>
      <c r="I596" t="str">
        <f t="shared" si="8"/>
        <v>Urban Row (Town) Houses|D|Average</v>
      </c>
      <c r="J596" t="s">
        <v>404</v>
      </c>
    </row>
    <row r="597" spans="2:10">
      <c r="B597" t="s">
        <v>402</v>
      </c>
      <c r="C597" t="s">
        <v>403</v>
      </c>
      <c r="D597" t="s">
        <v>337</v>
      </c>
      <c r="E597" t="s">
        <v>333</v>
      </c>
      <c r="F597" t="s">
        <v>214</v>
      </c>
      <c r="G597" t="s">
        <v>302</v>
      </c>
      <c r="H597">
        <v>103</v>
      </c>
      <c r="I597" t="str">
        <f t="shared" si="8"/>
        <v>Urban Row (Town) Houses|D|Fair</v>
      </c>
      <c r="J597" t="s">
        <v>404</v>
      </c>
    </row>
    <row r="598" spans="2:10">
      <c r="B598" t="s">
        <v>405</v>
      </c>
      <c r="C598" t="s">
        <v>406</v>
      </c>
      <c r="D598" t="s">
        <v>337</v>
      </c>
      <c r="E598" t="s">
        <v>407</v>
      </c>
      <c r="F598" t="s">
        <v>209</v>
      </c>
      <c r="G598" t="s">
        <v>231</v>
      </c>
      <c r="H598">
        <v>101</v>
      </c>
      <c r="I598" t="str">
        <f t="shared" si="8"/>
        <v>Shell Town House Buildings|C|Excellent</v>
      </c>
      <c r="J598" t="s">
        <v>408</v>
      </c>
    </row>
    <row r="599" spans="2:10">
      <c r="B599" t="s">
        <v>405</v>
      </c>
      <c r="C599" t="s">
        <v>406</v>
      </c>
      <c r="D599" t="s">
        <v>337</v>
      </c>
      <c r="E599" t="s">
        <v>407</v>
      </c>
      <c r="F599" t="s">
        <v>209</v>
      </c>
      <c r="G599" t="s">
        <v>229</v>
      </c>
      <c r="H599">
        <v>76.5</v>
      </c>
      <c r="I599" t="str">
        <f t="shared" si="8"/>
        <v>Shell Town House Buildings|C|Good</v>
      </c>
      <c r="J599" t="s">
        <v>408</v>
      </c>
    </row>
    <row r="600" spans="2:10">
      <c r="B600" t="s">
        <v>405</v>
      </c>
      <c r="C600" t="s">
        <v>406</v>
      </c>
      <c r="D600" t="s">
        <v>337</v>
      </c>
      <c r="E600" t="s">
        <v>407</v>
      </c>
      <c r="F600" t="s">
        <v>209</v>
      </c>
      <c r="G600" t="s">
        <v>44</v>
      </c>
      <c r="H600">
        <v>58</v>
      </c>
      <c r="I600" t="str">
        <f t="shared" si="8"/>
        <v>Shell Town House Buildings|C|Average</v>
      </c>
      <c r="J600" t="s">
        <v>408</v>
      </c>
    </row>
    <row r="601" spans="2:10">
      <c r="B601" t="s">
        <v>405</v>
      </c>
      <c r="C601" t="s">
        <v>406</v>
      </c>
      <c r="D601" t="s">
        <v>337</v>
      </c>
      <c r="E601" t="s">
        <v>407</v>
      </c>
      <c r="F601" t="s">
        <v>209</v>
      </c>
      <c r="G601" t="s">
        <v>302</v>
      </c>
      <c r="H601">
        <v>51</v>
      </c>
      <c r="I601" t="str">
        <f t="shared" si="8"/>
        <v>Shell Town House Buildings|C|Fair</v>
      </c>
      <c r="J601" t="s">
        <v>408</v>
      </c>
    </row>
    <row r="602" spans="2:10">
      <c r="B602" t="s">
        <v>405</v>
      </c>
      <c r="C602" t="s">
        <v>406</v>
      </c>
      <c r="D602" t="s">
        <v>337</v>
      </c>
      <c r="E602" t="s">
        <v>407</v>
      </c>
      <c r="F602" t="s">
        <v>255</v>
      </c>
      <c r="G602" t="s">
        <v>231</v>
      </c>
      <c r="H602">
        <v>98.5</v>
      </c>
      <c r="I602" t="str">
        <f t="shared" si="8"/>
        <v>Shell Town House Buildings|DMASVEN|Excellent</v>
      </c>
      <c r="J602" t="s">
        <v>408</v>
      </c>
    </row>
    <row r="603" spans="2:10">
      <c r="B603" t="s">
        <v>405</v>
      </c>
      <c r="C603" t="s">
        <v>406</v>
      </c>
      <c r="D603" t="s">
        <v>337</v>
      </c>
      <c r="E603" t="s">
        <v>407</v>
      </c>
      <c r="F603" t="s">
        <v>255</v>
      </c>
      <c r="G603" t="s">
        <v>229</v>
      </c>
      <c r="H603">
        <v>74.5</v>
      </c>
      <c r="I603" t="str">
        <f t="shared" si="8"/>
        <v>Shell Town House Buildings|DMASVEN|Good</v>
      </c>
      <c r="J603" t="s">
        <v>408</v>
      </c>
    </row>
    <row r="604" spans="2:10">
      <c r="B604" t="s">
        <v>405</v>
      </c>
      <c r="C604" t="s">
        <v>406</v>
      </c>
      <c r="D604" t="s">
        <v>337</v>
      </c>
      <c r="E604" t="s">
        <v>407</v>
      </c>
      <c r="F604" t="s">
        <v>255</v>
      </c>
      <c r="G604" t="s">
        <v>44</v>
      </c>
      <c r="H604">
        <v>57</v>
      </c>
      <c r="I604" t="str">
        <f t="shared" si="8"/>
        <v>Shell Town House Buildings|DMASVEN|Average</v>
      </c>
      <c r="J604" t="s">
        <v>408</v>
      </c>
    </row>
    <row r="605" spans="2:10">
      <c r="B605" t="s">
        <v>405</v>
      </c>
      <c r="C605" t="s">
        <v>406</v>
      </c>
      <c r="D605" t="s">
        <v>337</v>
      </c>
      <c r="E605" t="s">
        <v>407</v>
      </c>
      <c r="F605" t="s">
        <v>255</v>
      </c>
      <c r="G605" t="s">
        <v>302</v>
      </c>
      <c r="H605">
        <v>49.75</v>
      </c>
      <c r="I605" t="str">
        <f t="shared" si="8"/>
        <v>Shell Town House Buildings|DMASVEN|Fair</v>
      </c>
      <c r="J605" t="s">
        <v>408</v>
      </c>
    </row>
    <row r="606" spans="2:10">
      <c r="B606" t="s">
        <v>405</v>
      </c>
      <c r="C606" t="s">
        <v>406</v>
      </c>
      <c r="D606" t="s">
        <v>337</v>
      </c>
      <c r="E606" t="s">
        <v>407</v>
      </c>
      <c r="F606" t="s">
        <v>214</v>
      </c>
      <c r="G606" t="s">
        <v>231</v>
      </c>
      <c r="H606">
        <v>89.5</v>
      </c>
      <c r="I606" t="str">
        <f t="shared" ref="I606:I669" si="9">B606&amp;"|"&amp;F606&amp;"|"&amp;G606</f>
        <v>Shell Town House Buildings|D|Excellent</v>
      </c>
      <c r="J606" t="s">
        <v>408</v>
      </c>
    </row>
    <row r="607" spans="2:10">
      <c r="B607" t="s">
        <v>405</v>
      </c>
      <c r="C607" t="s">
        <v>406</v>
      </c>
      <c r="D607" t="s">
        <v>337</v>
      </c>
      <c r="E607" t="s">
        <v>407</v>
      </c>
      <c r="F607" t="s">
        <v>214</v>
      </c>
      <c r="G607" t="s">
        <v>229</v>
      </c>
      <c r="H607">
        <v>68</v>
      </c>
      <c r="I607" t="str">
        <f t="shared" si="9"/>
        <v>Shell Town House Buildings|D|Good</v>
      </c>
      <c r="J607" t="s">
        <v>408</v>
      </c>
    </row>
    <row r="608" spans="2:10">
      <c r="B608" t="s">
        <v>405</v>
      </c>
      <c r="C608" t="s">
        <v>406</v>
      </c>
      <c r="D608" t="s">
        <v>337</v>
      </c>
      <c r="E608" t="s">
        <v>407</v>
      </c>
      <c r="F608" t="s">
        <v>214</v>
      </c>
      <c r="G608" t="s">
        <v>44</v>
      </c>
      <c r="H608">
        <v>52</v>
      </c>
      <c r="I608" t="str">
        <f t="shared" si="9"/>
        <v>Shell Town House Buildings|D|Average</v>
      </c>
      <c r="J608" t="s">
        <v>408</v>
      </c>
    </row>
    <row r="609" spans="2:10">
      <c r="B609" t="s">
        <v>405</v>
      </c>
      <c r="C609" t="s">
        <v>406</v>
      </c>
      <c r="D609" t="s">
        <v>337</v>
      </c>
      <c r="E609" t="s">
        <v>407</v>
      </c>
      <c r="F609" t="s">
        <v>214</v>
      </c>
      <c r="G609" t="s">
        <v>302</v>
      </c>
      <c r="H609">
        <v>45.75</v>
      </c>
      <c r="I609" t="str">
        <f t="shared" si="9"/>
        <v>Shell Town House Buildings|D|Fair</v>
      </c>
      <c r="J609" t="s">
        <v>408</v>
      </c>
    </row>
    <row r="610" spans="2:10">
      <c r="B610" t="s">
        <v>409</v>
      </c>
      <c r="C610" t="s">
        <v>410</v>
      </c>
      <c r="D610" t="s">
        <v>244</v>
      </c>
      <c r="E610" t="s">
        <v>244</v>
      </c>
      <c r="F610" t="s">
        <v>270</v>
      </c>
      <c r="G610" t="s">
        <v>44</v>
      </c>
      <c r="H610">
        <v>181</v>
      </c>
      <c r="I610" t="str">
        <f t="shared" si="9"/>
        <v>Bars/Taverns|A-B|Average</v>
      </c>
      <c r="J610" t="s">
        <v>411</v>
      </c>
    </row>
    <row r="611" spans="2:10">
      <c r="B611" t="s">
        <v>409</v>
      </c>
      <c r="C611" t="s">
        <v>410</v>
      </c>
      <c r="D611" t="s">
        <v>244</v>
      </c>
      <c r="E611" t="s">
        <v>244</v>
      </c>
      <c r="F611" t="s">
        <v>209</v>
      </c>
      <c r="G611" t="s">
        <v>229</v>
      </c>
      <c r="H611">
        <v>187</v>
      </c>
      <c r="I611" t="str">
        <f t="shared" si="9"/>
        <v>Bars/Taverns|C|Good</v>
      </c>
      <c r="J611" t="s">
        <v>411</v>
      </c>
    </row>
    <row r="612" spans="2:10">
      <c r="B612" t="s">
        <v>409</v>
      </c>
      <c r="C612" t="s">
        <v>410</v>
      </c>
      <c r="D612" t="s">
        <v>244</v>
      </c>
      <c r="E612" t="s">
        <v>244</v>
      </c>
      <c r="F612" t="s">
        <v>209</v>
      </c>
      <c r="G612" t="s">
        <v>44</v>
      </c>
      <c r="H612">
        <v>143</v>
      </c>
      <c r="I612" t="str">
        <f t="shared" si="9"/>
        <v>Bars/Taverns|C|Average</v>
      </c>
      <c r="J612" t="s">
        <v>411</v>
      </c>
    </row>
    <row r="613" spans="2:10">
      <c r="B613" t="s">
        <v>409</v>
      </c>
      <c r="C613" t="s">
        <v>410</v>
      </c>
      <c r="D613" t="s">
        <v>244</v>
      </c>
      <c r="E613" t="s">
        <v>244</v>
      </c>
      <c r="F613" t="s">
        <v>209</v>
      </c>
      <c r="G613" t="s">
        <v>226</v>
      </c>
      <c r="H613">
        <v>110</v>
      </c>
      <c r="I613" t="str">
        <f t="shared" si="9"/>
        <v>Bars/Taverns|C|Low Cost</v>
      </c>
      <c r="J613" t="s">
        <v>411</v>
      </c>
    </row>
    <row r="614" spans="2:10">
      <c r="B614" t="s">
        <v>409</v>
      </c>
      <c r="C614" t="s">
        <v>410</v>
      </c>
      <c r="D614" t="s">
        <v>244</v>
      </c>
      <c r="E614" t="s">
        <v>244</v>
      </c>
      <c r="F614" t="s">
        <v>214</v>
      </c>
      <c r="G614" t="s">
        <v>229</v>
      </c>
      <c r="H614">
        <v>175</v>
      </c>
      <c r="I614" t="str">
        <f t="shared" si="9"/>
        <v>Bars/Taverns|D|Good</v>
      </c>
      <c r="J614" t="s">
        <v>411</v>
      </c>
    </row>
    <row r="615" spans="2:10">
      <c r="B615" t="s">
        <v>409</v>
      </c>
      <c r="C615" t="s">
        <v>410</v>
      </c>
      <c r="D615" t="s">
        <v>244</v>
      </c>
      <c r="E615" t="s">
        <v>244</v>
      </c>
      <c r="F615" t="s">
        <v>214</v>
      </c>
      <c r="G615" t="s">
        <v>44</v>
      </c>
      <c r="H615">
        <v>134</v>
      </c>
      <c r="I615" t="str">
        <f t="shared" si="9"/>
        <v>Bars/Taverns|D|Average</v>
      </c>
      <c r="J615" t="s">
        <v>411</v>
      </c>
    </row>
    <row r="616" spans="2:10">
      <c r="B616" t="s">
        <v>409</v>
      </c>
      <c r="C616" t="s">
        <v>410</v>
      </c>
      <c r="D616" t="s">
        <v>244</v>
      </c>
      <c r="E616" t="s">
        <v>244</v>
      </c>
      <c r="F616" t="s">
        <v>214</v>
      </c>
      <c r="G616" t="s">
        <v>226</v>
      </c>
      <c r="H616">
        <v>103</v>
      </c>
      <c r="I616" t="str">
        <f t="shared" si="9"/>
        <v>Bars/Taverns|D|Low Cost</v>
      </c>
      <c r="J616" t="s">
        <v>411</v>
      </c>
    </row>
    <row r="617" spans="2:10">
      <c r="B617" t="s">
        <v>409</v>
      </c>
      <c r="C617" t="s">
        <v>410</v>
      </c>
      <c r="D617" t="s">
        <v>244</v>
      </c>
      <c r="E617" t="s">
        <v>244</v>
      </c>
      <c r="F617" t="s">
        <v>313</v>
      </c>
      <c r="G617" t="s">
        <v>226</v>
      </c>
      <c r="H617">
        <v>98.5</v>
      </c>
      <c r="I617" t="str">
        <f t="shared" si="9"/>
        <v>Bars/Taverns|DPOLE|Low Cost</v>
      </c>
      <c r="J617" t="s">
        <v>411</v>
      </c>
    </row>
    <row r="618" spans="2:10">
      <c r="B618" t="s">
        <v>409</v>
      </c>
      <c r="C618" t="s">
        <v>410</v>
      </c>
      <c r="D618" t="s">
        <v>244</v>
      </c>
      <c r="E618" t="s">
        <v>244</v>
      </c>
      <c r="F618" t="s">
        <v>219</v>
      </c>
      <c r="G618" t="s">
        <v>44</v>
      </c>
      <c r="H618">
        <v>134</v>
      </c>
      <c r="I618" t="str">
        <f t="shared" si="9"/>
        <v>Bars/Taverns|S|Average</v>
      </c>
      <c r="J618" t="s">
        <v>411</v>
      </c>
    </row>
    <row r="619" spans="2:10">
      <c r="B619" t="s">
        <v>409</v>
      </c>
      <c r="C619" t="s">
        <v>410</v>
      </c>
      <c r="D619" t="s">
        <v>244</v>
      </c>
      <c r="E619" t="s">
        <v>244</v>
      </c>
      <c r="F619" t="s">
        <v>219</v>
      </c>
      <c r="G619" t="s">
        <v>226</v>
      </c>
      <c r="H619">
        <v>101</v>
      </c>
      <c r="I619" t="str">
        <f t="shared" si="9"/>
        <v>Bars/Taverns|S|Low Cost</v>
      </c>
      <c r="J619" t="s">
        <v>411</v>
      </c>
    </row>
    <row r="620" spans="2:10">
      <c r="B620" t="s">
        <v>412</v>
      </c>
      <c r="C620" t="s">
        <v>413</v>
      </c>
      <c r="D620" t="s">
        <v>244</v>
      </c>
      <c r="E620" t="s">
        <v>244</v>
      </c>
      <c r="F620" t="s">
        <v>270</v>
      </c>
      <c r="G620" t="s">
        <v>229</v>
      </c>
      <c r="H620">
        <v>258</v>
      </c>
      <c r="I620" t="str">
        <f t="shared" si="9"/>
        <v>Cocktail Lounges|A-B|Good</v>
      </c>
      <c r="J620" t="s">
        <v>411</v>
      </c>
    </row>
    <row r="621" spans="2:10">
      <c r="B621" t="s">
        <v>412</v>
      </c>
      <c r="C621" t="s">
        <v>413</v>
      </c>
      <c r="D621" t="s">
        <v>244</v>
      </c>
      <c r="E621" t="s">
        <v>244</v>
      </c>
      <c r="F621" t="s">
        <v>270</v>
      </c>
      <c r="G621" t="s">
        <v>44</v>
      </c>
      <c r="H621">
        <v>202</v>
      </c>
      <c r="I621" t="str">
        <f t="shared" si="9"/>
        <v>Cocktail Lounges|A-B|Average</v>
      </c>
      <c r="J621" t="s">
        <v>411</v>
      </c>
    </row>
    <row r="622" spans="2:10">
      <c r="B622" t="s">
        <v>412</v>
      </c>
      <c r="C622" t="s">
        <v>413</v>
      </c>
      <c r="D622" t="s">
        <v>244</v>
      </c>
      <c r="E622" t="s">
        <v>244</v>
      </c>
      <c r="F622" t="s">
        <v>209</v>
      </c>
      <c r="G622" t="s">
        <v>231</v>
      </c>
      <c r="H622">
        <v>283</v>
      </c>
      <c r="I622" t="str">
        <f t="shared" si="9"/>
        <v>Cocktail Lounges|C|Excellent</v>
      </c>
      <c r="J622" t="s">
        <v>411</v>
      </c>
    </row>
    <row r="623" spans="2:10">
      <c r="B623" t="s">
        <v>412</v>
      </c>
      <c r="C623" t="s">
        <v>413</v>
      </c>
      <c r="D623" t="s">
        <v>244</v>
      </c>
      <c r="E623" t="s">
        <v>244</v>
      </c>
      <c r="F623" t="s">
        <v>209</v>
      </c>
      <c r="G623" t="s">
        <v>229</v>
      </c>
      <c r="H623">
        <v>209</v>
      </c>
      <c r="I623" t="str">
        <f t="shared" si="9"/>
        <v>Cocktail Lounges|C|Good</v>
      </c>
      <c r="J623" t="s">
        <v>411</v>
      </c>
    </row>
    <row r="624" spans="2:10">
      <c r="B624" t="s">
        <v>412</v>
      </c>
      <c r="C624" t="s">
        <v>413</v>
      </c>
      <c r="D624" t="s">
        <v>244</v>
      </c>
      <c r="E624" t="s">
        <v>244</v>
      </c>
      <c r="F624" t="s">
        <v>209</v>
      </c>
      <c r="G624" t="s">
        <v>44</v>
      </c>
      <c r="H624">
        <v>159</v>
      </c>
      <c r="I624" t="str">
        <f t="shared" si="9"/>
        <v>Cocktail Lounges|C|Average</v>
      </c>
      <c r="J624" t="s">
        <v>411</v>
      </c>
    </row>
    <row r="625" spans="2:10">
      <c r="B625" t="s">
        <v>412</v>
      </c>
      <c r="C625" t="s">
        <v>413</v>
      </c>
      <c r="D625" t="s">
        <v>244</v>
      </c>
      <c r="E625" t="s">
        <v>244</v>
      </c>
      <c r="F625" t="s">
        <v>209</v>
      </c>
      <c r="G625" t="s">
        <v>226</v>
      </c>
      <c r="H625">
        <v>121</v>
      </c>
      <c r="I625" t="str">
        <f t="shared" si="9"/>
        <v>Cocktail Lounges|C|Low Cost</v>
      </c>
      <c r="J625" t="s">
        <v>411</v>
      </c>
    </row>
    <row r="626" spans="2:10">
      <c r="B626" t="s">
        <v>412</v>
      </c>
      <c r="C626" t="s">
        <v>413</v>
      </c>
      <c r="D626" t="s">
        <v>244</v>
      </c>
      <c r="E626" t="s">
        <v>244</v>
      </c>
      <c r="F626" t="s">
        <v>214</v>
      </c>
      <c r="G626" t="s">
        <v>231</v>
      </c>
      <c r="H626">
        <v>270</v>
      </c>
      <c r="I626" t="str">
        <f t="shared" si="9"/>
        <v>Cocktail Lounges|D|Excellent</v>
      </c>
      <c r="J626" t="s">
        <v>411</v>
      </c>
    </row>
    <row r="627" spans="2:10">
      <c r="B627" t="s">
        <v>412</v>
      </c>
      <c r="C627" t="s">
        <v>413</v>
      </c>
      <c r="D627" t="s">
        <v>244</v>
      </c>
      <c r="E627" t="s">
        <v>244</v>
      </c>
      <c r="F627" t="s">
        <v>214</v>
      </c>
      <c r="G627" t="s">
        <v>229</v>
      </c>
      <c r="H627">
        <v>198</v>
      </c>
      <c r="I627" t="str">
        <f t="shared" si="9"/>
        <v>Cocktail Lounges|D|Good</v>
      </c>
      <c r="J627" t="s">
        <v>411</v>
      </c>
    </row>
    <row r="628" spans="2:10">
      <c r="B628" t="s">
        <v>412</v>
      </c>
      <c r="C628" t="s">
        <v>413</v>
      </c>
      <c r="D628" t="s">
        <v>244</v>
      </c>
      <c r="E628" t="s">
        <v>244</v>
      </c>
      <c r="F628" t="s">
        <v>214</v>
      </c>
      <c r="G628" t="s">
        <v>44</v>
      </c>
      <c r="H628">
        <v>149</v>
      </c>
      <c r="I628" t="str">
        <f t="shared" si="9"/>
        <v>Cocktail Lounges|D|Average</v>
      </c>
      <c r="J628" t="s">
        <v>411</v>
      </c>
    </row>
    <row r="629" spans="2:10">
      <c r="B629" t="s">
        <v>412</v>
      </c>
      <c r="C629" t="s">
        <v>413</v>
      </c>
      <c r="D629" t="s">
        <v>244</v>
      </c>
      <c r="E629" t="s">
        <v>244</v>
      </c>
      <c r="F629" t="s">
        <v>214</v>
      </c>
      <c r="G629" t="s">
        <v>226</v>
      </c>
      <c r="H629">
        <v>113</v>
      </c>
      <c r="I629" t="str">
        <f t="shared" si="9"/>
        <v>Cocktail Lounges|D|Low Cost</v>
      </c>
      <c r="J629" t="s">
        <v>411</v>
      </c>
    </row>
    <row r="630" spans="2:10">
      <c r="B630" t="s">
        <v>412</v>
      </c>
      <c r="C630" t="s">
        <v>413</v>
      </c>
      <c r="D630" t="s">
        <v>244</v>
      </c>
      <c r="E630" t="s">
        <v>244</v>
      </c>
      <c r="F630" t="s">
        <v>313</v>
      </c>
      <c r="G630" t="s">
        <v>226</v>
      </c>
      <c r="H630">
        <v>110</v>
      </c>
      <c r="I630" t="str">
        <f t="shared" si="9"/>
        <v>Cocktail Lounges|DPOLE|Low Cost</v>
      </c>
      <c r="J630" t="s">
        <v>411</v>
      </c>
    </row>
    <row r="631" spans="2:10">
      <c r="B631" t="s">
        <v>412</v>
      </c>
      <c r="C631" t="s">
        <v>413</v>
      </c>
      <c r="D631" t="s">
        <v>244</v>
      </c>
      <c r="E631" t="s">
        <v>244</v>
      </c>
      <c r="F631" t="s">
        <v>219</v>
      </c>
      <c r="G631" t="s">
        <v>229</v>
      </c>
      <c r="H631">
        <v>201</v>
      </c>
      <c r="I631" t="str">
        <f t="shared" si="9"/>
        <v>Cocktail Lounges|S|Good</v>
      </c>
      <c r="J631" t="s">
        <v>411</v>
      </c>
    </row>
    <row r="632" spans="2:10">
      <c r="B632" t="s">
        <v>412</v>
      </c>
      <c r="C632" t="s">
        <v>413</v>
      </c>
      <c r="D632" t="s">
        <v>244</v>
      </c>
      <c r="E632" t="s">
        <v>244</v>
      </c>
      <c r="F632" t="s">
        <v>219</v>
      </c>
      <c r="G632" t="s">
        <v>44</v>
      </c>
      <c r="H632">
        <v>150</v>
      </c>
      <c r="I632" t="str">
        <f t="shared" si="9"/>
        <v>Cocktail Lounges|S|Average</v>
      </c>
      <c r="J632" t="s">
        <v>411</v>
      </c>
    </row>
    <row r="633" spans="2:10">
      <c r="B633" t="s">
        <v>412</v>
      </c>
      <c r="C633" t="s">
        <v>413</v>
      </c>
      <c r="D633" t="s">
        <v>244</v>
      </c>
      <c r="E633" t="s">
        <v>244</v>
      </c>
      <c r="F633" t="s">
        <v>219</v>
      </c>
      <c r="G633" t="s">
        <v>226</v>
      </c>
      <c r="H633">
        <v>113</v>
      </c>
      <c r="I633" t="str">
        <f t="shared" si="9"/>
        <v>Cocktail Lounges|S|Low Cost</v>
      </c>
      <c r="J633" t="s">
        <v>411</v>
      </c>
    </row>
    <row r="634" spans="2:10">
      <c r="B634" t="s">
        <v>414</v>
      </c>
      <c r="C634" t="s">
        <v>415</v>
      </c>
      <c r="D634" t="s">
        <v>244</v>
      </c>
      <c r="E634" t="s">
        <v>248</v>
      </c>
      <c r="F634" t="s">
        <v>270</v>
      </c>
      <c r="G634" t="s">
        <v>231</v>
      </c>
      <c r="H634">
        <v>412</v>
      </c>
      <c r="I634" t="str">
        <f t="shared" si="9"/>
        <v>Restaurants|A-B|Excellent</v>
      </c>
      <c r="J634" t="s">
        <v>416</v>
      </c>
    </row>
    <row r="635" spans="2:10">
      <c r="B635" t="s">
        <v>414</v>
      </c>
      <c r="C635" t="s">
        <v>415</v>
      </c>
      <c r="D635" t="s">
        <v>244</v>
      </c>
      <c r="E635" t="s">
        <v>248</v>
      </c>
      <c r="F635" t="s">
        <v>270</v>
      </c>
      <c r="G635" t="s">
        <v>229</v>
      </c>
      <c r="H635">
        <v>308</v>
      </c>
      <c r="I635" t="str">
        <f t="shared" si="9"/>
        <v>Restaurants|A-B|Good</v>
      </c>
      <c r="J635" t="s">
        <v>416</v>
      </c>
    </row>
    <row r="636" spans="2:10">
      <c r="B636" t="s">
        <v>414</v>
      </c>
      <c r="C636" t="s">
        <v>415</v>
      </c>
      <c r="D636" t="s">
        <v>244</v>
      </c>
      <c r="E636" t="s">
        <v>248</v>
      </c>
      <c r="F636" t="s">
        <v>270</v>
      </c>
      <c r="G636" t="s">
        <v>44</v>
      </c>
      <c r="H636">
        <v>232</v>
      </c>
      <c r="I636" t="str">
        <f t="shared" si="9"/>
        <v>Restaurants|A-B|Average</v>
      </c>
      <c r="J636" t="s">
        <v>416</v>
      </c>
    </row>
    <row r="637" spans="2:10">
      <c r="B637" t="s">
        <v>414</v>
      </c>
      <c r="C637" t="s">
        <v>415</v>
      </c>
      <c r="D637" t="s">
        <v>244</v>
      </c>
      <c r="E637" t="s">
        <v>248</v>
      </c>
      <c r="F637" t="s">
        <v>209</v>
      </c>
      <c r="G637" t="s">
        <v>231</v>
      </c>
      <c r="H637">
        <v>379</v>
      </c>
      <c r="I637" t="str">
        <f t="shared" si="9"/>
        <v>Restaurants|C|Excellent</v>
      </c>
      <c r="J637" t="s">
        <v>416</v>
      </c>
    </row>
    <row r="638" spans="2:10">
      <c r="B638" t="s">
        <v>414</v>
      </c>
      <c r="C638" t="s">
        <v>415</v>
      </c>
      <c r="D638" t="s">
        <v>244</v>
      </c>
      <c r="E638" t="s">
        <v>248</v>
      </c>
      <c r="F638" t="s">
        <v>209</v>
      </c>
      <c r="G638" t="s">
        <v>250</v>
      </c>
      <c r="H638">
        <v>294</v>
      </c>
      <c r="I638" t="str">
        <f t="shared" si="9"/>
        <v>Restaurants|C|Very Good</v>
      </c>
      <c r="J638" t="s">
        <v>416</v>
      </c>
    </row>
    <row r="639" spans="2:10">
      <c r="B639" t="s">
        <v>414</v>
      </c>
      <c r="C639" t="s">
        <v>415</v>
      </c>
      <c r="D639" t="s">
        <v>244</v>
      </c>
      <c r="E639" t="s">
        <v>248</v>
      </c>
      <c r="F639" t="s">
        <v>209</v>
      </c>
      <c r="G639" t="s">
        <v>229</v>
      </c>
      <c r="H639">
        <v>229</v>
      </c>
      <c r="I639" t="str">
        <f t="shared" si="9"/>
        <v>Restaurants|C|Good</v>
      </c>
      <c r="J639" t="s">
        <v>416</v>
      </c>
    </row>
    <row r="640" spans="2:10">
      <c r="B640" t="s">
        <v>414</v>
      </c>
      <c r="C640" t="s">
        <v>415</v>
      </c>
      <c r="D640" t="s">
        <v>244</v>
      </c>
      <c r="E640" t="s">
        <v>248</v>
      </c>
      <c r="F640" t="s">
        <v>209</v>
      </c>
      <c r="G640" t="s">
        <v>44</v>
      </c>
      <c r="H640">
        <v>178</v>
      </c>
      <c r="I640" t="str">
        <f t="shared" si="9"/>
        <v>Restaurants|C|Average</v>
      </c>
      <c r="J640" t="s">
        <v>416</v>
      </c>
    </row>
    <row r="641" spans="2:10">
      <c r="B641" t="s">
        <v>414</v>
      </c>
      <c r="C641" t="s">
        <v>415</v>
      </c>
      <c r="D641" t="s">
        <v>244</v>
      </c>
      <c r="E641" t="s">
        <v>248</v>
      </c>
      <c r="F641" t="s">
        <v>209</v>
      </c>
      <c r="G641" t="s">
        <v>226</v>
      </c>
      <c r="H641">
        <v>129</v>
      </c>
      <c r="I641" t="str">
        <f t="shared" si="9"/>
        <v>Restaurants|C|Low Cost</v>
      </c>
      <c r="J641" t="s">
        <v>416</v>
      </c>
    </row>
    <row r="642" spans="2:10">
      <c r="B642" t="s">
        <v>414</v>
      </c>
      <c r="C642" t="s">
        <v>415</v>
      </c>
      <c r="D642" t="s">
        <v>244</v>
      </c>
      <c r="E642" t="s">
        <v>248</v>
      </c>
      <c r="F642" t="s">
        <v>214</v>
      </c>
      <c r="G642" t="s">
        <v>231</v>
      </c>
      <c r="H642">
        <v>364</v>
      </c>
      <c r="I642" t="str">
        <f t="shared" si="9"/>
        <v>Restaurants|D|Excellent</v>
      </c>
      <c r="J642" t="s">
        <v>416</v>
      </c>
    </row>
    <row r="643" spans="2:10">
      <c r="B643" t="s">
        <v>414</v>
      </c>
      <c r="C643" t="s">
        <v>415</v>
      </c>
      <c r="D643" t="s">
        <v>244</v>
      </c>
      <c r="E643" t="s">
        <v>248</v>
      </c>
      <c r="F643" t="s">
        <v>214</v>
      </c>
      <c r="G643" t="s">
        <v>250</v>
      </c>
      <c r="H643">
        <v>278</v>
      </c>
      <c r="I643" t="str">
        <f t="shared" si="9"/>
        <v>Restaurants|D|Very Good</v>
      </c>
      <c r="J643" t="s">
        <v>416</v>
      </c>
    </row>
    <row r="644" spans="2:10">
      <c r="B644" t="s">
        <v>414</v>
      </c>
      <c r="C644" t="s">
        <v>415</v>
      </c>
      <c r="D644" t="s">
        <v>244</v>
      </c>
      <c r="E644" t="s">
        <v>248</v>
      </c>
      <c r="F644" t="s">
        <v>214</v>
      </c>
      <c r="G644" t="s">
        <v>229</v>
      </c>
      <c r="H644">
        <v>214</v>
      </c>
      <c r="I644" t="str">
        <f t="shared" si="9"/>
        <v>Restaurants|D|Good</v>
      </c>
      <c r="J644" t="s">
        <v>416</v>
      </c>
    </row>
    <row r="645" spans="2:10">
      <c r="B645" t="s">
        <v>414</v>
      </c>
      <c r="C645" t="s">
        <v>415</v>
      </c>
      <c r="D645" t="s">
        <v>244</v>
      </c>
      <c r="E645" t="s">
        <v>248</v>
      </c>
      <c r="F645" t="s">
        <v>214</v>
      </c>
      <c r="G645" t="s">
        <v>44</v>
      </c>
      <c r="H645">
        <v>165</v>
      </c>
      <c r="I645" t="str">
        <f t="shared" si="9"/>
        <v>Restaurants|D|Average</v>
      </c>
      <c r="J645" t="s">
        <v>416</v>
      </c>
    </row>
    <row r="646" spans="2:10">
      <c r="B646" t="s">
        <v>414</v>
      </c>
      <c r="C646" t="s">
        <v>415</v>
      </c>
      <c r="D646" t="s">
        <v>244</v>
      </c>
      <c r="E646" t="s">
        <v>248</v>
      </c>
      <c r="F646" t="s">
        <v>214</v>
      </c>
      <c r="G646" t="s">
        <v>226</v>
      </c>
      <c r="H646">
        <v>117</v>
      </c>
      <c r="I646" t="str">
        <f t="shared" si="9"/>
        <v>Restaurants|D|Low Cost</v>
      </c>
      <c r="J646" t="s">
        <v>416</v>
      </c>
    </row>
    <row r="647" spans="2:10">
      <c r="B647" t="s">
        <v>414</v>
      </c>
      <c r="C647" t="s">
        <v>415</v>
      </c>
      <c r="D647" t="s">
        <v>244</v>
      </c>
      <c r="E647" t="s">
        <v>248</v>
      </c>
      <c r="F647" t="s">
        <v>313</v>
      </c>
      <c r="G647" t="s">
        <v>226</v>
      </c>
      <c r="H647">
        <v>109</v>
      </c>
      <c r="I647" t="str">
        <f t="shared" si="9"/>
        <v>Restaurants|DPOLE|Low Cost</v>
      </c>
      <c r="J647" t="s">
        <v>416</v>
      </c>
    </row>
    <row r="648" spans="2:10">
      <c r="B648" t="s">
        <v>414</v>
      </c>
      <c r="C648" t="s">
        <v>415</v>
      </c>
      <c r="D648" t="s">
        <v>244</v>
      </c>
      <c r="E648" t="s">
        <v>248</v>
      </c>
      <c r="F648" t="s">
        <v>219</v>
      </c>
      <c r="G648" t="s">
        <v>229</v>
      </c>
      <c r="H648">
        <v>216</v>
      </c>
      <c r="I648" t="str">
        <f t="shared" si="9"/>
        <v>Restaurants|S|Good</v>
      </c>
      <c r="J648" t="s">
        <v>416</v>
      </c>
    </row>
    <row r="649" spans="2:10">
      <c r="B649" t="s">
        <v>414</v>
      </c>
      <c r="C649" t="s">
        <v>415</v>
      </c>
      <c r="D649" t="s">
        <v>244</v>
      </c>
      <c r="E649" t="s">
        <v>248</v>
      </c>
      <c r="F649" t="s">
        <v>219</v>
      </c>
      <c r="G649" t="s">
        <v>44</v>
      </c>
      <c r="H649">
        <v>162</v>
      </c>
      <c r="I649" t="str">
        <f t="shared" si="9"/>
        <v>Restaurants|S|Average</v>
      </c>
      <c r="J649" t="s">
        <v>416</v>
      </c>
    </row>
    <row r="650" spans="2:10">
      <c r="B650" t="s">
        <v>414</v>
      </c>
      <c r="C650" t="s">
        <v>415</v>
      </c>
      <c r="D650" t="s">
        <v>244</v>
      </c>
      <c r="E650" t="s">
        <v>248</v>
      </c>
      <c r="F650" t="s">
        <v>219</v>
      </c>
      <c r="G650" t="s">
        <v>226</v>
      </c>
      <c r="H650">
        <v>112</v>
      </c>
      <c r="I650" t="str">
        <f t="shared" si="9"/>
        <v>Restaurants|S|Low Cost</v>
      </c>
      <c r="J650" t="s">
        <v>416</v>
      </c>
    </row>
    <row r="651" spans="2:10">
      <c r="B651" t="s">
        <v>417</v>
      </c>
      <c r="C651" t="s">
        <v>418</v>
      </c>
      <c r="D651" t="s">
        <v>244</v>
      </c>
      <c r="E651" t="s">
        <v>253</v>
      </c>
      <c r="F651" t="s">
        <v>270</v>
      </c>
      <c r="G651" t="s">
        <v>229</v>
      </c>
      <c r="H651">
        <v>276</v>
      </c>
      <c r="I651" t="str">
        <f t="shared" si="9"/>
        <v>Restaurants – Cafeterias|A-B|Good</v>
      </c>
      <c r="J651" t="s">
        <v>419</v>
      </c>
    </row>
    <row r="652" spans="2:10">
      <c r="B652" t="s">
        <v>417</v>
      </c>
      <c r="C652" t="s">
        <v>418</v>
      </c>
      <c r="D652" t="s">
        <v>244</v>
      </c>
      <c r="E652" t="s">
        <v>253</v>
      </c>
      <c r="F652" t="s">
        <v>270</v>
      </c>
      <c r="G652" t="s">
        <v>44</v>
      </c>
      <c r="H652">
        <v>212</v>
      </c>
      <c r="I652" t="str">
        <f t="shared" si="9"/>
        <v>Restaurants – Cafeterias|A-B|Average</v>
      </c>
      <c r="J652" t="s">
        <v>419</v>
      </c>
    </row>
    <row r="653" spans="2:10">
      <c r="B653" t="s">
        <v>417</v>
      </c>
      <c r="C653" t="s">
        <v>418</v>
      </c>
      <c r="D653" t="s">
        <v>244</v>
      </c>
      <c r="E653" t="s">
        <v>253</v>
      </c>
      <c r="F653" t="s">
        <v>209</v>
      </c>
      <c r="G653" t="s">
        <v>231</v>
      </c>
      <c r="H653">
        <v>318</v>
      </c>
      <c r="I653" t="str">
        <f t="shared" si="9"/>
        <v>Restaurants – Cafeterias|C|Excellent</v>
      </c>
      <c r="J653" t="s">
        <v>419</v>
      </c>
    </row>
    <row r="654" spans="2:10">
      <c r="B654" t="s">
        <v>417</v>
      </c>
      <c r="C654" t="s">
        <v>418</v>
      </c>
      <c r="D654" t="s">
        <v>244</v>
      </c>
      <c r="E654" t="s">
        <v>253</v>
      </c>
      <c r="F654" t="s">
        <v>209</v>
      </c>
      <c r="G654" t="s">
        <v>229</v>
      </c>
      <c r="H654">
        <v>226</v>
      </c>
      <c r="I654" t="str">
        <f t="shared" si="9"/>
        <v>Restaurants – Cafeterias|C|Good</v>
      </c>
      <c r="J654" t="s">
        <v>419</v>
      </c>
    </row>
    <row r="655" spans="2:10">
      <c r="B655" t="s">
        <v>417</v>
      </c>
      <c r="C655" t="s">
        <v>418</v>
      </c>
      <c r="D655" t="s">
        <v>244</v>
      </c>
      <c r="E655" t="s">
        <v>253</v>
      </c>
      <c r="F655" t="s">
        <v>209</v>
      </c>
      <c r="G655" t="s">
        <v>44</v>
      </c>
      <c r="H655">
        <v>165</v>
      </c>
      <c r="I655" t="str">
        <f t="shared" si="9"/>
        <v>Restaurants – Cafeterias|C|Average</v>
      </c>
      <c r="J655" t="s">
        <v>419</v>
      </c>
    </row>
    <row r="656" spans="2:10">
      <c r="B656" t="s">
        <v>417</v>
      </c>
      <c r="C656" t="s">
        <v>418</v>
      </c>
      <c r="D656" t="s">
        <v>244</v>
      </c>
      <c r="E656" t="s">
        <v>253</v>
      </c>
      <c r="F656" t="s">
        <v>209</v>
      </c>
      <c r="G656" t="s">
        <v>226</v>
      </c>
      <c r="H656">
        <v>111</v>
      </c>
      <c r="I656" t="str">
        <f t="shared" si="9"/>
        <v>Restaurants – Cafeterias|C|Low Cost</v>
      </c>
      <c r="J656" t="s">
        <v>419</v>
      </c>
    </row>
    <row r="657" spans="2:10">
      <c r="B657" t="s">
        <v>417</v>
      </c>
      <c r="C657" t="s">
        <v>418</v>
      </c>
      <c r="D657" t="s">
        <v>244</v>
      </c>
      <c r="E657" t="s">
        <v>253</v>
      </c>
      <c r="F657" t="s">
        <v>214</v>
      </c>
      <c r="G657" t="s">
        <v>231</v>
      </c>
      <c r="H657">
        <v>306</v>
      </c>
      <c r="I657" t="str">
        <f t="shared" si="9"/>
        <v>Restaurants – Cafeterias|D|Excellent</v>
      </c>
      <c r="J657" t="s">
        <v>419</v>
      </c>
    </row>
    <row r="658" spans="2:10">
      <c r="B658" t="s">
        <v>417</v>
      </c>
      <c r="C658" t="s">
        <v>418</v>
      </c>
      <c r="D658" t="s">
        <v>244</v>
      </c>
      <c r="E658" t="s">
        <v>253</v>
      </c>
      <c r="F658" t="s">
        <v>214</v>
      </c>
      <c r="G658" t="s">
        <v>229</v>
      </c>
      <c r="H658">
        <v>214</v>
      </c>
      <c r="I658" t="str">
        <f t="shared" si="9"/>
        <v>Restaurants – Cafeterias|D|Good</v>
      </c>
      <c r="J658" t="s">
        <v>419</v>
      </c>
    </row>
    <row r="659" spans="2:10">
      <c r="B659" t="s">
        <v>417</v>
      </c>
      <c r="C659" t="s">
        <v>418</v>
      </c>
      <c r="D659" t="s">
        <v>244</v>
      </c>
      <c r="E659" t="s">
        <v>253</v>
      </c>
      <c r="F659" t="s">
        <v>214</v>
      </c>
      <c r="G659" t="s">
        <v>44</v>
      </c>
      <c r="H659">
        <v>154</v>
      </c>
      <c r="I659" t="str">
        <f t="shared" si="9"/>
        <v>Restaurants – Cafeterias|D|Average</v>
      </c>
      <c r="J659" t="s">
        <v>419</v>
      </c>
    </row>
    <row r="660" spans="2:10">
      <c r="B660" t="s">
        <v>417</v>
      </c>
      <c r="C660" t="s">
        <v>418</v>
      </c>
      <c r="D660" t="s">
        <v>244</v>
      </c>
      <c r="E660" t="s">
        <v>253</v>
      </c>
      <c r="F660" t="s">
        <v>214</v>
      </c>
      <c r="G660" t="s">
        <v>226</v>
      </c>
      <c r="H660">
        <v>101</v>
      </c>
      <c r="I660" t="str">
        <f t="shared" si="9"/>
        <v>Restaurants – Cafeterias|D|Low Cost</v>
      </c>
      <c r="J660" t="s">
        <v>419</v>
      </c>
    </row>
    <row r="661" spans="2:10">
      <c r="B661" t="s">
        <v>417</v>
      </c>
      <c r="C661" t="s">
        <v>418</v>
      </c>
      <c r="D661" t="s">
        <v>244</v>
      </c>
      <c r="E661" t="s">
        <v>253</v>
      </c>
      <c r="F661" t="s">
        <v>313</v>
      </c>
      <c r="G661" t="s">
        <v>226</v>
      </c>
      <c r="H661">
        <v>98</v>
      </c>
      <c r="I661" t="str">
        <f t="shared" si="9"/>
        <v>Restaurants – Cafeterias|DPOLE|Low Cost</v>
      </c>
      <c r="J661" t="s">
        <v>419</v>
      </c>
    </row>
    <row r="662" spans="2:10">
      <c r="B662" t="s">
        <v>417</v>
      </c>
      <c r="C662" t="s">
        <v>418</v>
      </c>
      <c r="D662" t="s">
        <v>244</v>
      </c>
      <c r="E662" t="s">
        <v>253</v>
      </c>
      <c r="F662" t="s">
        <v>219</v>
      </c>
      <c r="G662" t="s">
        <v>229</v>
      </c>
      <c r="H662">
        <v>216</v>
      </c>
      <c r="I662" t="str">
        <f t="shared" si="9"/>
        <v>Restaurants – Cafeterias|S|Good</v>
      </c>
      <c r="J662" t="s">
        <v>419</v>
      </c>
    </row>
    <row r="663" spans="2:10">
      <c r="B663" t="s">
        <v>417</v>
      </c>
      <c r="C663" t="s">
        <v>418</v>
      </c>
      <c r="D663" t="s">
        <v>244</v>
      </c>
      <c r="E663" t="s">
        <v>253</v>
      </c>
      <c r="F663" t="s">
        <v>219</v>
      </c>
      <c r="G663" t="s">
        <v>44</v>
      </c>
      <c r="H663">
        <v>154</v>
      </c>
      <c r="I663" t="str">
        <f t="shared" si="9"/>
        <v>Restaurants – Cafeterias|S|Average</v>
      </c>
      <c r="J663" t="s">
        <v>419</v>
      </c>
    </row>
    <row r="664" spans="2:10">
      <c r="B664" t="s">
        <v>417</v>
      </c>
      <c r="C664" t="s">
        <v>418</v>
      </c>
      <c r="D664" t="s">
        <v>244</v>
      </c>
      <c r="E664" t="s">
        <v>253</v>
      </c>
      <c r="F664" t="s">
        <v>219</v>
      </c>
      <c r="G664" t="s">
        <v>226</v>
      </c>
      <c r="H664">
        <v>101</v>
      </c>
      <c r="I664" t="str">
        <f t="shared" si="9"/>
        <v>Restaurants – Cafeterias|S|Low Cost</v>
      </c>
      <c r="J664" t="s">
        <v>419</v>
      </c>
    </row>
    <row r="665" spans="2:10">
      <c r="B665" t="s">
        <v>420</v>
      </c>
      <c r="C665" t="s">
        <v>421</v>
      </c>
      <c r="D665" t="s">
        <v>244</v>
      </c>
      <c r="E665" t="s">
        <v>258</v>
      </c>
      <c r="F665" t="s">
        <v>209</v>
      </c>
      <c r="G665" t="s">
        <v>231</v>
      </c>
      <c r="H665">
        <v>279</v>
      </c>
      <c r="I665" t="str">
        <f t="shared" si="9"/>
        <v>Truck Stop Restaurants|C|Excellent</v>
      </c>
      <c r="J665" t="s">
        <v>422</v>
      </c>
    </row>
    <row r="666" spans="2:10">
      <c r="B666" t="s">
        <v>420</v>
      </c>
      <c r="C666" t="s">
        <v>421</v>
      </c>
      <c r="D666" t="s">
        <v>244</v>
      </c>
      <c r="E666" t="s">
        <v>258</v>
      </c>
      <c r="F666" t="s">
        <v>209</v>
      </c>
      <c r="G666" t="s">
        <v>229</v>
      </c>
      <c r="H666">
        <v>230</v>
      </c>
      <c r="I666" t="str">
        <f t="shared" si="9"/>
        <v>Truck Stop Restaurants|C|Good</v>
      </c>
      <c r="J666" t="s">
        <v>422</v>
      </c>
    </row>
    <row r="667" spans="2:10">
      <c r="B667" t="s">
        <v>420</v>
      </c>
      <c r="C667" t="s">
        <v>421</v>
      </c>
      <c r="D667" t="s">
        <v>244</v>
      </c>
      <c r="E667" t="s">
        <v>258</v>
      </c>
      <c r="F667" t="s">
        <v>209</v>
      </c>
      <c r="G667" t="s">
        <v>44</v>
      </c>
      <c r="H667">
        <v>189</v>
      </c>
      <c r="I667" t="str">
        <f t="shared" si="9"/>
        <v>Truck Stop Restaurants|C|Average</v>
      </c>
      <c r="J667" t="s">
        <v>422</v>
      </c>
    </row>
    <row r="668" spans="2:10">
      <c r="B668" t="s">
        <v>420</v>
      </c>
      <c r="C668" t="s">
        <v>421</v>
      </c>
      <c r="D668" t="s">
        <v>244</v>
      </c>
      <c r="E668" t="s">
        <v>258</v>
      </c>
      <c r="F668" t="s">
        <v>214</v>
      </c>
      <c r="G668" t="s">
        <v>231</v>
      </c>
      <c r="H668">
        <v>267</v>
      </c>
      <c r="I668" t="str">
        <f t="shared" si="9"/>
        <v>Truck Stop Restaurants|D|Excellent</v>
      </c>
      <c r="J668" t="s">
        <v>422</v>
      </c>
    </row>
    <row r="669" spans="2:10">
      <c r="B669" t="s">
        <v>420</v>
      </c>
      <c r="C669" t="s">
        <v>421</v>
      </c>
      <c r="D669" t="s">
        <v>244</v>
      </c>
      <c r="E669" t="s">
        <v>258</v>
      </c>
      <c r="F669" t="s">
        <v>214</v>
      </c>
      <c r="G669" t="s">
        <v>229</v>
      </c>
      <c r="H669">
        <v>219</v>
      </c>
      <c r="I669" t="str">
        <f t="shared" si="9"/>
        <v>Truck Stop Restaurants|D|Good</v>
      </c>
      <c r="J669" t="s">
        <v>422</v>
      </c>
    </row>
    <row r="670" spans="2:10">
      <c r="B670" t="s">
        <v>420</v>
      </c>
      <c r="C670" t="s">
        <v>421</v>
      </c>
      <c r="D670" t="s">
        <v>244</v>
      </c>
      <c r="E670" t="s">
        <v>258</v>
      </c>
      <c r="F670" t="s">
        <v>214</v>
      </c>
      <c r="G670" t="s">
        <v>44</v>
      </c>
      <c r="H670">
        <v>179</v>
      </c>
      <c r="I670" t="str">
        <f t="shared" ref="I670:I733" si="10">B670&amp;"|"&amp;F670&amp;"|"&amp;G670</f>
        <v>Truck Stop Restaurants|D|Average</v>
      </c>
      <c r="J670" t="s">
        <v>422</v>
      </c>
    </row>
    <row r="671" spans="2:10">
      <c r="B671" t="s">
        <v>420</v>
      </c>
      <c r="C671" t="s">
        <v>421</v>
      </c>
      <c r="D671" t="s">
        <v>244</v>
      </c>
      <c r="E671" t="s">
        <v>258</v>
      </c>
      <c r="F671" t="s">
        <v>219</v>
      </c>
      <c r="G671" t="s">
        <v>229</v>
      </c>
      <c r="H671">
        <v>221</v>
      </c>
      <c r="I671" t="str">
        <f t="shared" si="10"/>
        <v>Truck Stop Restaurants|S|Good</v>
      </c>
      <c r="J671" t="s">
        <v>422</v>
      </c>
    </row>
    <row r="672" spans="2:10">
      <c r="B672" t="s">
        <v>420</v>
      </c>
      <c r="C672" t="s">
        <v>421</v>
      </c>
      <c r="D672" t="s">
        <v>244</v>
      </c>
      <c r="E672" t="s">
        <v>258</v>
      </c>
      <c r="F672" t="s">
        <v>219</v>
      </c>
      <c r="G672" t="s">
        <v>44</v>
      </c>
      <c r="H672">
        <v>180</v>
      </c>
      <c r="I672" t="str">
        <f t="shared" si="10"/>
        <v>Truck Stop Restaurants|S|Average</v>
      </c>
      <c r="J672" t="s">
        <v>422</v>
      </c>
    </row>
    <row r="673" spans="2:10">
      <c r="B673" t="s">
        <v>423</v>
      </c>
      <c r="C673" t="s">
        <v>424</v>
      </c>
      <c r="D673" t="s">
        <v>244</v>
      </c>
      <c r="E673" t="s">
        <v>258</v>
      </c>
      <c r="F673" t="s">
        <v>209</v>
      </c>
      <c r="G673" t="s">
        <v>229</v>
      </c>
      <c r="H673">
        <v>193</v>
      </c>
      <c r="I673" t="str">
        <f t="shared" si="10"/>
        <v>Dining Atriums/Play Rooms|C|Good</v>
      </c>
      <c r="J673" t="s">
        <v>422</v>
      </c>
    </row>
    <row r="674" spans="2:10">
      <c r="B674" t="s">
        <v>423</v>
      </c>
      <c r="C674" t="s">
        <v>424</v>
      </c>
      <c r="D674" t="s">
        <v>244</v>
      </c>
      <c r="E674" t="s">
        <v>258</v>
      </c>
      <c r="F674" t="s">
        <v>209</v>
      </c>
      <c r="G674" t="s">
        <v>44</v>
      </c>
      <c r="H674">
        <v>118</v>
      </c>
      <c r="I674" t="str">
        <f t="shared" si="10"/>
        <v>Dining Atriums/Play Rooms|C|Average</v>
      </c>
      <c r="J674" t="s">
        <v>422</v>
      </c>
    </row>
    <row r="675" spans="2:10">
      <c r="B675" t="s">
        <v>423</v>
      </c>
      <c r="C675" t="s">
        <v>424</v>
      </c>
      <c r="D675" t="s">
        <v>244</v>
      </c>
      <c r="E675" t="s">
        <v>258</v>
      </c>
      <c r="F675" t="s">
        <v>209</v>
      </c>
      <c r="G675" t="s">
        <v>226</v>
      </c>
      <c r="H675">
        <v>73</v>
      </c>
      <c r="I675" t="str">
        <f t="shared" si="10"/>
        <v>Dining Atriums/Play Rooms|C|Low Cost</v>
      </c>
      <c r="J675" t="s">
        <v>422</v>
      </c>
    </row>
    <row r="676" spans="2:10">
      <c r="B676" t="s">
        <v>423</v>
      </c>
      <c r="C676" t="s">
        <v>424</v>
      </c>
      <c r="D676" t="s">
        <v>244</v>
      </c>
      <c r="E676" t="s">
        <v>258</v>
      </c>
      <c r="F676" t="s">
        <v>214</v>
      </c>
      <c r="G676" t="s">
        <v>229</v>
      </c>
      <c r="H676">
        <v>177</v>
      </c>
      <c r="I676" t="str">
        <f t="shared" si="10"/>
        <v>Dining Atriums/Play Rooms|D|Good</v>
      </c>
      <c r="J676" t="s">
        <v>422</v>
      </c>
    </row>
    <row r="677" spans="2:10">
      <c r="B677" t="s">
        <v>423</v>
      </c>
      <c r="C677" t="s">
        <v>424</v>
      </c>
      <c r="D677" t="s">
        <v>244</v>
      </c>
      <c r="E677" t="s">
        <v>258</v>
      </c>
      <c r="F677" t="s">
        <v>214</v>
      </c>
      <c r="G677" t="s">
        <v>44</v>
      </c>
      <c r="H677">
        <v>104</v>
      </c>
      <c r="I677" t="str">
        <f t="shared" si="10"/>
        <v>Dining Atriums/Play Rooms|D|Average</v>
      </c>
      <c r="J677" t="s">
        <v>422</v>
      </c>
    </row>
    <row r="678" spans="2:10">
      <c r="B678" t="s">
        <v>423</v>
      </c>
      <c r="C678" t="s">
        <v>424</v>
      </c>
      <c r="D678" t="s">
        <v>244</v>
      </c>
      <c r="E678" t="s">
        <v>258</v>
      </c>
      <c r="F678" t="s">
        <v>214</v>
      </c>
      <c r="G678" t="s">
        <v>226</v>
      </c>
      <c r="H678">
        <v>61.5</v>
      </c>
      <c r="I678" t="str">
        <f t="shared" si="10"/>
        <v>Dining Atriums/Play Rooms|D|Low Cost</v>
      </c>
      <c r="J678" t="s">
        <v>422</v>
      </c>
    </row>
    <row r="679" spans="2:10">
      <c r="B679" t="s">
        <v>423</v>
      </c>
      <c r="C679" t="s">
        <v>424</v>
      </c>
      <c r="D679" t="s">
        <v>244</v>
      </c>
      <c r="E679" t="s">
        <v>258</v>
      </c>
      <c r="F679" t="s">
        <v>219</v>
      </c>
      <c r="G679" t="s">
        <v>231</v>
      </c>
      <c r="H679">
        <v>305</v>
      </c>
      <c r="I679" t="str">
        <f t="shared" si="10"/>
        <v>Dining Atriums/Play Rooms|S|Excellent</v>
      </c>
      <c r="J679" t="s">
        <v>422</v>
      </c>
    </row>
    <row r="680" spans="2:10">
      <c r="B680" t="s">
        <v>423</v>
      </c>
      <c r="C680" t="s">
        <v>424</v>
      </c>
      <c r="D680" t="s">
        <v>244</v>
      </c>
      <c r="E680" t="s">
        <v>258</v>
      </c>
      <c r="F680" t="s">
        <v>219</v>
      </c>
      <c r="G680" t="s">
        <v>250</v>
      </c>
      <c r="H680">
        <v>229</v>
      </c>
      <c r="I680" t="str">
        <f t="shared" si="10"/>
        <v>Dining Atriums/Play Rooms|S|Very Good</v>
      </c>
      <c r="J680" t="s">
        <v>422</v>
      </c>
    </row>
    <row r="681" spans="2:10">
      <c r="B681" t="s">
        <v>423</v>
      </c>
      <c r="C681" t="s">
        <v>424</v>
      </c>
      <c r="D681" t="s">
        <v>244</v>
      </c>
      <c r="E681" t="s">
        <v>258</v>
      </c>
      <c r="F681" t="s">
        <v>219</v>
      </c>
      <c r="G681" t="s">
        <v>229</v>
      </c>
      <c r="H681">
        <v>172</v>
      </c>
      <c r="I681" t="str">
        <f t="shared" si="10"/>
        <v>Dining Atriums/Play Rooms|S|Good</v>
      </c>
      <c r="J681" t="s">
        <v>422</v>
      </c>
    </row>
    <row r="682" spans="2:10">
      <c r="B682" t="s">
        <v>423</v>
      </c>
      <c r="C682" t="s">
        <v>424</v>
      </c>
      <c r="D682" t="s">
        <v>244</v>
      </c>
      <c r="E682" t="s">
        <v>258</v>
      </c>
      <c r="F682" t="s">
        <v>219</v>
      </c>
      <c r="G682" t="s">
        <v>44</v>
      </c>
      <c r="H682">
        <v>98</v>
      </c>
      <c r="I682" t="str">
        <f t="shared" si="10"/>
        <v>Dining Atriums/Play Rooms|S|Average</v>
      </c>
      <c r="J682" t="s">
        <v>422</v>
      </c>
    </row>
    <row r="683" spans="2:10">
      <c r="B683" t="s">
        <v>423</v>
      </c>
      <c r="C683" t="s">
        <v>424</v>
      </c>
      <c r="D683" t="s">
        <v>244</v>
      </c>
      <c r="E683" t="s">
        <v>258</v>
      </c>
      <c r="F683" t="s">
        <v>219</v>
      </c>
      <c r="G683" t="s">
        <v>226</v>
      </c>
      <c r="H683">
        <v>55.5</v>
      </c>
      <c r="I683" t="str">
        <f t="shared" si="10"/>
        <v>Dining Atriums/Play Rooms|S|Low Cost</v>
      </c>
      <c r="J683" t="s">
        <v>422</v>
      </c>
    </row>
    <row r="684" spans="2:10">
      <c r="B684" t="s">
        <v>423</v>
      </c>
      <c r="C684" t="s">
        <v>424</v>
      </c>
      <c r="D684" t="s">
        <v>244</v>
      </c>
      <c r="E684" t="s">
        <v>258</v>
      </c>
      <c r="F684" t="s">
        <v>219</v>
      </c>
      <c r="G684" t="s">
        <v>314</v>
      </c>
      <c r="H684">
        <v>31.5</v>
      </c>
      <c r="I684" t="str">
        <f t="shared" si="10"/>
        <v>Dining Atriums/Play Rooms|S|Cheap</v>
      </c>
      <c r="J684" t="s">
        <v>422</v>
      </c>
    </row>
    <row r="685" spans="2:10">
      <c r="B685" t="s">
        <v>425</v>
      </c>
      <c r="C685" t="s">
        <v>426</v>
      </c>
      <c r="D685" t="s">
        <v>244</v>
      </c>
      <c r="E685" t="s">
        <v>260</v>
      </c>
      <c r="F685" t="s">
        <v>270</v>
      </c>
      <c r="G685" t="s">
        <v>229</v>
      </c>
      <c r="H685">
        <v>340</v>
      </c>
      <c r="I685" t="str">
        <f t="shared" si="10"/>
        <v>Restaurants – Fast Food|A-B|Good</v>
      </c>
      <c r="J685" t="s">
        <v>427</v>
      </c>
    </row>
    <row r="686" spans="2:10">
      <c r="B686" t="s">
        <v>425</v>
      </c>
      <c r="C686" t="s">
        <v>426</v>
      </c>
      <c r="D686" t="s">
        <v>244</v>
      </c>
      <c r="E686" t="s">
        <v>260</v>
      </c>
      <c r="F686" t="s">
        <v>270</v>
      </c>
      <c r="G686" t="s">
        <v>44</v>
      </c>
      <c r="H686">
        <v>257</v>
      </c>
      <c r="I686" t="str">
        <f t="shared" si="10"/>
        <v>Restaurants – Fast Food|A-B|Average</v>
      </c>
      <c r="J686" t="s">
        <v>427</v>
      </c>
    </row>
    <row r="687" spans="2:10">
      <c r="B687" t="s">
        <v>425</v>
      </c>
      <c r="C687" t="s">
        <v>426</v>
      </c>
      <c r="D687" t="s">
        <v>244</v>
      </c>
      <c r="E687" t="s">
        <v>260</v>
      </c>
      <c r="F687" t="s">
        <v>209</v>
      </c>
      <c r="G687" t="s">
        <v>231</v>
      </c>
      <c r="H687">
        <v>416</v>
      </c>
      <c r="I687" t="str">
        <f t="shared" si="10"/>
        <v>Restaurants – Fast Food|C|Excellent</v>
      </c>
      <c r="J687" t="s">
        <v>427</v>
      </c>
    </row>
    <row r="688" spans="2:10">
      <c r="B688" t="s">
        <v>425</v>
      </c>
      <c r="C688" t="s">
        <v>426</v>
      </c>
      <c r="D688" t="s">
        <v>244</v>
      </c>
      <c r="E688" t="s">
        <v>260</v>
      </c>
      <c r="F688" t="s">
        <v>209</v>
      </c>
      <c r="G688" t="s">
        <v>250</v>
      </c>
      <c r="H688">
        <v>319</v>
      </c>
      <c r="I688" t="str">
        <f t="shared" si="10"/>
        <v>Restaurants – Fast Food|C|Very Good</v>
      </c>
      <c r="J688" t="s">
        <v>427</v>
      </c>
    </row>
    <row r="689" spans="2:10">
      <c r="B689" t="s">
        <v>425</v>
      </c>
      <c r="C689" t="s">
        <v>426</v>
      </c>
      <c r="D689" t="s">
        <v>244</v>
      </c>
      <c r="E689" t="s">
        <v>260</v>
      </c>
      <c r="F689" t="s">
        <v>209</v>
      </c>
      <c r="G689" t="s">
        <v>229</v>
      </c>
      <c r="H689">
        <v>246</v>
      </c>
      <c r="I689" t="str">
        <f t="shared" si="10"/>
        <v>Restaurants – Fast Food|C|Good</v>
      </c>
      <c r="J689" t="s">
        <v>427</v>
      </c>
    </row>
    <row r="690" spans="2:10">
      <c r="B690" t="s">
        <v>425</v>
      </c>
      <c r="C690" t="s">
        <v>426</v>
      </c>
      <c r="D690" t="s">
        <v>244</v>
      </c>
      <c r="E690" t="s">
        <v>260</v>
      </c>
      <c r="F690" t="s">
        <v>209</v>
      </c>
      <c r="G690" t="s">
        <v>44</v>
      </c>
      <c r="H690">
        <v>191</v>
      </c>
      <c r="I690" t="str">
        <f t="shared" si="10"/>
        <v>Restaurants – Fast Food|C|Average</v>
      </c>
      <c r="J690" t="s">
        <v>427</v>
      </c>
    </row>
    <row r="691" spans="2:10">
      <c r="B691" t="s">
        <v>425</v>
      </c>
      <c r="C691" t="s">
        <v>426</v>
      </c>
      <c r="D691" t="s">
        <v>244</v>
      </c>
      <c r="E691" t="s">
        <v>260</v>
      </c>
      <c r="F691" t="s">
        <v>209</v>
      </c>
      <c r="G691" t="s">
        <v>226</v>
      </c>
      <c r="H691">
        <v>138</v>
      </c>
      <c r="I691" t="str">
        <f t="shared" si="10"/>
        <v>Restaurants – Fast Food|C|Low Cost</v>
      </c>
      <c r="J691" t="s">
        <v>427</v>
      </c>
    </row>
    <row r="692" spans="2:10">
      <c r="B692" t="s">
        <v>425</v>
      </c>
      <c r="C692" t="s">
        <v>426</v>
      </c>
      <c r="D692" t="s">
        <v>244</v>
      </c>
      <c r="E692" t="s">
        <v>260</v>
      </c>
      <c r="F692" t="s">
        <v>214</v>
      </c>
      <c r="G692" t="s">
        <v>231</v>
      </c>
      <c r="H692">
        <v>399</v>
      </c>
      <c r="I692" t="str">
        <f t="shared" si="10"/>
        <v>Restaurants – Fast Food|D|Excellent</v>
      </c>
      <c r="J692" t="s">
        <v>427</v>
      </c>
    </row>
    <row r="693" spans="2:10">
      <c r="B693" t="s">
        <v>425</v>
      </c>
      <c r="C693" t="s">
        <v>426</v>
      </c>
      <c r="D693" t="s">
        <v>244</v>
      </c>
      <c r="E693" t="s">
        <v>260</v>
      </c>
      <c r="F693" t="s">
        <v>214</v>
      </c>
      <c r="G693" t="s">
        <v>250</v>
      </c>
      <c r="H693">
        <v>302</v>
      </c>
      <c r="I693" t="str">
        <f t="shared" si="10"/>
        <v>Restaurants – Fast Food|D|Very Good</v>
      </c>
      <c r="J693" t="s">
        <v>427</v>
      </c>
    </row>
    <row r="694" spans="2:10">
      <c r="B694" t="s">
        <v>425</v>
      </c>
      <c r="C694" t="s">
        <v>426</v>
      </c>
      <c r="D694" t="s">
        <v>244</v>
      </c>
      <c r="E694" t="s">
        <v>260</v>
      </c>
      <c r="F694" t="s">
        <v>214</v>
      </c>
      <c r="G694" t="s">
        <v>229</v>
      </c>
      <c r="H694">
        <v>230</v>
      </c>
      <c r="I694" t="str">
        <f t="shared" si="10"/>
        <v>Restaurants – Fast Food|D|Good</v>
      </c>
      <c r="J694" t="s">
        <v>427</v>
      </c>
    </row>
    <row r="695" spans="2:10">
      <c r="B695" t="s">
        <v>425</v>
      </c>
      <c r="C695" t="s">
        <v>426</v>
      </c>
      <c r="D695" t="s">
        <v>244</v>
      </c>
      <c r="E695" t="s">
        <v>260</v>
      </c>
      <c r="F695" t="s">
        <v>214</v>
      </c>
      <c r="G695" t="s">
        <v>44</v>
      </c>
      <c r="H695">
        <v>176</v>
      </c>
      <c r="I695" t="str">
        <f t="shared" si="10"/>
        <v>Restaurants – Fast Food|D|Average</v>
      </c>
      <c r="J695" t="s">
        <v>427</v>
      </c>
    </row>
    <row r="696" spans="2:10">
      <c r="B696" t="s">
        <v>425</v>
      </c>
      <c r="C696" t="s">
        <v>426</v>
      </c>
      <c r="D696" t="s">
        <v>244</v>
      </c>
      <c r="E696" t="s">
        <v>260</v>
      </c>
      <c r="F696" t="s">
        <v>214</v>
      </c>
      <c r="G696" t="s">
        <v>226</v>
      </c>
      <c r="H696">
        <v>125</v>
      </c>
      <c r="I696" t="str">
        <f t="shared" si="10"/>
        <v>Restaurants – Fast Food|D|Low Cost</v>
      </c>
      <c r="J696" t="s">
        <v>427</v>
      </c>
    </row>
    <row r="697" spans="2:10">
      <c r="B697" t="s">
        <v>425</v>
      </c>
      <c r="C697" t="s">
        <v>426</v>
      </c>
      <c r="D697" t="s">
        <v>244</v>
      </c>
      <c r="E697" t="s">
        <v>260</v>
      </c>
      <c r="F697" t="s">
        <v>219</v>
      </c>
      <c r="G697" t="s">
        <v>231</v>
      </c>
      <c r="H697">
        <v>321</v>
      </c>
      <c r="I697" t="str">
        <f t="shared" si="10"/>
        <v>Restaurants – Fast Food|S|Excellent</v>
      </c>
      <c r="J697" t="s">
        <v>427</v>
      </c>
    </row>
    <row r="698" spans="2:10">
      <c r="B698" t="s">
        <v>425</v>
      </c>
      <c r="C698" t="s">
        <v>426</v>
      </c>
      <c r="D698" t="s">
        <v>244</v>
      </c>
      <c r="E698" t="s">
        <v>260</v>
      </c>
      <c r="F698" t="s">
        <v>219</v>
      </c>
      <c r="G698" t="s">
        <v>229</v>
      </c>
      <c r="H698">
        <v>233</v>
      </c>
      <c r="I698" t="str">
        <f t="shared" si="10"/>
        <v>Restaurants – Fast Food|S|Good</v>
      </c>
      <c r="J698" t="s">
        <v>427</v>
      </c>
    </row>
    <row r="699" spans="2:10">
      <c r="B699" t="s">
        <v>425</v>
      </c>
      <c r="C699" t="s">
        <v>426</v>
      </c>
      <c r="D699" t="s">
        <v>244</v>
      </c>
      <c r="E699" t="s">
        <v>260</v>
      </c>
      <c r="F699" t="s">
        <v>219</v>
      </c>
      <c r="G699" t="s">
        <v>44</v>
      </c>
      <c r="H699">
        <v>174</v>
      </c>
      <c r="I699" t="str">
        <f t="shared" si="10"/>
        <v>Restaurants – Fast Food|S|Average</v>
      </c>
      <c r="J699" t="s">
        <v>427</v>
      </c>
    </row>
    <row r="700" spans="2:10">
      <c r="B700" t="s">
        <v>425</v>
      </c>
      <c r="C700" t="s">
        <v>426</v>
      </c>
      <c r="D700" t="s">
        <v>244</v>
      </c>
      <c r="E700" t="s">
        <v>260</v>
      </c>
      <c r="F700" t="s">
        <v>219</v>
      </c>
      <c r="G700" t="s">
        <v>226</v>
      </c>
      <c r="H700">
        <v>121</v>
      </c>
      <c r="I700" t="str">
        <f t="shared" si="10"/>
        <v>Restaurants – Fast Food|S|Low Cost</v>
      </c>
      <c r="J700" t="s">
        <v>427</v>
      </c>
    </row>
    <row r="701" spans="2:10">
      <c r="B701" t="s">
        <v>428</v>
      </c>
      <c r="C701" t="s">
        <v>429</v>
      </c>
      <c r="D701" t="s">
        <v>244</v>
      </c>
      <c r="E701" t="s">
        <v>264</v>
      </c>
      <c r="F701" t="s">
        <v>209</v>
      </c>
      <c r="G701" t="s">
        <v>231</v>
      </c>
      <c r="H701">
        <v>258</v>
      </c>
      <c r="I701" t="str">
        <f t="shared" si="10"/>
        <v>Snack Bars|C|Excellent</v>
      </c>
      <c r="J701" t="s">
        <v>430</v>
      </c>
    </row>
    <row r="702" spans="2:10">
      <c r="B702" t="s">
        <v>428</v>
      </c>
      <c r="C702" t="s">
        <v>429</v>
      </c>
      <c r="D702" t="s">
        <v>244</v>
      </c>
      <c r="E702" t="s">
        <v>264</v>
      </c>
      <c r="F702" t="s">
        <v>209</v>
      </c>
      <c r="G702" t="s">
        <v>229</v>
      </c>
      <c r="H702">
        <v>171</v>
      </c>
      <c r="I702" t="str">
        <f t="shared" si="10"/>
        <v>Snack Bars|C|Good</v>
      </c>
      <c r="J702" t="s">
        <v>430</v>
      </c>
    </row>
    <row r="703" spans="2:10">
      <c r="B703" t="s">
        <v>428</v>
      </c>
      <c r="C703" t="s">
        <v>429</v>
      </c>
      <c r="D703" t="s">
        <v>244</v>
      </c>
      <c r="E703" t="s">
        <v>264</v>
      </c>
      <c r="F703" t="s">
        <v>209</v>
      </c>
      <c r="G703" t="s">
        <v>44</v>
      </c>
      <c r="H703">
        <v>114</v>
      </c>
      <c r="I703" t="str">
        <f t="shared" si="10"/>
        <v>Snack Bars|C|Average</v>
      </c>
      <c r="J703" t="s">
        <v>430</v>
      </c>
    </row>
    <row r="704" spans="2:10">
      <c r="B704" t="s">
        <v>428</v>
      </c>
      <c r="C704" t="s">
        <v>429</v>
      </c>
      <c r="D704" t="s">
        <v>244</v>
      </c>
      <c r="E704" t="s">
        <v>264</v>
      </c>
      <c r="F704" t="s">
        <v>209</v>
      </c>
      <c r="G704" t="s">
        <v>226</v>
      </c>
      <c r="H704">
        <v>74</v>
      </c>
      <c r="I704" t="str">
        <f t="shared" si="10"/>
        <v>Snack Bars|C|Low Cost</v>
      </c>
      <c r="J704" t="s">
        <v>430</v>
      </c>
    </row>
    <row r="705" spans="2:10">
      <c r="B705" t="s">
        <v>428</v>
      </c>
      <c r="C705" t="s">
        <v>429</v>
      </c>
      <c r="D705" t="s">
        <v>244</v>
      </c>
      <c r="E705" t="s">
        <v>264</v>
      </c>
      <c r="F705" t="s">
        <v>209</v>
      </c>
      <c r="G705" t="s">
        <v>314</v>
      </c>
      <c r="H705">
        <v>60</v>
      </c>
      <c r="I705" t="str">
        <f t="shared" si="10"/>
        <v>Snack Bars|C|Cheap</v>
      </c>
      <c r="J705" t="s">
        <v>430</v>
      </c>
    </row>
    <row r="706" spans="2:10">
      <c r="B706" t="s">
        <v>428</v>
      </c>
      <c r="C706" t="s">
        <v>429</v>
      </c>
      <c r="D706" t="s">
        <v>244</v>
      </c>
      <c r="E706" t="s">
        <v>264</v>
      </c>
      <c r="F706" t="s">
        <v>214</v>
      </c>
      <c r="G706" t="s">
        <v>231</v>
      </c>
      <c r="H706">
        <v>249</v>
      </c>
      <c r="I706" t="str">
        <f t="shared" si="10"/>
        <v>Snack Bars|D|Excellent</v>
      </c>
      <c r="J706" t="s">
        <v>430</v>
      </c>
    </row>
    <row r="707" spans="2:10">
      <c r="B707" t="s">
        <v>428</v>
      </c>
      <c r="C707" t="s">
        <v>429</v>
      </c>
      <c r="D707" t="s">
        <v>244</v>
      </c>
      <c r="E707" t="s">
        <v>264</v>
      </c>
      <c r="F707" t="s">
        <v>214</v>
      </c>
      <c r="G707" t="s">
        <v>229</v>
      </c>
      <c r="H707">
        <v>159</v>
      </c>
      <c r="I707" t="str">
        <f t="shared" si="10"/>
        <v>Snack Bars|D|Good</v>
      </c>
      <c r="J707" t="s">
        <v>430</v>
      </c>
    </row>
    <row r="708" spans="2:10">
      <c r="B708" t="s">
        <v>428</v>
      </c>
      <c r="C708" t="s">
        <v>429</v>
      </c>
      <c r="D708" t="s">
        <v>244</v>
      </c>
      <c r="E708" t="s">
        <v>264</v>
      </c>
      <c r="F708" t="s">
        <v>214</v>
      </c>
      <c r="G708" t="s">
        <v>44</v>
      </c>
      <c r="H708">
        <v>103</v>
      </c>
      <c r="I708" t="str">
        <f t="shared" si="10"/>
        <v>Snack Bars|D|Average</v>
      </c>
      <c r="J708" t="s">
        <v>430</v>
      </c>
    </row>
    <row r="709" spans="2:10">
      <c r="B709" t="s">
        <v>428</v>
      </c>
      <c r="C709" t="s">
        <v>429</v>
      </c>
      <c r="D709" t="s">
        <v>244</v>
      </c>
      <c r="E709" t="s">
        <v>264</v>
      </c>
      <c r="F709" t="s">
        <v>214</v>
      </c>
      <c r="G709" t="s">
        <v>226</v>
      </c>
      <c r="H709">
        <v>64</v>
      </c>
      <c r="I709" t="str">
        <f t="shared" si="10"/>
        <v>Snack Bars|D|Low Cost</v>
      </c>
      <c r="J709" t="s">
        <v>430</v>
      </c>
    </row>
    <row r="710" spans="2:10">
      <c r="B710" t="s">
        <v>428</v>
      </c>
      <c r="C710" t="s">
        <v>429</v>
      </c>
      <c r="D710" t="s">
        <v>244</v>
      </c>
      <c r="E710" t="s">
        <v>264</v>
      </c>
      <c r="F710" t="s">
        <v>214</v>
      </c>
      <c r="G710" t="s">
        <v>314</v>
      </c>
      <c r="H710">
        <v>46</v>
      </c>
      <c r="I710" t="str">
        <f t="shared" si="10"/>
        <v>Snack Bars|D|Cheap</v>
      </c>
      <c r="J710" t="s">
        <v>430</v>
      </c>
    </row>
    <row r="711" spans="2:10">
      <c r="B711" t="s">
        <v>428</v>
      </c>
      <c r="C711" t="s">
        <v>429</v>
      </c>
      <c r="D711" t="s">
        <v>244</v>
      </c>
      <c r="E711" t="s">
        <v>264</v>
      </c>
      <c r="F711" t="s">
        <v>313</v>
      </c>
      <c r="G711" t="s">
        <v>44</v>
      </c>
      <c r="H711">
        <v>96</v>
      </c>
      <c r="I711" t="str">
        <f t="shared" si="10"/>
        <v>Snack Bars|DPOLE|Average</v>
      </c>
      <c r="J711" t="s">
        <v>430</v>
      </c>
    </row>
    <row r="712" spans="2:10">
      <c r="B712" t="s">
        <v>428</v>
      </c>
      <c r="C712" t="s">
        <v>429</v>
      </c>
      <c r="D712" t="s">
        <v>244</v>
      </c>
      <c r="E712" t="s">
        <v>264</v>
      </c>
      <c r="F712" t="s">
        <v>313</v>
      </c>
      <c r="G712" t="s">
        <v>226</v>
      </c>
      <c r="H712">
        <v>58.5</v>
      </c>
      <c r="I712" t="str">
        <f t="shared" si="10"/>
        <v>Snack Bars|DPOLE|Low Cost</v>
      </c>
      <c r="J712" t="s">
        <v>430</v>
      </c>
    </row>
    <row r="713" spans="2:10">
      <c r="B713" t="s">
        <v>428</v>
      </c>
      <c r="C713" t="s">
        <v>429</v>
      </c>
      <c r="D713" t="s">
        <v>244</v>
      </c>
      <c r="E713" t="s">
        <v>264</v>
      </c>
      <c r="F713" t="s">
        <v>313</v>
      </c>
      <c r="G713" t="s">
        <v>314</v>
      </c>
      <c r="H713">
        <v>46.25</v>
      </c>
      <c r="I713" t="str">
        <f t="shared" si="10"/>
        <v>Snack Bars|DPOLE|Cheap</v>
      </c>
      <c r="J713" t="s">
        <v>430</v>
      </c>
    </row>
    <row r="714" spans="2:10">
      <c r="B714" t="s">
        <v>428</v>
      </c>
      <c r="C714" t="s">
        <v>429</v>
      </c>
      <c r="D714" t="s">
        <v>244</v>
      </c>
      <c r="E714" t="s">
        <v>264</v>
      </c>
      <c r="F714" t="s">
        <v>219</v>
      </c>
      <c r="G714" t="s">
        <v>44</v>
      </c>
      <c r="H714">
        <v>101</v>
      </c>
      <c r="I714" t="str">
        <f t="shared" si="10"/>
        <v>Snack Bars|S|Average</v>
      </c>
      <c r="J714" t="s">
        <v>430</v>
      </c>
    </row>
    <row r="715" spans="2:10">
      <c r="B715" t="s">
        <v>428</v>
      </c>
      <c r="C715" t="s">
        <v>429</v>
      </c>
      <c r="D715" t="s">
        <v>244</v>
      </c>
      <c r="E715" t="s">
        <v>264</v>
      </c>
      <c r="F715" t="s">
        <v>219</v>
      </c>
      <c r="G715" t="s">
        <v>226</v>
      </c>
      <c r="H715">
        <v>62.5</v>
      </c>
      <c r="I715" t="str">
        <f t="shared" si="10"/>
        <v>Snack Bars|S|Low Cost</v>
      </c>
      <c r="J715" t="s">
        <v>430</v>
      </c>
    </row>
    <row r="716" spans="2:10">
      <c r="B716" t="s">
        <v>428</v>
      </c>
      <c r="C716" t="s">
        <v>429</v>
      </c>
      <c r="D716" t="s">
        <v>244</v>
      </c>
      <c r="E716" t="s">
        <v>264</v>
      </c>
      <c r="F716" t="s">
        <v>219</v>
      </c>
      <c r="G716" t="s">
        <v>314</v>
      </c>
      <c r="H716">
        <v>49.5</v>
      </c>
      <c r="I716" t="str">
        <f t="shared" si="10"/>
        <v>Snack Bars|S|Cheap</v>
      </c>
      <c r="J716" t="s">
        <v>430</v>
      </c>
    </row>
    <row r="717" spans="2:10">
      <c r="B717" t="s">
        <v>431</v>
      </c>
      <c r="C717" t="s">
        <v>432</v>
      </c>
      <c r="D717" t="s">
        <v>244</v>
      </c>
      <c r="E717" t="s">
        <v>269</v>
      </c>
      <c r="F717" t="s">
        <v>209</v>
      </c>
      <c r="G717" t="s">
        <v>231</v>
      </c>
      <c r="H717">
        <v>290</v>
      </c>
      <c r="I717" t="str">
        <f t="shared" si="10"/>
        <v>Banquet Halls|C|Excellent</v>
      </c>
      <c r="J717" t="s">
        <v>433</v>
      </c>
    </row>
    <row r="718" spans="2:10">
      <c r="B718" t="s">
        <v>431</v>
      </c>
      <c r="C718" t="s">
        <v>432</v>
      </c>
      <c r="D718" t="s">
        <v>244</v>
      </c>
      <c r="E718" t="s">
        <v>269</v>
      </c>
      <c r="F718" t="s">
        <v>209</v>
      </c>
      <c r="G718" t="s">
        <v>229</v>
      </c>
      <c r="H718">
        <v>209</v>
      </c>
      <c r="I718" t="str">
        <f t="shared" si="10"/>
        <v>Banquet Halls|C|Good</v>
      </c>
      <c r="J718" t="s">
        <v>433</v>
      </c>
    </row>
    <row r="719" spans="2:10">
      <c r="B719" t="s">
        <v>431</v>
      </c>
      <c r="C719" t="s">
        <v>432</v>
      </c>
      <c r="D719" t="s">
        <v>244</v>
      </c>
      <c r="E719" t="s">
        <v>269</v>
      </c>
      <c r="F719" t="s">
        <v>209</v>
      </c>
      <c r="G719" t="s">
        <v>44</v>
      </c>
      <c r="H719">
        <v>151</v>
      </c>
      <c r="I719" t="str">
        <f t="shared" si="10"/>
        <v>Banquet Halls|C|Average</v>
      </c>
      <c r="J719" t="s">
        <v>433</v>
      </c>
    </row>
    <row r="720" spans="2:10">
      <c r="B720" t="s">
        <v>431</v>
      </c>
      <c r="C720" t="s">
        <v>432</v>
      </c>
      <c r="D720" t="s">
        <v>244</v>
      </c>
      <c r="E720" t="s">
        <v>269</v>
      </c>
      <c r="F720" t="s">
        <v>209</v>
      </c>
      <c r="G720" t="s">
        <v>226</v>
      </c>
      <c r="H720">
        <v>106</v>
      </c>
      <c r="I720" t="str">
        <f t="shared" si="10"/>
        <v>Banquet Halls|C|Low Cost</v>
      </c>
      <c r="J720" t="s">
        <v>433</v>
      </c>
    </row>
    <row r="721" spans="2:10">
      <c r="B721" t="s">
        <v>431</v>
      </c>
      <c r="C721" t="s">
        <v>432</v>
      </c>
      <c r="D721" t="s">
        <v>244</v>
      </c>
      <c r="E721" t="s">
        <v>269</v>
      </c>
      <c r="F721" t="s">
        <v>214</v>
      </c>
      <c r="G721" t="s">
        <v>231</v>
      </c>
      <c r="H721">
        <v>277</v>
      </c>
      <c r="I721" t="str">
        <f t="shared" si="10"/>
        <v>Banquet Halls|D|Excellent</v>
      </c>
      <c r="J721" t="s">
        <v>433</v>
      </c>
    </row>
    <row r="722" spans="2:10">
      <c r="B722" t="s">
        <v>431</v>
      </c>
      <c r="C722" t="s">
        <v>432</v>
      </c>
      <c r="D722" t="s">
        <v>244</v>
      </c>
      <c r="E722" t="s">
        <v>269</v>
      </c>
      <c r="F722" t="s">
        <v>214</v>
      </c>
      <c r="G722" t="s">
        <v>229</v>
      </c>
      <c r="H722">
        <v>197</v>
      </c>
      <c r="I722" t="str">
        <f t="shared" si="10"/>
        <v>Banquet Halls|D|Good</v>
      </c>
      <c r="J722" t="s">
        <v>433</v>
      </c>
    </row>
    <row r="723" spans="2:10">
      <c r="B723" t="s">
        <v>431</v>
      </c>
      <c r="C723" t="s">
        <v>432</v>
      </c>
      <c r="D723" t="s">
        <v>244</v>
      </c>
      <c r="E723" t="s">
        <v>269</v>
      </c>
      <c r="F723" t="s">
        <v>214</v>
      </c>
      <c r="G723" t="s">
        <v>44</v>
      </c>
      <c r="H723">
        <v>141</v>
      </c>
      <c r="I723" t="str">
        <f t="shared" si="10"/>
        <v>Banquet Halls|D|Average</v>
      </c>
      <c r="J723" t="s">
        <v>433</v>
      </c>
    </row>
    <row r="724" spans="2:10">
      <c r="B724" t="s">
        <v>431</v>
      </c>
      <c r="C724" t="s">
        <v>432</v>
      </c>
      <c r="D724" t="s">
        <v>244</v>
      </c>
      <c r="E724" t="s">
        <v>269</v>
      </c>
      <c r="F724" t="s">
        <v>214</v>
      </c>
      <c r="G724" t="s">
        <v>226</v>
      </c>
      <c r="H724">
        <v>97.5</v>
      </c>
      <c r="I724" t="str">
        <f t="shared" si="10"/>
        <v>Banquet Halls|D|Low Cost</v>
      </c>
      <c r="J724" t="s">
        <v>433</v>
      </c>
    </row>
    <row r="725" spans="2:10">
      <c r="B725" t="s">
        <v>431</v>
      </c>
      <c r="C725" t="s">
        <v>432</v>
      </c>
      <c r="D725" t="s">
        <v>244</v>
      </c>
      <c r="E725" t="s">
        <v>269</v>
      </c>
      <c r="F725" t="s">
        <v>313</v>
      </c>
      <c r="G725" t="s">
        <v>226</v>
      </c>
      <c r="H725">
        <v>91.5</v>
      </c>
      <c r="I725" t="str">
        <f t="shared" si="10"/>
        <v>Banquet Halls|DPOLE|Low Cost</v>
      </c>
      <c r="J725" t="s">
        <v>433</v>
      </c>
    </row>
    <row r="726" spans="2:10">
      <c r="B726" t="s">
        <v>431</v>
      </c>
      <c r="C726" t="s">
        <v>432</v>
      </c>
      <c r="D726" t="s">
        <v>244</v>
      </c>
      <c r="E726" t="s">
        <v>269</v>
      </c>
      <c r="F726" t="s">
        <v>219</v>
      </c>
      <c r="G726" t="s">
        <v>229</v>
      </c>
      <c r="H726">
        <v>193</v>
      </c>
      <c r="I726" t="str">
        <f t="shared" si="10"/>
        <v>Banquet Halls|S|Good</v>
      </c>
      <c r="J726" t="s">
        <v>433</v>
      </c>
    </row>
    <row r="727" spans="2:10">
      <c r="B727" t="s">
        <v>431</v>
      </c>
      <c r="C727" t="s">
        <v>432</v>
      </c>
      <c r="D727" t="s">
        <v>244</v>
      </c>
      <c r="E727" t="s">
        <v>269</v>
      </c>
      <c r="F727" t="s">
        <v>219</v>
      </c>
      <c r="G727" t="s">
        <v>44</v>
      </c>
      <c r="H727">
        <v>138</v>
      </c>
      <c r="I727" t="str">
        <f t="shared" si="10"/>
        <v>Banquet Halls|S|Average</v>
      </c>
      <c r="J727" t="s">
        <v>433</v>
      </c>
    </row>
    <row r="728" spans="2:10">
      <c r="B728" t="s">
        <v>431</v>
      </c>
      <c r="C728" t="s">
        <v>432</v>
      </c>
      <c r="D728" t="s">
        <v>244</v>
      </c>
      <c r="E728" t="s">
        <v>269</v>
      </c>
      <c r="F728" t="s">
        <v>219</v>
      </c>
      <c r="G728" t="s">
        <v>226</v>
      </c>
      <c r="H728">
        <v>94.5</v>
      </c>
      <c r="I728" t="str">
        <f t="shared" si="10"/>
        <v>Banquet Halls|S|Low Cost</v>
      </c>
      <c r="J728" t="s">
        <v>433</v>
      </c>
    </row>
    <row r="729" spans="2:10">
      <c r="B729" t="s">
        <v>434</v>
      </c>
      <c r="C729" t="s">
        <v>435</v>
      </c>
      <c r="D729" t="s">
        <v>244</v>
      </c>
      <c r="E729" t="s">
        <v>269</v>
      </c>
      <c r="F729" t="s">
        <v>219</v>
      </c>
      <c r="G729" t="s">
        <v>231</v>
      </c>
      <c r="H729">
        <v>350</v>
      </c>
      <c r="I729" t="str">
        <f t="shared" si="10"/>
        <v>Modular Restaurants – Diners|S|Excellent</v>
      </c>
      <c r="J729" t="s">
        <v>433</v>
      </c>
    </row>
    <row r="730" spans="2:10">
      <c r="B730" t="s">
        <v>434</v>
      </c>
      <c r="C730" t="s">
        <v>435</v>
      </c>
      <c r="D730" t="s">
        <v>244</v>
      </c>
      <c r="E730" t="s">
        <v>269</v>
      </c>
      <c r="F730" t="s">
        <v>219</v>
      </c>
      <c r="G730" t="s">
        <v>229</v>
      </c>
      <c r="H730">
        <v>329</v>
      </c>
      <c r="I730" t="str">
        <f t="shared" si="10"/>
        <v>Modular Restaurants – Diners|S|Good</v>
      </c>
      <c r="J730" t="s">
        <v>433</v>
      </c>
    </row>
    <row r="731" spans="2:10">
      <c r="B731" t="s">
        <v>434</v>
      </c>
      <c r="C731" t="s">
        <v>435</v>
      </c>
      <c r="D731" t="s">
        <v>244</v>
      </c>
      <c r="E731" t="s">
        <v>269</v>
      </c>
      <c r="F731" t="s">
        <v>219</v>
      </c>
      <c r="G731" t="s">
        <v>44</v>
      </c>
      <c r="H731">
        <v>309</v>
      </c>
      <c r="I731" t="str">
        <f t="shared" si="10"/>
        <v>Modular Restaurants – Diners|S|Average</v>
      </c>
      <c r="J731" t="s">
        <v>433</v>
      </c>
    </row>
    <row r="732" spans="2:10">
      <c r="B732" t="s">
        <v>434</v>
      </c>
      <c r="C732" t="s">
        <v>435</v>
      </c>
      <c r="D732" t="s">
        <v>244</v>
      </c>
      <c r="E732" t="s">
        <v>269</v>
      </c>
      <c r="F732" t="s">
        <v>219</v>
      </c>
      <c r="G732" t="s">
        <v>226</v>
      </c>
      <c r="H732">
        <v>291</v>
      </c>
      <c r="I732" t="str">
        <f t="shared" si="10"/>
        <v>Modular Restaurants – Diners|S|Low Cost</v>
      </c>
      <c r="J732" t="s">
        <v>433</v>
      </c>
    </row>
    <row r="733" spans="2:10">
      <c r="B733" t="s">
        <v>436</v>
      </c>
      <c r="C733" t="s">
        <v>437</v>
      </c>
      <c r="D733" t="s">
        <v>244</v>
      </c>
      <c r="E733" t="s">
        <v>274</v>
      </c>
      <c r="F733" t="s">
        <v>270</v>
      </c>
      <c r="G733" t="s">
        <v>229</v>
      </c>
      <c r="H733">
        <v>176</v>
      </c>
      <c r="I733" t="str">
        <f t="shared" si="10"/>
        <v>Supermarkets|A-B|Good</v>
      </c>
      <c r="J733" t="s">
        <v>438</v>
      </c>
    </row>
    <row r="734" spans="2:10">
      <c r="B734" t="s">
        <v>436</v>
      </c>
      <c r="C734" t="s">
        <v>437</v>
      </c>
      <c r="D734" t="s">
        <v>244</v>
      </c>
      <c r="E734" t="s">
        <v>274</v>
      </c>
      <c r="F734" t="s">
        <v>270</v>
      </c>
      <c r="G734" t="s">
        <v>44</v>
      </c>
      <c r="H734">
        <v>153</v>
      </c>
      <c r="I734" t="str">
        <f t="shared" ref="I734:I797" si="11">B734&amp;"|"&amp;F734&amp;"|"&amp;G734</f>
        <v>Supermarkets|A-B|Average</v>
      </c>
      <c r="J734" t="s">
        <v>438</v>
      </c>
    </row>
    <row r="735" spans="2:10">
      <c r="B735" t="s">
        <v>436</v>
      </c>
      <c r="C735" t="s">
        <v>437</v>
      </c>
      <c r="D735" t="s">
        <v>244</v>
      </c>
      <c r="E735" t="s">
        <v>274</v>
      </c>
      <c r="F735" t="s">
        <v>209</v>
      </c>
      <c r="G735" t="s">
        <v>231</v>
      </c>
      <c r="H735">
        <v>177</v>
      </c>
      <c r="I735" t="str">
        <f t="shared" si="11"/>
        <v>Supermarkets|C|Excellent</v>
      </c>
      <c r="J735" t="s">
        <v>438</v>
      </c>
    </row>
    <row r="736" spans="2:10">
      <c r="B736" t="s">
        <v>436</v>
      </c>
      <c r="C736" t="s">
        <v>437</v>
      </c>
      <c r="D736" t="s">
        <v>244</v>
      </c>
      <c r="E736" t="s">
        <v>274</v>
      </c>
      <c r="F736" t="s">
        <v>209</v>
      </c>
      <c r="G736" t="s">
        <v>229</v>
      </c>
      <c r="H736">
        <v>149</v>
      </c>
      <c r="I736" t="str">
        <f t="shared" si="11"/>
        <v>Supermarkets|C|Good</v>
      </c>
      <c r="J736" t="s">
        <v>438</v>
      </c>
    </row>
    <row r="737" spans="2:10">
      <c r="B737" t="s">
        <v>436</v>
      </c>
      <c r="C737" t="s">
        <v>437</v>
      </c>
      <c r="D737" t="s">
        <v>244</v>
      </c>
      <c r="E737" t="s">
        <v>274</v>
      </c>
      <c r="F737" t="s">
        <v>209</v>
      </c>
      <c r="G737" t="s">
        <v>44</v>
      </c>
      <c r="H737">
        <v>121</v>
      </c>
      <c r="I737" t="str">
        <f t="shared" si="11"/>
        <v>Supermarkets|C|Average</v>
      </c>
      <c r="J737" t="s">
        <v>438</v>
      </c>
    </row>
    <row r="738" spans="2:10">
      <c r="B738" t="s">
        <v>436</v>
      </c>
      <c r="C738" t="s">
        <v>437</v>
      </c>
      <c r="D738" t="s">
        <v>244</v>
      </c>
      <c r="E738" t="s">
        <v>274</v>
      </c>
      <c r="F738" t="s">
        <v>209</v>
      </c>
      <c r="G738" t="s">
        <v>226</v>
      </c>
      <c r="H738">
        <v>102</v>
      </c>
      <c r="I738" t="str">
        <f t="shared" si="11"/>
        <v>Supermarkets|C|Low Cost</v>
      </c>
      <c r="J738" t="s">
        <v>438</v>
      </c>
    </row>
    <row r="739" spans="2:10">
      <c r="B739" t="s">
        <v>436</v>
      </c>
      <c r="C739" t="s">
        <v>437</v>
      </c>
      <c r="D739" t="s">
        <v>244</v>
      </c>
      <c r="E739" t="s">
        <v>274</v>
      </c>
      <c r="F739" t="s">
        <v>214</v>
      </c>
      <c r="G739" t="s">
        <v>231</v>
      </c>
      <c r="H739">
        <v>166</v>
      </c>
      <c r="I739" t="str">
        <f t="shared" si="11"/>
        <v>Supermarkets|D|Excellent</v>
      </c>
      <c r="J739" t="s">
        <v>438</v>
      </c>
    </row>
    <row r="740" spans="2:10">
      <c r="B740" t="s">
        <v>436</v>
      </c>
      <c r="C740" t="s">
        <v>437</v>
      </c>
      <c r="D740" t="s">
        <v>244</v>
      </c>
      <c r="E740" t="s">
        <v>274</v>
      </c>
      <c r="F740" t="s">
        <v>214</v>
      </c>
      <c r="G740" t="s">
        <v>229</v>
      </c>
      <c r="H740">
        <v>139</v>
      </c>
      <c r="I740" t="str">
        <f t="shared" si="11"/>
        <v>Supermarkets|D|Good</v>
      </c>
      <c r="J740" t="s">
        <v>438</v>
      </c>
    </row>
    <row r="741" spans="2:10">
      <c r="B741" t="s">
        <v>436</v>
      </c>
      <c r="C741" t="s">
        <v>437</v>
      </c>
      <c r="D741" t="s">
        <v>244</v>
      </c>
      <c r="E741" t="s">
        <v>274</v>
      </c>
      <c r="F741" t="s">
        <v>214</v>
      </c>
      <c r="G741" t="s">
        <v>44</v>
      </c>
      <c r="H741">
        <v>113</v>
      </c>
      <c r="I741" t="str">
        <f t="shared" si="11"/>
        <v>Supermarkets|D|Average</v>
      </c>
      <c r="J741" t="s">
        <v>438</v>
      </c>
    </row>
    <row r="742" spans="2:10">
      <c r="B742" t="s">
        <v>436</v>
      </c>
      <c r="C742" t="s">
        <v>437</v>
      </c>
      <c r="D742" t="s">
        <v>244</v>
      </c>
      <c r="E742" t="s">
        <v>274</v>
      </c>
      <c r="F742" t="s">
        <v>219</v>
      </c>
      <c r="G742" t="s">
        <v>229</v>
      </c>
      <c r="H742">
        <v>139</v>
      </c>
      <c r="I742" t="str">
        <f t="shared" si="11"/>
        <v>Supermarkets|S|Good</v>
      </c>
      <c r="J742" t="s">
        <v>438</v>
      </c>
    </row>
    <row r="743" spans="2:10">
      <c r="B743" t="s">
        <v>436</v>
      </c>
      <c r="C743" t="s">
        <v>437</v>
      </c>
      <c r="D743" t="s">
        <v>244</v>
      </c>
      <c r="E743" t="s">
        <v>274</v>
      </c>
      <c r="F743" t="s">
        <v>219</v>
      </c>
      <c r="G743" t="s">
        <v>44</v>
      </c>
      <c r="H743">
        <v>111</v>
      </c>
      <c r="I743" t="str">
        <f t="shared" si="11"/>
        <v>Supermarkets|S|Average</v>
      </c>
      <c r="J743" t="s">
        <v>438</v>
      </c>
    </row>
    <row r="744" spans="2:10">
      <c r="B744" t="s">
        <v>436</v>
      </c>
      <c r="C744" t="s">
        <v>437</v>
      </c>
      <c r="D744" t="s">
        <v>244</v>
      </c>
      <c r="E744" t="s">
        <v>274</v>
      </c>
      <c r="F744" t="s">
        <v>219</v>
      </c>
      <c r="G744" t="s">
        <v>226</v>
      </c>
      <c r="H744">
        <v>92</v>
      </c>
      <c r="I744" t="str">
        <f t="shared" si="11"/>
        <v>Supermarkets|S|Low Cost</v>
      </c>
      <c r="J744" t="s">
        <v>438</v>
      </c>
    </row>
    <row r="745" spans="2:10">
      <c r="B745" t="s">
        <v>439</v>
      </c>
      <c r="C745" t="s">
        <v>440</v>
      </c>
      <c r="D745" t="s">
        <v>244</v>
      </c>
      <c r="E745" t="s">
        <v>274</v>
      </c>
      <c r="F745" t="s">
        <v>270</v>
      </c>
      <c r="G745" t="s">
        <v>44</v>
      </c>
      <c r="H745">
        <v>179</v>
      </c>
      <c r="I745" t="str">
        <f t="shared" si="11"/>
        <v>Drug Stores|A-B|Average</v>
      </c>
      <c r="J745" t="s">
        <v>438</v>
      </c>
    </row>
    <row r="746" spans="2:10">
      <c r="B746" t="s">
        <v>439</v>
      </c>
      <c r="C746" t="s">
        <v>440</v>
      </c>
      <c r="D746" t="s">
        <v>244</v>
      </c>
      <c r="E746" t="s">
        <v>274</v>
      </c>
      <c r="F746" t="s">
        <v>209</v>
      </c>
      <c r="G746" t="s">
        <v>231</v>
      </c>
      <c r="H746">
        <v>208</v>
      </c>
      <c r="I746" t="str">
        <f t="shared" si="11"/>
        <v>Drug Stores|C|Excellent</v>
      </c>
      <c r="J746" t="s">
        <v>438</v>
      </c>
    </row>
    <row r="747" spans="2:10">
      <c r="B747" t="s">
        <v>439</v>
      </c>
      <c r="C747" t="s">
        <v>440</v>
      </c>
      <c r="D747" t="s">
        <v>244</v>
      </c>
      <c r="E747" t="s">
        <v>274</v>
      </c>
      <c r="F747" t="s">
        <v>209</v>
      </c>
      <c r="G747" t="s">
        <v>229</v>
      </c>
      <c r="H747">
        <v>174</v>
      </c>
      <c r="I747" t="str">
        <f t="shared" si="11"/>
        <v>Drug Stores|C|Good</v>
      </c>
      <c r="J747" t="s">
        <v>438</v>
      </c>
    </row>
    <row r="748" spans="2:10">
      <c r="B748" t="s">
        <v>439</v>
      </c>
      <c r="C748" t="s">
        <v>440</v>
      </c>
      <c r="D748" t="s">
        <v>244</v>
      </c>
      <c r="E748" t="s">
        <v>274</v>
      </c>
      <c r="F748" t="s">
        <v>209</v>
      </c>
      <c r="G748" t="s">
        <v>44</v>
      </c>
      <c r="H748">
        <v>146</v>
      </c>
      <c r="I748" t="str">
        <f t="shared" si="11"/>
        <v>Drug Stores|C|Average</v>
      </c>
      <c r="J748" t="s">
        <v>438</v>
      </c>
    </row>
    <row r="749" spans="2:10">
      <c r="B749" t="s">
        <v>439</v>
      </c>
      <c r="C749" t="s">
        <v>440</v>
      </c>
      <c r="D749" t="s">
        <v>244</v>
      </c>
      <c r="E749" t="s">
        <v>274</v>
      </c>
      <c r="F749" t="s">
        <v>209</v>
      </c>
      <c r="G749" t="s">
        <v>226</v>
      </c>
      <c r="H749">
        <v>123</v>
      </c>
      <c r="I749" t="str">
        <f t="shared" si="11"/>
        <v>Drug Stores|C|Low Cost</v>
      </c>
      <c r="J749" t="s">
        <v>438</v>
      </c>
    </row>
    <row r="750" spans="2:10">
      <c r="B750" t="s">
        <v>439</v>
      </c>
      <c r="C750" t="s">
        <v>440</v>
      </c>
      <c r="D750" t="s">
        <v>244</v>
      </c>
      <c r="E750" t="s">
        <v>274</v>
      </c>
      <c r="F750" t="s">
        <v>214</v>
      </c>
      <c r="G750" t="s">
        <v>231</v>
      </c>
      <c r="H750">
        <v>197</v>
      </c>
      <c r="I750" t="str">
        <f t="shared" si="11"/>
        <v>Drug Stores|D|Excellent</v>
      </c>
      <c r="J750" t="s">
        <v>438</v>
      </c>
    </row>
    <row r="751" spans="2:10">
      <c r="B751" t="s">
        <v>439</v>
      </c>
      <c r="C751" t="s">
        <v>440</v>
      </c>
      <c r="D751" t="s">
        <v>244</v>
      </c>
      <c r="E751" t="s">
        <v>274</v>
      </c>
      <c r="F751" t="s">
        <v>214</v>
      </c>
      <c r="G751" t="s">
        <v>229</v>
      </c>
      <c r="H751">
        <v>165</v>
      </c>
      <c r="I751" t="str">
        <f t="shared" si="11"/>
        <v>Drug Stores|D|Good</v>
      </c>
      <c r="J751" t="s">
        <v>438</v>
      </c>
    </row>
    <row r="752" spans="2:10">
      <c r="B752" t="s">
        <v>439</v>
      </c>
      <c r="C752" t="s">
        <v>440</v>
      </c>
      <c r="D752" t="s">
        <v>244</v>
      </c>
      <c r="E752" t="s">
        <v>274</v>
      </c>
      <c r="F752" t="s">
        <v>214</v>
      </c>
      <c r="G752" t="s">
        <v>44</v>
      </c>
      <c r="H752">
        <v>138</v>
      </c>
      <c r="I752" t="str">
        <f t="shared" si="11"/>
        <v>Drug Stores|D|Average</v>
      </c>
      <c r="J752" t="s">
        <v>438</v>
      </c>
    </row>
    <row r="753" spans="2:10">
      <c r="B753" t="s">
        <v>439</v>
      </c>
      <c r="C753" t="s">
        <v>440</v>
      </c>
      <c r="D753" t="s">
        <v>244</v>
      </c>
      <c r="E753" t="s">
        <v>274</v>
      </c>
      <c r="F753" t="s">
        <v>214</v>
      </c>
      <c r="G753" t="s">
        <v>226</v>
      </c>
      <c r="H753">
        <v>116</v>
      </c>
      <c r="I753" t="str">
        <f t="shared" si="11"/>
        <v>Drug Stores|D|Low Cost</v>
      </c>
      <c r="J753" t="s">
        <v>438</v>
      </c>
    </row>
    <row r="754" spans="2:10">
      <c r="B754" t="s">
        <v>439</v>
      </c>
      <c r="C754" t="s">
        <v>440</v>
      </c>
      <c r="D754" t="s">
        <v>244</v>
      </c>
      <c r="E754" t="s">
        <v>274</v>
      </c>
      <c r="F754" t="s">
        <v>219</v>
      </c>
      <c r="G754" t="s">
        <v>226</v>
      </c>
      <c r="H754">
        <v>114</v>
      </c>
      <c r="I754" t="str">
        <f t="shared" si="11"/>
        <v>Drug Stores|S|Low Cost</v>
      </c>
      <c r="J754" t="s">
        <v>438</v>
      </c>
    </row>
    <row r="755" spans="2:10">
      <c r="B755" t="s">
        <v>441</v>
      </c>
      <c r="C755" t="s">
        <v>442</v>
      </c>
      <c r="D755" t="s">
        <v>244</v>
      </c>
      <c r="E755" t="s">
        <v>276</v>
      </c>
      <c r="F755" t="s">
        <v>270</v>
      </c>
      <c r="G755" t="s">
        <v>44</v>
      </c>
      <c r="H755">
        <v>155</v>
      </c>
      <c r="I755" t="str">
        <f t="shared" si="11"/>
        <v>Markets|A-B|Average</v>
      </c>
      <c r="J755" t="s">
        <v>443</v>
      </c>
    </row>
    <row r="756" spans="2:10">
      <c r="B756" t="s">
        <v>441</v>
      </c>
      <c r="C756" t="s">
        <v>442</v>
      </c>
      <c r="D756" t="s">
        <v>244</v>
      </c>
      <c r="E756" t="s">
        <v>276</v>
      </c>
      <c r="F756" t="s">
        <v>209</v>
      </c>
      <c r="G756" t="s">
        <v>231</v>
      </c>
      <c r="H756">
        <v>186</v>
      </c>
      <c r="I756" t="str">
        <f t="shared" si="11"/>
        <v>Markets|C|Excellent</v>
      </c>
      <c r="J756" t="s">
        <v>443</v>
      </c>
    </row>
    <row r="757" spans="2:10">
      <c r="B757" t="s">
        <v>441</v>
      </c>
      <c r="C757" t="s">
        <v>442</v>
      </c>
      <c r="D757" t="s">
        <v>244</v>
      </c>
      <c r="E757" t="s">
        <v>276</v>
      </c>
      <c r="F757" t="s">
        <v>209</v>
      </c>
      <c r="G757" t="s">
        <v>229</v>
      </c>
      <c r="H757">
        <v>151</v>
      </c>
      <c r="I757" t="str">
        <f t="shared" si="11"/>
        <v>Markets|C|Good</v>
      </c>
      <c r="J757" t="s">
        <v>443</v>
      </c>
    </row>
    <row r="758" spans="2:10">
      <c r="B758" t="s">
        <v>441</v>
      </c>
      <c r="C758" t="s">
        <v>442</v>
      </c>
      <c r="D758" t="s">
        <v>244</v>
      </c>
      <c r="E758" t="s">
        <v>276</v>
      </c>
      <c r="F758" t="s">
        <v>209</v>
      </c>
      <c r="G758" t="s">
        <v>44</v>
      </c>
      <c r="H758">
        <v>120</v>
      </c>
      <c r="I758" t="str">
        <f t="shared" si="11"/>
        <v>Markets|C|Average</v>
      </c>
      <c r="J758" t="s">
        <v>443</v>
      </c>
    </row>
    <row r="759" spans="2:10">
      <c r="B759" t="s">
        <v>441</v>
      </c>
      <c r="C759" t="s">
        <v>442</v>
      </c>
      <c r="D759" t="s">
        <v>244</v>
      </c>
      <c r="E759" t="s">
        <v>276</v>
      </c>
      <c r="F759" t="s">
        <v>209</v>
      </c>
      <c r="G759" t="s">
        <v>226</v>
      </c>
      <c r="H759">
        <v>92</v>
      </c>
      <c r="I759" t="str">
        <f t="shared" si="11"/>
        <v>Markets|C|Low Cost</v>
      </c>
      <c r="J759" t="s">
        <v>443</v>
      </c>
    </row>
    <row r="760" spans="2:10">
      <c r="B760" t="s">
        <v>441</v>
      </c>
      <c r="C760" t="s">
        <v>442</v>
      </c>
      <c r="D760" t="s">
        <v>244</v>
      </c>
      <c r="E760" t="s">
        <v>276</v>
      </c>
      <c r="F760" t="s">
        <v>214</v>
      </c>
      <c r="G760" t="s">
        <v>231</v>
      </c>
      <c r="H760">
        <v>174</v>
      </c>
      <c r="I760" t="str">
        <f t="shared" si="11"/>
        <v>Markets|D|Excellent</v>
      </c>
      <c r="J760" t="s">
        <v>443</v>
      </c>
    </row>
    <row r="761" spans="2:10">
      <c r="B761" t="s">
        <v>441</v>
      </c>
      <c r="C761" t="s">
        <v>442</v>
      </c>
      <c r="D761" t="s">
        <v>244</v>
      </c>
      <c r="E761" t="s">
        <v>276</v>
      </c>
      <c r="F761" t="s">
        <v>214</v>
      </c>
      <c r="G761" t="s">
        <v>229</v>
      </c>
      <c r="H761">
        <v>141</v>
      </c>
      <c r="I761" t="str">
        <f t="shared" si="11"/>
        <v>Markets|D|Good</v>
      </c>
      <c r="J761" t="s">
        <v>443</v>
      </c>
    </row>
    <row r="762" spans="2:10">
      <c r="B762" t="s">
        <v>441</v>
      </c>
      <c r="C762" t="s">
        <v>442</v>
      </c>
      <c r="D762" t="s">
        <v>244</v>
      </c>
      <c r="E762" t="s">
        <v>276</v>
      </c>
      <c r="F762" t="s">
        <v>214</v>
      </c>
      <c r="G762" t="s">
        <v>44</v>
      </c>
      <c r="H762">
        <v>111</v>
      </c>
      <c r="I762" t="str">
        <f t="shared" si="11"/>
        <v>Markets|D|Average</v>
      </c>
      <c r="J762" t="s">
        <v>443</v>
      </c>
    </row>
    <row r="763" spans="2:10">
      <c r="B763" t="s">
        <v>441</v>
      </c>
      <c r="C763" t="s">
        <v>442</v>
      </c>
      <c r="D763" t="s">
        <v>244</v>
      </c>
      <c r="E763" t="s">
        <v>276</v>
      </c>
      <c r="F763" t="s">
        <v>214</v>
      </c>
      <c r="G763" t="s">
        <v>226</v>
      </c>
      <c r="H763">
        <v>85</v>
      </c>
      <c r="I763" t="str">
        <f t="shared" si="11"/>
        <v>Markets|D|Low Cost</v>
      </c>
      <c r="J763" t="s">
        <v>443</v>
      </c>
    </row>
    <row r="764" spans="2:10">
      <c r="B764" t="s">
        <v>441</v>
      </c>
      <c r="C764" t="s">
        <v>442</v>
      </c>
      <c r="D764" t="s">
        <v>244</v>
      </c>
      <c r="E764" t="s">
        <v>276</v>
      </c>
      <c r="F764" t="s">
        <v>313</v>
      </c>
      <c r="G764" t="s">
        <v>44</v>
      </c>
      <c r="H764">
        <v>107</v>
      </c>
      <c r="I764" t="str">
        <f t="shared" si="11"/>
        <v>Markets|DPOLE|Average</v>
      </c>
      <c r="J764" t="s">
        <v>443</v>
      </c>
    </row>
    <row r="765" spans="2:10">
      <c r="B765" t="s">
        <v>441</v>
      </c>
      <c r="C765" t="s">
        <v>442</v>
      </c>
      <c r="D765" t="s">
        <v>244</v>
      </c>
      <c r="E765" t="s">
        <v>276</v>
      </c>
      <c r="F765" t="s">
        <v>313</v>
      </c>
      <c r="G765" t="s">
        <v>226</v>
      </c>
      <c r="H765">
        <v>80.5</v>
      </c>
      <c r="I765" t="str">
        <f t="shared" si="11"/>
        <v>Markets|DPOLE|Low Cost</v>
      </c>
      <c r="J765" t="s">
        <v>443</v>
      </c>
    </row>
    <row r="766" spans="2:10">
      <c r="B766" t="s">
        <v>441</v>
      </c>
      <c r="C766" t="s">
        <v>442</v>
      </c>
      <c r="D766" t="s">
        <v>244</v>
      </c>
      <c r="E766" t="s">
        <v>276</v>
      </c>
      <c r="F766" t="s">
        <v>219</v>
      </c>
      <c r="G766" t="s">
        <v>229</v>
      </c>
      <c r="H766">
        <v>142</v>
      </c>
      <c r="I766" t="str">
        <f t="shared" si="11"/>
        <v>Markets|S|Good</v>
      </c>
      <c r="J766" t="s">
        <v>443</v>
      </c>
    </row>
    <row r="767" spans="2:10">
      <c r="B767" t="s">
        <v>441</v>
      </c>
      <c r="C767" t="s">
        <v>442</v>
      </c>
      <c r="D767" t="s">
        <v>244</v>
      </c>
      <c r="E767" t="s">
        <v>276</v>
      </c>
      <c r="F767" t="s">
        <v>219</v>
      </c>
      <c r="G767" t="s">
        <v>44</v>
      </c>
      <c r="H767">
        <v>109</v>
      </c>
      <c r="I767" t="str">
        <f t="shared" si="11"/>
        <v>Markets|S|Average</v>
      </c>
      <c r="J767" t="s">
        <v>443</v>
      </c>
    </row>
    <row r="768" spans="2:10">
      <c r="B768" t="s">
        <v>441</v>
      </c>
      <c r="C768" t="s">
        <v>442</v>
      </c>
      <c r="D768" t="s">
        <v>244</v>
      </c>
      <c r="E768" t="s">
        <v>276</v>
      </c>
      <c r="F768" t="s">
        <v>219</v>
      </c>
      <c r="G768" t="s">
        <v>226</v>
      </c>
      <c r="H768">
        <v>82</v>
      </c>
      <c r="I768" t="str">
        <f t="shared" si="11"/>
        <v>Markets|S|Low Cost</v>
      </c>
      <c r="J768" t="s">
        <v>443</v>
      </c>
    </row>
    <row r="769" spans="2:10">
      <c r="B769" t="s">
        <v>444</v>
      </c>
      <c r="C769" t="s">
        <v>445</v>
      </c>
      <c r="D769" t="s">
        <v>244</v>
      </c>
      <c r="E769" t="s">
        <v>276</v>
      </c>
      <c r="F769" t="s">
        <v>270</v>
      </c>
      <c r="G769" t="s">
        <v>44</v>
      </c>
      <c r="H769">
        <v>152</v>
      </c>
      <c r="I769" t="str">
        <f t="shared" si="11"/>
        <v>Florist Shops|A-B|Average</v>
      </c>
      <c r="J769" t="s">
        <v>443</v>
      </c>
    </row>
    <row r="770" spans="2:10">
      <c r="B770" t="s">
        <v>444</v>
      </c>
      <c r="C770" t="s">
        <v>445</v>
      </c>
      <c r="D770" t="s">
        <v>244</v>
      </c>
      <c r="E770" t="s">
        <v>276</v>
      </c>
      <c r="F770" t="s">
        <v>209</v>
      </c>
      <c r="G770" t="s">
        <v>231</v>
      </c>
      <c r="H770">
        <v>179</v>
      </c>
      <c r="I770" t="str">
        <f t="shared" si="11"/>
        <v>Florist Shops|C|Excellent</v>
      </c>
      <c r="J770" t="s">
        <v>443</v>
      </c>
    </row>
    <row r="771" spans="2:10">
      <c r="B771" t="s">
        <v>444</v>
      </c>
      <c r="C771" t="s">
        <v>445</v>
      </c>
      <c r="D771" t="s">
        <v>244</v>
      </c>
      <c r="E771" t="s">
        <v>276</v>
      </c>
      <c r="F771" t="s">
        <v>209</v>
      </c>
      <c r="G771" t="s">
        <v>229</v>
      </c>
      <c r="H771">
        <v>148</v>
      </c>
      <c r="I771" t="str">
        <f t="shared" si="11"/>
        <v>Florist Shops|C|Good</v>
      </c>
      <c r="J771" t="s">
        <v>443</v>
      </c>
    </row>
    <row r="772" spans="2:10">
      <c r="B772" t="s">
        <v>444</v>
      </c>
      <c r="C772" t="s">
        <v>445</v>
      </c>
      <c r="D772" t="s">
        <v>244</v>
      </c>
      <c r="E772" t="s">
        <v>276</v>
      </c>
      <c r="F772" t="s">
        <v>209</v>
      </c>
      <c r="G772" t="s">
        <v>44</v>
      </c>
      <c r="H772">
        <v>118</v>
      </c>
      <c r="I772" t="str">
        <f t="shared" si="11"/>
        <v>Florist Shops|C|Average</v>
      </c>
      <c r="J772" t="s">
        <v>443</v>
      </c>
    </row>
    <row r="773" spans="2:10">
      <c r="B773" t="s">
        <v>444</v>
      </c>
      <c r="C773" t="s">
        <v>445</v>
      </c>
      <c r="D773" t="s">
        <v>244</v>
      </c>
      <c r="E773" t="s">
        <v>276</v>
      </c>
      <c r="F773" t="s">
        <v>209</v>
      </c>
      <c r="G773" t="s">
        <v>226</v>
      </c>
      <c r="H773">
        <v>94</v>
      </c>
      <c r="I773" t="str">
        <f t="shared" si="11"/>
        <v>Florist Shops|C|Low Cost</v>
      </c>
      <c r="J773" t="s">
        <v>443</v>
      </c>
    </row>
    <row r="774" spans="2:10">
      <c r="B774" t="s">
        <v>444</v>
      </c>
      <c r="C774" t="s">
        <v>445</v>
      </c>
      <c r="D774" t="s">
        <v>244</v>
      </c>
      <c r="E774" t="s">
        <v>276</v>
      </c>
      <c r="F774" t="s">
        <v>214</v>
      </c>
      <c r="G774" t="s">
        <v>231</v>
      </c>
      <c r="H774">
        <v>168</v>
      </c>
      <c r="I774" t="str">
        <f t="shared" si="11"/>
        <v>Florist Shops|D|Excellent</v>
      </c>
      <c r="J774" t="s">
        <v>443</v>
      </c>
    </row>
    <row r="775" spans="2:10">
      <c r="B775" t="s">
        <v>444</v>
      </c>
      <c r="C775" t="s">
        <v>445</v>
      </c>
      <c r="D775" t="s">
        <v>244</v>
      </c>
      <c r="E775" t="s">
        <v>276</v>
      </c>
      <c r="F775" t="s">
        <v>214</v>
      </c>
      <c r="G775" t="s">
        <v>229</v>
      </c>
      <c r="H775">
        <v>139</v>
      </c>
      <c r="I775" t="str">
        <f t="shared" si="11"/>
        <v>Florist Shops|D|Good</v>
      </c>
      <c r="J775" t="s">
        <v>443</v>
      </c>
    </row>
    <row r="776" spans="2:10">
      <c r="B776" t="s">
        <v>444</v>
      </c>
      <c r="C776" t="s">
        <v>445</v>
      </c>
      <c r="D776" t="s">
        <v>244</v>
      </c>
      <c r="E776" t="s">
        <v>276</v>
      </c>
      <c r="F776" t="s">
        <v>214</v>
      </c>
      <c r="G776" t="s">
        <v>44</v>
      </c>
      <c r="H776">
        <v>110</v>
      </c>
      <c r="I776" t="str">
        <f t="shared" si="11"/>
        <v>Florist Shops|D|Average</v>
      </c>
      <c r="J776" t="s">
        <v>443</v>
      </c>
    </row>
    <row r="777" spans="2:10">
      <c r="B777" t="s">
        <v>444</v>
      </c>
      <c r="C777" t="s">
        <v>445</v>
      </c>
      <c r="D777" t="s">
        <v>244</v>
      </c>
      <c r="E777" t="s">
        <v>276</v>
      </c>
      <c r="F777" t="s">
        <v>214</v>
      </c>
      <c r="G777" t="s">
        <v>226</v>
      </c>
      <c r="H777">
        <v>87.5</v>
      </c>
      <c r="I777" t="str">
        <f t="shared" si="11"/>
        <v>Florist Shops|D|Low Cost</v>
      </c>
      <c r="J777" t="s">
        <v>443</v>
      </c>
    </row>
    <row r="778" spans="2:10">
      <c r="B778" t="s">
        <v>444</v>
      </c>
      <c r="C778" t="s">
        <v>445</v>
      </c>
      <c r="D778" t="s">
        <v>244</v>
      </c>
      <c r="E778" t="s">
        <v>276</v>
      </c>
      <c r="F778" t="s">
        <v>313</v>
      </c>
      <c r="G778" t="s">
        <v>226</v>
      </c>
      <c r="H778">
        <v>83.5</v>
      </c>
      <c r="I778" t="str">
        <f t="shared" si="11"/>
        <v>Florist Shops|DPOLE|Low Cost</v>
      </c>
      <c r="J778" t="s">
        <v>443</v>
      </c>
    </row>
    <row r="779" spans="2:10">
      <c r="B779" t="s">
        <v>444</v>
      </c>
      <c r="C779" t="s">
        <v>445</v>
      </c>
      <c r="D779" t="s">
        <v>244</v>
      </c>
      <c r="E779" t="s">
        <v>276</v>
      </c>
      <c r="F779" t="s">
        <v>219</v>
      </c>
      <c r="G779" t="s">
        <v>226</v>
      </c>
      <c r="H779">
        <v>86</v>
      </c>
      <c r="I779" t="str">
        <f t="shared" si="11"/>
        <v>Florist Shops|S|Low Cost</v>
      </c>
      <c r="J779" t="s">
        <v>443</v>
      </c>
    </row>
    <row r="780" spans="2:10">
      <c r="B780" t="s">
        <v>446</v>
      </c>
      <c r="C780" t="s">
        <v>447</v>
      </c>
      <c r="D780" t="s">
        <v>244</v>
      </c>
      <c r="E780" t="s">
        <v>280</v>
      </c>
      <c r="F780" t="s">
        <v>270</v>
      </c>
      <c r="G780" t="s">
        <v>44</v>
      </c>
      <c r="H780">
        <v>159</v>
      </c>
      <c r="I780" t="str">
        <f t="shared" si="11"/>
        <v>Convenience Stores|A-B|Average</v>
      </c>
      <c r="J780" t="s">
        <v>448</v>
      </c>
    </row>
    <row r="781" spans="2:10">
      <c r="B781" t="s">
        <v>446</v>
      </c>
      <c r="C781" t="s">
        <v>447</v>
      </c>
      <c r="D781" t="s">
        <v>244</v>
      </c>
      <c r="E781" t="s">
        <v>280</v>
      </c>
      <c r="F781" t="s">
        <v>209</v>
      </c>
      <c r="G781" t="s">
        <v>231</v>
      </c>
      <c r="H781">
        <v>186</v>
      </c>
      <c r="I781" t="str">
        <f t="shared" si="11"/>
        <v>Convenience Stores|C|Excellent</v>
      </c>
      <c r="J781" t="s">
        <v>448</v>
      </c>
    </row>
    <row r="782" spans="2:10">
      <c r="B782" t="s">
        <v>446</v>
      </c>
      <c r="C782" t="s">
        <v>447</v>
      </c>
      <c r="D782" t="s">
        <v>244</v>
      </c>
      <c r="E782" t="s">
        <v>280</v>
      </c>
      <c r="F782" t="s">
        <v>209</v>
      </c>
      <c r="G782" t="s">
        <v>229</v>
      </c>
      <c r="H782">
        <v>156</v>
      </c>
      <c r="I782" t="str">
        <f t="shared" si="11"/>
        <v>Convenience Stores|C|Good</v>
      </c>
      <c r="J782" t="s">
        <v>448</v>
      </c>
    </row>
    <row r="783" spans="2:10">
      <c r="B783" t="s">
        <v>446</v>
      </c>
      <c r="C783" t="s">
        <v>447</v>
      </c>
      <c r="D783" t="s">
        <v>244</v>
      </c>
      <c r="E783" t="s">
        <v>280</v>
      </c>
      <c r="F783" t="s">
        <v>209</v>
      </c>
      <c r="G783" t="s">
        <v>44</v>
      </c>
      <c r="H783">
        <v>125</v>
      </c>
      <c r="I783" t="str">
        <f t="shared" si="11"/>
        <v>Convenience Stores|C|Average</v>
      </c>
      <c r="J783" t="s">
        <v>448</v>
      </c>
    </row>
    <row r="784" spans="2:10">
      <c r="B784" t="s">
        <v>446</v>
      </c>
      <c r="C784" t="s">
        <v>447</v>
      </c>
      <c r="D784" t="s">
        <v>244</v>
      </c>
      <c r="E784" t="s">
        <v>280</v>
      </c>
      <c r="F784" t="s">
        <v>209</v>
      </c>
      <c r="G784" t="s">
        <v>226</v>
      </c>
      <c r="H784">
        <v>101</v>
      </c>
      <c r="I784" t="str">
        <f t="shared" si="11"/>
        <v>Convenience Stores|C|Low Cost</v>
      </c>
      <c r="J784" t="s">
        <v>448</v>
      </c>
    </row>
    <row r="785" spans="2:10">
      <c r="B785" t="s">
        <v>446</v>
      </c>
      <c r="C785" t="s">
        <v>447</v>
      </c>
      <c r="D785" t="s">
        <v>244</v>
      </c>
      <c r="E785" t="s">
        <v>280</v>
      </c>
      <c r="F785" t="s">
        <v>214</v>
      </c>
      <c r="G785" t="s">
        <v>231</v>
      </c>
      <c r="H785">
        <v>176</v>
      </c>
      <c r="I785" t="str">
        <f t="shared" si="11"/>
        <v>Convenience Stores|D|Excellent</v>
      </c>
      <c r="J785" t="s">
        <v>448</v>
      </c>
    </row>
    <row r="786" spans="2:10">
      <c r="B786" t="s">
        <v>446</v>
      </c>
      <c r="C786" t="s">
        <v>447</v>
      </c>
      <c r="D786" t="s">
        <v>244</v>
      </c>
      <c r="E786" t="s">
        <v>280</v>
      </c>
      <c r="F786" t="s">
        <v>214</v>
      </c>
      <c r="G786" t="s">
        <v>229</v>
      </c>
      <c r="H786">
        <v>147</v>
      </c>
      <c r="I786" t="str">
        <f t="shared" si="11"/>
        <v>Convenience Stores|D|Good</v>
      </c>
      <c r="J786" t="s">
        <v>448</v>
      </c>
    </row>
    <row r="787" spans="2:10">
      <c r="B787" t="s">
        <v>446</v>
      </c>
      <c r="C787" t="s">
        <v>447</v>
      </c>
      <c r="D787" t="s">
        <v>244</v>
      </c>
      <c r="E787" t="s">
        <v>280</v>
      </c>
      <c r="F787" t="s">
        <v>214</v>
      </c>
      <c r="G787" t="s">
        <v>44</v>
      </c>
      <c r="H787">
        <v>117</v>
      </c>
      <c r="I787" t="str">
        <f t="shared" si="11"/>
        <v>Convenience Stores|D|Average</v>
      </c>
      <c r="J787" t="s">
        <v>448</v>
      </c>
    </row>
    <row r="788" spans="2:10">
      <c r="B788" t="s">
        <v>446</v>
      </c>
      <c r="C788" t="s">
        <v>447</v>
      </c>
      <c r="D788" t="s">
        <v>244</v>
      </c>
      <c r="E788" t="s">
        <v>280</v>
      </c>
      <c r="F788" t="s">
        <v>214</v>
      </c>
      <c r="G788" t="s">
        <v>226</v>
      </c>
      <c r="H788">
        <v>94</v>
      </c>
      <c r="I788" t="str">
        <f t="shared" si="11"/>
        <v>Convenience Stores|D|Low Cost</v>
      </c>
      <c r="J788" t="s">
        <v>448</v>
      </c>
    </row>
    <row r="789" spans="2:10">
      <c r="B789" t="s">
        <v>446</v>
      </c>
      <c r="C789" t="s">
        <v>447</v>
      </c>
      <c r="D789" t="s">
        <v>244</v>
      </c>
      <c r="E789" t="s">
        <v>280</v>
      </c>
      <c r="F789" t="s">
        <v>313</v>
      </c>
      <c r="G789" t="s">
        <v>226</v>
      </c>
      <c r="H789">
        <v>90.5</v>
      </c>
      <c r="I789" t="str">
        <f t="shared" si="11"/>
        <v>Convenience Stores|DPOLE|Low Cost</v>
      </c>
      <c r="J789" t="s">
        <v>448</v>
      </c>
    </row>
    <row r="790" spans="2:10">
      <c r="B790" t="s">
        <v>446</v>
      </c>
      <c r="C790" t="s">
        <v>447</v>
      </c>
      <c r="D790" t="s">
        <v>244</v>
      </c>
      <c r="E790" t="s">
        <v>280</v>
      </c>
      <c r="F790" t="s">
        <v>219</v>
      </c>
      <c r="G790" t="s">
        <v>231</v>
      </c>
      <c r="H790">
        <v>179</v>
      </c>
      <c r="I790" t="str">
        <f t="shared" si="11"/>
        <v>Convenience Stores|S|Excellent</v>
      </c>
      <c r="J790" t="s">
        <v>448</v>
      </c>
    </row>
    <row r="791" spans="2:10">
      <c r="B791" t="s">
        <v>446</v>
      </c>
      <c r="C791" t="s">
        <v>447</v>
      </c>
      <c r="D791" t="s">
        <v>244</v>
      </c>
      <c r="E791" t="s">
        <v>280</v>
      </c>
      <c r="F791" t="s">
        <v>219</v>
      </c>
      <c r="G791" t="s">
        <v>229</v>
      </c>
      <c r="H791">
        <v>148</v>
      </c>
      <c r="I791" t="str">
        <f t="shared" si="11"/>
        <v>Convenience Stores|S|Good</v>
      </c>
      <c r="J791" t="s">
        <v>448</v>
      </c>
    </row>
    <row r="792" spans="2:10">
      <c r="B792" t="s">
        <v>446</v>
      </c>
      <c r="C792" t="s">
        <v>447</v>
      </c>
      <c r="D792" t="s">
        <v>244</v>
      </c>
      <c r="E792" t="s">
        <v>280</v>
      </c>
      <c r="F792" t="s">
        <v>219</v>
      </c>
      <c r="G792" t="s">
        <v>44</v>
      </c>
      <c r="H792">
        <v>117</v>
      </c>
      <c r="I792" t="str">
        <f t="shared" si="11"/>
        <v>Convenience Stores|S|Average</v>
      </c>
      <c r="J792" t="s">
        <v>448</v>
      </c>
    </row>
    <row r="793" spans="2:10">
      <c r="B793" t="s">
        <v>446</v>
      </c>
      <c r="C793" t="s">
        <v>447</v>
      </c>
      <c r="D793" t="s">
        <v>244</v>
      </c>
      <c r="E793" t="s">
        <v>280</v>
      </c>
      <c r="F793" t="s">
        <v>219</v>
      </c>
      <c r="G793" t="s">
        <v>226</v>
      </c>
      <c r="H793">
        <v>92.5</v>
      </c>
      <c r="I793" t="str">
        <f t="shared" si="11"/>
        <v>Convenience Stores|S|Low Cost</v>
      </c>
      <c r="J793" t="s">
        <v>448</v>
      </c>
    </row>
    <row r="794" spans="2:10">
      <c r="B794" t="s">
        <v>449</v>
      </c>
      <c r="C794" t="s">
        <v>450</v>
      </c>
      <c r="D794" t="s">
        <v>244</v>
      </c>
      <c r="E794" t="s">
        <v>280</v>
      </c>
      <c r="F794" t="s">
        <v>209</v>
      </c>
      <c r="G794" t="s">
        <v>231</v>
      </c>
      <c r="H794">
        <v>286</v>
      </c>
      <c r="I794" t="str">
        <f t="shared" si="11"/>
        <v>Mini-Mart Convenience Stores|C|Excellent</v>
      </c>
      <c r="J794" t="s">
        <v>448</v>
      </c>
    </row>
    <row r="795" spans="2:10">
      <c r="B795" t="s">
        <v>449</v>
      </c>
      <c r="C795" t="s">
        <v>450</v>
      </c>
      <c r="D795" t="s">
        <v>244</v>
      </c>
      <c r="E795" t="s">
        <v>280</v>
      </c>
      <c r="F795" t="s">
        <v>209</v>
      </c>
      <c r="G795" t="s">
        <v>229</v>
      </c>
      <c r="H795">
        <v>244</v>
      </c>
      <c r="I795" t="str">
        <f t="shared" si="11"/>
        <v>Mini-Mart Convenience Stores|C|Good</v>
      </c>
      <c r="J795" t="s">
        <v>448</v>
      </c>
    </row>
    <row r="796" spans="2:10">
      <c r="B796" t="s">
        <v>449</v>
      </c>
      <c r="C796" t="s">
        <v>450</v>
      </c>
      <c r="D796" t="s">
        <v>244</v>
      </c>
      <c r="E796" t="s">
        <v>280</v>
      </c>
      <c r="F796" t="s">
        <v>209</v>
      </c>
      <c r="G796" t="s">
        <v>44</v>
      </c>
      <c r="H796">
        <v>208</v>
      </c>
      <c r="I796" t="str">
        <f t="shared" si="11"/>
        <v>Mini-Mart Convenience Stores|C|Average</v>
      </c>
      <c r="J796" t="s">
        <v>448</v>
      </c>
    </row>
    <row r="797" spans="2:10">
      <c r="B797" t="s">
        <v>449</v>
      </c>
      <c r="C797" t="s">
        <v>450</v>
      </c>
      <c r="D797" t="s">
        <v>244</v>
      </c>
      <c r="E797" t="s">
        <v>280</v>
      </c>
      <c r="F797" t="s">
        <v>209</v>
      </c>
      <c r="G797" t="s">
        <v>226</v>
      </c>
      <c r="H797">
        <v>178</v>
      </c>
      <c r="I797" t="str">
        <f t="shared" si="11"/>
        <v>Mini-Mart Convenience Stores|C|Low Cost</v>
      </c>
      <c r="J797" t="s">
        <v>448</v>
      </c>
    </row>
    <row r="798" spans="2:10">
      <c r="B798" t="s">
        <v>449</v>
      </c>
      <c r="C798" t="s">
        <v>450</v>
      </c>
      <c r="D798" t="s">
        <v>244</v>
      </c>
      <c r="E798" t="s">
        <v>280</v>
      </c>
      <c r="F798" t="s">
        <v>214</v>
      </c>
      <c r="G798" t="s">
        <v>229</v>
      </c>
      <c r="H798">
        <v>234</v>
      </c>
      <c r="I798" t="str">
        <f t="shared" ref="I798:I861" si="12">B798&amp;"|"&amp;F798&amp;"|"&amp;G798</f>
        <v>Mini-Mart Convenience Stores|D|Good</v>
      </c>
      <c r="J798" t="s">
        <v>448</v>
      </c>
    </row>
    <row r="799" spans="2:10">
      <c r="B799" t="s">
        <v>449</v>
      </c>
      <c r="C799" t="s">
        <v>450</v>
      </c>
      <c r="D799" t="s">
        <v>244</v>
      </c>
      <c r="E799" t="s">
        <v>280</v>
      </c>
      <c r="F799" t="s">
        <v>214</v>
      </c>
      <c r="G799" t="s">
        <v>44</v>
      </c>
      <c r="H799">
        <v>199</v>
      </c>
      <c r="I799" t="str">
        <f t="shared" si="12"/>
        <v>Mini-Mart Convenience Stores|D|Average</v>
      </c>
      <c r="J799" t="s">
        <v>448</v>
      </c>
    </row>
    <row r="800" spans="2:10">
      <c r="B800" t="s">
        <v>449</v>
      </c>
      <c r="C800" t="s">
        <v>450</v>
      </c>
      <c r="D800" t="s">
        <v>244</v>
      </c>
      <c r="E800" t="s">
        <v>280</v>
      </c>
      <c r="F800" t="s">
        <v>214</v>
      </c>
      <c r="G800" t="s">
        <v>226</v>
      </c>
      <c r="H800">
        <v>170</v>
      </c>
      <c r="I800" t="str">
        <f t="shared" si="12"/>
        <v>Mini-Mart Convenience Stores|D|Low Cost</v>
      </c>
      <c r="J800" t="s">
        <v>448</v>
      </c>
    </row>
    <row r="801" spans="2:10">
      <c r="B801" t="s">
        <v>449</v>
      </c>
      <c r="C801" t="s">
        <v>450</v>
      </c>
      <c r="D801" t="s">
        <v>244</v>
      </c>
      <c r="E801" t="s">
        <v>280</v>
      </c>
      <c r="F801" t="s">
        <v>313</v>
      </c>
      <c r="G801" t="s">
        <v>226</v>
      </c>
      <c r="H801">
        <v>169</v>
      </c>
      <c r="I801" t="str">
        <f t="shared" si="12"/>
        <v>Mini-Mart Convenience Stores|DPOLE|Low Cost</v>
      </c>
      <c r="J801" t="s">
        <v>448</v>
      </c>
    </row>
    <row r="802" spans="2:10">
      <c r="B802" t="s">
        <v>449</v>
      </c>
      <c r="C802" t="s">
        <v>450</v>
      </c>
      <c r="D802" t="s">
        <v>244</v>
      </c>
      <c r="E802" t="s">
        <v>280</v>
      </c>
      <c r="F802" t="s">
        <v>219</v>
      </c>
      <c r="G802" t="s">
        <v>231</v>
      </c>
      <c r="H802">
        <v>284</v>
      </c>
      <c r="I802" t="str">
        <f t="shared" si="12"/>
        <v>Mini-Mart Convenience Stores|S|Excellent</v>
      </c>
      <c r="J802" t="s">
        <v>448</v>
      </c>
    </row>
    <row r="803" spans="2:10">
      <c r="B803" t="s">
        <v>449</v>
      </c>
      <c r="C803" t="s">
        <v>450</v>
      </c>
      <c r="D803" t="s">
        <v>244</v>
      </c>
      <c r="E803" t="s">
        <v>280</v>
      </c>
      <c r="F803" t="s">
        <v>219</v>
      </c>
      <c r="G803" t="s">
        <v>229</v>
      </c>
      <c r="H803">
        <v>245</v>
      </c>
      <c r="I803" t="str">
        <f t="shared" si="12"/>
        <v>Mini-Mart Convenience Stores|S|Good</v>
      </c>
      <c r="J803" t="s">
        <v>448</v>
      </c>
    </row>
    <row r="804" spans="2:10">
      <c r="B804" t="s">
        <v>449</v>
      </c>
      <c r="C804" t="s">
        <v>450</v>
      </c>
      <c r="D804" t="s">
        <v>244</v>
      </c>
      <c r="E804" t="s">
        <v>280</v>
      </c>
      <c r="F804" t="s">
        <v>219</v>
      </c>
      <c r="G804" t="s">
        <v>44</v>
      </c>
      <c r="H804">
        <v>212</v>
      </c>
      <c r="I804" t="str">
        <f t="shared" si="12"/>
        <v>Mini-Mart Convenience Stores|S|Average</v>
      </c>
      <c r="J804" t="s">
        <v>448</v>
      </c>
    </row>
    <row r="805" spans="2:10">
      <c r="B805" t="s">
        <v>449</v>
      </c>
      <c r="C805" t="s">
        <v>450</v>
      </c>
      <c r="D805" t="s">
        <v>244</v>
      </c>
      <c r="E805" t="s">
        <v>280</v>
      </c>
      <c r="F805" t="s">
        <v>219</v>
      </c>
      <c r="G805" t="s">
        <v>226</v>
      </c>
      <c r="H805">
        <v>183</v>
      </c>
      <c r="I805" t="str">
        <f t="shared" si="12"/>
        <v>Mini-Mart Convenience Stores|S|Low Cost</v>
      </c>
      <c r="J805" t="s">
        <v>448</v>
      </c>
    </row>
    <row r="806" spans="2:10">
      <c r="B806" t="s">
        <v>451</v>
      </c>
      <c r="C806" t="s">
        <v>452</v>
      </c>
      <c r="D806" t="s">
        <v>244</v>
      </c>
      <c r="E806" t="s">
        <v>284</v>
      </c>
      <c r="F806" t="s">
        <v>209</v>
      </c>
      <c r="G806" t="s">
        <v>231</v>
      </c>
      <c r="H806">
        <v>133</v>
      </c>
      <c r="I806" t="str">
        <f t="shared" si="12"/>
        <v>Roadside Markets|C|Excellent</v>
      </c>
      <c r="J806" t="s">
        <v>453</v>
      </c>
    </row>
    <row r="807" spans="2:10">
      <c r="B807" t="s">
        <v>451</v>
      </c>
      <c r="C807" t="s">
        <v>452</v>
      </c>
      <c r="D807" t="s">
        <v>244</v>
      </c>
      <c r="E807" t="s">
        <v>284</v>
      </c>
      <c r="F807" t="s">
        <v>209</v>
      </c>
      <c r="G807" t="s">
        <v>229</v>
      </c>
      <c r="H807">
        <v>83.5</v>
      </c>
      <c r="I807" t="str">
        <f t="shared" si="12"/>
        <v>Roadside Markets|C|Good</v>
      </c>
      <c r="J807" t="s">
        <v>453</v>
      </c>
    </row>
    <row r="808" spans="2:10">
      <c r="B808" t="s">
        <v>451</v>
      </c>
      <c r="C808" t="s">
        <v>452</v>
      </c>
      <c r="D808" t="s">
        <v>244</v>
      </c>
      <c r="E808" t="s">
        <v>284</v>
      </c>
      <c r="F808" t="s">
        <v>209</v>
      </c>
      <c r="G808" t="s">
        <v>44</v>
      </c>
      <c r="H808">
        <v>53.5</v>
      </c>
      <c r="I808" t="str">
        <f t="shared" si="12"/>
        <v>Roadside Markets|C|Average</v>
      </c>
      <c r="J808" t="s">
        <v>453</v>
      </c>
    </row>
    <row r="809" spans="2:10">
      <c r="B809" t="s">
        <v>451</v>
      </c>
      <c r="C809" t="s">
        <v>452</v>
      </c>
      <c r="D809" t="s">
        <v>244</v>
      </c>
      <c r="E809" t="s">
        <v>284</v>
      </c>
      <c r="F809" t="s">
        <v>214</v>
      </c>
      <c r="G809" t="s">
        <v>231</v>
      </c>
      <c r="H809">
        <v>123</v>
      </c>
      <c r="I809" t="str">
        <f t="shared" si="12"/>
        <v>Roadside Markets|D|Excellent</v>
      </c>
      <c r="J809" t="s">
        <v>453</v>
      </c>
    </row>
    <row r="810" spans="2:10">
      <c r="B810" t="s">
        <v>451</v>
      </c>
      <c r="C810" t="s">
        <v>452</v>
      </c>
      <c r="D810" t="s">
        <v>244</v>
      </c>
      <c r="E810" t="s">
        <v>284</v>
      </c>
      <c r="F810" t="s">
        <v>214</v>
      </c>
      <c r="G810" t="s">
        <v>229</v>
      </c>
      <c r="H810">
        <v>75</v>
      </c>
      <c r="I810" t="str">
        <f t="shared" si="12"/>
        <v>Roadside Markets|D|Good</v>
      </c>
      <c r="J810" t="s">
        <v>453</v>
      </c>
    </row>
    <row r="811" spans="2:10">
      <c r="B811" t="s">
        <v>451</v>
      </c>
      <c r="C811" t="s">
        <v>452</v>
      </c>
      <c r="D811" t="s">
        <v>244</v>
      </c>
      <c r="E811" t="s">
        <v>284</v>
      </c>
      <c r="F811" t="s">
        <v>214</v>
      </c>
      <c r="G811" t="s">
        <v>44</v>
      </c>
      <c r="H811">
        <v>46.75</v>
      </c>
      <c r="I811" t="str">
        <f t="shared" si="12"/>
        <v>Roadside Markets|D|Average</v>
      </c>
      <c r="J811" t="s">
        <v>453</v>
      </c>
    </row>
    <row r="812" spans="2:10">
      <c r="B812" t="s">
        <v>451</v>
      </c>
      <c r="C812" t="s">
        <v>452</v>
      </c>
      <c r="D812" t="s">
        <v>244</v>
      </c>
      <c r="E812" t="s">
        <v>284</v>
      </c>
      <c r="F812" t="s">
        <v>214</v>
      </c>
      <c r="G812" t="s">
        <v>226</v>
      </c>
      <c r="H812">
        <v>27.75</v>
      </c>
      <c r="I812" t="str">
        <f t="shared" si="12"/>
        <v>Roadside Markets|D|Low Cost</v>
      </c>
      <c r="J812" t="s">
        <v>453</v>
      </c>
    </row>
    <row r="813" spans="2:10">
      <c r="B813" t="s">
        <v>451</v>
      </c>
      <c r="C813" t="s">
        <v>452</v>
      </c>
      <c r="D813" t="s">
        <v>244</v>
      </c>
      <c r="E813" t="s">
        <v>284</v>
      </c>
      <c r="F813" t="s">
        <v>214</v>
      </c>
      <c r="G813" t="s">
        <v>314</v>
      </c>
      <c r="H813">
        <v>17.2</v>
      </c>
      <c r="I813" t="str">
        <f t="shared" si="12"/>
        <v>Roadside Markets|D|Cheap</v>
      </c>
      <c r="J813" t="s">
        <v>453</v>
      </c>
    </row>
    <row r="814" spans="2:10">
      <c r="B814" t="s">
        <v>451</v>
      </c>
      <c r="C814" t="s">
        <v>452</v>
      </c>
      <c r="D814" t="s">
        <v>244</v>
      </c>
      <c r="E814" t="s">
        <v>284</v>
      </c>
      <c r="F814" t="s">
        <v>313</v>
      </c>
      <c r="G814" t="s">
        <v>231</v>
      </c>
      <c r="H814">
        <v>118</v>
      </c>
      <c r="I814" t="str">
        <f t="shared" si="12"/>
        <v>Roadside Markets|DPOLE|Excellent</v>
      </c>
      <c r="J814" t="s">
        <v>453</v>
      </c>
    </row>
    <row r="815" spans="2:10">
      <c r="B815" t="s">
        <v>451</v>
      </c>
      <c r="C815" t="s">
        <v>452</v>
      </c>
      <c r="D815" t="s">
        <v>244</v>
      </c>
      <c r="E815" t="s">
        <v>284</v>
      </c>
      <c r="F815" t="s">
        <v>313</v>
      </c>
      <c r="G815" t="s">
        <v>229</v>
      </c>
      <c r="H815">
        <v>70</v>
      </c>
      <c r="I815" t="str">
        <f t="shared" si="12"/>
        <v>Roadside Markets|DPOLE|Good</v>
      </c>
      <c r="J815" t="s">
        <v>453</v>
      </c>
    </row>
    <row r="816" spans="2:10">
      <c r="B816" t="s">
        <v>451</v>
      </c>
      <c r="C816" t="s">
        <v>452</v>
      </c>
      <c r="D816" t="s">
        <v>244</v>
      </c>
      <c r="E816" t="s">
        <v>284</v>
      </c>
      <c r="F816" t="s">
        <v>313</v>
      </c>
      <c r="G816" t="s">
        <v>44</v>
      </c>
      <c r="H816">
        <v>42.5</v>
      </c>
      <c r="I816" t="str">
        <f t="shared" si="12"/>
        <v>Roadside Markets|DPOLE|Average</v>
      </c>
      <c r="J816" t="s">
        <v>453</v>
      </c>
    </row>
    <row r="817" spans="2:10">
      <c r="B817" t="s">
        <v>451</v>
      </c>
      <c r="C817" t="s">
        <v>452</v>
      </c>
      <c r="D817" t="s">
        <v>244</v>
      </c>
      <c r="E817" t="s">
        <v>284</v>
      </c>
      <c r="F817" t="s">
        <v>313</v>
      </c>
      <c r="G817" t="s">
        <v>226</v>
      </c>
      <c r="H817">
        <v>24.5</v>
      </c>
      <c r="I817" t="str">
        <f t="shared" si="12"/>
        <v>Roadside Markets|DPOLE|Low Cost</v>
      </c>
      <c r="J817" t="s">
        <v>453</v>
      </c>
    </row>
    <row r="818" spans="2:10">
      <c r="B818" t="s">
        <v>451</v>
      </c>
      <c r="C818" t="s">
        <v>452</v>
      </c>
      <c r="D818" t="s">
        <v>244</v>
      </c>
      <c r="E818" t="s">
        <v>284</v>
      </c>
      <c r="F818" t="s">
        <v>313</v>
      </c>
      <c r="G818" t="s">
        <v>314</v>
      </c>
      <c r="H818">
        <v>14.9</v>
      </c>
      <c r="I818" t="str">
        <f t="shared" si="12"/>
        <v>Roadside Markets|DPOLE|Cheap</v>
      </c>
      <c r="J818" t="s">
        <v>453</v>
      </c>
    </row>
    <row r="819" spans="2:10">
      <c r="B819" t="s">
        <v>451</v>
      </c>
      <c r="C819" t="s">
        <v>452</v>
      </c>
      <c r="D819" t="s">
        <v>244</v>
      </c>
      <c r="E819" t="s">
        <v>284</v>
      </c>
      <c r="F819" t="s">
        <v>219</v>
      </c>
      <c r="G819" t="s">
        <v>231</v>
      </c>
      <c r="H819">
        <v>121</v>
      </c>
      <c r="I819" t="str">
        <f t="shared" si="12"/>
        <v>Roadside Markets|S|Excellent</v>
      </c>
      <c r="J819" t="s">
        <v>453</v>
      </c>
    </row>
    <row r="820" spans="2:10">
      <c r="B820" t="s">
        <v>451</v>
      </c>
      <c r="C820" t="s">
        <v>452</v>
      </c>
      <c r="D820" t="s">
        <v>244</v>
      </c>
      <c r="E820" t="s">
        <v>284</v>
      </c>
      <c r="F820" t="s">
        <v>219</v>
      </c>
      <c r="G820" t="s">
        <v>229</v>
      </c>
      <c r="H820">
        <v>74</v>
      </c>
      <c r="I820" t="str">
        <f t="shared" si="12"/>
        <v>Roadside Markets|S|Good</v>
      </c>
      <c r="J820" t="s">
        <v>453</v>
      </c>
    </row>
    <row r="821" spans="2:10">
      <c r="B821" t="s">
        <v>451</v>
      </c>
      <c r="C821" t="s">
        <v>452</v>
      </c>
      <c r="D821" t="s">
        <v>244</v>
      </c>
      <c r="E821" t="s">
        <v>284</v>
      </c>
      <c r="F821" t="s">
        <v>219</v>
      </c>
      <c r="G821" t="s">
        <v>44</v>
      </c>
      <c r="H821">
        <v>46</v>
      </c>
      <c r="I821" t="str">
        <f t="shared" si="12"/>
        <v>Roadside Markets|S|Average</v>
      </c>
      <c r="J821" t="s">
        <v>453</v>
      </c>
    </row>
    <row r="822" spans="2:10">
      <c r="B822" t="s">
        <v>451</v>
      </c>
      <c r="C822" t="s">
        <v>452</v>
      </c>
      <c r="D822" t="s">
        <v>244</v>
      </c>
      <c r="E822" t="s">
        <v>284</v>
      </c>
      <c r="F822" t="s">
        <v>219</v>
      </c>
      <c r="G822" t="s">
        <v>226</v>
      </c>
      <c r="H822">
        <v>27.25</v>
      </c>
      <c r="I822" t="str">
        <f t="shared" si="12"/>
        <v>Roadside Markets|S|Low Cost</v>
      </c>
      <c r="J822" t="s">
        <v>453</v>
      </c>
    </row>
    <row r="823" spans="2:10">
      <c r="B823" t="s">
        <v>454</v>
      </c>
      <c r="C823" t="s">
        <v>455</v>
      </c>
      <c r="D823" t="s">
        <v>244</v>
      </c>
      <c r="E823" t="s">
        <v>286</v>
      </c>
      <c r="F823" t="s">
        <v>270</v>
      </c>
      <c r="G823" t="s">
        <v>229</v>
      </c>
      <c r="H823">
        <v>448</v>
      </c>
      <c r="I823" t="str">
        <f t="shared" si="12"/>
        <v>Luxury Boutiques|A-B|Good</v>
      </c>
      <c r="J823" t="s">
        <v>456</v>
      </c>
    </row>
    <row r="824" spans="2:10">
      <c r="B824" t="s">
        <v>454</v>
      </c>
      <c r="C824" t="s">
        <v>455</v>
      </c>
      <c r="D824" t="s">
        <v>244</v>
      </c>
      <c r="E824" t="s">
        <v>286</v>
      </c>
      <c r="F824" t="s">
        <v>270</v>
      </c>
      <c r="G824" t="s">
        <v>44</v>
      </c>
      <c r="H824">
        <v>354</v>
      </c>
      <c r="I824" t="str">
        <f t="shared" si="12"/>
        <v>Luxury Boutiques|A-B|Average</v>
      </c>
      <c r="J824" t="s">
        <v>456</v>
      </c>
    </row>
    <row r="825" spans="2:10">
      <c r="B825" t="s">
        <v>454</v>
      </c>
      <c r="C825" t="s">
        <v>455</v>
      </c>
      <c r="D825" t="s">
        <v>244</v>
      </c>
      <c r="E825" t="s">
        <v>286</v>
      </c>
      <c r="F825" t="s">
        <v>209</v>
      </c>
      <c r="G825" t="s">
        <v>229</v>
      </c>
      <c r="H825">
        <v>386</v>
      </c>
      <c r="I825" t="str">
        <f t="shared" si="12"/>
        <v>Luxury Boutiques|C|Good</v>
      </c>
      <c r="J825" t="s">
        <v>456</v>
      </c>
    </row>
    <row r="826" spans="2:10">
      <c r="B826" t="s">
        <v>454</v>
      </c>
      <c r="C826" t="s">
        <v>455</v>
      </c>
      <c r="D826" t="s">
        <v>244</v>
      </c>
      <c r="E826" t="s">
        <v>286</v>
      </c>
      <c r="F826" t="s">
        <v>209</v>
      </c>
      <c r="G826" t="s">
        <v>44</v>
      </c>
      <c r="H826">
        <v>303</v>
      </c>
      <c r="I826" t="str">
        <f t="shared" si="12"/>
        <v>Luxury Boutiques|C|Average</v>
      </c>
      <c r="J826" t="s">
        <v>456</v>
      </c>
    </row>
    <row r="827" spans="2:10">
      <c r="B827" t="s">
        <v>454</v>
      </c>
      <c r="C827" t="s">
        <v>455</v>
      </c>
      <c r="D827" t="s">
        <v>244</v>
      </c>
      <c r="E827" t="s">
        <v>286</v>
      </c>
      <c r="F827" t="s">
        <v>209</v>
      </c>
      <c r="G827" t="s">
        <v>226</v>
      </c>
      <c r="H827">
        <v>237</v>
      </c>
      <c r="I827" t="str">
        <f t="shared" si="12"/>
        <v>Luxury Boutiques|C|Low Cost</v>
      </c>
      <c r="J827" t="s">
        <v>456</v>
      </c>
    </row>
    <row r="828" spans="2:10">
      <c r="B828" t="s">
        <v>454</v>
      </c>
      <c r="C828" t="s">
        <v>455</v>
      </c>
      <c r="D828" t="s">
        <v>244</v>
      </c>
      <c r="E828" t="s">
        <v>286</v>
      </c>
      <c r="F828" t="s">
        <v>214</v>
      </c>
      <c r="G828" t="s">
        <v>229</v>
      </c>
      <c r="H828">
        <v>370</v>
      </c>
      <c r="I828" t="str">
        <f t="shared" si="12"/>
        <v>Luxury Boutiques|D|Good</v>
      </c>
      <c r="J828" t="s">
        <v>456</v>
      </c>
    </row>
    <row r="829" spans="2:10">
      <c r="B829" t="s">
        <v>454</v>
      </c>
      <c r="C829" t="s">
        <v>455</v>
      </c>
      <c r="D829" t="s">
        <v>244</v>
      </c>
      <c r="E829" t="s">
        <v>286</v>
      </c>
      <c r="F829" t="s">
        <v>214</v>
      </c>
      <c r="G829" t="s">
        <v>44</v>
      </c>
      <c r="H829">
        <v>290</v>
      </c>
      <c r="I829" t="str">
        <f t="shared" si="12"/>
        <v>Luxury Boutiques|D|Average</v>
      </c>
      <c r="J829" t="s">
        <v>456</v>
      </c>
    </row>
    <row r="830" spans="2:10">
      <c r="B830" t="s">
        <v>454</v>
      </c>
      <c r="C830" t="s">
        <v>455</v>
      </c>
      <c r="D830" t="s">
        <v>244</v>
      </c>
      <c r="E830" t="s">
        <v>286</v>
      </c>
      <c r="F830" t="s">
        <v>214</v>
      </c>
      <c r="G830" t="s">
        <v>226</v>
      </c>
      <c r="H830">
        <v>225</v>
      </c>
      <c r="I830" t="str">
        <f t="shared" si="12"/>
        <v>Luxury Boutiques|D|Low Cost</v>
      </c>
      <c r="J830" t="s">
        <v>456</v>
      </c>
    </row>
    <row r="831" spans="2:10">
      <c r="B831" t="s">
        <v>457</v>
      </c>
      <c r="C831" t="s">
        <v>458</v>
      </c>
      <c r="D831" t="s">
        <v>244</v>
      </c>
      <c r="E831" t="s">
        <v>286</v>
      </c>
      <c r="F831" t="s">
        <v>209</v>
      </c>
      <c r="G831" t="s">
        <v>231</v>
      </c>
      <c r="H831">
        <v>447</v>
      </c>
      <c r="I831" t="str">
        <f t="shared" si="12"/>
        <v>Winery (Tasting – Display) Shops|C|Excellent</v>
      </c>
      <c r="J831" t="s">
        <v>456</v>
      </c>
    </row>
    <row r="832" spans="2:10">
      <c r="B832" t="s">
        <v>457</v>
      </c>
      <c r="C832" t="s">
        <v>458</v>
      </c>
      <c r="D832" t="s">
        <v>244</v>
      </c>
      <c r="E832" t="s">
        <v>286</v>
      </c>
      <c r="F832" t="s">
        <v>209</v>
      </c>
      <c r="G832" t="s">
        <v>229</v>
      </c>
      <c r="H832">
        <v>264</v>
      </c>
      <c r="I832" t="str">
        <f t="shared" si="12"/>
        <v>Winery (Tasting – Display) Shops|C|Good</v>
      </c>
      <c r="J832" t="s">
        <v>456</v>
      </c>
    </row>
    <row r="833" spans="2:10">
      <c r="B833" t="s">
        <v>457</v>
      </c>
      <c r="C833" t="s">
        <v>458</v>
      </c>
      <c r="D833" t="s">
        <v>244</v>
      </c>
      <c r="E833" t="s">
        <v>286</v>
      </c>
      <c r="F833" t="s">
        <v>209</v>
      </c>
      <c r="G833" t="s">
        <v>44</v>
      </c>
      <c r="H833">
        <v>158</v>
      </c>
      <c r="I833" t="str">
        <f t="shared" si="12"/>
        <v>Winery (Tasting – Display) Shops|C|Average</v>
      </c>
      <c r="J833" t="s">
        <v>456</v>
      </c>
    </row>
    <row r="834" spans="2:10">
      <c r="B834" t="s">
        <v>457</v>
      </c>
      <c r="C834" t="s">
        <v>458</v>
      </c>
      <c r="D834" t="s">
        <v>244</v>
      </c>
      <c r="E834" t="s">
        <v>286</v>
      </c>
      <c r="F834" t="s">
        <v>209</v>
      </c>
      <c r="G834" t="s">
        <v>226</v>
      </c>
      <c r="H834">
        <v>97</v>
      </c>
      <c r="I834" t="str">
        <f t="shared" si="12"/>
        <v>Winery (Tasting – Display) Shops|C|Low Cost</v>
      </c>
      <c r="J834" t="s">
        <v>456</v>
      </c>
    </row>
    <row r="835" spans="2:10">
      <c r="B835" t="s">
        <v>457</v>
      </c>
      <c r="C835" t="s">
        <v>458</v>
      </c>
      <c r="D835" t="s">
        <v>244</v>
      </c>
      <c r="E835" t="s">
        <v>286</v>
      </c>
      <c r="F835" t="s">
        <v>214</v>
      </c>
      <c r="G835" t="s">
        <v>231</v>
      </c>
      <c r="H835">
        <v>430</v>
      </c>
      <c r="I835" t="str">
        <f t="shared" si="12"/>
        <v>Winery (Tasting – Display) Shops|D|Excellent</v>
      </c>
      <c r="J835" t="s">
        <v>456</v>
      </c>
    </row>
    <row r="836" spans="2:10">
      <c r="B836" t="s">
        <v>457</v>
      </c>
      <c r="C836" t="s">
        <v>458</v>
      </c>
      <c r="D836" t="s">
        <v>244</v>
      </c>
      <c r="E836" t="s">
        <v>286</v>
      </c>
      <c r="F836" t="s">
        <v>214</v>
      </c>
      <c r="G836" t="s">
        <v>229</v>
      </c>
      <c r="H836">
        <v>249</v>
      </c>
      <c r="I836" t="str">
        <f t="shared" si="12"/>
        <v>Winery (Tasting – Display) Shops|D|Good</v>
      </c>
      <c r="J836" t="s">
        <v>456</v>
      </c>
    </row>
    <row r="837" spans="2:10">
      <c r="B837" t="s">
        <v>457</v>
      </c>
      <c r="C837" t="s">
        <v>458</v>
      </c>
      <c r="D837" t="s">
        <v>244</v>
      </c>
      <c r="E837" t="s">
        <v>286</v>
      </c>
      <c r="F837" t="s">
        <v>214</v>
      </c>
      <c r="G837" t="s">
        <v>44</v>
      </c>
      <c r="H837">
        <v>148</v>
      </c>
      <c r="I837" t="str">
        <f t="shared" si="12"/>
        <v>Winery (Tasting – Display) Shops|D|Average</v>
      </c>
      <c r="J837" t="s">
        <v>456</v>
      </c>
    </row>
    <row r="838" spans="2:10">
      <c r="B838" t="s">
        <v>457</v>
      </c>
      <c r="C838" t="s">
        <v>458</v>
      </c>
      <c r="D838" t="s">
        <v>244</v>
      </c>
      <c r="E838" t="s">
        <v>286</v>
      </c>
      <c r="F838" t="s">
        <v>214</v>
      </c>
      <c r="G838" t="s">
        <v>226</v>
      </c>
      <c r="H838">
        <v>89</v>
      </c>
      <c r="I838" t="str">
        <f t="shared" si="12"/>
        <v>Winery (Tasting – Display) Shops|D|Low Cost</v>
      </c>
      <c r="J838" t="s">
        <v>456</v>
      </c>
    </row>
    <row r="839" spans="2:10">
      <c r="B839" t="s">
        <v>457</v>
      </c>
      <c r="C839" t="s">
        <v>458</v>
      </c>
      <c r="D839" t="s">
        <v>244</v>
      </c>
      <c r="E839" t="s">
        <v>286</v>
      </c>
      <c r="F839" t="s">
        <v>313</v>
      </c>
      <c r="G839" t="s">
        <v>226</v>
      </c>
      <c r="H839">
        <v>84.5</v>
      </c>
      <c r="I839" t="str">
        <f t="shared" si="12"/>
        <v>Winery (Tasting – Display) Shops|DPOLE|Low Cost</v>
      </c>
      <c r="J839" t="s">
        <v>456</v>
      </c>
    </row>
    <row r="840" spans="2:10">
      <c r="B840" t="s">
        <v>457</v>
      </c>
      <c r="C840" t="s">
        <v>458</v>
      </c>
      <c r="D840" t="s">
        <v>244</v>
      </c>
      <c r="E840" t="s">
        <v>286</v>
      </c>
      <c r="F840" t="s">
        <v>219</v>
      </c>
      <c r="G840" t="s">
        <v>44</v>
      </c>
      <c r="H840">
        <v>145</v>
      </c>
      <c r="I840" t="str">
        <f t="shared" si="12"/>
        <v>Winery (Tasting – Display) Shops|S|Average</v>
      </c>
      <c r="J840" t="s">
        <v>456</v>
      </c>
    </row>
    <row r="841" spans="2:10">
      <c r="B841" t="s">
        <v>457</v>
      </c>
      <c r="C841" t="s">
        <v>458</v>
      </c>
      <c r="D841" t="s">
        <v>244</v>
      </c>
      <c r="E841" t="s">
        <v>286</v>
      </c>
      <c r="F841" t="s">
        <v>219</v>
      </c>
      <c r="G841" t="s">
        <v>226</v>
      </c>
      <c r="H841">
        <v>87.5</v>
      </c>
      <c r="I841" t="str">
        <f t="shared" si="12"/>
        <v>Winery (Tasting – Display) Shops|S|Low Cost</v>
      </c>
      <c r="J841" t="s">
        <v>456</v>
      </c>
    </row>
    <row r="842" spans="2:10">
      <c r="B842" t="s">
        <v>459</v>
      </c>
      <c r="C842" t="s">
        <v>460</v>
      </c>
      <c r="D842" t="s">
        <v>244</v>
      </c>
      <c r="E842" t="s">
        <v>290</v>
      </c>
      <c r="F842" t="s">
        <v>270</v>
      </c>
      <c r="G842" t="s">
        <v>44</v>
      </c>
      <c r="H842">
        <v>149</v>
      </c>
      <c r="I842" t="str">
        <f t="shared" si="12"/>
        <v>Barber Shops/Beauty Salons|A-B|Average</v>
      </c>
      <c r="J842" t="s">
        <v>461</v>
      </c>
    </row>
    <row r="843" spans="2:10">
      <c r="B843" t="s">
        <v>459</v>
      </c>
      <c r="C843" t="s">
        <v>460</v>
      </c>
      <c r="D843" t="s">
        <v>244</v>
      </c>
      <c r="E843" t="s">
        <v>290</v>
      </c>
      <c r="F843" t="s">
        <v>209</v>
      </c>
      <c r="G843" t="s">
        <v>229</v>
      </c>
      <c r="H843">
        <v>147</v>
      </c>
      <c r="I843" t="str">
        <f t="shared" si="12"/>
        <v>Barber Shops/Beauty Salons|C|Good</v>
      </c>
      <c r="J843" t="s">
        <v>461</v>
      </c>
    </row>
    <row r="844" spans="2:10">
      <c r="B844" t="s">
        <v>459</v>
      </c>
      <c r="C844" t="s">
        <v>460</v>
      </c>
      <c r="D844" t="s">
        <v>244</v>
      </c>
      <c r="E844" t="s">
        <v>290</v>
      </c>
      <c r="F844" t="s">
        <v>209</v>
      </c>
      <c r="G844" t="s">
        <v>44</v>
      </c>
      <c r="H844">
        <v>106</v>
      </c>
      <c r="I844" t="str">
        <f t="shared" si="12"/>
        <v>Barber Shops/Beauty Salons|C|Average</v>
      </c>
      <c r="J844" t="s">
        <v>461</v>
      </c>
    </row>
    <row r="845" spans="2:10">
      <c r="B845" t="s">
        <v>459</v>
      </c>
      <c r="C845" t="s">
        <v>460</v>
      </c>
      <c r="D845" t="s">
        <v>244</v>
      </c>
      <c r="E845" t="s">
        <v>290</v>
      </c>
      <c r="F845" t="s">
        <v>214</v>
      </c>
      <c r="G845" t="s">
        <v>229</v>
      </c>
      <c r="H845">
        <v>136</v>
      </c>
      <c r="I845" t="str">
        <f t="shared" si="12"/>
        <v>Barber Shops/Beauty Salons|D|Good</v>
      </c>
      <c r="J845" t="s">
        <v>461</v>
      </c>
    </row>
    <row r="846" spans="2:10">
      <c r="B846" t="s">
        <v>459</v>
      </c>
      <c r="C846" t="s">
        <v>460</v>
      </c>
      <c r="D846" t="s">
        <v>244</v>
      </c>
      <c r="E846" t="s">
        <v>290</v>
      </c>
      <c r="F846" t="s">
        <v>214</v>
      </c>
      <c r="G846" t="s">
        <v>44</v>
      </c>
      <c r="H846">
        <v>98</v>
      </c>
      <c r="I846" t="str">
        <f t="shared" si="12"/>
        <v>Barber Shops/Beauty Salons|D|Average</v>
      </c>
      <c r="J846" t="s">
        <v>461</v>
      </c>
    </row>
    <row r="847" spans="2:10">
      <c r="B847" t="s">
        <v>459</v>
      </c>
      <c r="C847" t="s">
        <v>460</v>
      </c>
      <c r="D847" t="s">
        <v>244</v>
      </c>
      <c r="E847" t="s">
        <v>290</v>
      </c>
      <c r="F847" t="s">
        <v>219</v>
      </c>
      <c r="G847" t="s">
        <v>229</v>
      </c>
      <c r="H847">
        <v>135</v>
      </c>
      <c r="I847" t="str">
        <f t="shared" si="12"/>
        <v>Barber Shops/Beauty Salons|S|Good</v>
      </c>
      <c r="J847" t="s">
        <v>461</v>
      </c>
    </row>
    <row r="848" spans="2:10">
      <c r="B848" t="s">
        <v>459</v>
      </c>
      <c r="C848" t="s">
        <v>460</v>
      </c>
      <c r="D848" t="s">
        <v>244</v>
      </c>
      <c r="E848" t="s">
        <v>290</v>
      </c>
      <c r="F848" t="s">
        <v>219</v>
      </c>
      <c r="G848" t="s">
        <v>44</v>
      </c>
      <c r="H848">
        <v>96.5</v>
      </c>
      <c r="I848" t="str">
        <f t="shared" si="12"/>
        <v>Barber Shops/Beauty Salons|S|Average</v>
      </c>
      <c r="J848" t="s">
        <v>461</v>
      </c>
    </row>
    <row r="849" spans="2:10">
      <c r="B849" t="s">
        <v>462</v>
      </c>
      <c r="C849" t="s">
        <v>463</v>
      </c>
      <c r="D849" t="s">
        <v>244</v>
      </c>
      <c r="E849" t="s">
        <v>290</v>
      </c>
      <c r="F849" t="s">
        <v>209</v>
      </c>
      <c r="G849" t="s">
        <v>44</v>
      </c>
      <c r="H849">
        <v>119</v>
      </c>
      <c r="I849" t="str">
        <f t="shared" si="12"/>
        <v>Laundromats|C|Average</v>
      </c>
      <c r="J849" t="s">
        <v>461</v>
      </c>
    </row>
    <row r="850" spans="2:10">
      <c r="B850" t="s">
        <v>462</v>
      </c>
      <c r="C850" t="s">
        <v>463</v>
      </c>
      <c r="D850" t="s">
        <v>244</v>
      </c>
      <c r="E850" t="s">
        <v>290</v>
      </c>
      <c r="F850" t="s">
        <v>214</v>
      </c>
      <c r="G850" t="s">
        <v>44</v>
      </c>
      <c r="H850">
        <v>109</v>
      </c>
      <c r="I850" t="str">
        <f t="shared" si="12"/>
        <v>Laundromats|D|Average</v>
      </c>
      <c r="J850" t="s">
        <v>461</v>
      </c>
    </row>
    <row r="851" spans="2:10">
      <c r="B851" t="s">
        <v>462</v>
      </c>
      <c r="C851" t="s">
        <v>463</v>
      </c>
      <c r="D851" t="s">
        <v>244</v>
      </c>
      <c r="E851" t="s">
        <v>290</v>
      </c>
      <c r="F851" t="s">
        <v>313</v>
      </c>
      <c r="G851" t="s">
        <v>44</v>
      </c>
      <c r="H851">
        <v>103</v>
      </c>
      <c r="I851" t="str">
        <f t="shared" si="12"/>
        <v>Laundromats|DPOLE|Average</v>
      </c>
      <c r="J851" t="s">
        <v>461</v>
      </c>
    </row>
    <row r="852" spans="2:10">
      <c r="B852" t="s">
        <v>462</v>
      </c>
      <c r="C852" t="s">
        <v>463</v>
      </c>
      <c r="D852" t="s">
        <v>244</v>
      </c>
      <c r="E852" t="s">
        <v>290</v>
      </c>
      <c r="F852" t="s">
        <v>219</v>
      </c>
      <c r="G852" t="s">
        <v>44</v>
      </c>
      <c r="H852">
        <v>106</v>
      </c>
      <c r="I852" t="str">
        <f t="shared" si="12"/>
        <v>Laundromats|S|Average</v>
      </c>
      <c r="J852" t="s">
        <v>461</v>
      </c>
    </row>
    <row r="853" spans="2:10">
      <c r="B853" t="s">
        <v>464</v>
      </c>
      <c r="C853" t="s">
        <v>465</v>
      </c>
      <c r="D853" t="s">
        <v>244</v>
      </c>
      <c r="E853" t="s">
        <v>290</v>
      </c>
      <c r="F853" t="s">
        <v>209</v>
      </c>
      <c r="G853" t="s">
        <v>229</v>
      </c>
      <c r="H853">
        <v>152</v>
      </c>
      <c r="I853" t="str">
        <f t="shared" si="12"/>
        <v>Laundry/Dry Cleaning|C|Good</v>
      </c>
      <c r="J853" t="s">
        <v>461</v>
      </c>
    </row>
    <row r="854" spans="2:10">
      <c r="B854" t="s">
        <v>464</v>
      </c>
      <c r="C854" t="s">
        <v>465</v>
      </c>
      <c r="D854" t="s">
        <v>244</v>
      </c>
      <c r="E854" t="s">
        <v>290</v>
      </c>
      <c r="F854" t="s">
        <v>209</v>
      </c>
      <c r="G854" t="s">
        <v>44</v>
      </c>
      <c r="H854">
        <v>115</v>
      </c>
      <c r="I854" t="str">
        <f t="shared" si="12"/>
        <v>Laundry/Dry Cleaning|C|Average</v>
      </c>
      <c r="J854" t="s">
        <v>461</v>
      </c>
    </row>
    <row r="855" spans="2:10">
      <c r="B855" t="s">
        <v>464</v>
      </c>
      <c r="C855" t="s">
        <v>465</v>
      </c>
      <c r="D855" t="s">
        <v>244</v>
      </c>
      <c r="E855" t="s">
        <v>290</v>
      </c>
      <c r="F855" t="s">
        <v>214</v>
      </c>
      <c r="G855" t="s">
        <v>229</v>
      </c>
      <c r="H855">
        <v>142</v>
      </c>
      <c r="I855" t="str">
        <f t="shared" si="12"/>
        <v>Laundry/Dry Cleaning|D|Good</v>
      </c>
      <c r="J855" t="s">
        <v>461</v>
      </c>
    </row>
    <row r="856" spans="2:10">
      <c r="B856" t="s">
        <v>464</v>
      </c>
      <c r="C856" t="s">
        <v>465</v>
      </c>
      <c r="D856" t="s">
        <v>244</v>
      </c>
      <c r="E856" t="s">
        <v>290</v>
      </c>
      <c r="F856" t="s">
        <v>214</v>
      </c>
      <c r="G856" t="s">
        <v>44</v>
      </c>
      <c r="H856">
        <v>106</v>
      </c>
      <c r="I856" t="str">
        <f t="shared" si="12"/>
        <v>Laundry/Dry Cleaning|D|Average</v>
      </c>
      <c r="J856" t="s">
        <v>461</v>
      </c>
    </row>
    <row r="857" spans="2:10">
      <c r="B857" t="s">
        <v>464</v>
      </c>
      <c r="C857" t="s">
        <v>465</v>
      </c>
      <c r="D857" t="s">
        <v>244</v>
      </c>
      <c r="E857" t="s">
        <v>290</v>
      </c>
      <c r="F857" t="s">
        <v>219</v>
      </c>
      <c r="G857" t="s">
        <v>44</v>
      </c>
      <c r="H857">
        <v>103</v>
      </c>
      <c r="I857" t="str">
        <f t="shared" si="12"/>
        <v>Laundry/Dry Cleaning|S|Average</v>
      </c>
      <c r="J857" t="s">
        <v>461</v>
      </c>
    </row>
    <row r="858" spans="2:10">
      <c r="B858" t="s">
        <v>466</v>
      </c>
      <c r="C858" t="s">
        <v>467</v>
      </c>
      <c r="D858" t="s">
        <v>244</v>
      </c>
      <c r="E858" t="s">
        <v>290</v>
      </c>
      <c r="F858" t="s">
        <v>209</v>
      </c>
      <c r="G858" t="s">
        <v>44</v>
      </c>
      <c r="H858">
        <v>132</v>
      </c>
      <c r="I858" t="str">
        <f t="shared" si="12"/>
        <v>Dairy Sales|C|Average</v>
      </c>
      <c r="J858" t="s">
        <v>461</v>
      </c>
    </row>
    <row r="859" spans="2:10">
      <c r="B859" t="s">
        <v>466</v>
      </c>
      <c r="C859" t="s">
        <v>467</v>
      </c>
      <c r="D859" t="s">
        <v>244</v>
      </c>
      <c r="E859" t="s">
        <v>290</v>
      </c>
      <c r="F859" t="s">
        <v>214</v>
      </c>
      <c r="G859" t="s">
        <v>44</v>
      </c>
      <c r="H859">
        <v>123</v>
      </c>
      <c r="I859" t="str">
        <f t="shared" si="12"/>
        <v>Dairy Sales|D|Average</v>
      </c>
      <c r="J859" t="s">
        <v>461</v>
      </c>
    </row>
    <row r="860" spans="2:10">
      <c r="B860" t="s">
        <v>466</v>
      </c>
      <c r="C860" t="s">
        <v>467</v>
      </c>
      <c r="D860" t="s">
        <v>244</v>
      </c>
      <c r="E860" t="s">
        <v>290</v>
      </c>
      <c r="F860" t="s">
        <v>219</v>
      </c>
      <c r="G860" t="s">
        <v>44</v>
      </c>
      <c r="H860">
        <v>121</v>
      </c>
      <c r="I860" t="str">
        <f t="shared" si="12"/>
        <v>Dairy Sales|S|Average</v>
      </c>
      <c r="J860" t="s">
        <v>461</v>
      </c>
    </row>
    <row r="861" spans="2:10">
      <c r="B861" t="s">
        <v>468</v>
      </c>
      <c r="C861" t="s">
        <v>469</v>
      </c>
      <c r="D861" t="s">
        <v>244</v>
      </c>
      <c r="E861" t="s">
        <v>294</v>
      </c>
      <c r="F861" t="s">
        <v>202</v>
      </c>
      <c r="G861" t="s">
        <v>231</v>
      </c>
      <c r="H861">
        <v>273</v>
      </c>
      <c r="I861" t="str">
        <f t="shared" si="12"/>
        <v>Retail Stores|A|Excellent</v>
      </c>
      <c r="J861" t="s">
        <v>470</v>
      </c>
    </row>
    <row r="862" spans="2:10">
      <c r="B862" t="s">
        <v>468</v>
      </c>
      <c r="C862" t="s">
        <v>469</v>
      </c>
      <c r="D862" t="s">
        <v>244</v>
      </c>
      <c r="E862" t="s">
        <v>294</v>
      </c>
      <c r="F862" t="s">
        <v>202</v>
      </c>
      <c r="G862" t="s">
        <v>229</v>
      </c>
      <c r="H862">
        <v>205</v>
      </c>
      <c r="I862" t="str">
        <f t="shared" ref="I862:I925" si="13">B862&amp;"|"&amp;F862&amp;"|"&amp;G862</f>
        <v>Retail Stores|A|Good</v>
      </c>
      <c r="J862" t="s">
        <v>470</v>
      </c>
    </row>
    <row r="863" spans="2:10">
      <c r="B863" t="s">
        <v>468</v>
      </c>
      <c r="C863" t="s">
        <v>469</v>
      </c>
      <c r="D863" t="s">
        <v>244</v>
      </c>
      <c r="E863" t="s">
        <v>294</v>
      </c>
      <c r="F863" t="s">
        <v>202</v>
      </c>
      <c r="G863" t="s">
        <v>44</v>
      </c>
      <c r="H863">
        <v>161</v>
      </c>
      <c r="I863" t="str">
        <f t="shared" si="13"/>
        <v>Retail Stores|A|Average</v>
      </c>
      <c r="J863" t="s">
        <v>470</v>
      </c>
    </row>
    <row r="864" spans="2:10">
      <c r="B864" t="s">
        <v>468</v>
      </c>
      <c r="C864" t="s">
        <v>469</v>
      </c>
      <c r="D864" t="s">
        <v>244</v>
      </c>
      <c r="E864" t="s">
        <v>294</v>
      </c>
      <c r="F864" t="s">
        <v>202</v>
      </c>
      <c r="G864" t="s">
        <v>226</v>
      </c>
      <c r="H864">
        <v>123</v>
      </c>
      <c r="I864" t="str">
        <f t="shared" si="13"/>
        <v>Retail Stores|A|Low Cost</v>
      </c>
      <c r="J864" t="s">
        <v>470</v>
      </c>
    </row>
    <row r="865" spans="2:10">
      <c r="B865" t="s">
        <v>468</v>
      </c>
      <c r="C865" t="s">
        <v>469</v>
      </c>
      <c r="D865" t="s">
        <v>244</v>
      </c>
      <c r="E865" t="s">
        <v>294</v>
      </c>
      <c r="F865" t="s">
        <v>207</v>
      </c>
      <c r="G865" t="s">
        <v>231</v>
      </c>
      <c r="H865">
        <v>248</v>
      </c>
      <c r="I865" t="str">
        <f t="shared" si="13"/>
        <v>Retail Stores|B|Excellent</v>
      </c>
      <c r="J865" t="s">
        <v>470</v>
      </c>
    </row>
    <row r="866" spans="2:10">
      <c r="B866" t="s">
        <v>468</v>
      </c>
      <c r="C866" t="s">
        <v>469</v>
      </c>
      <c r="D866" t="s">
        <v>244</v>
      </c>
      <c r="E866" t="s">
        <v>294</v>
      </c>
      <c r="F866" t="s">
        <v>207</v>
      </c>
      <c r="G866" t="s">
        <v>229</v>
      </c>
      <c r="H866">
        <v>185</v>
      </c>
      <c r="I866" t="str">
        <f t="shared" si="13"/>
        <v>Retail Stores|B|Good</v>
      </c>
      <c r="J866" t="s">
        <v>470</v>
      </c>
    </row>
    <row r="867" spans="2:10">
      <c r="B867" t="s">
        <v>468</v>
      </c>
      <c r="C867" t="s">
        <v>469</v>
      </c>
      <c r="D867" t="s">
        <v>244</v>
      </c>
      <c r="E867" t="s">
        <v>294</v>
      </c>
      <c r="F867" t="s">
        <v>207</v>
      </c>
      <c r="G867" t="s">
        <v>44</v>
      </c>
      <c r="H867">
        <v>145</v>
      </c>
      <c r="I867" t="str">
        <f t="shared" si="13"/>
        <v>Retail Stores|B|Average</v>
      </c>
      <c r="J867" t="s">
        <v>470</v>
      </c>
    </row>
    <row r="868" spans="2:10">
      <c r="B868" t="s">
        <v>468</v>
      </c>
      <c r="C868" t="s">
        <v>469</v>
      </c>
      <c r="D868" t="s">
        <v>244</v>
      </c>
      <c r="E868" t="s">
        <v>294</v>
      </c>
      <c r="F868" t="s">
        <v>207</v>
      </c>
      <c r="G868" t="s">
        <v>226</v>
      </c>
      <c r="H868">
        <v>110</v>
      </c>
      <c r="I868" t="str">
        <f t="shared" si="13"/>
        <v>Retail Stores|B|Low Cost</v>
      </c>
      <c r="J868" t="s">
        <v>470</v>
      </c>
    </row>
    <row r="869" spans="2:10">
      <c r="B869" t="s">
        <v>468</v>
      </c>
      <c r="C869" t="s">
        <v>469</v>
      </c>
      <c r="D869" t="s">
        <v>244</v>
      </c>
      <c r="E869" t="s">
        <v>294</v>
      </c>
      <c r="F869" t="s">
        <v>209</v>
      </c>
      <c r="G869" t="s">
        <v>231</v>
      </c>
      <c r="H869">
        <v>208</v>
      </c>
      <c r="I869" t="str">
        <f t="shared" si="13"/>
        <v>Retail Stores|C|Excellent</v>
      </c>
      <c r="J869" t="s">
        <v>470</v>
      </c>
    </row>
    <row r="870" spans="2:10">
      <c r="B870" t="s">
        <v>468</v>
      </c>
      <c r="C870" t="s">
        <v>469</v>
      </c>
      <c r="D870" t="s">
        <v>244</v>
      </c>
      <c r="E870" t="s">
        <v>294</v>
      </c>
      <c r="F870" t="s">
        <v>209</v>
      </c>
      <c r="G870" t="s">
        <v>229</v>
      </c>
      <c r="H870">
        <v>154</v>
      </c>
      <c r="I870" t="str">
        <f t="shared" si="13"/>
        <v>Retail Stores|C|Good</v>
      </c>
      <c r="J870" t="s">
        <v>470</v>
      </c>
    </row>
    <row r="871" spans="2:10">
      <c r="B871" t="s">
        <v>468</v>
      </c>
      <c r="C871" t="s">
        <v>469</v>
      </c>
      <c r="D871" t="s">
        <v>244</v>
      </c>
      <c r="E871" t="s">
        <v>294</v>
      </c>
      <c r="F871" t="s">
        <v>209</v>
      </c>
      <c r="G871" t="s">
        <v>44</v>
      </c>
      <c r="H871">
        <v>117</v>
      </c>
      <c r="I871" t="str">
        <f t="shared" si="13"/>
        <v>Retail Stores|C|Average</v>
      </c>
      <c r="J871" t="s">
        <v>470</v>
      </c>
    </row>
    <row r="872" spans="2:10">
      <c r="B872" t="s">
        <v>468</v>
      </c>
      <c r="C872" t="s">
        <v>469</v>
      </c>
      <c r="D872" t="s">
        <v>244</v>
      </c>
      <c r="E872" t="s">
        <v>294</v>
      </c>
      <c r="F872" t="s">
        <v>209</v>
      </c>
      <c r="G872" t="s">
        <v>226</v>
      </c>
      <c r="H872">
        <v>84</v>
      </c>
      <c r="I872" t="str">
        <f t="shared" si="13"/>
        <v>Retail Stores|C|Low Cost</v>
      </c>
      <c r="J872" t="s">
        <v>470</v>
      </c>
    </row>
    <row r="873" spans="2:10">
      <c r="B873" t="s">
        <v>468</v>
      </c>
      <c r="C873" t="s">
        <v>469</v>
      </c>
      <c r="D873" t="s">
        <v>244</v>
      </c>
      <c r="E873" t="s">
        <v>294</v>
      </c>
      <c r="F873" t="s">
        <v>214</v>
      </c>
      <c r="G873" t="s">
        <v>231</v>
      </c>
      <c r="H873">
        <v>198</v>
      </c>
      <c r="I873" t="str">
        <f t="shared" si="13"/>
        <v>Retail Stores|D|Excellent</v>
      </c>
      <c r="J873" t="s">
        <v>470</v>
      </c>
    </row>
    <row r="874" spans="2:10">
      <c r="B874" t="s">
        <v>468</v>
      </c>
      <c r="C874" t="s">
        <v>469</v>
      </c>
      <c r="D874" t="s">
        <v>244</v>
      </c>
      <c r="E874" t="s">
        <v>294</v>
      </c>
      <c r="F874" t="s">
        <v>214</v>
      </c>
      <c r="G874" t="s">
        <v>229</v>
      </c>
      <c r="H874">
        <v>145</v>
      </c>
      <c r="I874" t="str">
        <f t="shared" si="13"/>
        <v>Retail Stores|D|Good</v>
      </c>
      <c r="J874" t="s">
        <v>470</v>
      </c>
    </row>
    <row r="875" spans="2:10">
      <c r="B875" t="s">
        <v>468</v>
      </c>
      <c r="C875" t="s">
        <v>469</v>
      </c>
      <c r="D875" t="s">
        <v>244</v>
      </c>
      <c r="E875" t="s">
        <v>294</v>
      </c>
      <c r="F875" t="s">
        <v>214</v>
      </c>
      <c r="G875" t="s">
        <v>44</v>
      </c>
      <c r="H875">
        <v>110</v>
      </c>
      <c r="I875" t="str">
        <f t="shared" si="13"/>
        <v>Retail Stores|D|Average</v>
      </c>
      <c r="J875" t="s">
        <v>470</v>
      </c>
    </row>
    <row r="876" spans="2:10">
      <c r="B876" t="s">
        <v>468</v>
      </c>
      <c r="C876" t="s">
        <v>469</v>
      </c>
      <c r="D876" t="s">
        <v>244</v>
      </c>
      <c r="E876" t="s">
        <v>294</v>
      </c>
      <c r="F876" t="s">
        <v>214</v>
      </c>
      <c r="G876" t="s">
        <v>226</v>
      </c>
      <c r="H876">
        <v>78.5</v>
      </c>
      <c r="I876" t="str">
        <f t="shared" si="13"/>
        <v>Retail Stores|D|Low Cost</v>
      </c>
      <c r="J876" t="s">
        <v>470</v>
      </c>
    </row>
    <row r="877" spans="2:10">
      <c r="B877" t="s">
        <v>468</v>
      </c>
      <c r="C877" t="s">
        <v>469</v>
      </c>
      <c r="D877" t="s">
        <v>244</v>
      </c>
      <c r="E877" t="s">
        <v>294</v>
      </c>
      <c r="F877" t="s">
        <v>313</v>
      </c>
      <c r="G877" t="s">
        <v>226</v>
      </c>
      <c r="H877">
        <v>73</v>
      </c>
      <c r="I877" t="str">
        <f t="shared" si="13"/>
        <v>Retail Stores|DPOLE|Low Cost</v>
      </c>
      <c r="J877" t="s">
        <v>470</v>
      </c>
    </row>
    <row r="878" spans="2:10">
      <c r="B878" t="s">
        <v>468</v>
      </c>
      <c r="C878" t="s">
        <v>469</v>
      </c>
      <c r="D878" t="s">
        <v>244</v>
      </c>
      <c r="E878" t="s">
        <v>294</v>
      </c>
      <c r="F878" t="s">
        <v>219</v>
      </c>
      <c r="G878" t="s">
        <v>229</v>
      </c>
      <c r="H878">
        <v>146</v>
      </c>
      <c r="I878" t="str">
        <f t="shared" si="13"/>
        <v>Retail Stores|S|Good</v>
      </c>
      <c r="J878" t="s">
        <v>470</v>
      </c>
    </row>
    <row r="879" spans="2:10">
      <c r="B879" t="s">
        <v>468</v>
      </c>
      <c r="C879" t="s">
        <v>469</v>
      </c>
      <c r="D879" t="s">
        <v>244</v>
      </c>
      <c r="E879" t="s">
        <v>294</v>
      </c>
      <c r="F879" t="s">
        <v>219</v>
      </c>
      <c r="G879" t="s">
        <v>44</v>
      </c>
      <c r="H879">
        <v>108</v>
      </c>
      <c r="I879" t="str">
        <f t="shared" si="13"/>
        <v>Retail Stores|S|Average</v>
      </c>
      <c r="J879" t="s">
        <v>470</v>
      </c>
    </row>
    <row r="880" spans="2:10">
      <c r="B880" t="s">
        <v>468</v>
      </c>
      <c r="C880" t="s">
        <v>469</v>
      </c>
      <c r="D880" t="s">
        <v>244</v>
      </c>
      <c r="E880" t="s">
        <v>294</v>
      </c>
      <c r="F880" t="s">
        <v>219</v>
      </c>
      <c r="G880" t="s">
        <v>226</v>
      </c>
      <c r="H880">
        <v>76</v>
      </c>
      <c r="I880" t="str">
        <f t="shared" si="13"/>
        <v>Retail Stores|S|Low Cost</v>
      </c>
      <c r="J880" t="s">
        <v>470</v>
      </c>
    </row>
    <row r="881" spans="2:10">
      <c r="B881" t="s">
        <v>471</v>
      </c>
      <c r="C881" t="s">
        <v>472</v>
      </c>
      <c r="D881" t="s">
        <v>244</v>
      </c>
      <c r="E881" t="s">
        <v>296</v>
      </c>
      <c r="F881" t="s">
        <v>202</v>
      </c>
      <c r="G881" t="s">
        <v>231</v>
      </c>
      <c r="H881">
        <v>317</v>
      </c>
      <c r="I881" t="str">
        <f t="shared" si="13"/>
        <v>Department Stores|A|Excellent</v>
      </c>
      <c r="J881" t="s">
        <v>473</v>
      </c>
    </row>
    <row r="882" spans="2:10">
      <c r="B882" t="s">
        <v>471</v>
      </c>
      <c r="C882" t="s">
        <v>472</v>
      </c>
      <c r="D882" t="s">
        <v>244</v>
      </c>
      <c r="E882" t="s">
        <v>296</v>
      </c>
      <c r="F882" t="s">
        <v>202</v>
      </c>
      <c r="G882" t="s">
        <v>229</v>
      </c>
      <c r="H882">
        <v>256</v>
      </c>
      <c r="I882" t="str">
        <f t="shared" si="13"/>
        <v>Department Stores|A|Good</v>
      </c>
      <c r="J882" t="s">
        <v>473</v>
      </c>
    </row>
    <row r="883" spans="2:10">
      <c r="B883" t="s">
        <v>471</v>
      </c>
      <c r="C883" t="s">
        <v>472</v>
      </c>
      <c r="D883" t="s">
        <v>244</v>
      </c>
      <c r="E883" t="s">
        <v>296</v>
      </c>
      <c r="F883" t="s">
        <v>202</v>
      </c>
      <c r="G883" t="s">
        <v>44</v>
      </c>
      <c r="H883">
        <v>198</v>
      </c>
      <c r="I883" t="str">
        <f t="shared" si="13"/>
        <v>Department Stores|A|Average</v>
      </c>
      <c r="J883" t="s">
        <v>473</v>
      </c>
    </row>
    <row r="884" spans="2:10">
      <c r="B884" t="s">
        <v>471</v>
      </c>
      <c r="C884" t="s">
        <v>472</v>
      </c>
      <c r="D884" t="s">
        <v>244</v>
      </c>
      <c r="E884" t="s">
        <v>296</v>
      </c>
      <c r="F884" t="s">
        <v>207</v>
      </c>
      <c r="G884" t="s">
        <v>231</v>
      </c>
      <c r="H884">
        <v>289</v>
      </c>
      <c r="I884" t="str">
        <f t="shared" si="13"/>
        <v>Department Stores|B|Excellent</v>
      </c>
      <c r="J884" t="s">
        <v>473</v>
      </c>
    </row>
    <row r="885" spans="2:10">
      <c r="B885" t="s">
        <v>471</v>
      </c>
      <c r="C885" t="s">
        <v>472</v>
      </c>
      <c r="D885" t="s">
        <v>244</v>
      </c>
      <c r="E885" t="s">
        <v>296</v>
      </c>
      <c r="F885" t="s">
        <v>207</v>
      </c>
      <c r="G885" t="s">
        <v>229</v>
      </c>
      <c r="H885">
        <v>233</v>
      </c>
      <c r="I885" t="str">
        <f t="shared" si="13"/>
        <v>Department Stores|B|Good</v>
      </c>
      <c r="J885" t="s">
        <v>473</v>
      </c>
    </row>
    <row r="886" spans="2:10">
      <c r="B886" t="s">
        <v>471</v>
      </c>
      <c r="C886" t="s">
        <v>472</v>
      </c>
      <c r="D886" t="s">
        <v>244</v>
      </c>
      <c r="E886" t="s">
        <v>296</v>
      </c>
      <c r="F886" t="s">
        <v>207</v>
      </c>
      <c r="G886" t="s">
        <v>44</v>
      </c>
      <c r="H886">
        <v>180</v>
      </c>
      <c r="I886" t="str">
        <f t="shared" si="13"/>
        <v>Department Stores|B|Average</v>
      </c>
      <c r="J886" t="s">
        <v>473</v>
      </c>
    </row>
    <row r="887" spans="2:10">
      <c r="B887" t="s">
        <v>471</v>
      </c>
      <c r="C887" t="s">
        <v>472</v>
      </c>
      <c r="D887" t="s">
        <v>244</v>
      </c>
      <c r="E887" t="s">
        <v>296</v>
      </c>
      <c r="F887" t="s">
        <v>209</v>
      </c>
      <c r="G887" t="s">
        <v>231</v>
      </c>
      <c r="H887">
        <v>254</v>
      </c>
      <c r="I887" t="str">
        <f t="shared" si="13"/>
        <v>Department Stores|C|Excellent</v>
      </c>
      <c r="J887" t="s">
        <v>473</v>
      </c>
    </row>
    <row r="888" spans="2:10">
      <c r="B888" t="s">
        <v>471</v>
      </c>
      <c r="C888" t="s">
        <v>472</v>
      </c>
      <c r="D888" t="s">
        <v>244</v>
      </c>
      <c r="E888" t="s">
        <v>296</v>
      </c>
      <c r="F888" t="s">
        <v>209</v>
      </c>
      <c r="G888" t="s">
        <v>229</v>
      </c>
      <c r="H888">
        <v>193</v>
      </c>
      <c r="I888" t="str">
        <f t="shared" si="13"/>
        <v>Department Stores|C|Good</v>
      </c>
      <c r="J888" t="s">
        <v>473</v>
      </c>
    </row>
    <row r="889" spans="2:10">
      <c r="B889" t="s">
        <v>471</v>
      </c>
      <c r="C889" t="s">
        <v>472</v>
      </c>
      <c r="D889" t="s">
        <v>244</v>
      </c>
      <c r="E889" t="s">
        <v>296</v>
      </c>
      <c r="F889" t="s">
        <v>209</v>
      </c>
      <c r="G889" t="s">
        <v>44</v>
      </c>
      <c r="H889">
        <v>154</v>
      </c>
      <c r="I889" t="str">
        <f t="shared" si="13"/>
        <v>Department Stores|C|Average</v>
      </c>
      <c r="J889" t="s">
        <v>473</v>
      </c>
    </row>
    <row r="890" spans="2:10">
      <c r="B890" t="s">
        <v>474</v>
      </c>
      <c r="C890" t="s">
        <v>475</v>
      </c>
      <c r="D890" t="s">
        <v>244</v>
      </c>
      <c r="E890" t="s">
        <v>296</v>
      </c>
      <c r="F890" t="s">
        <v>270</v>
      </c>
      <c r="G890" t="s">
        <v>229</v>
      </c>
      <c r="H890">
        <v>190</v>
      </c>
      <c r="I890" t="str">
        <f t="shared" si="13"/>
        <v>Mall Anchor (Department/Big Box) Stores|A-B|Good</v>
      </c>
      <c r="J890" t="s">
        <v>473</v>
      </c>
    </row>
    <row r="891" spans="2:10">
      <c r="B891" t="s">
        <v>474</v>
      </c>
      <c r="C891" t="s">
        <v>475</v>
      </c>
      <c r="D891" t="s">
        <v>244</v>
      </c>
      <c r="E891" t="s">
        <v>296</v>
      </c>
      <c r="F891" t="s">
        <v>270</v>
      </c>
      <c r="G891" t="s">
        <v>44</v>
      </c>
      <c r="H891">
        <v>154</v>
      </c>
      <c r="I891" t="str">
        <f t="shared" si="13"/>
        <v>Mall Anchor (Department/Big Box) Stores|A-B|Average</v>
      </c>
      <c r="J891" t="s">
        <v>473</v>
      </c>
    </row>
    <row r="892" spans="2:10">
      <c r="B892" t="s">
        <v>474</v>
      </c>
      <c r="C892" t="s">
        <v>475</v>
      </c>
      <c r="D892" t="s">
        <v>244</v>
      </c>
      <c r="E892" t="s">
        <v>296</v>
      </c>
      <c r="F892" t="s">
        <v>270</v>
      </c>
      <c r="G892" t="s">
        <v>226</v>
      </c>
      <c r="H892">
        <v>122</v>
      </c>
      <c r="I892" t="str">
        <f t="shared" si="13"/>
        <v>Mall Anchor (Department/Big Box) Stores|A-B|Low Cost</v>
      </c>
      <c r="J892" t="s">
        <v>473</v>
      </c>
    </row>
    <row r="893" spans="2:10">
      <c r="B893" t="s">
        <v>474</v>
      </c>
      <c r="C893" t="s">
        <v>475</v>
      </c>
      <c r="D893" t="s">
        <v>244</v>
      </c>
      <c r="E893" t="s">
        <v>296</v>
      </c>
      <c r="F893" t="s">
        <v>209</v>
      </c>
      <c r="G893" t="s">
        <v>229</v>
      </c>
      <c r="H893">
        <v>155</v>
      </c>
      <c r="I893" t="str">
        <f t="shared" si="13"/>
        <v>Mall Anchor (Department/Big Box) Stores|C|Good</v>
      </c>
      <c r="J893" t="s">
        <v>473</v>
      </c>
    </row>
    <row r="894" spans="2:10">
      <c r="B894" t="s">
        <v>474</v>
      </c>
      <c r="C894" t="s">
        <v>475</v>
      </c>
      <c r="D894" t="s">
        <v>244</v>
      </c>
      <c r="E894" t="s">
        <v>296</v>
      </c>
      <c r="F894" t="s">
        <v>209</v>
      </c>
      <c r="G894" t="s">
        <v>44</v>
      </c>
      <c r="H894">
        <v>124</v>
      </c>
      <c r="I894" t="str">
        <f t="shared" si="13"/>
        <v>Mall Anchor (Department/Big Box) Stores|C|Average</v>
      </c>
      <c r="J894" t="s">
        <v>473</v>
      </c>
    </row>
    <row r="895" spans="2:10">
      <c r="B895" t="s">
        <v>474</v>
      </c>
      <c r="C895" t="s">
        <v>475</v>
      </c>
      <c r="D895" t="s">
        <v>244</v>
      </c>
      <c r="E895" t="s">
        <v>296</v>
      </c>
      <c r="F895" t="s">
        <v>209</v>
      </c>
      <c r="G895" t="s">
        <v>226</v>
      </c>
      <c r="H895">
        <v>96.5</v>
      </c>
      <c r="I895" t="str">
        <f t="shared" si="13"/>
        <v>Mall Anchor (Department/Big Box) Stores|C|Low Cost</v>
      </c>
      <c r="J895" t="s">
        <v>473</v>
      </c>
    </row>
    <row r="896" spans="2:10">
      <c r="B896" t="s">
        <v>474</v>
      </c>
      <c r="C896" t="s">
        <v>475</v>
      </c>
      <c r="D896" t="s">
        <v>244</v>
      </c>
      <c r="E896" t="s">
        <v>296</v>
      </c>
      <c r="F896" t="s">
        <v>214</v>
      </c>
      <c r="G896" t="s">
        <v>229</v>
      </c>
      <c r="H896">
        <v>146</v>
      </c>
      <c r="I896" t="str">
        <f t="shared" si="13"/>
        <v>Mall Anchor (Department/Big Box) Stores|D|Good</v>
      </c>
      <c r="J896" t="s">
        <v>473</v>
      </c>
    </row>
    <row r="897" spans="2:10">
      <c r="B897" t="s">
        <v>474</v>
      </c>
      <c r="C897" t="s">
        <v>475</v>
      </c>
      <c r="D897" t="s">
        <v>244</v>
      </c>
      <c r="E897" t="s">
        <v>296</v>
      </c>
      <c r="F897" t="s">
        <v>214</v>
      </c>
      <c r="G897" t="s">
        <v>44</v>
      </c>
      <c r="H897">
        <v>117</v>
      </c>
      <c r="I897" t="str">
        <f t="shared" si="13"/>
        <v>Mall Anchor (Department/Big Box) Stores|D|Average</v>
      </c>
      <c r="J897" t="s">
        <v>473</v>
      </c>
    </row>
    <row r="898" spans="2:10">
      <c r="B898" t="s">
        <v>474</v>
      </c>
      <c r="C898" t="s">
        <v>475</v>
      </c>
      <c r="D898" t="s">
        <v>244</v>
      </c>
      <c r="E898" t="s">
        <v>296</v>
      </c>
      <c r="F898" t="s">
        <v>214</v>
      </c>
      <c r="G898" t="s">
        <v>226</v>
      </c>
      <c r="H898">
        <v>89.5</v>
      </c>
      <c r="I898" t="str">
        <f t="shared" si="13"/>
        <v>Mall Anchor (Department/Big Box) Stores|D|Low Cost</v>
      </c>
      <c r="J898" t="s">
        <v>473</v>
      </c>
    </row>
    <row r="899" spans="2:10">
      <c r="B899" t="s">
        <v>474</v>
      </c>
      <c r="C899" t="s">
        <v>475</v>
      </c>
      <c r="D899" t="s">
        <v>244</v>
      </c>
      <c r="E899" t="s">
        <v>296</v>
      </c>
      <c r="F899" t="s">
        <v>219</v>
      </c>
      <c r="G899" t="s">
        <v>226</v>
      </c>
      <c r="H899">
        <v>88</v>
      </c>
      <c r="I899" t="str">
        <f t="shared" si="13"/>
        <v>Mall Anchor (Department/Big Box) Stores|S|Low Cost</v>
      </c>
      <c r="J899" t="s">
        <v>473</v>
      </c>
    </row>
    <row r="900" spans="2:10">
      <c r="B900" t="s">
        <v>476</v>
      </c>
      <c r="C900" t="s">
        <v>477</v>
      </c>
      <c r="D900" t="s">
        <v>244</v>
      </c>
      <c r="E900" t="s">
        <v>300</v>
      </c>
      <c r="F900" t="s">
        <v>270</v>
      </c>
      <c r="G900" t="s">
        <v>44</v>
      </c>
      <c r="H900">
        <v>121</v>
      </c>
      <c r="I900" t="str">
        <f t="shared" si="13"/>
        <v>Discount Stores|A-B|Average</v>
      </c>
      <c r="J900" t="s">
        <v>478</v>
      </c>
    </row>
    <row r="901" spans="2:10">
      <c r="B901" t="s">
        <v>476</v>
      </c>
      <c r="C901" t="s">
        <v>477</v>
      </c>
      <c r="D901" t="s">
        <v>244</v>
      </c>
      <c r="E901" t="s">
        <v>300</v>
      </c>
      <c r="F901" t="s">
        <v>209</v>
      </c>
      <c r="G901" t="s">
        <v>229</v>
      </c>
      <c r="H901">
        <v>118</v>
      </c>
      <c r="I901" t="str">
        <f t="shared" si="13"/>
        <v>Discount Stores|C|Good</v>
      </c>
      <c r="J901" t="s">
        <v>478</v>
      </c>
    </row>
    <row r="902" spans="2:10">
      <c r="B902" t="s">
        <v>476</v>
      </c>
      <c r="C902" t="s">
        <v>477</v>
      </c>
      <c r="D902" t="s">
        <v>244</v>
      </c>
      <c r="E902" t="s">
        <v>300</v>
      </c>
      <c r="F902" t="s">
        <v>209</v>
      </c>
      <c r="G902" t="s">
        <v>44</v>
      </c>
      <c r="H902">
        <v>94</v>
      </c>
      <c r="I902" t="str">
        <f t="shared" si="13"/>
        <v>Discount Stores|C|Average</v>
      </c>
      <c r="J902" t="s">
        <v>478</v>
      </c>
    </row>
    <row r="903" spans="2:10">
      <c r="B903" t="s">
        <v>476</v>
      </c>
      <c r="C903" t="s">
        <v>477</v>
      </c>
      <c r="D903" t="s">
        <v>244</v>
      </c>
      <c r="E903" t="s">
        <v>300</v>
      </c>
      <c r="F903" t="s">
        <v>209</v>
      </c>
      <c r="G903" t="s">
        <v>226</v>
      </c>
      <c r="H903">
        <v>72</v>
      </c>
      <c r="I903" t="str">
        <f t="shared" si="13"/>
        <v>Discount Stores|C|Low Cost</v>
      </c>
      <c r="J903" t="s">
        <v>478</v>
      </c>
    </row>
    <row r="904" spans="2:10">
      <c r="B904" t="s">
        <v>476</v>
      </c>
      <c r="C904" t="s">
        <v>477</v>
      </c>
      <c r="D904" t="s">
        <v>244</v>
      </c>
      <c r="E904" t="s">
        <v>300</v>
      </c>
      <c r="F904" t="s">
        <v>214</v>
      </c>
      <c r="G904" t="s">
        <v>229</v>
      </c>
      <c r="H904">
        <v>111</v>
      </c>
      <c r="I904" t="str">
        <f t="shared" si="13"/>
        <v>Discount Stores|D|Good</v>
      </c>
      <c r="J904" t="s">
        <v>478</v>
      </c>
    </row>
    <row r="905" spans="2:10">
      <c r="B905" t="s">
        <v>476</v>
      </c>
      <c r="C905" t="s">
        <v>477</v>
      </c>
      <c r="D905" t="s">
        <v>244</v>
      </c>
      <c r="E905" t="s">
        <v>300</v>
      </c>
      <c r="F905" t="s">
        <v>214</v>
      </c>
      <c r="G905" t="s">
        <v>44</v>
      </c>
      <c r="H905">
        <v>87</v>
      </c>
      <c r="I905" t="str">
        <f t="shared" si="13"/>
        <v>Discount Stores|D|Average</v>
      </c>
      <c r="J905" t="s">
        <v>478</v>
      </c>
    </row>
    <row r="906" spans="2:10">
      <c r="B906" t="s">
        <v>476</v>
      </c>
      <c r="C906" t="s">
        <v>477</v>
      </c>
      <c r="D906" t="s">
        <v>244</v>
      </c>
      <c r="E906" t="s">
        <v>300</v>
      </c>
      <c r="F906" t="s">
        <v>214</v>
      </c>
      <c r="G906" t="s">
        <v>226</v>
      </c>
      <c r="H906">
        <v>65.5</v>
      </c>
      <c r="I906" t="str">
        <f t="shared" si="13"/>
        <v>Discount Stores|D|Low Cost</v>
      </c>
      <c r="J906" t="s">
        <v>478</v>
      </c>
    </row>
    <row r="907" spans="2:10">
      <c r="B907" t="s">
        <v>476</v>
      </c>
      <c r="C907" t="s">
        <v>477</v>
      </c>
      <c r="D907" t="s">
        <v>244</v>
      </c>
      <c r="E907" t="s">
        <v>300</v>
      </c>
      <c r="F907" t="s">
        <v>313</v>
      </c>
      <c r="G907" t="s">
        <v>226</v>
      </c>
      <c r="H907">
        <v>59</v>
      </c>
      <c r="I907" t="str">
        <f t="shared" si="13"/>
        <v>Discount Stores|DPOLE|Low Cost</v>
      </c>
      <c r="J907" t="s">
        <v>478</v>
      </c>
    </row>
    <row r="908" spans="2:10">
      <c r="B908" t="s">
        <v>476</v>
      </c>
      <c r="C908" t="s">
        <v>477</v>
      </c>
      <c r="D908" t="s">
        <v>244</v>
      </c>
      <c r="E908" t="s">
        <v>300</v>
      </c>
      <c r="F908" t="s">
        <v>219</v>
      </c>
      <c r="G908" t="s">
        <v>229</v>
      </c>
      <c r="H908">
        <v>111</v>
      </c>
      <c r="I908" t="str">
        <f t="shared" si="13"/>
        <v>Discount Stores|S|Good</v>
      </c>
      <c r="J908" t="s">
        <v>478</v>
      </c>
    </row>
    <row r="909" spans="2:10">
      <c r="B909" t="s">
        <v>476</v>
      </c>
      <c r="C909" t="s">
        <v>477</v>
      </c>
      <c r="D909" t="s">
        <v>244</v>
      </c>
      <c r="E909" t="s">
        <v>300</v>
      </c>
      <c r="F909" t="s">
        <v>219</v>
      </c>
      <c r="G909" t="s">
        <v>44</v>
      </c>
      <c r="H909">
        <v>85</v>
      </c>
      <c r="I909" t="str">
        <f t="shared" si="13"/>
        <v>Discount Stores|S|Average</v>
      </c>
      <c r="J909" t="s">
        <v>478</v>
      </c>
    </row>
    <row r="910" spans="2:10">
      <c r="B910" t="s">
        <v>476</v>
      </c>
      <c r="C910" t="s">
        <v>477</v>
      </c>
      <c r="D910" t="s">
        <v>244</v>
      </c>
      <c r="E910" t="s">
        <v>300</v>
      </c>
      <c r="F910" t="s">
        <v>219</v>
      </c>
      <c r="G910" t="s">
        <v>226</v>
      </c>
      <c r="H910">
        <v>63</v>
      </c>
      <c r="I910" t="str">
        <f t="shared" si="13"/>
        <v>Discount Stores|S|Low Cost</v>
      </c>
      <c r="J910" t="s">
        <v>478</v>
      </c>
    </row>
    <row r="911" spans="2:10">
      <c r="B911" t="s">
        <v>479</v>
      </c>
      <c r="C911" t="s">
        <v>480</v>
      </c>
      <c r="D911" t="s">
        <v>244</v>
      </c>
      <c r="E911" t="s">
        <v>300</v>
      </c>
      <c r="F911" t="s">
        <v>209</v>
      </c>
      <c r="G911" t="s">
        <v>229</v>
      </c>
      <c r="H911">
        <v>96</v>
      </c>
      <c r="I911" t="str">
        <f t="shared" si="13"/>
        <v>Warehouse Discount Stores|C|Good</v>
      </c>
      <c r="J911" t="s">
        <v>478</v>
      </c>
    </row>
    <row r="912" spans="2:10">
      <c r="B912" t="s">
        <v>479</v>
      </c>
      <c r="C912" t="s">
        <v>480</v>
      </c>
      <c r="D912" t="s">
        <v>244</v>
      </c>
      <c r="E912" t="s">
        <v>300</v>
      </c>
      <c r="F912" t="s">
        <v>209</v>
      </c>
      <c r="G912" t="s">
        <v>44</v>
      </c>
      <c r="H912">
        <v>73</v>
      </c>
      <c r="I912" t="str">
        <f t="shared" si="13"/>
        <v>Warehouse Discount Stores|C|Average</v>
      </c>
      <c r="J912" t="s">
        <v>478</v>
      </c>
    </row>
    <row r="913" spans="2:10">
      <c r="B913" t="s">
        <v>479</v>
      </c>
      <c r="C913" t="s">
        <v>480</v>
      </c>
      <c r="D913" t="s">
        <v>244</v>
      </c>
      <c r="E913" t="s">
        <v>300</v>
      </c>
      <c r="F913" t="s">
        <v>209</v>
      </c>
      <c r="G913" t="s">
        <v>226</v>
      </c>
      <c r="H913">
        <v>55.5</v>
      </c>
      <c r="I913" t="str">
        <f t="shared" si="13"/>
        <v>Warehouse Discount Stores|C|Low Cost</v>
      </c>
      <c r="J913" t="s">
        <v>478</v>
      </c>
    </row>
    <row r="914" spans="2:10">
      <c r="B914" t="s">
        <v>479</v>
      </c>
      <c r="C914" t="s">
        <v>480</v>
      </c>
      <c r="D914" t="s">
        <v>244</v>
      </c>
      <c r="E914" t="s">
        <v>300</v>
      </c>
      <c r="F914" t="s">
        <v>214</v>
      </c>
      <c r="G914" t="s">
        <v>229</v>
      </c>
      <c r="H914">
        <v>88</v>
      </c>
      <c r="I914" t="str">
        <f t="shared" si="13"/>
        <v>Warehouse Discount Stores|D|Good</v>
      </c>
      <c r="J914" t="s">
        <v>478</v>
      </c>
    </row>
    <row r="915" spans="2:10">
      <c r="B915" t="s">
        <v>479</v>
      </c>
      <c r="C915" t="s">
        <v>480</v>
      </c>
      <c r="D915" t="s">
        <v>244</v>
      </c>
      <c r="E915" t="s">
        <v>300</v>
      </c>
      <c r="F915" t="s">
        <v>214</v>
      </c>
      <c r="G915" t="s">
        <v>44</v>
      </c>
      <c r="H915">
        <v>66</v>
      </c>
      <c r="I915" t="str">
        <f t="shared" si="13"/>
        <v>Warehouse Discount Stores|D|Average</v>
      </c>
      <c r="J915" t="s">
        <v>478</v>
      </c>
    </row>
    <row r="916" spans="2:10">
      <c r="B916" t="s">
        <v>479</v>
      </c>
      <c r="C916" t="s">
        <v>480</v>
      </c>
      <c r="D916" t="s">
        <v>244</v>
      </c>
      <c r="E916" t="s">
        <v>300</v>
      </c>
      <c r="F916" t="s">
        <v>214</v>
      </c>
      <c r="G916" t="s">
        <v>226</v>
      </c>
      <c r="H916">
        <v>49.5</v>
      </c>
      <c r="I916" t="str">
        <f t="shared" si="13"/>
        <v>Warehouse Discount Stores|D|Low Cost</v>
      </c>
      <c r="J916" t="s">
        <v>478</v>
      </c>
    </row>
    <row r="917" spans="2:10">
      <c r="B917" t="s">
        <v>479</v>
      </c>
      <c r="C917" t="s">
        <v>480</v>
      </c>
      <c r="D917" t="s">
        <v>244</v>
      </c>
      <c r="E917" t="s">
        <v>300</v>
      </c>
      <c r="F917" t="s">
        <v>313</v>
      </c>
      <c r="G917" t="s">
        <v>226</v>
      </c>
      <c r="H917">
        <v>47.75</v>
      </c>
      <c r="I917" t="str">
        <f t="shared" si="13"/>
        <v>Warehouse Discount Stores|DPOLE|Low Cost</v>
      </c>
      <c r="J917" t="s">
        <v>478</v>
      </c>
    </row>
    <row r="918" spans="2:10">
      <c r="B918" t="s">
        <v>479</v>
      </c>
      <c r="C918" t="s">
        <v>480</v>
      </c>
      <c r="D918" t="s">
        <v>244</v>
      </c>
      <c r="E918" t="s">
        <v>300</v>
      </c>
      <c r="F918" t="s">
        <v>219</v>
      </c>
      <c r="G918" t="s">
        <v>229</v>
      </c>
      <c r="H918">
        <v>86</v>
      </c>
      <c r="I918" t="str">
        <f t="shared" si="13"/>
        <v>Warehouse Discount Stores|S|Good</v>
      </c>
      <c r="J918" t="s">
        <v>478</v>
      </c>
    </row>
    <row r="919" spans="2:10">
      <c r="B919" t="s">
        <v>479</v>
      </c>
      <c r="C919" t="s">
        <v>480</v>
      </c>
      <c r="D919" t="s">
        <v>244</v>
      </c>
      <c r="E919" t="s">
        <v>300</v>
      </c>
      <c r="F919" t="s">
        <v>219</v>
      </c>
      <c r="G919" t="s">
        <v>44</v>
      </c>
      <c r="H919">
        <v>66.5</v>
      </c>
      <c r="I919" t="str">
        <f t="shared" si="13"/>
        <v>Warehouse Discount Stores|S|Average</v>
      </c>
      <c r="J919" t="s">
        <v>478</v>
      </c>
    </row>
    <row r="920" spans="2:10">
      <c r="B920" t="s">
        <v>479</v>
      </c>
      <c r="C920" t="s">
        <v>480</v>
      </c>
      <c r="D920" t="s">
        <v>244</v>
      </c>
      <c r="E920" t="s">
        <v>300</v>
      </c>
      <c r="F920" t="s">
        <v>219</v>
      </c>
      <c r="G920" t="s">
        <v>226</v>
      </c>
      <c r="H920">
        <v>52</v>
      </c>
      <c r="I920" t="str">
        <f t="shared" si="13"/>
        <v>Warehouse Discount Stores|S|Low Cost</v>
      </c>
      <c r="J920" t="s">
        <v>478</v>
      </c>
    </row>
    <row r="921" spans="2:10">
      <c r="B921" t="s">
        <v>481</v>
      </c>
      <c r="C921" t="s">
        <v>482</v>
      </c>
      <c r="D921" t="s">
        <v>244</v>
      </c>
      <c r="E921" t="s">
        <v>309</v>
      </c>
      <c r="F921" t="s">
        <v>209</v>
      </c>
      <c r="G921" t="s">
        <v>229</v>
      </c>
      <c r="H921">
        <v>102</v>
      </c>
      <c r="I921" t="str">
        <f t="shared" si="13"/>
        <v>Warehouse Showroom Stores|C|Good</v>
      </c>
      <c r="J921" t="s">
        <v>483</v>
      </c>
    </row>
    <row r="922" spans="2:10">
      <c r="B922" t="s">
        <v>481</v>
      </c>
      <c r="C922" t="s">
        <v>482</v>
      </c>
      <c r="D922" t="s">
        <v>244</v>
      </c>
      <c r="E922" t="s">
        <v>309</v>
      </c>
      <c r="F922" t="s">
        <v>209</v>
      </c>
      <c r="G922" t="s">
        <v>44</v>
      </c>
      <c r="H922">
        <v>79</v>
      </c>
      <c r="I922" t="str">
        <f t="shared" si="13"/>
        <v>Warehouse Showroom Stores|C|Average</v>
      </c>
      <c r="J922" t="s">
        <v>483</v>
      </c>
    </row>
    <row r="923" spans="2:10">
      <c r="B923" t="s">
        <v>481</v>
      </c>
      <c r="C923" t="s">
        <v>482</v>
      </c>
      <c r="D923" t="s">
        <v>244</v>
      </c>
      <c r="E923" t="s">
        <v>309</v>
      </c>
      <c r="F923" t="s">
        <v>209</v>
      </c>
      <c r="G923" t="s">
        <v>226</v>
      </c>
      <c r="H923">
        <v>61</v>
      </c>
      <c r="I923" t="str">
        <f t="shared" si="13"/>
        <v>Warehouse Showroom Stores|C|Low Cost</v>
      </c>
      <c r="J923" t="s">
        <v>483</v>
      </c>
    </row>
    <row r="924" spans="2:10">
      <c r="B924" t="s">
        <v>481</v>
      </c>
      <c r="C924" t="s">
        <v>482</v>
      </c>
      <c r="D924" t="s">
        <v>244</v>
      </c>
      <c r="E924" t="s">
        <v>309</v>
      </c>
      <c r="F924" t="s">
        <v>214</v>
      </c>
      <c r="G924" t="s">
        <v>229</v>
      </c>
      <c r="H924">
        <v>94.5</v>
      </c>
      <c r="I924" t="str">
        <f t="shared" si="13"/>
        <v>Warehouse Showroom Stores|D|Good</v>
      </c>
      <c r="J924" t="s">
        <v>483</v>
      </c>
    </row>
    <row r="925" spans="2:10">
      <c r="B925" t="s">
        <v>481</v>
      </c>
      <c r="C925" t="s">
        <v>482</v>
      </c>
      <c r="D925" t="s">
        <v>244</v>
      </c>
      <c r="E925" t="s">
        <v>309</v>
      </c>
      <c r="F925" t="s">
        <v>214</v>
      </c>
      <c r="G925" t="s">
        <v>44</v>
      </c>
      <c r="H925">
        <v>72</v>
      </c>
      <c r="I925" t="str">
        <f t="shared" si="13"/>
        <v>Warehouse Showroom Stores|D|Average</v>
      </c>
      <c r="J925" t="s">
        <v>483</v>
      </c>
    </row>
    <row r="926" spans="2:10">
      <c r="B926" t="s">
        <v>481</v>
      </c>
      <c r="C926" t="s">
        <v>482</v>
      </c>
      <c r="D926" t="s">
        <v>244</v>
      </c>
      <c r="E926" t="s">
        <v>309</v>
      </c>
      <c r="F926" t="s">
        <v>214</v>
      </c>
      <c r="G926" t="s">
        <v>226</v>
      </c>
      <c r="H926">
        <v>55</v>
      </c>
      <c r="I926" t="str">
        <f t="shared" ref="I926:I989" si="14">B926&amp;"|"&amp;F926&amp;"|"&amp;G926</f>
        <v>Warehouse Showroom Stores|D|Low Cost</v>
      </c>
      <c r="J926" t="s">
        <v>483</v>
      </c>
    </row>
    <row r="927" spans="2:10">
      <c r="B927" t="s">
        <v>481</v>
      </c>
      <c r="C927" t="s">
        <v>482</v>
      </c>
      <c r="D927" t="s">
        <v>244</v>
      </c>
      <c r="E927" t="s">
        <v>309</v>
      </c>
      <c r="F927" t="s">
        <v>313</v>
      </c>
      <c r="G927" t="s">
        <v>226</v>
      </c>
      <c r="H927">
        <v>53.5</v>
      </c>
      <c r="I927" t="str">
        <f t="shared" si="14"/>
        <v>Warehouse Showroom Stores|DPOLE|Low Cost</v>
      </c>
      <c r="J927" t="s">
        <v>483</v>
      </c>
    </row>
    <row r="928" spans="2:10">
      <c r="B928" t="s">
        <v>481</v>
      </c>
      <c r="C928" t="s">
        <v>482</v>
      </c>
      <c r="D928" t="s">
        <v>244</v>
      </c>
      <c r="E928" t="s">
        <v>309</v>
      </c>
      <c r="F928" t="s">
        <v>219</v>
      </c>
      <c r="G928" t="s">
        <v>229</v>
      </c>
      <c r="H928">
        <v>93.5</v>
      </c>
      <c r="I928" t="str">
        <f t="shared" si="14"/>
        <v>Warehouse Showroom Stores|S|Good</v>
      </c>
      <c r="J928" t="s">
        <v>483</v>
      </c>
    </row>
    <row r="929" spans="2:10">
      <c r="B929" t="s">
        <v>481</v>
      </c>
      <c r="C929" t="s">
        <v>482</v>
      </c>
      <c r="D929" t="s">
        <v>244</v>
      </c>
      <c r="E929" t="s">
        <v>309</v>
      </c>
      <c r="F929" t="s">
        <v>219</v>
      </c>
      <c r="G929" t="s">
        <v>44</v>
      </c>
      <c r="H929">
        <v>73</v>
      </c>
      <c r="I929" t="str">
        <f t="shared" si="14"/>
        <v>Warehouse Showroom Stores|S|Average</v>
      </c>
      <c r="J929" t="s">
        <v>483</v>
      </c>
    </row>
    <row r="930" spans="2:10">
      <c r="B930" t="s">
        <v>481</v>
      </c>
      <c r="C930" t="s">
        <v>482</v>
      </c>
      <c r="D930" t="s">
        <v>244</v>
      </c>
      <c r="E930" t="s">
        <v>309</v>
      </c>
      <c r="F930" t="s">
        <v>219</v>
      </c>
      <c r="G930" t="s">
        <v>226</v>
      </c>
      <c r="H930">
        <v>57</v>
      </c>
      <c r="I930" t="str">
        <f t="shared" si="14"/>
        <v>Warehouse Showroom Stores|S|Low Cost</v>
      </c>
      <c r="J930" t="s">
        <v>483</v>
      </c>
    </row>
    <row r="931" spans="2:10">
      <c r="B931" t="s">
        <v>484</v>
      </c>
      <c r="C931" t="s">
        <v>485</v>
      </c>
      <c r="D931" t="s">
        <v>244</v>
      </c>
      <c r="E931" t="s">
        <v>309</v>
      </c>
      <c r="F931" t="s">
        <v>209</v>
      </c>
      <c r="G931" t="s">
        <v>229</v>
      </c>
      <c r="H931">
        <v>124</v>
      </c>
      <c r="I931" t="str">
        <f t="shared" si="14"/>
        <v>Warehouse Food Stores|C|Good</v>
      </c>
      <c r="J931" t="s">
        <v>483</v>
      </c>
    </row>
    <row r="932" spans="2:10">
      <c r="B932" t="s">
        <v>484</v>
      </c>
      <c r="C932" t="s">
        <v>485</v>
      </c>
      <c r="D932" t="s">
        <v>244</v>
      </c>
      <c r="E932" t="s">
        <v>309</v>
      </c>
      <c r="F932" t="s">
        <v>209</v>
      </c>
      <c r="G932" t="s">
        <v>44</v>
      </c>
      <c r="H932">
        <v>96.5</v>
      </c>
      <c r="I932" t="str">
        <f t="shared" si="14"/>
        <v>Warehouse Food Stores|C|Average</v>
      </c>
      <c r="J932" t="s">
        <v>483</v>
      </c>
    </row>
    <row r="933" spans="2:10">
      <c r="B933" t="s">
        <v>484</v>
      </c>
      <c r="C933" t="s">
        <v>485</v>
      </c>
      <c r="D933" t="s">
        <v>244</v>
      </c>
      <c r="E933" t="s">
        <v>309</v>
      </c>
      <c r="F933" t="s">
        <v>209</v>
      </c>
      <c r="G933" t="s">
        <v>226</v>
      </c>
      <c r="H933">
        <v>75</v>
      </c>
      <c r="I933" t="str">
        <f t="shared" si="14"/>
        <v>Warehouse Food Stores|C|Low Cost</v>
      </c>
      <c r="J933" t="s">
        <v>483</v>
      </c>
    </row>
    <row r="934" spans="2:10">
      <c r="B934" t="s">
        <v>484</v>
      </c>
      <c r="C934" t="s">
        <v>485</v>
      </c>
      <c r="D934" t="s">
        <v>244</v>
      </c>
      <c r="E934" t="s">
        <v>309</v>
      </c>
      <c r="F934" t="s">
        <v>214</v>
      </c>
      <c r="G934" t="s">
        <v>229</v>
      </c>
      <c r="H934">
        <v>115</v>
      </c>
      <c r="I934" t="str">
        <f t="shared" si="14"/>
        <v>Warehouse Food Stores|D|Good</v>
      </c>
      <c r="J934" t="s">
        <v>483</v>
      </c>
    </row>
    <row r="935" spans="2:10">
      <c r="B935" t="s">
        <v>484</v>
      </c>
      <c r="C935" t="s">
        <v>485</v>
      </c>
      <c r="D935" t="s">
        <v>244</v>
      </c>
      <c r="E935" t="s">
        <v>309</v>
      </c>
      <c r="F935" t="s">
        <v>214</v>
      </c>
      <c r="G935" t="s">
        <v>44</v>
      </c>
      <c r="H935">
        <v>88.5</v>
      </c>
      <c r="I935" t="str">
        <f t="shared" si="14"/>
        <v>Warehouse Food Stores|D|Average</v>
      </c>
      <c r="J935" t="s">
        <v>483</v>
      </c>
    </row>
    <row r="936" spans="2:10">
      <c r="B936" t="s">
        <v>484</v>
      </c>
      <c r="C936" t="s">
        <v>485</v>
      </c>
      <c r="D936" t="s">
        <v>244</v>
      </c>
      <c r="E936" t="s">
        <v>309</v>
      </c>
      <c r="F936" t="s">
        <v>214</v>
      </c>
      <c r="G936" t="s">
        <v>226</v>
      </c>
      <c r="H936">
        <v>68.5</v>
      </c>
      <c r="I936" t="str">
        <f t="shared" si="14"/>
        <v>Warehouse Food Stores|D|Low Cost</v>
      </c>
      <c r="J936" t="s">
        <v>483</v>
      </c>
    </row>
    <row r="937" spans="2:10">
      <c r="B937" t="s">
        <v>484</v>
      </c>
      <c r="C937" t="s">
        <v>485</v>
      </c>
      <c r="D937" t="s">
        <v>244</v>
      </c>
      <c r="E937" t="s">
        <v>309</v>
      </c>
      <c r="F937" t="s">
        <v>313</v>
      </c>
      <c r="G937" t="s">
        <v>226</v>
      </c>
      <c r="H937">
        <v>63.5</v>
      </c>
      <c r="I937" t="str">
        <f t="shared" si="14"/>
        <v>Warehouse Food Stores|DPOLE|Low Cost</v>
      </c>
      <c r="J937" t="s">
        <v>483</v>
      </c>
    </row>
    <row r="938" spans="2:10">
      <c r="B938" t="s">
        <v>484</v>
      </c>
      <c r="C938" t="s">
        <v>485</v>
      </c>
      <c r="D938" t="s">
        <v>244</v>
      </c>
      <c r="E938" t="s">
        <v>309</v>
      </c>
      <c r="F938" t="s">
        <v>219</v>
      </c>
      <c r="G938" t="s">
        <v>229</v>
      </c>
      <c r="H938">
        <v>114</v>
      </c>
      <c r="I938" t="str">
        <f t="shared" si="14"/>
        <v>Warehouse Food Stores|S|Good</v>
      </c>
      <c r="J938" t="s">
        <v>483</v>
      </c>
    </row>
    <row r="939" spans="2:10">
      <c r="B939" t="s">
        <v>484</v>
      </c>
      <c r="C939" t="s">
        <v>485</v>
      </c>
      <c r="D939" t="s">
        <v>244</v>
      </c>
      <c r="E939" t="s">
        <v>309</v>
      </c>
      <c r="F939" t="s">
        <v>219</v>
      </c>
      <c r="G939" t="s">
        <v>44</v>
      </c>
      <c r="H939">
        <v>86.5</v>
      </c>
      <c r="I939" t="str">
        <f t="shared" si="14"/>
        <v>Warehouse Food Stores|S|Average</v>
      </c>
      <c r="J939" t="s">
        <v>483</v>
      </c>
    </row>
    <row r="940" spans="2:10">
      <c r="B940" t="s">
        <v>484</v>
      </c>
      <c r="C940" t="s">
        <v>485</v>
      </c>
      <c r="D940" t="s">
        <v>244</v>
      </c>
      <c r="E940" t="s">
        <v>309</v>
      </c>
      <c r="F940" t="s">
        <v>219</v>
      </c>
      <c r="G940" t="s">
        <v>226</v>
      </c>
      <c r="H940">
        <v>65.5</v>
      </c>
      <c r="I940" t="str">
        <f t="shared" si="14"/>
        <v>Warehouse Food Stores|S|Low Cost</v>
      </c>
      <c r="J940" t="s">
        <v>483</v>
      </c>
    </row>
    <row r="941" spans="2:10">
      <c r="B941" t="s">
        <v>486</v>
      </c>
      <c r="C941" t="s">
        <v>487</v>
      </c>
      <c r="D941" t="s">
        <v>244</v>
      </c>
      <c r="E941" t="s">
        <v>317</v>
      </c>
      <c r="F941" t="s">
        <v>209</v>
      </c>
      <c r="G941" t="s">
        <v>229</v>
      </c>
      <c r="H941">
        <v>88.5</v>
      </c>
      <c r="I941" t="str">
        <f t="shared" si="14"/>
        <v>Mega Warehouse Stores|C|Good</v>
      </c>
      <c r="J941" t="s">
        <v>488</v>
      </c>
    </row>
    <row r="942" spans="2:10">
      <c r="B942" t="s">
        <v>486</v>
      </c>
      <c r="C942" t="s">
        <v>487</v>
      </c>
      <c r="D942" t="s">
        <v>244</v>
      </c>
      <c r="E942" t="s">
        <v>317</v>
      </c>
      <c r="F942" t="s">
        <v>209</v>
      </c>
      <c r="G942" t="s">
        <v>44</v>
      </c>
      <c r="H942">
        <v>67.5</v>
      </c>
      <c r="I942" t="str">
        <f t="shared" si="14"/>
        <v>Mega Warehouse Stores|C|Average</v>
      </c>
      <c r="J942" t="s">
        <v>488</v>
      </c>
    </row>
    <row r="943" spans="2:10">
      <c r="B943" t="s">
        <v>486</v>
      </c>
      <c r="C943" t="s">
        <v>487</v>
      </c>
      <c r="D943" t="s">
        <v>244</v>
      </c>
      <c r="E943" t="s">
        <v>317</v>
      </c>
      <c r="F943" t="s">
        <v>209</v>
      </c>
      <c r="G943" t="s">
        <v>226</v>
      </c>
      <c r="H943">
        <v>51.5</v>
      </c>
      <c r="I943" t="str">
        <f t="shared" si="14"/>
        <v>Mega Warehouse Stores|C|Low Cost</v>
      </c>
      <c r="J943" t="s">
        <v>488</v>
      </c>
    </row>
    <row r="944" spans="2:10">
      <c r="B944" t="s">
        <v>486</v>
      </c>
      <c r="C944" t="s">
        <v>487</v>
      </c>
      <c r="D944" t="s">
        <v>244</v>
      </c>
      <c r="E944" t="s">
        <v>317</v>
      </c>
      <c r="F944" t="s">
        <v>219</v>
      </c>
      <c r="G944" t="s">
        <v>44</v>
      </c>
      <c r="H944">
        <v>61.5</v>
      </c>
      <c r="I944" t="str">
        <f t="shared" si="14"/>
        <v>Mega Warehouse Stores|S|Average</v>
      </c>
      <c r="J944" t="s">
        <v>488</v>
      </c>
    </row>
    <row r="945" spans="2:10">
      <c r="B945" t="s">
        <v>486</v>
      </c>
      <c r="C945" t="s">
        <v>487</v>
      </c>
      <c r="D945" t="s">
        <v>244</v>
      </c>
      <c r="E945" t="s">
        <v>317</v>
      </c>
      <c r="F945" t="s">
        <v>219</v>
      </c>
      <c r="G945" t="s">
        <v>226</v>
      </c>
      <c r="H945">
        <v>48</v>
      </c>
      <c r="I945" t="str">
        <f t="shared" si="14"/>
        <v>Mega Warehouse Stores|S|Low Cost</v>
      </c>
      <c r="J945" t="s">
        <v>488</v>
      </c>
    </row>
    <row r="946" spans="2:10">
      <c r="B946" t="s">
        <v>489</v>
      </c>
      <c r="C946" t="s">
        <v>490</v>
      </c>
      <c r="D946" t="s">
        <v>244</v>
      </c>
      <c r="E946" t="s">
        <v>333</v>
      </c>
      <c r="F946" t="s">
        <v>209</v>
      </c>
      <c r="G946" t="s">
        <v>229</v>
      </c>
      <c r="H946">
        <v>152</v>
      </c>
      <c r="I946" t="str">
        <f t="shared" si="14"/>
        <v>Neighborhood Shopping Centers|C|Good</v>
      </c>
      <c r="J946" t="s">
        <v>491</v>
      </c>
    </row>
    <row r="947" spans="2:10">
      <c r="B947" t="s">
        <v>489</v>
      </c>
      <c r="C947" t="s">
        <v>490</v>
      </c>
      <c r="D947" t="s">
        <v>244</v>
      </c>
      <c r="E947" t="s">
        <v>333</v>
      </c>
      <c r="F947" t="s">
        <v>209</v>
      </c>
      <c r="G947" t="s">
        <v>44</v>
      </c>
      <c r="H947">
        <v>127</v>
      </c>
      <c r="I947" t="str">
        <f t="shared" si="14"/>
        <v>Neighborhood Shopping Centers|C|Average</v>
      </c>
      <c r="J947" t="s">
        <v>491</v>
      </c>
    </row>
    <row r="948" spans="2:10">
      <c r="B948" t="s">
        <v>489</v>
      </c>
      <c r="C948" t="s">
        <v>490</v>
      </c>
      <c r="D948" t="s">
        <v>244</v>
      </c>
      <c r="E948" t="s">
        <v>333</v>
      </c>
      <c r="F948" t="s">
        <v>209</v>
      </c>
      <c r="G948" t="s">
        <v>226</v>
      </c>
      <c r="H948">
        <v>100</v>
      </c>
      <c r="I948" t="str">
        <f t="shared" si="14"/>
        <v>Neighborhood Shopping Centers|C|Low Cost</v>
      </c>
      <c r="J948" t="s">
        <v>491</v>
      </c>
    </row>
    <row r="949" spans="2:10">
      <c r="B949" t="s">
        <v>489</v>
      </c>
      <c r="C949" t="s">
        <v>490</v>
      </c>
      <c r="D949" t="s">
        <v>244</v>
      </c>
      <c r="E949" t="s">
        <v>333</v>
      </c>
      <c r="F949" t="s">
        <v>266</v>
      </c>
      <c r="G949" t="s">
        <v>44</v>
      </c>
      <c r="H949">
        <v>145</v>
      </c>
      <c r="I949" t="str">
        <f t="shared" si="14"/>
        <v>Neighborhood Shopping Centers|CMILL|Average</v>
      </c>
      <c r="J949" t="s">
        <v>491</v>
      </c>
    </row>
    <row r="950" spans="2:10">
      <c r="B950" t="s">
        <v>489</v>
      </c>
      <c r="C950" t="s">
        <v>490</v>
      </c>
      <c r="D950" t="s">
        <v>244</v>
      </c>
      <c r="E950" t="s">
        <v>333</v>
      </c>
      <c r="F950" t="s">
        <v>214</v>
      </c>
      <c r="G950" t="s">
        <v>229</v>
      </c>
      <c r="H950">
        <v>143</v>
      </c>
      <c r="I950" t="str">
        <f t="shared" si="14"/>
        <v>Neighborhood Shopping Centers|D|Good</v>
      </c>
      <c r="J950" t="s">
        <v>491</v>
      </c>
    </row>
    <row r="951" spans="2:10">
      <c r="B951" t="s">
        <v>489</v>
      </c>
      <c r="C951" t="s">
        <v>490</v>
      </c>
      <c r="D951" t="s">
        <v>244</v>
      </c>
      <c r="E951" t="s">
        <v>333</v>
      </c>
      <c r="F951" t="s">
        <v>214</v>
      </c>
      <c r="G951" t="s">
        <v>44</v>
      </c>
      <c r="H951">
        <v>119</v>
      </c>
      <c r="I951" t="str">
        <f t="shared" si="14"/>
        <v>Neighborhood Shopping Centers|D|Average</v>
      </c>
      <c r="J951" t="s">
        <v>491</v>
      </c>
    </row>
    <row r="952" spans="2:10">
      <c r="B952" t="s">
        <v>489</v>
      </c>
      <c r="C952" t="s">
        <v>490</v>
      </c>
      <c r="D952" t="s">
        <v>244</v>
      </c>
      <c r="E952" t="s">
        <v>333</v>
      </c>
      <c r="F952" t="s">
        <v>214</v>
      </c>
      <c r="G952" t="s">
        <v>226</v>
      </c>
      <c r="H952">
        <v>93</v>
      </c>
      <c r="I952" t="str">
        <f t="shared" si="14"/>
        <v>Neighborhood Shopping Centers|D|Low Cost</v>
      </c>
      <c r="J952" t="s">
        <v>491</v>
      </c>
    </row>
    <row r="953" spans="2:10">
      <c r="B953" t="s">
        <v>489</v>
      </c>
      <c r="C953" t="s">
        <v>490</v>
      </c>
      <c r="D953" t="s">
        <v>244</v>
      </c>
      <c r="E953" t="s">
        <v>333</v>
      </c>
      <c r="F953" t="s">
        <v>313</v>
      </c>
      <c r="G953" t="s">
        <v>226</v>
      </c>
      <c r="H953">
        <v>88.5</v>
      </c>
      <c r="I953" t="str">
        <f t="shared" si="14"/>
        <v>Neighborhood Shopping Centers|DPOLE|Low Cost</v>
      </c>
      <c r="J953" t="s">
        <v>491</v>
      </c>
    </row>
    <row r="954" spans="2:10">
      <c r="B954" t="s">
        <v>489</v>
      </c>
      <c r="C954" t="s">
        <v>490</v>
      </c>
      <c r="D954" t="s">
        <v>244</v>
      </c>
      <c r="E954" t="s">
        <v>333</v>
      </c>
      <c r="F954" t="s">
        <v>219</v>
      </c>
      <c r="G954" t="s">
        <v>44</v>
      </c>
      <c r="H954">
        <v>116</v>
      </c>
      <c r="I954" t="str">
        <f t="shared" si="14"/>
        <v>Neighborhood Shopping Centers|S|Average</v>
      </c>
      <c r="J954" t="s">
        <v>491</v>
      </c>
    </row>
    <row r="955" spans="2:10">
      <c r="B955" t="s">
        <v>489</v>
      </c>
      <c r="C955" t="s">
        <v>490</v>
      </c>
      <c r="D955" t="s">
        <v>244</v>
      </c>
      <c r="E955" t="s">
        <v>333</v>
      </c>
      <c r="F955" t="s">
        <v>219</v>
      </c>
      <c r="G955" t="s">
        <v>226</v>
      </c>
      <c r="H955">
        <v>91</v>
      </c>
      <c r="I955" t="str">
        <f t="shared" si="14"/>
        <v>Neighborhood Shopping Centers|S|Low Cost</v>
      </c>
      <c r="J955" t="s">
        <v>491</v>
      </c>
    </row>
    <row r="956" spans="2:10">
      <c r="B956" t="s">
        <v>492</v>
      </c>
      <c r="C956" t="s">
        <v>493</v>
      </c>
      <c r="D956" t="s">
        <v>244</v>
      </c>
      <c r="E956" t="s">
        <v>333</v>
      </c>
      <c r="F956" t="s">
        <v>209</v>
      </c>
      <c r="G956" t="s">
        <v>229</v>
      </c>
      <c r="H956">
        <v>157</v>
      </c>
      <c r="I956" t="str">
        <f t="shared" si="14"/>
        <v>Mixed Retail Centers with Residential Units|C|Good</v>
      </c>
      <c r="J956" t="s">
        <v>491</v>
      </c>
    </row>
    <row r="957" spans="2:10">
      <c r="B957" t="s">
        <v>492</v>
      </c>
      <c r="C957" t="s">
        <v>493</v>
      </c>
      <c r="D957" t="s">
        <v>244</v>
      </c>
      <c r="E957" t="s">
        <v>333</v>
      </c>
      <c r="F957" t="s">
        <v>209</v>
      </c>
      <c r="G957" t="s">
        <v>44</v>
      </c>
      <c r="H957">
        <v>125</v>
      </c>
      <c r="I957" t="str">
        <f t="shared" si="14"/>
        <v>Mixed Retail Centers with Residential Units|C|Average</v>
      </c>
      <c r="J957" t="s">
        <v>491</v>
      </c>
    </row>
    <row r="958" spans="2:10">
      <c r="B958" t="s">
        <v>492</v>
      </c>
      <c r="C958" t="s">
        <v>493</v>
      </c>
      <c r="D958" t="s">
        <v>244</v>
      </c>
      <c r="E958" t="s">
        <v>333</v>
      </c>
      <c r="F958" t="s">
        <v>209</v>
      </c>
      <c r="G958" t="s">
        <v>226</v>
      </c>
      <c r="H958">
        <v>95</v>
      </c>
      <c r="I958" t="str">
        <f t="shared" si="14"/>
        <v>Mixed Retail Centers with Residential Units|C|Low Cost</v>
      </c>
      <c r="J958" t="s">
        <v>491</v>
      </c>
    </row>
    <row r="959" spans="2:10">
      <c r="B959" t="s">
        <v>492</v>
      </c>
      <c r="C959" t="s">
        <v>493</v>
      </c>
      <c r="D959" t="s">
        <v>244</v>
      </c>
      <c r="E959" t="s">
        <v>333</v>
      </c>
      <c r="F959" t="s">
        <v>266</v>
      </c>
      <c r="G959" t="s">
        <v>44</v>
      </c>
      <c r="H959">
        <v>147</v>
      </c>
      <c r="I959" t="str">
        <f t="shared" si="14"/>
        <v>Mixed Retail Centers with Residential Units|CMILL|Average</v>
      </c>
      <c r="J959" t="s">
        <v>491</v>
      </c>
    </row>
    <row r="960" spans="2:10">
      <c r="B960" t="s">
        <v>492</v>
      </c>
      <c r="C960" t="s">
        <v>493</v>
      </c>
      <c r="D960" t="s">
        <v>244</v>
      </c>
      <c r="E960" t="s">
        <v>333</v>
      </c>
      <c r="F960" t="s">
        <v>214</v>
      </c>
      <c r="G960" t="s">
        <v>229</v>
      </c>
      <c r="H960">
        <v>148</v>
      </c>
      <c r="I960" t="str">
        <f t="shared" si="14"/>
        <v>Mixed Retail Centers with Residential Units|D|Good</v>
      </c>
      <c r="J960" t="s">
        <v>491</v>
      </c>
    </row>
    <row r="961" spans="2:10">
      <c r="B961" t="s">
        <v>492</v>
      </c>
      <c r="C961" t="s">
        <v>493</v>
      </c>
      <c r="D961" t="s">
        <v>244</v>
      </c>
      <c r="E961" t="s">
        <v>333</v>
      </c>
      <c r="F961" t="s">
        <v>214</v>
      </c>
      <c r="G961" t="s">
        <v>44</v>
      </c>
      <c r="H961">
        <v>117</v>
      </c>
      <c r="I961" t="str">
        <f t="shared" si="14"/>
        <v>Mixed Retail Centers with Residential Units|D|Average</v>
      </c>
      <c r="J961" t="s">
        <v>491</v>
      </c>
    </row>
    <row r="962" spans="2:10">
      <c r="B962" t="s">
        <v>492</v>
      </c>
      <c r="C962" t="s">
        <v>493</v>
      </c>
      <c r="D962" t="s">
        <v>244</v>
      </c>
      <c r="E962" t="s">
        <v>333</v>
      </c>
      <c r="F962" t="s">
        <v>214</v>
      </c>
      <c r="G962" t="s">
        <v>226</v>
      </c>
      <c r="H962">
        <v>88</v>
      </c>
      <c r="I962" t="str">
        <f t="shared" si="14"/>
        <v>Mixed Retail Centers with Residential Units|D|Low Cost</v>
      </c>
      <c r="J962" t="s">
        <v>491</v>
      </c>
    </row>
    <row r="963" spans="2:10">
      <c r="B963" t="s">
        <v>494</v>
      </c>
      <c r="C963" t="s">
        <v>495</v>
      </c>
      <c r="D963" t="s">
        <v>244</v>
      </c>
      <c r="E963" t="s">
        <v>407</v>
      </c>
      <c r="F963" t="s">
        <v>209</v>
      </c>
      <c r="G963" t="s">
        <v>229</v>
      </c>
      <c r="H963">
        <v>156</v>
      </c>
      <c r="I963" t="str">
        <f t="shared" si="14"/>
        <v>Mixed Retail Centers with Office Units|C|Good</v>
      </c>
      <c r="J963" t="s">
        <v>496</v>
      </c>
    </row>
    <row r="964" spans="2:10">
      <c r="B964" t="s">
        <v>494</v>
      </c>
      <c r="C964" t="s">
        <v>495</v>
      </c>
      <c r="D964" t="s">
        <v>244</v>
      </c>
      <c r="E964" t="s">
        <v>407</v>
      </c>
      <c r="F964" t="s">
        <v>209</v>
      </c>
      <c r="G964" t="s">
        <v>44</v>
      </c>
      <c r="H964">
        <v>128</v>
      </c>
      <c r="I964" t="str">
        <f t="shared" si="14"/>
        <v>Mixed Retail Centers with Office Units|C|Average</v>
      </c>
      <c r="J964" t="s">
        <v>496</v>
      </c>
    </row>
    <row r="965" spans="2:10">
      <c r="B965" t="s">
        <v>494</v>
      </c>
      <c r="C965" t="s">
        <v>495</v>
      </c>
      <c r="D965" t="s">
        <v>244</v>
      </c>
      <c r="E965" t="s">
        <v>407</v>
      </c>
      <c r="F965" t="s">
        <v>209</v>
      </c>
      <c r="G965" t="s">
        <v>226</v>
      </c>
      <c r="H965">
        <v>100</v>
      </c>
      <c r="I965" t="str">
        <f t="shared" si="14"/>
        <v>Mixed Retail Centers with Office Units|C|Low Cost</v>
      </c>
      <c r="J965" t="s">
        <v>496</v>
      </c>
    </row>
    <row r="966" spans="2:10">
      <c r="B966" t="s">
        <v>494</v>
      </c>
      <c r="C966" t="s">
        <v>495</v>
      </c>
      <c r="D966" t="s">
        <v>244</v>
      </c>
      <c r="E966" t="s">
        <v>407</v>
      </c>
      <c r="F966" t="s">
        <v>266</v>
      </c>
      <c r="G966" t="s">
        <v>44</v>
      </c>
      <c r="H966">
        <v>148</v>
      </c>
      <c r="I966" t="str">
        <f t="shared" si="14"/>
        <v>Mixed Retail Centers with Office Units|CMILL|Average</v>
      </c>
      <c r="J966" t="s">
        <v>496</v>
      </c>
    </row>
    <row r="967" spans="2:10">
      <c r="B967" t="s">
        <v>494</v>
      </c>
      <c r="C967" t="s">
        <v>495</v>
      </c>
      <c r="D967" t="s">
        <v>244</v>
      </c>
      <c r="E967" t="s">
        <v>407</v>
      </c>
      <c r="F967" t="s">
        <v>214</v>
      </c>
      <c r="G967" t="s">
        <v>229</v>
      </c>
      <c r="H967">
        <v>147</v>
      </c>
      <c r="I967" t="str">
        <f t="shared" si="14"/>
        <v>Mixed Retail Centers with Office Units|D|Good</v>
      </c>
      <c r="J967" t="s">
        <v>496</v>
      </c>
    </row>
    <row r="968" spans="2:10">
      <c r="B968" t="s">
        <v>494</v>
      </c>
      <c r="C968" t="s">
        <v>495</v>
      </c>
      <c r="D968" t="s">
        <v>244</v>
      </c>
      <c r="E968" t="s">
        <v>407</v>
      </c>
      <c r="F968" t="s">
        <v>214</v>
      </c>
      <c r="G968" t="s">
        <v>44</v>
      </c>
      <c r="H968">
        <v>120</v>
      </c>
      <c r="I968" t="str">
        <f t="shared" si="14"/>
        <v>Mixed Retail Centers with Office Units|D|Average</v>
      </c>
      <c r="J968" t="s">
        <v>496</v>
      </c>
    </row>
    <row r="969" spans="2:10">
      <c r="B969" t="s">
        <v>494</v>
      </c>
      <c r="C969" t="s">
        <v>495</v>
      </c>
      <c r="D969" t="s">
        <v>244</v>
      </c>
      <c r="E969" t="s">
        <v>407</v>
      </c>
      <c r="F969" t="s">
        <v>214</v>
      </c>
      <c r="G969" t="s">
        <v>226</v>
      </c>
      <c r="H969">
        <v>93</v>
      </c>
      <c r="I969" t="str">
        <f t="shared" si="14"/>
        <v>Mixed Retail Centers with Office Units|D|Low Cost</v>
      </c>
      <c r="J969" t="s">
        <v>496</v>
      </c>
    </row>
    <row r="970" spans="2:10">
      <c r="B970" t="s">
        <v>497</v>
      </c>
      <c r="C970" t="s">
        <v>498</v>
      </c>
      <c r="D970" t="s">
        <v>244</v>
      </c>
      <c r="E970" t="s">
        <v>407</v>
      </c>
      <c r="F970" t="s">
        <v>209</v>
      </c>
      <c r="G970" t="s">
        <v>231</v>
      </c>
      <c r="H970">
        <v>207</v>
      </c>
      <c r="I970" t="str">
        <f t="shared" si="14"/>
        <v>Community Shopping Centers|C|Excellent</v>
      </c>
      <c r="J970" t="s">
        <v>496</v>
      </c>
    </row>
    <row r="971" spans="2:10">
      <c r="B971" t="s">
        <v>497</v>
      </c>
      <c r="C971" t="s">
        <v>498</v>
      </c>
      <c r="D971" t="s">
        <v>244</v>
      </c>
      <c r="E971" t="s">
        <v>407</v>
      </c>
      <c r="F971" t="s">
        <v>209</v>
      </c>
      <c r="G971" t="s">
        <v>229</v>
      </c>
      <c r="H971">
        <v>169</v>
      </c>
      <c r="I971" t="str">
        <f t="shared" si="14"/>
        <v>Community Shopping Centers|C|Good</v>
      </c>
      <c r="J971" t="s">
        <v>496</v>
      </c>
    </row>
    <row r="972" spans="2:10">
      <c r="B972" t="s">
        <v>497</v>
      </c>
      <c r="C972" t="s">
        <v>498</v>
      </c>
      <c r="D972" t="s">
        <v>244</v>
      </c>
      <c r="E972" t="s">
        <v>407</v>
      </c>
      <c r="F972" t="s">
        <v>209</v>
      </c>
      <c r="G972" t="s">
        <v>44</v>
      </c>
      <c r="H972">
        <v>135</v>
      </c>
      <c r="I972" t="str">
        <f t="shared" si="14"/>
        <v>Community Shopping Centers|C|Average</v>
      </c>
      <c r="J972" t="s">
        <v>496</v>
      </c>
    </row>
    <row r="973" spans="2:10">
      <c r="B973" t="s">
        <v>497</v>
      </c>
      <c r="C973" t="s">
        <v>498</v>
      </c>
      <c r="D973" t="s">
        <v>244</v>
      </c>
      <c r="E973" t="s">
        <v>407</v>
      </c>
      <c r="F973" t="s">
        <v>209</v>
      </c>
      <c r="G973" t="s">
        <v>226</v>
      </c>
      <c r="H973">
        <v>111</v>
      </c>
      <c r="I973" t="str">
        <f t="shared" si="14"/>
        <v>Community Shopping Centers|C|Low Cost</v>
      </c>
      <c r="J973" t="s">
        <v>496</v>
      </c>
    </row>
    <row r="974" spans="2:10">
      <c r="B974" t="s">
        <v>497</v>
      </c>
      <c r="C974" t="s">
        <v>498</v>
      </c>
      <c r="D974" t="s">
        <v>244</v>
      </c>
      <c r="E974" t="s">
        <v>407</v>
      </c>
      <c r="F974" t="s">
        <v>214</v>
      </c>
      <c r="G974" t="s">
        <v>231</v>
      </c>
      <c r="H974">
        <v>195</v>
      </c>
      <c r="I974" t="str">
        <f t="shared" si="14"/>
        <v>Community Shopping Centers|D|Excellent</v>
      </c>
      <c r="J974" t="s">
        <v>496</v>
      </c>
    </row>
    <row r="975" spans="2:10">
      <c r="B975" t="s">
        <v>497</v>
      </c>
      <c r="C975" t="s">
        <v>498</v>
      </c>
      <c r="D975" t="s">
        <v>244</v>
      </c>
      <c r="E975" t="s">
        <v>407</v>
      </c>
      <c r="F975" t="s">
        <v>214</v>
      </c>
      <c r="G975" t="s">
        <v>229</v>
      </c>
      <c r="H975">
        <v>159</v>
      </c>
      <c r="I975" t="str">
        <f t="shared" si="14"/>
        <v>Community Shopping Centers|D|Good</v>
      </c>
      <c r="J975" t="s">
        <v>496</v>
      </c>
    </row>
    <row r="976" spans="2:10">
      <c r="B976" t="s">
        <v>497</v>
      </c>
      <c r="C976" t="s">
        <v>498</v>
      </c>
      <c r="D976" t="s">
        <v>244</v>
      </c>
      <c r="E976" t="s">
        <v>407</v>
      </c>
      <c r="F976" t="s">
        <v>214</v>
      </c>
      <c r="G976" t="s">
        <v>44</v>
      </c>
      <c r="H976">
        <v>126</v>
      </c>
      <c r="I976" t="str">
        <f t="shared" si="14"/>
        <v>Community Shopping Centers|D|Average</v>
      </c>
      <c r="J976" t="s">
        <v>496</v>
      </c>
    </row>
    <row r="977" spans="2:10">
      <c r="B977" t="s">
        <v>497</v>
      </c>
      <c r="C977" t="s">
        <v>498</v>
      </c>
      <c r="D977" t="s">
        <v>244</v>
      </c>
      <c r="E977" t="s">
        <v>407</v>
      </c>
      <c r="F977" t="s">
        <v>219</v>
      </c>
      <c r="G977" t="s">
        <v>44</v>
      </c>
      <c r="H977">
        <v>124</v>
      </c>
      <c r="I977" t="str">
        <f t="shared" si="14"/>
        <v>Community Shopping Centers|S|Average</v>
      </c>
      <c r="J977" t="s">
        <v>496</v>
      </c>
    </row>
    <row r="978" spans="2:10">
      <c r="B978" t="s">
        <v>499</v>
      </c>
      <c r="C978" t="s">
        <v>500</v>
      </c>
      <c r="D978" t="s">
        <v>244</v>
      </c>
      <c r="E978" t="s">
        <v>501</v>
      </c>
      <c r="F978" t="s">
        <v>270</v>
      </c>
      <c r="G978" t="s">
        <v>229</v>
      </c>
      <c r="H978">
        <v>176</v>
      </c>
      <c r="I978" t="str">
        <f t="shared" si="14"/>
        <v>Regional Discount Shopping Centers|A-B|Good</v>
      </c>
      <c r="J978" t="s">
        <v>502</v>
      </c>
    </row>
    <row r="979" spans="2:10">
      <c r="B979" t="s">
        <v>499</v>
      </c>
      <c r="C979" t="s">
        <v>500</v>
      </c>
      <c r="D979" t="s">
        <v>244</v>
      </c>
      <c r="E979" t="s">
        <v>501</v>
      </c>
      <c r="F979" t="s">
        <v>270</v>
      </c>
      <c r="G979" t="s">
        <v>44</v>
      </c>
      <c r="H979">
        <v>145</v>
      </c>
      <c r="I979" t="str">
        <f t="shared" si="14"/>
        <v>Regional Discount Shopping Centers|A-B|Average</v>
      </c>
      <c r="J979" t="s">
        <v>502</v>
      </c>
    </row>
    <row r="980" spans="2:10">
      <c r="B980" t="s">
        <v>499</v>
      </c>
      <c r="C980" t="s">
        <v>500</v>
      </c>
      <c r="D980" t="s">
        <v>244</v>
      </c>
      <c r="E980" t="s">
        <v>501</v>
      </c>
      <c r="F980" t="s">
        <v>209</v>
      </c>
      <c r="G980" t="s">
        <v>231</v>
      </c>
      <c r="H980">
        <v>157</v>
      </c>
      <c r="I980" t="str">
        <f t="shared" si="14"/>
        <v>Regional Discount Shopping Centers|C|Excellent</v>
      </c>
      <c r="J980" t="s">
        <v>502</v>
      </c>
    </row>
    <row r="981" spans="2:10">
      <c r="B981" t="s">
        <v>499</v>
      </c>
      <c r="C981" t="s">
        <v>500</v>
      </c>
      <c r="D981" t="s">
        <v>244</v>
      </c>
      <c r="E981" t="s">
        <v>501</v>
      </c>
      <c r="F981" t="s">
        <v>209</v>
      </c>
      <c r="G981" t="s">
        <v>229</v>
      </c>
      <c r="H981">
        <v>129</v>
      </c>
      <c r="I981" t="str">
        <f t="shared" si="14"/>
        <v>Regional Discount Shopping Centers|C|Good</v>
      </c>
      <c r="J981" t="s">
        <v>502</v>
      </c>
    </row>
    <row r="982" spans="2:10">
      <c r="B982" t="s">
        <v>499</v>
      </c>
      <c r="C982" t="s">
        <v>500</v>
      </c>
      <c r="D982" t="s">
        <v>244</v>
      </c>
      <c r="E982" t="s">
        <v>501</v>
      </c>
      <c r="F982" t="s">
        <v>209</v>
      </c>
      <c r="G982" t="s">
        <v>44</v>
      </c>
      <c r="H982">
        <v>110</v>
      </c>
      <c r="I982" t="str">
        <f t="shared" si="14"/>
        <v>Regional Discount Shopping Centers|C|Average</v>
      </c>
      <c r="J982" t="s">
        <v>502</v>
      </c>
    </row>
    <row r="983" spans="2:10">
      <c r="B983" t="s">
        <v>499</v>
      </c>
      <c r="C983" t="s">
        <v>500</v>
      </c>
      <c r="D983" t="s">
        <v>244</v>
      </c>
      <c r="E983" t="s">
        <v>501</v>
      </c>
      <c r="F983" t="s">
        <v>214</v>
      </c>
      <c r="G983" t="s">
        <v>229</v>
      </c>
      <c r="H983">
        <v>120</v>
      </c>
      <c r="I983" t="str">
        <f t="shared" si="14"/>
        <v>Regional Discount Shopping Centers|D|Good</v>
      </c>
      <c r="J983" t="s">
        <v>502</v>
      </c>
    </row>
    <row r="984" spans="2:10">
      <c r="B984" t="s">
        <v>499</v>
      </c>
      <c r="C984" t="s">
        <v>500</v>
      </c>
      <c r="D984" t="s">
        <v>244</v>
      </c>
      <c r="E984" t="s">
        <v>501</v>
      </c>
      <c r="F984" t="s">
        <v>214</v>
      </c>
      <c r="G984" t="s">
        <v>44</v>
      </c>
      <c r="H984">
        <v>101</v>
      </c>
      <c r="I984" t="str">
        <f t="shared" si="14"/>
        <v>Regional Discount Shopping Centers|D|Average</v>
      </c>
      <c r="J984" t="s">
        <v>502</v>
      </c>
    </row>
    <row r="985" spans="2:10">
      <c r="B985" t="s">
        <v>499</v>
      </c>
      <c r="C985" t="s">
        <v>500</v>
      </c>
      <c r="D985" t="s">
        <v>244</v>
      </c>
      <c r="E985" t="s">
        <v>501</v>
      </c>
      <c r="F985" t="s">
        <v>219</v>
      </c>
      <c r="G985" t="s">
        <v>44</v>
      </c>
      <c r="H985">
        <v>100</v>
      </c>
      <c r="I985" t="str">
        <f t="shared" si="14"/>
        <v>Regional Discount Shopping Centers|S|Average</v>
      </c>
      <c r="J985" t="s">
        <v>502</v>
      </c>
    </row>
    <row r="986" spans="2:10">
      <c r="B986" t="s">
        <v>503</v>
      </c>
      <c r="C986" t="s">
        <v>504</v>
      </c>
      <c r="D986" t="s">
        <v>244</v>
      </c>
      <c r="E986" t="s">
        <v>501</v>
      </c>
      <c r="F986" t="s">
        <v>270</v>
      </c>
      <c r="G986" t="s">
        <v>231</v>
      </c>
      <c r="H986">
        <v>284</v>
      </c>
      <c r="I986" t="str">
        <f t="shared" si="14"/>
        <v>Regional Shopping Centers|A-B|Excellent</v>
      </c>
      <c r="J986" t="s">
        <v>502</v>
      </c>
    </row>
    <row r="987" spans="2:10">
      <c r="B987" t="s">
        <v>503</v>
      </c>
      <c r="C987" t="s">
        <v>504</v>
      </c>
      <c r="D987" t="s">
        <v>244</v>
      </c>
      <c r="E987" t="s">
        <v>501</v>
      </c>
      <c r="F987" t="s">
        <v>270</v>
      </c>
      <c r="G987" t="s">
        <v>229</v>
      </c>
      <c r="H987">
        <v>233</v>
      </c>
      <c r="I987" t="str">
        <f t="shared" si="14"/>
        <v>Regional Shopping Centers|A-B|Good</v>
      </c>
      <c r="J987" t="s">
        <v>502</v>
      </c>
    </row>
    <row r="988" spans="2:10">
      <c r="B988" t="s">
        <v>503</v>
      </c>
      <c r="C988" t="s">
        <v>504</v>
      </c>
      <c r="D988" t="s">
        <v>244</v>
      </c>
      <c r="E988" t="s">
        <v>501</v>
      </c>
      <c r="F988" t="s">
        <v>209</v>
      </c>
      <c r="G988" t="s">
        <v>231</v>
      </c>
      <c r="H988">
        <v>238</v>
      </c>
      <c r="I988" t="str">
        <f t="shared" si="14"/>
        <v>Regional Shopping Centers|C|Excellent</v>
      </c>
      <c r="J988" t="s">
        <v>502</v>
      </c>
    </row>
    <row r="989" spans="2:10">
      <c r="B989" t="s">
        <v>503</v>
      </c>
      <c r="C989" t="s">
        <v>504</v>
      </c>
      <c r="D989" t="s">
        <v>244</v>
      </c>
      <c r="E989" t="s">
        <v>501</v>
      </c>
      <c r="F989" t="s">
        <v>209</v>
      </c>
      <c r="G989" t="s">
        <v>229</v>
      </c>
      <c r="H989">
        <v>189</v>
      </c>
      <c r="I989" t="str">
        <f t="shared" si="14"/>
        <v>Regional Shopping Centers|C|Good</v>
      </c>
      <c r="J989" t="s">
        <v>502</v>
      </c>
    </row>
    <row r="990" spans="2:10">
      <c r="B990" t="s">
        <v>503</v>
      </c>
      <c r="C990" t="s">
        <v>504</v>
      </c>
      <c r="D990" t="s">
        <v>244</v>
      </c>
      <c r="E990" t="s">
        <v>501</v>
      </c>
      <c r="F990" t="s">
        <v>209</v>
      </c>
      <c r="G990" t="s">
        <v>44</v>
      </c>
      <c r="H990">
        <v>153</v>
      </c>
      <c r="I990" t="str">
        <f t="shared" ref="I990:I1053" si="15">B990&amp;"|"&amp;F990&amp;"|"&amp;G990</f>
        <v>Regional Shopping Centers|C|Average</v>
      </c>
      <c r="J990" t="s">
        <v>502</v>
      </c>
    </row>
    <row r="991" spans="2:10">
      <c r="B991" t="s">
        <v>503</v>
      </c>
      <c r="C991" t="s">
        <v>504</v>
      </c>
      <c r="D991" t="s">
        <v>244</v>
      </c>
      <c r="E991" t="s">
        <v>501</v>
      </c>
      <c r="F991" t="s">
        <v>214</v>
      </c>
      <c r="G991" t="s">
        <v>231</v>
      </c>
      <c r="H991">
        <v>223</v>
      </c>
      <c r="I991" t="str">
        <f t="shared" si="15"/>
        <v>Regional Shopping Centers|D|Excellent</v>
      </c>
      <c r="J991" t="s">
        <v>502</v>
      </c>
    </row>
    <row r="992" spans="2:10">
      <c r="B992" t="s">
        <v>503</v>
      </c>
      <c r="C992" t="s">
        <v>504</v>
      </c>
      <c r="D992" t="s">
        <v>244</v>
      </c>
      <c r="E992" t="s">
        <v>501</v>
      </c>
      <c r="F992" t="s">
        <v>214</v>
      </c>
      <c r="G992" t="s">
        <v>229</v>
      </c>
      <c r="H992">
        <v>176</v>
      </c>
      <c r="I992" t="str">
        <f t="shared" si="15"/>
        <v>Regional Shopping Centers|D|Good</v>
      </c>
      <c r="J992" t="s">
        <v>502</v>
      </c>
    </row>
    <row r="993" spans="2:10">
      <c r="B993" t="s">
        <v>503</v>
      </c>
      <c r="C993" t="s">
        <v>504</v>
      </c>
      <c r="D993" t="s">
        <v>244</v>
      </c>
      <c r="E993" t="s">
        <v>501</v>
      </c>
      <c r="F993" t="s">
        <v>214</v>
      </c>
      <c r="G993" t="s">
        <v>44</v>
      </c>
      <c r="H993">
        <v>142</v>
      </c>
      <c r="I993" t="str">
        <f t="shared" si="15"/>
        <v>Regional Shopping Centers|D|Average</v>
      </c>
      <c r="J993" t="s">
        <v>502</v>
      </c>
    </row>
    <row r="994" spans="2:10">
      <c r="B994" t="s">
        <v>503</v>
      </c>
      <c r="C994" t="s">
        <v>504</v>
      </c>
      <c r="D994" t="s">
        <v>244</v>
      </c>
      <c r="E994" t="s">
        <v>501</v>
      </c>
      <c r="F994" t="s">
        <v>219</v>
      </c>
      <c r="G994" t="s">
        <v>44</v>
      </c>
      <c r="H994">
        <v>142</v>
      </c>
      <c r="I994" t="str">
        <f t="shared" si="15"/>
        <v>Regional Shopping Centers|S|Average</v>
      </c>
      <c r="J994" t="s">
        <v>502</v>
      </c>
    </row>
    <row r="995" spans="2:10">
      <c r="B995" t="s">
        <v>505</v>
      </c>
      <c r="C995" t="s">
        <v>506</v>
      </c>
      <c r="D995" t="s">
        <v>244</v>
      </c>
      <c r="E995" t="s">
        <v>507</v>
      </c>
      <c r="F995" t="s">
        <v>270</v>
      </c>
      <c r="G995" t="s">
        <v>231</v>
      </c>
      <c r="H995">
        <v>118</v>
      </c>
      <c r="I995" t="str">
        <f t="shared" si="15"/>
        <v>Regional Shopping Center Shell Buildings|A-B|Excellent</v>
      </c>
      <c r="J995" t="s">
        <v>508</v>
      </c>
    </row>
    <row r="996" spans="2:10">
      <c r="B996" t="s">
        <v>505</v>
      </c>
      <c r="C996" t="s">
        <v>506</v>
      </c>
      <c r="D996" t="s">
        <v>244</v>
      </c>
      <c r="E996" t="s">
        <v>507</v>
      </c>
      <c r="F996" t="s">
        <v>270</v>
      </c>
      <c r="G996" t="s">
        <v>229</v>
      </c>
      <c r="H996">
        <v>108</v>
      </c>
      <c r="I996" t="str">
        <f t="shared" si="15"/>
        <v>Regional Shopping Center Shell Buildings|A-B|Good</v>
      </c>
      <c r="J996" t="s">
        <v>508</v>
      </c>
    </row>
    <row r="997" spans="2:10">
      <c r="B997" t="s">
        <v>505</v>
      </c>
      <c r="C997" t="s">
        <v>506</v>
      </c>
      <c r="D997" t="s">
        <v>244</v>
      </c>
      <c r="E997" t="s">
        <v>507</v>
      </c>
      <c r="F997" t="s">
        <v>209</v>
      </c>
      <c r="G997" t="s">
        <v>231</v>
      </c>
      <c r="H997">
        <v>79</v>
      </c>
      <c r="I997" t="str">
        <f t="shared" si="15"/>
        <v>Regional Shopping Center Shell Buildings|C|Excellent</v>
      </c>
      <c r="J997" t="s">
        <v>508</v>
      </c>
    </row>
    <row r="998" spans="2:10">
      <c r="B998" t="s">
        <v>505</v>
      </c>
      <c r="C998" t="s">
        <v>506</v>
      </c>
      <c r="D998" t="s">
        <v>244</v>
      </c>
      <c r="E998" t="s">
        <v>507</v>
      </c>
      <c r="F998" t="s">
        <v>209</v>
      </c>
      <c r="G998" t="s">
        <v>229</v>
      </c>
      <c r="H998">
        <v>70</v>
      </c>
      <c r="I998" t="str">
        <f t="shared" si="15"/>
        <v>Regional Shopping Center Shell Buildings|C|Good</v>
      </c>
      <c r="J998" t="s">
        <v>508</v>
      </c>
    </row>
    <row r="999" spans="2:10">
      <c r="B999" t="s">
        <v>505</v>
      </c>
      <c r="C999" t="s">
        <v>506</v>
      </c>
      <c r="D999" t="s">
        <v>244</v>
      </c>
      <c r="E999" t="s">
        <v>507</v>
      </c>
      <c r="F999" t="s">
        <v>209</v>
      </c>
      <c r="G999" t="s">
        <v>44</v>
      </c>
      <c r="H999">
        <v>62</v>
      </c>
      <c r="I999" t="str">
        <f t="shared" si="15"/>
        <v>Regional Shopping Center Shell Buildings|C|Average</v>
      </c>
      <c r="J999" t="s">
        <v>508</v>
      </c>
    </row>
    <row r="1000" spans="2:10">
      <c r="B1000" t="s">
        <v>505</v>
      </c>
      <c r="C1000" t="s">
        <v>506</v>
      </c>
      <c r="D1000" t="s">
        <v>244</v>
      </c>
      <c r="E1000" t="s">
        <v>507</v>
      </c>
      <c r="F1000" t="s">
        <v>214</v>
      </c>
      <c r="G1000" t="s">
        <v>229</v>
      </c>
      <c r="H1000">
        <v>60</v>
      </c>
      <c r="I1000" t="str">
        <f t="shared" si="15"/>
        <v>Regional Shopping Center Shell Buildings|D|Good</v>
      </c>
      <c r="J1000" t="s">
        <v>508</v>
      </c>
    </row>
    <row r="1001" spans="2:10">
      <c r="B1001" t="s">
        <v>505</v>
      </c>
      <c r="C1001" t="s">
        <v>506</v>
      </c>
      <c r="D1001" t="s">
        <v>244</v>
      </c>
      <c r="E1001" t="s">
        <v>507</v>
      </c>
      <c r="F1001" t="s">
        <v>214</v>
      </c>
      <c r="G1001" t="s">
        <v>44</v>
      </c>
      <c r="H1001">
        <v>53</v>
      </c>
      <c r="I1001" t="str">
        <f t="shared" si="15"/>
        <v>Regional Shopping Center Shell Buildings|D|Average</v>
      </c>
      <c r="J1001" t="s">
        <v>508</v>
      </c>
    </row>
    <row r="1002" spans="2:10">
      <c r="B1002" t="s">
        <v>505</v>
      </c>
      <c r="C1002" t="s">
        <v>506</v>
      </c>
      <c r="D1002" t="s">
        <v>244</v>
      </c>
      <c r="E1002" t="s">
        <v>507</v>
      </c>
      <c r="F1002" t="s">
        <v>219</v>
      </c>
      <c r="G1002" t="s">
        <v>44</v>
      </c>
      <c r="H1002">
        <v>50.5</v>
      </c>
      <c r="I1002" t="str">
        <f t="shared" si="15"/>
        <v>Regional Shopping Center Shell Buildings|S|Average</v>
      </c>
      <c r="J1002" t="s">
        <v>508</v>
      </c>
    </row>
    <row r="1003" spans="2:10">
      <c r="B1003" t="s">
        <v>509</v>
      </c>
      <c r="C1003" t="s">
        <v>510</v>
      </c>
      <c r="D1003" t="s">
        <v>244</v>
      </c>
      <c r="E1003" t="s">
        <v>507</v>
      </c>
      <c r="F1003" t="s">
        <v>209</v>
      </c>
      <c r="G1003" t="s">
        <v>231</v>
      </c>
      <c r="H1003">
        <v>107</v>
      </c>
      <c r="I1003" t="str">
        <f t="shared" si="15"/>
        <v>Community Shopping Center Shell Buildings|C|Excellent</v>
      </c>
      <c r="J1003" t="s">
        <v>508</v>
      </c>
    </row>
    <row r="1004" spans="2:10">
      <c r="B1004" t="s">
        <v>509</v>
      </c>
      <c r="C1004" t="s">
        <v>510</v>
      </c>
      <c r="D1004" t="s">
        <v>244</v>
      </c>
      <c r="E1004" t="s">
        <v>507</v>
      </c>
      <c r="F1004" t="s">
        <v>209</v>
      </c>
      <c r="G1004" t="s">
        <v>229</v>
      </c>
      <c r="H1004">
        <v>86</v>
      </c>
      <c r="I1004" t="str">
        <f t="shared" si="15"/>
        <v>Community Shopping Center Shell Buildings|C|Good</v>
      </c>
      <c r="J1004" t="s">
        <v>508</v>
      </c>
    </row>
    <row r="1005" spans="2:10">
      <c r="B1005" t="s">
        <v>509</v>
      </c>
      <c r="C1005" t="s">
        <v>510</v>
      </c>
      <c r="D1005" t="s">
        <v>244</v>
      </c>
      <c r="E1005" t="s">
        <v>507</v>
      </c>
      <c r="F1005" t="s">
        <v>209</v>
      </c>
      <c r="G1005" t="s">
        <v>44</v>
      </c>
      <c r="H1005">
        <v>69</v>
      </c>
      <c r="I1005" t="str">
        <f t="shared" si="15"/>
        <v>Community Shopping Center Shell Buildings|C|Average</v>
      </c>
      <c r="J1005" t="s">
        <v>508</v>
      </c>
    </row>
    <row r="1006" spans="2:10">
      <c r="B1006" t="s">
        <v>509</v>
      </c>
      <c r="C1006" t="s">
        <v>510</v>
      </c>
      <c r="D1006" t="s">
        <v>244</v>
      </c>
      <c r="E1006" t="s">
        <v>507</v>
      </c>
      <c r="F1006" t="s">
        <v>214</v>
      </c>
      <c r="G1006" t="s">
        <v>231</v>
      </c>
      <c r="H1006">
        <v>98</v>
      </c>
      <c r="I1006" t="str">
        <f t="shared" si="15"/>
        <v>Community Shopping Center Shell Buildings|D|Excellent</v>
      </c>
      <c r="J1006" t="s">
        <v>508</v>
      </c>
    </row>
    <row r="1007" spans="2:10">
      <c r="B1007" t="s">
        <v>509</v>
      </c>
      <c r="C1007" t="s">
        <v>510</v>
      </c>
      <c r="D1007" t="s">
        <v>244</v>
      </c>
      <c r="E1007" t="s">
        <v>507</v>
      </c>
      <c r="F1007" t="s">
        <v>214</v>
      </c>
      <c r="G1007" t="s">
        <v>229</v>
      </c>
      <c r="H1007">
        <v>78</v>
      </c>
      <c r="I1007" t="str">
        <f t="shared" si="15"/>
        <v>Community Shopping Center Shell Buildings|D|Good</v>
      </c>
      <c r="J1007" t="s">
        <v>508</v>
      </c>
    </row>
    <row r="1008" spans="2:10">
      <c r="B1008" t="s">
        <v>509</v>
      </c>
      <c r="C1008" t="s">
        <v>510</v>
      </c>
      <c r="D1008" t="s">
        <v>244</v>
      </c>
      <c r="E1008" t="s">
        <v>507</v>
      </c>
      <c r="F1008" t="s">
        <v>214</v>
      </c>
      <c r="G1008" t="s">
        <v>44</v>
      </c>
      <c r="H1008">
        <v>62</v>
      </c>
      <c r="I1008" t="str">
        <f t="shared" si="15"/>
        <v>Community Shopping Center Shell Buildings|D|Average</v>
      </c>
      <c r="J1008" t="s">
        <v>508</v>
      </c>
    </row>
    <row r="1009" spans="2:10">
      <c r="B1009" t="s">
        <v>509</v>
      </c>
      <c r="C1009" t="s">
        <v>510</v>
      </c>
      <c r="D1009" t="s">
        <v>244</v>
      </c>
      <c r="E1009" t="s">
        <v>507</v>
      </c>
      <c r="F1009" t="s">
        <v>219</v>
      </c>
      <c r="G1009" t="s">
        <v>44</v>
      </c>
      <c r="H1009">
        <v>58</v>
      </c>
      <c r="I1009" t="str">
        <f t="shared" si="15"/>
        <v>Community Shopping Center Shell Buildings|S|Average</v>
      </c>
      <c r="J1009" t="s">
        <v>508</v>
      </c>
    </row>
    <row r="1010" spans="2:10">
      <c r="B1010" t="s">
        <v>511</v>
      </c>
      <c r="C1010" t="s">
        <v>512</v>
      </c>
      <c r="D1010" t="s">
        <v>244</v>
      </c>
      <c r="E1010" t="s">
        <v>513</v>
      </c>
      <c r="F1010" t="s">
        <v>209</v>
      </c>
      <c r="G1010" t="s">
        <v>229</v>
      </c>
      <c r="H1010">
        <v>76</v>
      </c>
      <c r="I1010" t="str">
        <f t="shared" si="15"/>
        <v>Neighborhood Shopping Center Shell Buildings|C|Good</v>
      </c>
      <c r="J1010" t="s">
        <v>514</v>
      </c>
    </row>
    <row r="1011" spans="2:10">
      <c r="B1011" t="s">
        <v>511</v>
      </c>
      <c r="C1011" t="s">
        <v>512</v>
      </c>
      <c r="D1011" t="s">
        <v>244</v>
      </c>
      <c r="E1011" t="s">
        <v>513</v>
      </c>
      <c r="F1011" t="s">
        <v>209</v>
      </c>
      <c r="G1011" t="s">
        <v>44</v>
      </c>
      <c r="H1011">
        <v>62</v>
      </c>
      <c r="I1011" t="str">
        <f t="shared" si="15"/>
        <v>Neighborhood Shopping Center Shell Buildings|C|Average</v>
      </c>
      <c r="J1011" t="s">
        <v>514</v>
      </c>
    </row>
    <row r="1012" spans="2:10">
      <c r="B1012" t="s">
        <v>511</v>
      </c>
      <c r="C1012" t="s">
        <v>512</v>
      </c>
      <c r="D1012" t="s">
        <v>244</v>
      </c>
      <c r="E1012" t="s">
        <v>513</v>
      </c>
      <c r="F1012" t="s">
        <v>209</v>
      </c>
      <c r="G1012" t="s">
        <v>226</v>
      </c>
      <c r="H1012">
        <v>50.5</v>
      </c>
      <c r="I1012" t="str">
        <f t="shared" si="15"/>
        <v>Neighborhood Shopping Center Shell Buildings|C|Low Cost</v>
      </c>
      <c r="J1012" t="s">
        <v>514</v>
      </c>
    </row>
    <row r="1013" spans="2:10">
      <c r="B1013" t="s">
        <v>511</v>
      </c>
      <c r="C1013" t="s">
        <v>512</v>
      </c>
      <c r="D1013" t="s">
        <v>244</v>
      </c>
      <c r="E1013" t="s">
        <v>513</v>
      </c>
      <c r="F1013" t="s">
        <v>209</v>
      </c>
      <c r="G1013" t="s">
        <v>314</v>
      </c>
      <c r="H1013">
        <v>37.25</v>
      </c>
      <c r="I1013" t="str">
        <f t="shared" si="15"/>
        <v>Neighborhood Shopping Center Shell Buildings|C|Cheap</v>
      </c>
      <c r="J1013" t="s">
        <v>514</v>
      </c>
    </row>
    <row r="1014" spans="2:10">
      <c r="B1014" t="s">
        <v>511</v>
      </c>
      <c r="C1014" t="s">
        <v>512</v>
      </c>
      <c r="D1014" t="s">
        <v>244</v>
      </c>
      <c r="E1014" t="s">
        <v>513</v>
      </c>
      <c r="F1014" t="s">
        <v>214</v>
      </c>
      <c r="G1014" t="s">
        <v>44</v>
      </c>
      <c r="H1014">
        <v>55</v>
      </c>
      <c r="I1014" t="str">
        <f t="shared" si="15"/>
        <v>Neighborhood Shopping Center Shell Buildings|D|Average</v>
      </c>
      <c r="J1014" t="s">
        <v>514</v>
      </c>
    </row>
    <row r="1015" spans="2:10">
      <c r="B1015" t="s">
        <v>511</v>
      </c>
      <c r="C1015" t="s">
        <v>512</v>
      </c>
      <c r="D1015" t="s">
        <v>244</v>
      </c>
      <c r="E1015" t="s">
        <v>513</v>
      </c>
      <c r="F1015" t="s">
        <v>214</v>
      </c>
      <c r="G1015" t="s">
        <v>226</v>
      </c>
      <c r="H1015">
        <v>44.25</v>
      </c>
      <c r="I1015" t="str">
        <f t="shared" si="15"/>
        <v>Neighborhood Shopping Center Shell Buildings|D|Low Cost</v>
      </c>
      <c r="J1015" t="s">
        <v>514</v>
      </c>
    </row>
    <row r="1016" spans="2:10">
      <c r="B1016" t="s">
        <v>511</v>
      </c>
      <c r="C1016" t="s">
        <v>512</v>
      </c>
      <c r="D1016" t="s">
        <v>244</v>
      </c>
      <c r="E1016" t="s">
        <v>513</v>
      </c>
      <c r="F1016" t="s">
        <v>214</v>
      </c>
      <c r="G1016" t="s">
        <v>314</v>
      </c>
      <c r="H1016">
        <v>31.5</v>
      </c>
      <c r="I1016" t="str">
        <f t="shared" si="15"/>
        <v>Neighborhood Shopping Center Shell Buildings|D|Cheap</v>
      </c>
      <c r="J1016" t="s">
        <v>514</v>
      </c>
    </row>
    <row r="1017" spans="2:10">
      <c r="B1017" t="s">
        <v>511</v>
      </c>
      <c r="C1017" t="s">
        <v>512</v>
      </c>
      <c r="D1017" t="s">
        <v>244</v>
      </c>
      <c r="E1017" t="s">
        <v>513</v>
      </c>
      <c r="F1017" t="s">
        <v>313</v>
      </c>
      <c r="G1017" t="s">
        <v>226</v>
      </c>
      <c r="H1017">
        <v>38.5</v>
      </c>
      <c r="I1017" t="str">
        <f t="shared" si="15"/>
        <v>Neighborhood Shopping Center Shell Buildings|DPOLE|Low Cost</v>
      </c>
      <c r="J1017" t="s">
        <v>514</v>
      </c>
    </row>
    <row r="1018" spans="2:10">
      <c r="B1018" t="s">
        <v>511</v>
      </c>
      <c r="C1018" t="s">
        <v>512</v>
      </c>
      <c r="D1018" t="s">
        <v>244</v>
      </c>
      <c r="E1018" t="s">
        <v>513</v>
      </c>
      <c r="F1018" t="s">
        <v>313</v>
      </c>
      <c r="G1018" t="s">
        <v>314</v>
      </c>
      <c r="H1018">
        <v>25.5</v>
      </c>
      <c r="I1018" t="str">
        <f t="shared" si="15"/>
        <v>Neighborhood Shopping Center Shell Buildings|DPOLE|Cheap</v>
      </c>
      <c r="J1018" t="s">
        <v>514</v>
      </c>
    </row>
    <row r="1019" spans="2:10">
      <c r="B1019" t="s">
        <v>511</v>
      </c>
      <c r="C1019" t="s">
        <v>512</v>
      </c>
      <c r="D1019" t="s">
        <v>244</v>
      </c>
      <c r="E1019" t="s">
        <v>513</v>
      </c>
      <c r="F1019" t="s">
        <v>219</v>
      </c>
      <c r="G1019" t="s">
        <v>44</v>
      </c>
      <c r="H1019">
        <v>51</v>
      </c>
      <c r="I1019" t="str">
        <f t="shared" si="15"/>
        <v>Neighborhood Shopping Center Shell Buildings|S|Average</v>
      </c>
      <c r="J1019" t="s">
        <v>514</v>
      </c>
    </row>
    <row r="1020" spans="2:10">
      <c r="B1020" t="s">
        <v>511</v>
      </c>
      <c r="C1020" t="s">
        <v>512</v>
      </c>
      <c r="D1020" t="s">
        <v>244</v>
      </c>
      <c r="E1020" t="s">
        <v>513</v>
      </c>
      <c r="F1020" t="s">
        <v>219</v>
      </c>
      <c r="G1020" t="s">
        <v>226</v>
      </c>
      <c r="H1020">
        <v>41.25</v>
      </c>
      <c r="I1020" t="str">
        <f t="shared" si="15"/>
        <v>Neighborhood Shopping Center Shell Buildings|S|Low Cost</v>
      </c>
      <c r="J1020" t="s">
        <v>514</v>
      </c>
    </row>
    <row r="1021" spans="2:10">
      <c r="B1021" t="s">
        <v>511</v>
      </c>
      <c r="C1021" t="s">
        <v>512</v>
      </c>
      <c r="D1021" t="s">
        <v>244</v>
      </c>
      <c r="E1021" t="s">
        <v>513</v>
      </c>
      <c r="F1021" t="s">
        <v>219</v>
      </c>
      <c r="G1021" t="s">
        <v>314</v>
      </c>
      <c r="H1021">
        <v>27.75</v>
      </c>
      <c r="I1021" t="str">
        <f t="shared" si="15"/>
        <v>Neighborhood Shopping Center Shell Buildings|S|Cheap</v>
      </c>
      <c r="J1021" t="s">
        <v>514</v>
      </c>
    </row>
    <row r="1022" spans="2:10">
      <c r="B1022" t="s">
        <v>515</v>
      </c>
      <c r="C1022" t="s">
        <v>516</v>
      </c>
      <c r="D1022" t="s">
        <v>248</v>
      </c>
      <c r="E1022" t="s">
        <v>244</v>
      </c>
      <c r="F1022" t="s">
        <v>270</v>
      </c>
      <c r="G1022" t="s">
        <v>231</v>
      </c>
      <c r="H1022">
        <v>228</v>
      </c>
      <c r="I1022" t="str">
        <f t="shared" si="15"/>
        <v>Lofts|A-B|Excellent</v>
      </c>
      <c r="J1022" t="s">
        <v>517</v>
      </c>
    </row>
    <row r="1023" spans="2:10">
      <c r="B1023" t="s">
        <v>515</v>
      </c>
      <c r="C1023" t="s">
        <v>516</v>
      </c>
      <c r="D1023" t="s">
        <v>248</v>
      </c>
      <c r="E1023" t="s">
        <v>244</v>
      </c>
      <c r="F1023" t="s">
        <v>270</v>
      </c>
      <c r="G1023" t="s">
        <v>229</v>
      </c>
      <c r="H1023">
        <v>174</v>
      </c>
      <c r="I1023" t="str">
        <f t="shared" si="15"/>
        <v>Lofts|A-B|Good</v>
      </c>
      <c r="J1023" t="s">
        <v>517</v>
      </c>
    </row>
    <row r="1024" spans="2:10">
      <c r="B1024" t="s">
        <v>515</v>
      </c>
      <c r="C1024" t="s">
        <v>516</v>
      </c>
      <c r="D1024" t="s">
        <v>248</v>
      </c>
      <c r="E1024" t="s">
        <v>244</v>
      </c>
      <c r="F1024" t="s">
        <v>270</v>
      </c>
      <c r="G1024" t="s">
        <v>44</v>
      </c>
      <c r="H1024">
        <v>135</v>
      </c>
      <c r="I1024" t="str">
        <f t="shared" si="15"/>
        <v>Lofts|A-B|Average</v>
      </c>
      <c r="J1024" t="s">
        <v>517</v>
      </c>
    </row>
    <row r="1025" spans="2:10">
      <c r="B1025" t="s">
        <v>515</v>
      </c>
      <c r="C1025" t="s">
        <v>516</v>
      </c>
      <c r="D1025" t="s">
        <v>248</v>
      </c>
      <c r="E1025" t="s">
        <v>244</v>
      </c>
      <c r="F1025" t="s">
        <v>270</v>
      </c>
      <c r="G1025" t="s">
        <v>226</v>
      </c>
      <c r="H1025">
        <v>106</v>
      </c>
      <c r="I1025" t="str">
        <f t="shared" si="15"/>
        <v>Lofts|A-B|Low Cost</v>
      </c>
      <c r="J1025" t="s">
        <v>517</v>
      </c>
    </row>
    <row r="1026" spans="2:10">
      <c r="B1026" t="s">
        <v>515</v>
      </c>
      <c r="C1026" t="s">
        <v>516</v>
      </c>
      <c r="D1026" t="s">
        <v>248</v>
      </c>
      <c r="E1026" t="s">
        <v>244</v>
      </c>
      <c r="F1026" t="s">
        <v>209</v>
      </c>
      <c r="G1026" t="s">
        <v>229</v>
      </c>
      <c r="H1026">
        <v>141</v>
      </c>
      <c r="I1026" t="str">
        <f t="shared" si="15"/>
        <v>Lofts|C|Good</v>
      </c>
      <c r="J1026" t="s">
        <v>517</v>
      </c>
    </row>
    <row r="1027" spans="2:10">
      <c r="B1027" t="s">
        <v>515</v>
      </c>
      <c r="C1027" t="s">
        <v>516</v>
      </c>
      <c r="D1027" t="s">
        <v>248</v>
      </c>
      <c r="E1027" t="s">
        <v>244</v>
      </c>
      <c r="F1027" t="s">
        <v>209</v>
      </c>
      <c r="G1027" t="s">
        <v>44</v>
      </c>
      <c r="H1027">
        <v>102</v>
      </c>
      <c r="I1027" t="str">
        <f t="shared" si="15"/>
        <v>Lofts|C|Average</v>
      </c>
      <c r="J1027" t="s">
        <v>517</v>
      </c>
    </row>
    <row r="1028" spans="2:10">
      <c r="B1028" t="s">
        <v>515</v>
      </c>
      <c r="C1028" t="s">
        <v>516</v>
      </c>
      <c r="D1028" t="s">
        <v>248</v>
      </c>
      <c r="E1028" t="s">
        <v>244</v>
      </c>
      <c r="F1028" t="s">
        <v>209</v>
      </c>
      <c r="G1028" t="s">
        <v>226</v>
      </c>
      <c r="H1028">
        <v>69</v>
      </c>
      <c r="I1028" t="str">
        <f t="shared" si="15"/>
        <v>Lofts|C|Low Cost</v>
      </c>
      <c r="J1028" t="s">
        <v>517</v>
      </c>
    </row>
    <row r="1029" spans="2:10">
      <c r="B1029" t="s">
        <v>515</v>
      </c>
      <c r="C1029" t="s">
        <v>516</v>
      </c>
      <c r="D1029" t="s">
        <v>248</v>
      </c>
      <c r="E1029" t="s">
        <v>244</v>
      </c>
      <c r="F1029" t="s">
        <v>266</v>
      </c>
      <c r="G1029" t="s">
        <v>44</v>
      </c>
      <c r="H1029">
        <v>128</v>
      </c>
      <c r="I1029" t="str">
        <f t="shared" si="15"/>
        <v>Lofts|CMILL|Average</v>
      </c>
      <c r="J1029" t="s">
        <v>517</v>
      </c>
    </row>
    <row r="1030" spans="2:10">
      <c r="B1030" t="s">
        <v>515</v>
      </c>
      <c r="C1030" t="s">
        <v>516</v>
      </c>
      <c r="D1030" t="s">
        <v>248</v>
      </c>
      <c r="E1030" t="s">
        <v>244</v>
      </c>
      <c r="F1030" t="s">
        <v>214</v>
      </c>
      <c r="G1030" t="s">
        <v>44</v>
      </c>
      <c r="H1030">
        <v>94.5</v>
      </c>
      <c r="I1030" t="str">
        <f t="shared" si="15"/>
        <v>Lofts|D|Average</v>
      </c>
      <c r="J1030" t="s">
        <v>517</v>
      </c>
    </row>
    <row r="1031" spans="2:10">
      <c r="B1031" t="s">
        <v>515</v>
      </c>
      <c r="C1031" t="s">
        <v>516</v>
      </c>
      <c r="D1031" t="s">
        <v>248</v>
      </c>
      <c r="E1031" t="s">
        <v>244</v>
      </c>
      <c r="F1031" t="s">
        <v>214</v>
      </c>
      <c r="G1031" t="s">
        <v>226</v>
      </c>
      <c r="H1031">
        <v>63.5</v>
      </c>
      <c r="I1031" t="str">
        <f t="shared" si="15"/>
        <v>Lofts|D|Low Cost</v>
      </c>
      <c r="J1031" t="s">
        <v>517</v>
      </c>
    </row>
    <row r="1032" spans="2:10">
      <c r="B1032" t="s">
        <v>515</v>
      </c>
      <c r="C1032" t="s">
        <v>516</v>
      </c>
      <c r="D1032" t="s">
        <v>248</v>
      </c>
      <c r="E1032" t="s">
        <v>244</v>
      </c>
      <c r="F1032" t="s">
        <v>219</v>
      </c>
      <c r="G1032" t="s">
        <v>44</v>
      </c>
      <c r="H1032">
        <v>96</v>
      </c>
      <c r="I1032" t="str">
        <f t="shared" si="15"/>
        <v>Lofts|S|Average</v>
      </c>
      <c r="J1032" t="s">
        <v>517</v>
      </c>
    </row>
    <row r="1033" spans="2:10">
      <c r="B1033" t="s">
        <v>518</v>
      </c>
      <c r="C1033" t="s">
        <v>519</v>
      </c>
      <c r="D1033" t="s">
        <v>248</v>
      </c>
      <c r="E1033" t="s">
        <v>244</v>
      </c>
      <c r="F1033" t="s">
        <v>209</v>
      </c>
      <c r="G1033" t="s">
        <v>229</v>
      </c>
      <c r="H1033">
        <v>102</v>
      </c>
      <c r="I1033" t="str">
        <f t="shared" si="15"/>
        <v>Industrial Flex (Mall) Buildings|C|Good</v>
      </c>
      <c r="J1033" t="s">
        <v>517</v>
      </c>
    </row>
    <row r="1034" spans="2:10">
      <c r="B1034" t="s">
        <v>518</v>
      </c>
      <c r="C1034" t="s">
        <v>519</v>
      </c>
      <c r="D1034" t="s">
        <v>248</v>
      </c>
      <c r="E1034" t="s">
        <v>244</v>
      </c>
      <c r="F1034" t="s">
        <v>209</v>
      </c>
      <c r="G1034" t="s">
        <v>44</v>
      </c>
      <c r="H1034">
        <v>72</v>
      </c>
      <c r="I1034" t="str">
        <f t="shared" si="15"/>
        <v>Industrial Flex (Mall) Buildings|C|Average</v>
      </c>
      <c r="J1034" t="s">
        <v>517</v>
      </c>
    </row>
    <row r="1035" spans="2:10">
      <c r="B1035" t="s">
        <v>518</v>
      </c>
      <c r="C1035" t="s">
        <v>519</v>
      </c>
      <c r="D1035" t="s">
        <v>248</v>
      </c>
      <c r="E1035" t="s">
        <v>244</v>
      </c>
      <c r="F1035" t="s">
        <v>209</v>
      </c>
      <c r="G1035" t="s">
        <v>226</v>
      </c>
      <c r="H1035">
        <v>51</v>
      </c>
      <c r="I1035" t="str">
        <f t="shared" si="15"/>
        <v>Industrial Flex (Mall) Buildings|C|Low Cost</v>
      </c>
      <c r="J1035" t="s">
        <v>517</v>
      </c>
    </row>
    <row r="1036" spans="2:10">
      <c r="B1036" t="s">
        <v>518</v>
      </c>
      <c r="C1036" t="s">
        <v>519</v>
      </c>
      <c r="D1036" t="s">
        <v>248</v>
      </c>
      <c r="E1036" t="s">
        <v>244</v>
      </c>
      <c r="F1036" t="s">
        <v>214</v>
      </c>
      <c r="G1036" t="s">
        <v>44</v>
      </c>
      <c r="H1036">
        <v>66.5</v>
      </c>
      <c r="I1036" t="str">
        <f t="shared" si="15"/>
        <v>Industrial Flex (Mall) Buildings|D|Average</v>
      </c>
      <c r="J1036" t="s">
        <v>517</v>
      </c>
    </row>
    <row r="1037" spans="2:10">
      <c r="B1037" t="s">
        <v>518</v>
      </c>
      <c r="C1037" t="s">
        <v>519</v>
      </c>
      <c r="D1037" t="s">
        <v>248</v>
      </c>
      <c r="E1037" t="s">
        <v>244</v>
      </c>
      <c r="F1037" t="s">
        <v>214</v>
      </c>
      <c r="G1037" t="s">
        <v>226</v>
      </c>
      <c r="H1037">
        <v>46.5</v>
      </c>
      <c r="I1037" t="str">
        <f t="shared" si="15"/>
        <v>Industrial Flex (Mall) Buildings|D|Low Cost</v>
      </c>
      <c r="J1037" t="s">
        <v>517</v>
      </c>
    </row>
    <row r="1038" spans="2:10">
      <c r="B1038" t="s">
        <v>518</v>
      </c>
      <c r="C1038" t="s">
        <v>519</v>
      </c>
      <c r="D1038" t="s">
        <v>248</v>
      </c>
      <c r="E1038" t="s">
        <v>244</v>
      </c>
      <c r="F1038" t="s">
        <v>313</v>
      </c>
      <c r="G1038" t="s">
        <v>44</v>
      </c>
      <c r="H1038">
        <v>62</v>
      </c>
      <c r="I1038" t="str">
        <f t="shared" si="15"/>
        <v>Industrial Flex (Mall) Buildings|DPOLE|Average</v>
      </c>
      <c r="J1038" t="s">
        <v>517</v>
      </c>
    </row>
    <row r="1039" spans="2:10">
      <c r="B1039" t="s">
        <v>518</v>
      </c>
      <c r="C1039" t="s">
        <v>519</v>
      </c>
      <c r="D1039" t="s">
        <v>248</v>
      </c>
      <c r="E1039" t="s">
        <v>244</v>
      </c>
      <c r="F1039" t="s">
        <v>313</v>
      </c>
      <c r="G1039" t="s">
        <v>226</v>
      </c>
      <c r="H1039">
        <v>43</v>
      </c>
      <c r="I1039" t="str">
        <f t="shared" si="15"/>
        <v>Industrial Flex (Mall) Buildings|DPOLE|Low Cost</v>
      </c>
      <c r="J1039" t="s">
        <v>517</v>
      </c>
    </row>
    <row r="1040" spans="2:10">
      <c r="B1040" t="s">
        <v>518</v>
      </c>
      <c r="C1040" t="s">
        <v>519</v>
      </c>
      <c r="D1040" t="s">
        <v>248</v>
      </c>
      <c r="E1040" t="s">
        <v>244</v>
      </c>
      <c r="F1040" t="s">
        <v>219</v>
      </c>
      <c r="G1040" t="s">
        <v>229</v>
      </c>
      <c r="H1040">
        <v>96.5</v>
      </c>
      <c r="I1040" t="str">
        <f t="shared" si="15"/>
        <v>Industrial Flex (Mall) Buildings|S|Good</v>
      </c>
      <c r="J1040" t="s">
        <v>517</v>
      </c>
    </row>
    <row r="1041" spans="2:10">
      <c r="B1041" t="s">
        <v>518</v>
      </c>
      <c r="C1041" t="s">
        <v>519</v>
      </c>
      <c r="D1041" t="s">
        <v>248</v>
      </c>
      <c r="E1041" t="s">
        <v>244</v>
      </c>
      <c r="F1041" t="s">
        <v>219</v>
      </c>
      <c r="G1041" t="s">
        <v>44</v>
      </c>
      <c r="H1041">
        <v>67</v>
      </c>
      <c r="I1041" t="str">
        <f t="shared" si="15"/>
        <v>Industrial Flex (Mall) Buildings|S|Average</v>
      </c>
      <c r="J1041" t="s">
        <v>517</v>
      </c>
    </row>
    <row r="1042" spans="2:10">
      <c r="B1042" t="s">
        <v>518</v>
      </c>
      <c r="C1042" t="s">
        <v>519</v>
      </c>
      <c r="D1042" t="s">
        <v>248</v>
      </c>
      <c r="E1042" t="s">
        <v>244</v>
      </c>
      <c r="F1042" t="s">
        <v>219</v>
      </c>
      <c r="G1042" t="s">
        <v>226</v>
      </c>
      <c r="H1042">
        <v>46.25</v>
      </c>
      <c r="I1042" t="str">
        <f t="shared" si="15"/>
        <v>Industrial Flex (Mall) Buildings|S|Low Cost</v>
      </c>
      <c r="J1042" t="s">
        <v>517</v>
      </c>
    </row>
    <row r="1043" spans="2:10">
      <c r="B1043" t="s">
        <v>520</v>
      </c>
      <c r="C1043" t="s">
        <v>521</v>
      </c>
      <c r="D1043" t="s">
        <v>248</v>
      </c>
      <c r="E1043" t="s">
        <v>248</v>
      </c>
      <c r="F1043" t="s">
        <v>202</v>
      </c>
      <c r="G1043" t="s">
        <v>44</v>
      </c>
      <c r="H1043">
        <v>122</v>
      </c>
      <c r="I1043" t="str">
        <f t="shared" si="15"/>
        <v>Industrials, Light Manufacturing|A|Average</v>
      </c>
      <c r="J1043" t="s">
        <v>522</v>
      </c>
    </row>
    <row r="1044" spans="2:10">
      <c r="B1044" t="s">
        <v>520</v>
      </c>
      <c r="C1044" t="s">
        <v>521</v>
      </c>
      <c r="D1044" t="s">
        <v>248</v>
      </c>
      <c r="E1044" t="s">
        <v>248</v>
      </c>
      <c r="F1044" t="s">
        <v>202</v>
      </c>
      <c r="G1044" t="s">
        <v>226</v>
      </c>
      <c r="H1044">
        <v>84.5</v>
      </c>
      <c r="I1044" t="str">
        <f t="shared" si="15"/>
        <v>Industrials, Light Manufacturing|A|Low Cost</v>
      </c>
      <c r="J1044" t="s">
        <v>522</v>
      </c>
    </row>
    <row r="1045" spans="2:10">
      <c r="B1045" t="s">
        <v>520</v>
      </c>
      <c r="C1045" t="s">
        <v>521</v>
      </c>
      <c r="D1045" t="s">
        <v>248</v>
      </c>
      <c r="E1045" t="s">
        <v>248</v>
      </c>
      <c r="F1045" t="s">
        <v>207</v>
      </c>
      <c r="G1045" t="s">
        <v>44</v>
      </c>
      <c r="H1045">
        <v>107</v>
      </c>
      <c r="I1045" t="str">
        <f t="shared" si="15"/>
        <v>Industrials, Light Manufacturing|B|Average</v>
      </c>
      <c r="J1045" t="s">
        <v>522</v>
      </c>
    </row>
    <row r="1046" spans="2:10">
      <c r="B1046" t="s">
        <v>520</v>
      </c>
      <c r="C1046" t="s">
        <v>521</v>
      </c>
      <c r="D1046" t="s">
        <v>248</v>
      </c>
      <c r="E1046" t="s">
        <v>248</v>
      </c>
      <c r="F1046" t="s">
        <v>207</v>
      </c>
      <c r="G1046" t="s">
        <v>226</v>
      </c>
      <c r="H1046">
        <v>74</v>
      </c>
      <c r="I1046" t="str">
        <f t="shared" si="15"/>
        <v>Industrials, Light Manufacturing|B|Low Cost</v>
      </c>
      <c r="J1046" t="s">
        <v>522</v>
      </c>
    </row>
    <row r="1047" spans="2:10">
      <c r="B1047" t="s">
        <v>520</v>
      </c>
      <c r="C1047" t="s">
        <v>521</v>
      </c>
      <c r="D1047" t="s">
        <v>248</v>
      </c>
      <c r="E1047" t="s">
        <v>248</v>
      </c>
      <c r="F1047" t="s">
        <v>209</v>
      </c>
      <c r="G1047" t="s">
        <v>229</v>
      </c>
      <c r="H1047">
        <v>100</v>
      </c>
      <c r="I1047" t="str">
        <f t="shared" si="15"/>
        <v>Industrials, Light Manufacturing|C|Good</v>
      </c>
      <c r="J1047" t="s">
        <v>522</v>
      </c>
    </row>
    <row r="1048" spans="2:10">
      <c r="B1048" t="s">
        <v>520</v>
      </c>
      <c r="C1048" t="s">
        <v>521</v>
      </c>
      <c r="D1048" t="s">
        <v>248</v>
      </c>
      <c r="E1048" t="s">
        <v>248</v>
      </c>
      <c r="F1048" t="s">
        <v>209</v>
      </c>
      <c r="G1048" t="s">
        <v>44</v>
      </c>
      <c r="H1048">
        <v>72</v>
      </c>
      <c r="I1048" t="str">
        <f t="shared" si="15"/>
        <v>Industrials, Light Manufacturing|C|Average</v>
      </c>
      <c r="J1048" t="s">
        <v>522</v>
      </c>
    </row>
    <row r="1049" spans="2:10">
      <c r="B1049" t="s">
        <v>520</v>
      </c>
      <c r="C1049" t="s">
        <v>521</v>
      </c>
      <c r="D1049" t="s">
        <v>248</v>
      </c>
      <c r="E1049" t="s">
        <v>248</v>
      </c>
      <c r="F1049" t="s">
        <v>209</v>
      </c>
      <c r="G1049" t="s">
        <v>226</v>
      </c>
      <c r="H1049">
        <v>52.5</v>
      </c>
      <c r="I1049" t="str">
        <f t="shared" si="15"/>
        <v>Industrials, Light Manufacturing|C|Low Cost</v>
      </c>
      <c r="J1049" t="s">
        <v>522</v>
      </c>
    </row>
    <row r="1050" spans="2:10">
      <c r="B1050" t="s">
        <v>520</v>
      </c>
      <c r="C1050" t="s">
        <v>521</v>
      </c>
      <c r="D1050" t="s">
        <v>248</v>
      </c>
      <c r="E1050" t="s">
        <v>248</v>
      </c>
      <c r="F1050" t="s">
        <v>214</v>
      </c>
      <c r="G1050" t="s">
        <v>229</v>
      </c>
      <c r="H1050">
        <v>92</v>
      </c>
      <c r="I1050" t="str">
        <f t="shared" si="15"/>
        <v>Industrials, Light Manufacturing|D|Good</v>
      </c>
      <c r="J1050" t="s">
        <v>522</v>
      </c>
    </row>
    <row r="1051" spans="2:10">
      <c r="B1051" t="s">
        <v>520</v>
      </c>
      <c r="C1051" t="s">
        <v>521</v>
      </c>
      <c r="D1051" t="s">
        <v>248</v>
      </c>
      <c r="E1051" t="s">
        <v>248</v>
      </c>
      <c r="F1051" t="s">
        <v>214</v>
      </c>
      <c r="G1051" t="s">
        <v>44</v>
      </c>
      <c r="H1051">
        <v>65.5</v>
      </c>
      <c r="I1051" t="str">
        <f t="shared" si="15"/>
        <v>Industrials, Light Manufacturing|D|Average</v>
      </c>
      <c r="J1051" t="s">
        <v>522</v>
      </c>
    </row>
    <row r="1052" spans="2:10">
      <c r="B1052" t="s">
        <v>520</v>
      </c>
      <c r="C1052" t="s">
        <v>521</v>
      </c>
      <c r="D1052" t="s">
        <v>248</v>
      </c>
      <c r="E1052" t="s">
        <v>248</v>
      </c>
      <c r="F1052" t="s">
        <v>214</v>
      </c>
      <c r="G1052" t="s">
        <v>226</v>
      </c>
      <c r="H1052">
        <v>47</v>
      </c>
      <c r="I1052" t="str">
        <f t="shared" si="15"/>
        <v>Industrials, Light Manufacturing|D|Low Cost</v>
      </c>
      <c r="J1052" t="s">
        <v>522</v>
      </c>
    </row>
    <row r="1053" spans="2:10">
      <c r="B1053" t="s">
        <v>520</v>
      </c>
      <c r="C1053" t="s">
        <v>521</v>
      </c>
      <c r="D1053" t="s">
        <v>248</v>
      </c>
      <c r="E1053" t="s">
        <v>248</v>
      </c>
      <c r="F1053" t="s">
        <v>313</v>
      </c>
      <c r="G1053" t="s">
        <v>229</v>
      </c>
      <c r="H1053">
        <v>84</v>
      </c>
      <c r="I1053" t="str">
        <f t="shared" si="15"/>
        <v>Industrials, Light Manufacturing|DPOLE|Good</v>
      </c>
      <c r="J1053" t="s">
        <v>522</v>
      </c>
    </row>
    <row r="1054" spans="2:10">
      <c r="B1054" t="s">
        <v>520</v>
      </c>
      <c r="C1054" t="s">
        <v>521</v>
      </c>
      <c r="D1054" t="s">
        <v>248</v>
      </c>
      <c r="E1054" t="s">
        <v>248</v>
      </c>
      <c r="F1054" t="s">
        <v>313</v>
      </c>
      <c r="G1054" t="s">
        <v>44</v>
      </c>
      <c r="H1054">
        <v>60.5</v>
      </c>
      <c r="I1054" t="str">
        <f t="shared" ref="I1054:I1117" si="16">B1054&amp;"|"&amp;F1054&amp;"|"&amp;G1054</f>
        <v>Industrials, Light Manufacturing|DPOLE|Average</v>
      </c>
      <c r="J1054" t="s">
        <v>522</v>
      </c>
    </row>
    <row r="1055" spans="2:10">
      <c r="B1055" t="s">
        <v>520</v>
      </c>
      <c r="C1055" t="s">
        <v>521</v>
      </c>
      <c r="D1055" t="s">
        <v>248</v>
      </c>
      <c r="E1055" t="s">
        <v>248</v>
      </c>
      <c r="F1055" t="s">
        <v>313</v>
      </c>
      <c r="G1055" t="s">
        <v>226</v>
      </c>
      <c r="H1055">
        <v>43.5</v>
      </c>
      <c r="I1055" t="str">
        <f t="shared" si="16"/>
        <v>Industrials, Light Manufacturing|DPOLE|Low Cost</v>
      </c>
      <c r="J1055" t="s">
        <v>522</v>
      </c>
    </row>
    <row r="1056" spans="2:10">
      <c r="B1056" t="s">
        <v>520</v>
      </c>
      <c r="C1056" t="s">
        <v>521</v>
      </c>
      <c r="D1056" t="s">
        <v>248</v>
      </c>
      <c r="E1056" t="s">
        <v>248</v>
      </c>
      <c r="F1056" t="s">
        <v>219</v>
      </c>
      <c r="G1056" t="s">
        <v>229</v>
      </c>
      <c r="H1056">
        <v>93</v>
      </c>
      <c r="I1056" t="str">
        <f t="shared" si="16"/>
        <v>Industrials, Light Manufacturing|S|Good</v>
      </c>
      <c r="J1056" t="s">
        <v>522</v>
      </c>
    </row>
    <row r="1057" spans="2:10">
      <c r="B1057" t="s">
        <v>520</v>
      </c>
      <c r="C1057" t="s">
        <v>521</v>
      </c>
      <c r="D1057" t="s">
        <v>248</v>
      </c>
      <c r="E1057" t="s">
        <v>248</v>
      </c>
      <c r="F1057" t="s">
        <v>219</v>
      </c>
      <c r="G1057" t="s">
        <v>44</v>
      </c>
      <c r="H1057">
        <v>66</v>
      </c>
      <c r="I1057" t="str">
        <f t="shared" si="16"/>
        <v>Industrials, Light Manufacturing|S|Average</v>
      </c>
      <c r="J1057" t="s">
        <v>522</v>
      </c>
    </row>
    <row r="1058" spans="2:10">
      <c r="B1058" t="s">
        <v>520</v>
      </c>
      <c r="C1058" t="s">
        <v>521</v>
      </c>
      <c r="D1058" t="s">
        <v>248</v>
      </c>
      <c r="E1058" t="s">
        <v>248</v>
      </c>
      <c r="F1058" t="s">
        <v>219</v>
      </c>
      <c r="G1058" t="s">
        <v>226</v>
      </c>
      <c r="H1058">
        <v>46.75</v>
      </c>
      <c r="I1058" t="str">
        <f t="shared" si="16"/>
        <v>Industrials, Light Manufacturing|S|Low Cost</v>
      </c>
      <c r="J1058" t="s">
        <v>522</v>
      </c>
    </row>
    <row r="1059" spans="2:10">
      <c r="B1059" t="s">
        <v>523</v>
      </c>
      <c r="C1059" t="s">
        <v>524</v>
      </c>
      <c r="D1059" t="s">
        <v>248</v>
      </c>
      <c r="E1059" t="s">
        <v>253</v>
      </c>
      <c r="F1059" t="s">
        <v>202</v>
      </c>
      <c r="G1059" t="s">
        <v>231</v>
      </c>
      <c r="H1059">
        <v>376</v>
      </c>
      <c r="I1059" t="str">
        <f t="shared" si="16"/>
        <v>Industrials, Heavy (Process) Manufacturing|A|Excellent</v>
      </c>
      <c r="J1059" t="s">
        <v>525</v>
      </c>
    </row>
    <row r="1060" spans="2:10">
      <c r="B1060" t="s">
        <v>523</v>
      </c>
      <c r="C1060" t="s">
        <v>524</v>
      </c>
      <c r="D1060" t="s">
        <v>248</v>
      </c>
      <c r="E1060" t="s">
        <v>253</v>
      </c>
      <c r="F1060" t="s">
        <v>202</v>
      </c>
      <c r="G1060" t="s">
        <v>229</v>
      </c>
      <c r="H1060">
        <v>302</v>
      </c>
      <c r="I1060" t="str">
        <f t="shared" si="16"/>
        <v>Industrials, Heavy (Process) Manufacturing|A|Good</v>
      </c>
      <c r="J1060" t="s">
        <v>525</v>
      </c>
    </row>
    <row r="1061" spans="2:10">
      <c r="B1061" t="s">
        <v>523</v>
      </c>
      <c r="C1061" t="s">
        <v>524</v>
      </c>
      <c r="D1061" t="s">
        <v>248</v>
      </c>
      <c r="E1061" t="s">
        <v>253</v>
      </c>
      <c r="F1061" t="s">
        <v>202</v>
      </c>
      <c r="G1061" t="s">
        <v>44</v>
      </c>
      <c r="H1061">
        <v>232</v>
      </c>
      <c r="I1061" t="str">
        <f t="shared" si="16"/>
        <v>Industrials, Heavy (Process) Manufacturing|A|Average</v>
      </c>
      <c r="J1061" t="s">
        <v>525</v>
      </c>
    </row>
    <row r="1062" spans="2:10">
      <c r="B1062" t="s">
        <v>523</v>
      </c>
      <c r="C1062" t="s">
        <v>524</v>
      </c>
      <c r="D1062" t="s">
        <v>248</v>
      </c>
      <c r="E1062" t="s">
        <v>253</v>
      </c>
      <c r="F1062" t="s">
        <v>202</v>
      </c>
      <c r="G1062" t="s">
        <v>226</v>
      </c>
      <c r="H1062">
        <v>180</v>
      </c>
      <c r="I1062" t="str">
        <f t="shared" si="16"/>
        <v>Industrials, Heavy (Process) Manufacturing|A|Low Cost</v>
      </c>
      <c r="J1062" t="s">
        <v>525</v>
      </c>
    </row>
    <row r="1063" spans="2:10">
      <c r="B1063" t="s">
        <v>523</v>
      </c>
      <c r="C1063" t="s">
        <v>524</v>
      </c>
      <c r="D1063" t="s">
        <v>248</v>
      </c>
      <c r="E1063" t="s">
        <v>253</v>
      </c>
      <c r="F1063" t="s">
        <v>207</v>
      </c>
      <c r="G1063" t="s">
        <v>231</v>
      </c>
      <c r="H1063">
        <v>339</v>
      </c>
      <c r="I1063" t="str">
        <f t="shared" si="16"/>
        <v>Industrials, Heavy (Process) Manufacturing|B|Excellent</v>
      </c>
      <c r="J1063" t="s">
        <v>525</v>
      </c>
    </row>
    <row r="1064" spans="2:10">
      <c r="B1064" t="s">
        <v>523</v>
      </c>
      <c r="C1064" t="s">
        <v>524</v>
      </c>
      <c r="D1064" t="s">
        <v>248</v>
      </c>
      <c r="E1064" t="s">
        <v>253</v>
      </c>
      <c r="F1064" t="s">
        <v>207</v>
      </c>
      <c r="G1064" t="s">
        <v>229</v>
      </c>
      <c r="H1064">
        <v>272</v>
      </c>
      <c r="I1064" t="str">
        <f t="shared" si="16"/>
        <v>Industrials, Heavy (Process) Manufacturing|B|Good</v>
      </c>
      <c r="J1064" t="s">
        <v>525</v>
      </c>
    </row>
    <row r="1065" spans="2:10">
      <c r="B1065" t="s">
        <v>523</v>
      </c>
      <c r="C1065" t="s">
        <v>524</v>
      </c>
      <c r="D1065" t="s">
        <v>248</v>
      </c>
      <c r="E1065" t="s">
        <v>253</v>
      </c>
      <c r="F1065" t="s">
        <v>207</v>
      </c>
      <c r="G1065" t="s">
        <v>44</v>
      </c>
      <c r="H1065">
        <v>208</v>
      </c>
      <c r="I1065" t="str">
        <f t="shared" si="16"/>
        <v>Industrials, Heavy (Process) Manufacturing|B|Average</v>
      </c>
      <c r="J1065" t="s">
        <v>525</v>
      </c>
    </row>
    <row r="1066" spans="2:10">
      <c r="B1066" t="s">
        <v>523</v>
      </c>
      <c r="C1066" t="s">
        <v>524</v>
      </c>
      <c r="D1066" t="s">
        <v>248</v>
      </c>
      <c r="E1066" t="s">
        <v>253</v>
      </c>
      <c r="F1066" t="s">
        <v>207</v>
      </c>
      <c r="G1066" t="s">
        <v>226</v>
      </c>
      <c r="H1066">
        <v>161</v>
      </c>
      <c r="I1066" t="str">
        <f t="shared" si="16"/>
        <v>Industrials, Heavy (Process) Manufacturing|B|Low Cost</v>
      </c>
      <c r="J1066" t="s">
        <v>525</v>
      </c>
    </row>
    <row r="1067" spans="2:10">
      <c r="B1067" t="s">
        <v>523</v>
      </c>
      <c r="C1067" t="s">
        <v>524</v>
      </c>
      <c r="D1067" t="s">
        <v>248</v>
      </c>
      <c r="E1067" t="s">
        <v>253</v>
      </c>
      <c r="F1067" t="s">
        <v>209</v>
      </c>
      <c r="G1067" t="s">
        <v>229</v>
      </c>
      <c r="H1067">
        <v>217</v>
      </c>
      <c r="I1067" t="str">
        <f t="shared" si="16"/>
        <v>Industrials, Heavy (Process) Manufacturing|C|Good</v>
      </c>
      <c r="J1067" t="s">
        <v>525</v>
      </c>
    </row>
    <row r="1068" spans="2:10">
      <c r="B1068" t="s">
        <v>523</v>
      </c>
      <c r="C1068" t="s">
        <v>524</v>
      </c>
      <c r="D1068" t="s">
        <v>248</v>
      </c>
      <c r="E1068" t="s">
        <v>253</v>
      </c>
      <c r="F1068" t="s">
        <v>209</v>
      </c>
      <c r="G1068" t="s">
        <v>44</v>
      </c>
      <c r="H1068">
        <v>162</v>
      </c>
      <c r="I1068" t="str">
        <f t="shared" si="16"/>
        <v>Industrials, Heavy (Process) Manufacturing|C|Average</v>
      </c>
      <c r="J1068" t="s">
        <v>525</v>
      </c>
    </row>
    <row r="1069" spans="2:10">
      <c r="B1069" t="s">
        <v>523</v>
      </c>
      <c r="C1069" t="s">
        <v>524</v>
      </c>
      <c r="D1069" t="s">
        <v>248</v>
      </c>
      <c r="E1069" t="s">
        <v>253</v>
      </c>
      <c r="F1069" t="s">
        <v>209</v>
      </c>
      <c r="G1069" t="s">
        <v>226</v>
      </c>
      <c r="H1069">
        <v>117</v>
      </c>
      <c r="I1069" t="str">
        <f t="shared" si="16"/>
        <v>Industrials, Heavy (Process) Manufacturing|C|Low Cost</v>
      </c>
      <c r="J1069" t="s">
        <v>525</v>
      </c>
    </row>
    <row r="1070" spans="2:10">
      <c r="B1070" t="s">
        <v>523</v>
      </c>
      <c r="C1070" t="s">
        <v>524</v>
      </c>
      <c r="D1070" t="s">
        <v>248</v>
      </c>
      <c r="E1070" t="s">
        <v>253</v>
      </c>
      <c r="F1070" t="s">
        <v>266</v>
      </c>
      <c r="G1070" t="s">
        <v>229</v>
      </c>
      <c r="H1070">
        <v>139</v>
      </c>
      <c r="I1070" t="str">
        <f t="shared" si="16"/>
        <v>Industrials, Heavy (Process) Manufacturing|CMILL|Good</v>
      </c>
      <c r="J1070" t="s">
        <v>525</v>
      </c>
    </row>
    <row r="1071" spans="2:10">
      <c r="B1071" t="s">
        <v>523</v>
      </c>
      <c r="C1071" t="s">
        <v>524</v>
      </c>
      <c r="D1071" t="s">
        <v>248</v>
      </c>
      <c r="E1071" t="s">
        <v>253</v>
      </c>
      <c r="F1071" t="s">
        <v>266</v>
      </c>
      <c r="G1071" t="s">
        <v>44</v>
      </c>
      <c r="H1071">
        <v>106</v>
      </c>
      <c r="I1071" t="str">
        <f t="shared" si="16"/>
        <v>Industrials, Heavy (Process) Manufacturing|CMILL|Average</v>
      </c>
      <c r="J1071" t="s">
        <v>525</v>
      </c>
    </row>
    <row r="1072" spans="2:10">
      <c r="B1072" t="s">
        <v>523</v>
      </c>
      <c r="C1072" t="s">
        <v>524</v>
      </c>
      <c r="D1072" t="s">
        <v>248</v>
      </c>
      <c r="E1072" t="s">
        <v>253</v>
      </c>
      <c r="F1072" t="s">
        <v>214</v>
      </c>
      <c r="G1072" t="s">
        <v>44</v>
      </c>
      <c r="H1072">
        <v>144</v>
      </c>
      <c r="I1072" t="str">
        <f t="shared" si="16"/>
        <v>Industrials, Heavy (Process) Manufacturing|D|Average</v>
      </c>
      <c r="J1072" t="s">
        <v>525</v>
      </c>
    </row>
    <row r="1073" spans="2:10">
      <c r="B1073" t="s">
        <v>523</v>
      </c>
      <c r="C1073" t="s">
        <v>524</v>
      </c>
      <c r="D1073" t="s">
        <v>248</v>
      </c>
      <c r="E1073" t="s">
        <v>253</v>
      </c>
      <c r="F1073" t="s">
        <v>214</v>
      </c>
      <c r="G1073" t="s">
        <v>226</v>
      </c>
      <c r="H1073">
        <v>111</v>
      </c>
      <c r="I1073" t="str">
        <f t="shared" si="16"/>
        <v>Industrials, Heavy (Process) Manufacturing|D|Low Cost</v>
      </c>
      <c r="J1073" t="s">
        <v>525</v>
      </c>
    </row>
    <row r="1074" spans="2:10">
      <c r="B1074" t="s">
        <v>523</v>
      </c>
      <c r="C1074" t="s">
        <v>524</v>
      </c>
      <c r="D1074" t="s">
        <v>248</v>
      </c>
      <c r="E1074" t="s">
        <v>253</v>
      </c>
      <c r="F1074" t="s">
        <v>219</v>
      </c>
      <c r="G1074" t="s">
        <v>229</v>
      </c>
      <c r="H1074">
        <v>209</v>
      </c>
      <c r="I1074" t="str">
        <f t="shared" si="16"/>
        <v>Industrials, Heavy (Process) Manufacturing|S|Good</v>
      </c>
      <c r="J1074" t="s">
        <v>525</v>
      </c>
    </row>
    <row r="1075" spans="2:10">
      <c r="B1075" t="s">
        <v>523</v>
      </c>
      <c r="C1075" t="s">
        <v>524</v>
      </c>
      <c r="D1075" t="s">
        <v>248</v>
      </c>
      <c r="E1075" t="s">
        <v>253</v>
      </c>
      <c r="F1075" t="s">
        <v>219</v>
      </c>
      <c r="G1075" t="s">
        <v>44</v>
      </c>
      <c r="H1075">
        <v>149</v>
      </c>
      <c r="I1075" t="str">
        <f t="shared" si="16"/>
        <v>Industrials, Heavy (Process) Manufacturing|S|Average</v>
      </c>
      <c r="J1075" t="s">
        <v>525</v>
      </c>
    </row>
    <row r="1076" spans="2:10">
      <c r="B1076" t="s">
        <v>523</v>
      </c>
      <c r="C1076" t="s">
        <v>524</v>
      </c>
      <c r="D1076" t="s">
        <v>248</v>
      </c>
      <c r="E1076" t="s">
        <v>253</v>
      </c>
      <c r="F1076" t="s">
        <v>219</v>
      </c>
      <c r="G1076" t="s">
        <v>226</v>
      </c>
      <c r="H1076">
        <v>113</v>
      </c>
      <c r="I1076" t="str">
        <f t="shared" si="16"/>
        <v>Industrials, Heavy (Process) Manufacturing|S|Low Cost</v>
      </c>
      <c r="J1076" t="s">
        <v>525</v>
      </c>
    </row>
    <row r="1077" spans="2:10">
      <c r="B1077" t="s">
        <v>526</v>
      </c>
      <c r="C1077" t="s">
        <v>527</v>
      </c>
      <c r="D1077" t="s">
        <v>248</v>
      </c>
      <c r="E1077" t="s">
        <v>258</v>
      </c>
      <c r="F1077" t="s">
        <v>202</v>
      </c>
      <c r="G1077" t="s">
        <v>231</v>
      </c>
      <c r="H1077">
        <v>278</v>
      </c>
      <c r="I1077" t="str">
        <f t="shared" si="16"/>
        <v>Industrial, Engineering (R&amp;D) Buildings|A|Excellent</v>
      </c>
      <c r="J1077" t="s">
        <v>528</v>
      </c>
    </row>
    <row r="1078" spans="2:10">
      <c r="B1078" t="s">
        <v>526</v>
      </c>
      <c r="C1078" t="s">
        <v>527</v>
      </c>
      <c r="D1078" t="s">
        <v>248</v>
      </c>
      <c r="E1078" t="s">
        <v>258</v>
      </c>
      <c r="F1078" t="s">
        <v>202</v>
      </c>
      <c r="G1078" t="s">
        <v>229</v>
      </c>
      <c r="H1078">
        <v>199</v>
      </c>
      <c r="I1078" t="str">
        <f t="shared" si="16"/>
        <v>Industrial, Engineering (R&amp;D) Buildings|A|Good</v>
      </c>
      <c r="J1078" t="s">
        <v>528</v>
      </c>
    </row>
    <row r="1079" spans="2:10">
      <c r="B1079" t="s">
        <v>526</v>
      </c>
      <c r="C1079" t="s">
        <v>527</v>
      </c>
      <c r="D1079" t="s">
        <v>248</v>
      </c>
      <c r="E1079" t="s">
        <v>258</v>
      </c>
      <c r="F1079" t="s">
        <v>202</v>
      </c>
      <c r="G1079" t="s">
        <v>44</v>
      </c>
      <c r="H1079">
        <v>147</v>
      </c>
      <c r="I1079" t="str">
        <f t="shared" si="16"/>
        <v>Industrial, Engineering (R&amp;D) Buildings|A|Average</v>
      </c>
      <c r="J1079" t="s">
        <v>528</v>
      </c>
    </row>
    <row r="1080" spans="2:10">
      <c r="B1080" t="s">
        <v>526</v>
      </c>
      <c r="C1080" t="s">
        <v>527</v>
      </c>
      <c r="D1080" t="s">
        <v>248</v>
      </c>
      <c r="E1080" t="s">
        <v>258</v>
      </c>
      <c r="F1080" t="s">
        <v>202</v>
      </c>
      <c r="G1080" t="s">
        <v>226</v>
      </c>
      <c r="H1080">
        <v>111</v>
      </c>
      <c r="I1080" t="str">
        <f t="shared" si="16"/>
        <v>Industrial, Engineering (R&amp;D) Buildings|A|Low Cost</v>
      </c>
      <c r="J1080" t="s">
        <v>528</v>
      </c>
    </row>
    <row r="1081" spans="2:10">
      <c r="B1081" t="s">
        <v>526</v>
      </c>
      <c r="C1081" t="s">
        <v>527</v>
      </c>
      <c r="D1081" t="s">
        <v>248</v>
      </c>
      <c r="E1081" t="s">
        <v>258</v>
      </c>
      <c r="F1081" t="s">
        <v>207</v>
      </c>
      <c r="G1081" t="s">
        <v>231</v>
      </c>
      <c r="H1081">
        <v>250</v>
      </c>
      <c r="I1081" t="str">
        <f t="shared" si="16"/>
        <v>Industrial, Engineering (R&amp;D) Buildings|B|Excellent</v>
      </c>
      <c r="J1081" t="s">
        <v>528</v>
      </c>
    </row>
    <row r="1082" spans="2:10">
      <c r="B1082" t="s">
        <v>526</v>
      </c>
      <c r="C1082" t="s">
        <v>527</v>
      </c>
      <c r="D1082" t="s">
        <v>248</v>
      </c>
      <c r="E1082" t="s">
        <v>258</v>
      </c>
      <c r="F1082" t="s">
        <v>207</v>
      </c>
      <c r="G1082" t="s">
        <v>229</v>
      </c>
      <c r="H1082">
        <v>178</v>
      </c>
      <c r="I1082" t="str">
        <f t="shared" si="16"/>
        <v>Industrial, Engineering (R&amp;D) Buildings|B|Good</v>
      </c>
      <c r="J1082" t="s">
        <v>528</v>
      </c>
    </row>
    <row r="1083" spans="2:10">
      <c r="B1083" t="s">
        <v>526</v>
      </c>
      <c r="C1083" t="s">
        <v>527</v>
      </c>
      <c r="D1083" t="s">
        <v>248</v>
      </c>
      <c r="E1083" t="s">
        <v>258</v>
      </c>
      <c r="F1083" t="s">
        <v>207</v>
      </c>
      <c r="G1083" t="s">
        <v>44</v>
      </c>
      <c r="H1083">
        <v>131</v>
      </c>
      <c r="I1083" t="str">
        <f t="shared" si="16"/>
        <v>Industrial, Engineering (R&amp;D) Buildings|B|Average</v>
      </c>
      <c r="J1083" t="s">
        <v>528</v>
      </c>
    </row>
    <row r="1084" spans="2:10">
      <c r="B1084" t="s">
        <v>526</v>
      </c>
      <c r="C1084" t="s">
        <v>527</v>
      </c>
      <c r="D1084" t="s">
        <v>248</v>
      </c>
      <c r="E1084" t="s">
        <v>258</v>
      </c>
      <c r="F1084" t="s">
        <v>207</v>
      </c>
      <c r="G1084" t="s">
        <v>226</v>
      </c>
      <c r="H1084">
        <v>99.5</v>
      </c>
      <c r="I1084" t="str">
        <f t="shared" si="16"/>
        <v>Industrial, Engineering (R&amp;D) Buildings|B|Low Cost</v>
      </c>
      <c r="J1084" t="s">
        <v>528</v>
      </c>
    </row>
    <row r="1085" spans="2:10">
      <c r="B1085" t="s">
        <v>526</v>
      </c>
      <c r="C1085" t="s">
        <v>527</v>
      </c>
      <c r="D1085" t="s">
        <v>248</v>
      </c>
      <c r="E1085" t="s">
        <v>258</v>
      </c>
      <c r="F1085" t="s">
        <v>209</v>
      </c>
      <c r="G1085" t="s">
        <v>231</v>
      </c>
      <c r="H1085">
        <v>224</v>
      </c>
      <c r="I1085" t="str">
        <f t="shared" si="16"/>
        <v>Industrial, Engineering (R&amp;D) Buildings|C|Excellent</v>
      </c>
      <c r="J1085" t="s">
        <v>528</v>
      </c>
    </row>
    <row r="1086" spans="2:10">
      <c r="B1086" t="s">
        <v>526</v>
      </c>
      <c r="C1086" t="s">
        <v>527</v>
      </c>
      <c r="D1086" t="s">
        <v>248</v>
      </c>
      <c r="E1086" t="s">
        <v>258</v>
      </c>
      <c r="F1086" t="s">
        <v>209</v>
      </c>
      <c r="G1086" t="s">
        <v>229</v>
      </c>
      <c r="H1086">
        <v>148</v>
      </c>
      <c r="I1086" t="str">
        <f t="shared" si="16"/>
        <v>Industrial, Engineering (R&amp;D) Buildings|C|Good</v>
      </c>
      <c r="J1086" t="s">
        <v>528</v>
      </c>
    </row>
    <row r="1087" spans="2:10">
      <c r="B1087" t="s">
        <v>526</v>
      </c>
      <c r="C1087" t="s">
        <v>527</v>
      </c>
      <c r="D1087" t="s">
        <v>248</v>
      </c>
      <c r="E1087" t="s">
        <v>258</v>
      </c>
      <c r="F1087" t="s">
        <v>209</v>
      </c>
      <c r="G1087" t="s">
        <v>44</v>
      </c>
      <c r="H1087">
        <v>101</v>
      </c>
      <c r="I1087" t="str">
        <f t="shared" si="16"/>
        <v>Industrial, Engineering (R&amp;D) Buildings|C|Average</v>
      </c>
      <c r="J1087" t="s">
        <v>528</v>
      </c>
    </row>
    <row r="1088" spans="2:10">
      <c r="B1088" t="s">
        <v>526</v>
      </c>
      <c r="C1088" t="s">
        <v>527</v>
      </c>
      <c r="D1088" t="s">
        <v>248</v>
      </c>
      <c r="E1088" t="s">
        <v>258</v>
      </c>
      <c r="F1088" t="s">
        <v>209</v>
      </c>
      <c r="G1088" t="s">
        <v>226</v>
      </c>
      <c r="H1088">
        <v>72.5</v>
      </c>
      <c r="I1088" t="str">
        <f t="shared" si="16"/>
        <v>Industrial, Engineering (R&amp;D) Buildings|C|Low Cost</v>
      </c>
      <c r="J1088" t="s">
        <v>528</v>
      </c>
    </row>
    <row r="1089" spans="2:10">
      <c r="B1089" t="s">
        <v>526</v>
      </c>
      <c r="C1089" t="s">
        <v>527</v>
      </c>
      <c r="D1089" t="s">
        <v>248</v>
      </c>
      <c r="E1089" t="s">
        <v>258</v>
      </c>
      <c r="F1089" t="s">
        <v>214</v>
      </c>
      <c r="G1089" t="s">
        <v>231</v>
      </c>
      <c r="H1089">
        <v>201</v>
      </c>
      <c r="I1089" t="str">
        <f t="shared" si="16"/>
        <v>Industrial, Engineering (R&amp;D) Buildings|D|Excellent</v>
      </c>
      <c r="J1089" t="s">
        <v>528</v>
      </c>
    </row>
    <row r="1090" spans="2:10">
      <c r="B1090" t="s">
        <v>526</v>
      </c>
      <c r="C1090" t="s">
        <v>527</v>
      </c>
      <c r="D1090" t="s">
        <v>248</v>
      </c>
      <c r="E1090" t="s">
        <v>258</v>
      </c>
      <c r="F1090" t="s">
        <v>214</v>
      </c>
      <c r="G1090" t="s">
        <v>229</v>
      </c>
      <c r="H1090">
        <v>140</v>
      </c>
      <c r="I1090" t="str">
        <f t="shared" si="16"/>
        <v>Industrial, Engineering (R&amp;D) Buildings|D|Good</v>
      </c>
      <c r="J1090" t="s">
        <v>528</v>
      </c>
    </row>
    <row r="1091" spans="2:10">
      <c r="B1091" t="s">
        <v>526</v>
      </c>
      <c r="C1091" t="s">
        <v>527</v>
      </c>
      <c r="D1091" t="s">
        <v>248</v>
      </c>
      <c r="E1091" t="s">
        <v>258</v>
      </c>
      <c r="F1091" t="s">
        <v>214</v>
      </c>
      <c r="G1091" t="s">
        <v>44</v>
      </c>
      <c r="H1091">
        <v>94.5</v>
      </c>
      <c r="I1091" t="str">
        <f t="shared" si="16"/>
        <v>Industrial, Engineering (R&amp;D) Buildings|D|Average</v>
      </c>
      <c r="J1091" t="s">
        <v>528</v>
      </c>
    </row>
    <row r="1092" spans="2:10">
      <c r="B1092" t="s">
        <v>526</v>
      </c>
      <c r="C1092" t="s">
        <v>527</v>
      </c>
      <c r="D1092" t="s">
        <v>248</v>
      </c>
      <c r="E1092" t="s">
        <v>258</v>
      </c>
      <c r="F1092" t="s">
        <v>214</v>
      </c>
      <c r="G1092" t="s">
        <v>226</v>
      </c>
      <c r="H1092">
        <v>67</v>
      </c>
      <c r="I1092" t="str">
        <f t="shared" si="16"/>
        <v>Industrial, Engineering (R&amp;D) Buildings|D|Low Cost</v>
      </c>
      <c r="J1092" t="s">
        <v>528</v>
      </c>
    </row>
    <row r="1093" spans="2:10">
      <c r="B1093" t="s">
        <v>526</v>
      </c>
      <c r="C1093" t="s">
        <v>527</v>
      </c>
      <c r="D1093" t="s">
        <v>248</v>
      </c>
      <c r="E1093" t="s">
        <v>258</v>
      </c>
      <c r="F1093" t="s">
        <v>219</v>
      </c>
      <c r="G1093" t="s">
        <v>231</v>
      </c>
      <c r="H1093">
        <v>207</v>
      </c>
      <c r="I1093" t="str">
        <f t="shared" si="16"/>
        <v>Industrial, Engineering (R&amp;D) Buildings|S|Excellent</v>
      </c>
      <c r="J1093" t="s">
        <v>528</v>
      </c>
    </row>
    <row r="1094" spans="2:10">
      <c r="B1094" t="s">
        <v>526</v>
      </c>
      <c r="C1094" t="s">
        <v>527</v>
      </c>
      <c r="D1094" t="s">
        <v>248</v>
      </c>
      <c r="E1094" t="s">
        <v>258</v>
      </c>
      <c r="F1094" t="s">
        <v>219</v>
      </c>
      <c r="G1094" t="s">
        <v>229</v>
      </c>
      <c r="H1094">
        <v>142</v>
      </c>
      <c r="I1094" t="str">
        <f t="shared" si="16"/>
        <v>Industrial, Engineering (R&amp;D) Buildings|S|Good</v>
      </c>
      <c r="J1094" t="s">
        <v>528</v>
      </c>
    </row>
    <row r="1095" spans="2:10">
      <c r="B1095" t="s">
        <v>526</v>
      </c>
      <c r="C1095" t="s">
        <v>527</v>
      </c>
      <c r="D1095" t="s">
        <v>248</v>
      </c>
      <c r="E1095" t="s">
        <v>258</v>
      </c>
      <c r="F1095" t="s">
        <v>219</v>
      </c>
      <c r="G1095" t="s">
        <v>44</v>
      </c>
      <c r="H1095">
        <v>95.5</v>
      </c>
      <c r="I1095" t="str">
        <f t="shared" si="16"/>
        <v>Industrial, Engineering (R&amp;D) Buildings|S|Average</v>
      </c>
      <c r="J1095" t="s">
        <v>528</v>
      </c>
    </row>
    <row r="1096" spans="2:10">
      <c r="B1096" t="s">
        <v>526</v>
      </c>
      <c r="C1096" t="s">
        <v>527</v>
      </c>
      <c r="D1096" t="s">
        <v>248</v>
      </c>
      <c r="E1096" t="s">
        <v>258</v>
      </c>
      <c r="F1096" t="s">
        <v>219</v>
      </c>
      <c r="G1096" t="s">
        <v>226</v>
      </c>
      <c r="H1096">
        <v>67.5</v>
      </c>
      <c r="I1096" t="str">
        <f t="shared" si="16"/>
        <v>Industrial, Engineering (R&amp;D) Buildings|S|Low Cost</v>
      </c>
      <c r="J1096" t="s">
        <v>528</v>
      </c>
    </row>
    <row r="1097" spans="2:10">
      <c r="B1097" t="s">
        <v>529</v>
      </c>
      <c r="C1097" t="s">
        <v>530</v>
      </c>
      <c r="D1097" t="s">
        <v>248</v>
      </c>
      <c r="E1097" t="s">
        <v>260</v>
      </c>
      <c r="F1097" t="s">
        <v>270</v>
      </c>
      <c r="G1097" t="s">
        <v>231</v>
      </c>
      <c r="H1097">
        <v>575</v>
      </c>
      <c r="I1097" t="str">
        <f t="shared" si="16"/>
        <v>Laboratory Buildings|A-B|Excellent</v>
      </c>
      <c r="J1097" t="s">
        <v>531</v>
      </c>
    </row>
    <row r="1098" spans="2:10">
      <c r="B1098" t="s">
        <v>529</v>
      </c>
      <c r="C1098" t="s">
        <v>530</v>
      </c>
      <c r="D1098" t="s">
        <v>248</v>
      </c>
      <c r="E1098" t="s">
        <v>260</v>
      </c>
      <c r="F1098" t="s">
        <v>270</v>
      </c>
      <c r="G1098" t="s">
        <v>229</v>
      </c>
      <c r="H1098">
        <v>438</v>
      </c>
      <c r="I1098" t="str">
        <f t="shared" si="16"/>
        <v>Laboratory Buildings|A-B|Good</v>
      </c>
      <c r="J1098" t="s">
        <v>531</v>
      </c>
    </row>
    <row r="1099" spans="2:10">
      <c r="B1099" t="s">
        <v>529</v>
      </c>
      <c r="C1099" t="s">
        <v>530</v>
      </c>
      <c r="D1099" t="s">
        <v>248</v>
      </c>
      <c r="E1099" t="s">
        <v>260</v>
      </c>
      <c r="F1099" t="s">
        <v>270</v>
      </c>
      <c r="G1099" t="s">
        <v>44</v>
      </c>
      <c r="H1099">
        <v>333</v>
      </c>
      <c r="I1099" t="str">
        <f t="shared" si="16"/>
        <v>Laboratory Buildings|A-B|Average</v>
      </c>
      <c r="J1099" t="s">
        <v>531</v>
      </c>
    </row>
    <row r="1100" spans="2:10">
      <c r="B1100" t="s">
        <v>529</v>
      </c>
      <c r="C1100" t="s">
        <v>530</v>
      </c>
      <c r="D1100" t="s">
        <v>248</v>
      </c>
      <c r="E1100" t="s">
        <v>260</v>
      </c>
      <c r="F1100" t="s">
        <v>270</v>
      </c>
      <c r="G1100" t="s">
        <v>226</v>
      </c>
      <c r="H1100">
        <v>253</v>
      </c>
      <c r="I1100" t="str">
        <f t="shared" si="16"/>
        <v>Laboratory Buildings|A-B|Low Cost</v>
      </c>
      <c r="J1100" t="s">
        <v>531</v>
      </c>
    </row>
    <row r="1101" spans="2:10">
      <c r="B1101" t="s">
        <v>529</v>
      </c>
      <c r="C1101" t="s">
        <v>530</v>
      </c>
      <c r="D1101" t="s">
        <v>248</v>
      </c>
      <c r="E1101" t="s">
        <v>260</v>
      </c>
      <c r="F1101" t="s">
        <v>209</v>
      </c>
      <c r="G1101" t="s">
        <v>231</v>
      </c>
      <c r="H1101">
        <v>421</v>
      </c>
      <c r="I1101" t="str">
        <f t="shared" si="16"/>
        <v>Laboratory Buildings|C|Excellent</v>
      </c>
      <c r="J1101" t="s">
        <v>531</v>
      </c>
    </row>
    <row r="1102" spans="2:10">
      <c r="B1102" t="s">
        <v>529</v>
      </c>
      <c r="C1102" t="s">
        <v>530</v>
      </c>
      <c r="D1102" t="s">
        <v>248</v>
      </c>
      <c r="E1102" t="s">
        <v>260</v>
      </c>
      <c r="F1102" t="s">
        <v>209</v>
      </c>
      <c r="G1102" t="s">
        <v>229</v>
      </c>
      <c r="H1102">
        <v>326</v>
      </c>
      <c r="I1102" t="str">
        <f t="shared" si="16"/>
        <v>Laboratory Buildings|C|Good</v>
      </c>
      <c r="J1102" t="s">
        <v>531</v>
      </c>
    </row>
    <row r="1103" spans="2:10">
      <c r="B1103" t="s">
        <v>529</v>
      </c>
      <c r="C1103" t="s">
        <v>530</v>
      </c>
      <c r="D1103" t="s">
        <v>248</v>
      </c>
      <c r="E1103" t="s">
        <v>260</v>
      </c>
      <c r="F1103" t="s">
        <v>209</v>
      </c>
      <c r="G1103" t="s">
        <v>44</v>
      </c>
      <c r="H1103">
        <v>255</v>
      </c>
      <c r="I1103" t="str">
        <f t="shared" si="16"/>
        <v>Laboratory Buildings|C|Average</v>
      </c>
      <c r="J1103" t="s">
        <v>531</v>
      </c>
    </row>
    <row r="1104" spans="2:10">
      <c r="B1104" t="s">
        <v>529</v>
      </c>
      <c r="C1104" t="s">
        <v>530</v>
      </c>
      <c r="D1104" t="s">
        <v>248</v>
      </c>
      <c r="E1104" t="s">
        <v>260</v>
      </c>
      <c r="F1104" t="s">
        <v>209</v>
      </c>
      <c r="G1104" t="s">
        <v>226</v>
      </c>
      <c r="H1104">
        <v>201</v>
      </c>
      <c r="I1104" t="str">
        <f t="shared" si="16"/>
        <v>Laboratory Buildings|C|Low Cost</v>
      </c>
      <c r="J1104" t="s">
        <v>531</v>
      </c>
    </row>
    <row r="1105" spans="2:10">
      <c r="B1105" t="s">
        <v>529</v>
      </c>
      <c r="C1105" t="s">
        <v>530</v>
      </c>
      <c r="D1105" t="s">
        <v>248</v>
      </c>
      <c r="E1105" t="s">
        <v>260</v>
      </c>
      <c r="F1105" t="s">
        <v>214</v>
      </c>
      <c r="G1105" t="s">
        <v>231</v>
      </c>
      <c r="H1105">
        <v>407</v>
      </c>
      <c r="I1105" t="str">
        <f t="shared" si="16"/>
        <v>Laboratory Buildings|D|Excellent</v>
      </c>
      <c r="J1105" t="s">
        <v>531</v>
      </c>
    </row>
    <row r="1106" spans="2:10">
      <c r="B1106" t="s">
        <v>529</v>
      </c>
      <c r="C1106" t="s">
        <v>530</v>
      </c>
      <c r="D1106" t="s">
        <v>248</v>
      </c>
      <c r="E1106" t="s">
        <v>260</v>
      </c>
      <c r="F1106" t="s">
        <v>214</v>
      </c>
      <c r="G1106" t="s">
        <v>229</v>
      </c>
      <c r="H1106">
        <v>315</v>
      </c>
      <c r="I1106" t="str">
        <f t="shared" si="16"/>
        <v>Laboratory Buildings|D|Good</v>
      </c>
      <c r="J1106" t="s">
        <v>531</v>
      </c>
    </row>
    <row r="1107" spans="2:10">
      <c r="B1107" t="s">
        <v>529</v>
      </c>
      <c r="C1107" t="s">
        <v>530</v>
      </c>
      <c r="D1107" t="s">
        <v>248</v>
      </c>
      <c r="E1107" t="s">
        <v>260</v>
      </c>
      <c r="F1107" t="s">
        <v>214</v>
      </c>
      <c r="G1107" t="s">
        <v>44</v>
      </c>
      <c r="H1107">
        <v>246</v>
      </c>
      <c r="I1107" t="str">
        <f t="shared" si="16"/>
        <v>Laboratory Buildings|D|Average</v>
      </c>
      <c r="J1107" t="s">
        <v>531</v>
      </c>
    </row>
    <row r="1108" spans="2:10">
      <c r="B1108" t="s">
        <v>529</v>
      </c>
      <c r="C1108" t="s">
        <v>530</v>
      </c>
      <c r="D1108" t="s">
        <v>248</v>
      </c>
      <c r="E1108" t="s">
        <v>260</v>
      </c>
      <c r="F1108" t="s">
        <v>214</v>
      </c>
      <c r="G1108" t="s">
        <v>226</v>
      </c>
      <c r="H1108">
        <v>193</v>
      </c>
      <c r="I1108" t="str">
        <f t="shared" si="16"/>
        <v>Laboratory Buildings|D|Low Cost</v>
      </c>
      <c r="J1108" t="s">
        <v>531</v>
      </c>
    </row>
    <row r="1109" spans="2:10">
      <c r="B1109" t="s">
        <v>529</v>
      </c>
      <c r="C1109" t="s">
        <v>530</v>
      </c>
      <c r="D1109" t="s">
        <v>248</v>
      </c>
      <c r="E1109" t="s">
        <v>260</v>
      </c>
      <c r="F1109" t="s">
        <v>219</v>
      </c>
      <c r="G1109" t="s">
        <v>229</v>
      </c>
      <c r="H1109">
        <v>318</v>
      </c>
      <c r="I1109" t="str">
        <f t="shared" si="16"/>
        <v>Laboratory Buildings|S|Good</v>
      </c>
      <c r="J1109" t="s">
        <v>531</v>
      </c>
    </row>
    <row r="1110" spans="2:10">
      <c r="B1110" t="s">
        <v>529</v>
      </c>
      <c r="C1110" t="s">
        <v>530</v>
      </c>
      <c r="D1110" t="s">
        <v>248</v>
      </c>
      <c r="E1110" t="s">
        <v>260</v>
      </c>
      <c r="F1110" t="s">
        <v>219</v>
      </c>
      <c r="G1110" t="s">
        <v>44</v>
      </c>
      <c r="H1110">
        <v>249</v>
      </c>
      <c r="I1110" t="str">
        <f t="shared" si="16"/>
        <v>Laboratory Buildings|S|Average</v>
      </c>
      <c r="J1110" t="s">
        <v>531</v>
      </c>
    </row>
    <row r="1111" spans="2:10">
      <c r="B1111" t="s">
        <v>529</v>
      </c>
      <c r="C1111" t="s">
        <v>530</v>
      </c>
      <c r="D1111" t="s">
        <v>248</v>
      </c>
      <c r="E1111" t="s">
        <v>260</v>
      </c>
      <c r="F1111" t="s">
        <v>219</v>
      </c>
      <c r="G1111" t="s">
        <v>226</v>
      </c>
      <c r="H1111">
        <v>195</v>
      </c>
      <c r="I1111" t="str">
        <f t="shared" si="16"/>
        <v>Laboratory Buildings|S|Low Cost</v>
      </c>
      <c r="J1111" t="s">
        <v>531</v>
      </c>
    </row>
    <row r="1112" spans="2:10">
      <c r="B1112" t="s">
        <v>532</v>
      </c>
      <c r="C1112" t="s">
        <v>533</v>
      </c>
      <c r="D1112" t="s">
        <v>248</v>
      </c>
      <c r="E1112" t="s">
        <v>264</v>
      </c>
      <c r="F1112" t="s">
        <v>270</v>
      </c>
      <c r="G1112" t="s">
        <v>231</v>
      </c>
      <c r="H1112">
        <v>387</v>
      </c>
      <c r="I1112" t="str">
        <f t="shared" si="16"/>
        <v>Computer (Data) Centers|A-B|Excellent</v>
      </c>
      <c r="J1112" t="s">
        <v>534</v>
      </c>
    </row>
    <row r="1113" spans="2:10">
      <c r="B1113" t="s">
        <v>532</v>
      </c>
      <c r="C1113" t="s">
        <v>533</v>
      </c>
      <c r="D1113" t="s">
        <v>248</v>
      </c>
      <c r="E1113" t="s">
        <v>264</v>
      </c>
      <c r="F1113" t="s">
        <v>270</v>
      </c>
      <c r="G1113" t="s">
        <v>229</v>
      </c>
      <c r="H1113">
        <v>316</v>
      </c>
      <c r="I1113" t="str">
        <f t="shared" si="16"/>
        <v>Computer (Data) Centers|A-B|Good</v>
      </c>
      <c r="J1113" t="s">
        <v>534</v>
      </c>
    </row>
    <row r="1114" spans="2:10">
      <c r="B1114" t="s">
        <v>532</v>
      </c>
      <c r="C1114" t="s">
        <v>533</v>
      </c>
      <c r="D1114" t="s">
        <v>248</v>
      </c>
      <c r="E1114" t="s">
        <v>264</v>
      </c>
      <c r="F1114" t="s">
        <v>270</v>
      </c>
      <c r="G1114" t="s">
        <v>44</v>
      </c>
      <c r="H1114">
        <v>258</v>
      </c>
      <c r="I1114" t="str">
        <f t="shared" si="16"/>
        <v>Computer (Data) Centers|A-B|Average</v>
      </c>
      <c r="J1114" t="s">
        <v>534</v>
      </c>
    </row>
    <row r="1115" spans="2:10">
      <c r="B1115" t="s">
        <v>532</v>
      </c>
      <c r="C1115" t="s">
        <v>533</v>
      </c>
      <c r="D1115" t="s">
        <v>248</v>
      </c>
      <c r="E1115" t="s">
        <v>264</v>
      </c>
      <c r="F1115" t="s">
        <v>270</v>
      </c>
      <c r="G1115" t="s">
        <v>226</v>
      </c>
      <c r="H1115">
        <v>200</v>
      </c>
      <c r="I1115" t="str">
        <f t="shared" si="16"/>
        <v>Computer (Data) Centers|A-B|Low Cost</v>
      </c>
      <c r="J1115" t="s">
        <v>534</v>
      </c>
    </row>
    <row r="1116" spans="2:10">
      <c r="B1116" t="s">
        <v>532</v>
      </c>
      <c r="C1116" t="s">
        <v>533</v>
      </c>
      <c r="D1116" t="s">
        <v>248</v>
      </c>
      <c r="E1116" t="s">
        <v>264</v>
      </c>
      <c r="F1116" t="s">
        <v>209</v>
      </c>
      <c r="G1116" t="s">
        <v>229</v>
      </c>
      <c r="H1116">
        <v>234</v>
      </c>
      <c r="I1116" t="str">
        <f t="shared" si="16"/>
        <v>Computer (Data) Centers|C|Good</v>
      </c>
      <c r="J1116" t="s">
        <v>534</v>
      </c>
    </row>
    <row r="1117" spans="2:10">
      <c r="B1117" t="s">
        <v>532</v>
      </c>
      <c r="C1117" t="s">
        <v>533</v>
      </c>
      <c r="D1117" t="s">
        <v>248</v>
      </c>
      <c r="E1117" t="s">
        <v>264</v>
      </c>
      <c r="F1117" t="s">
        <v>209</v>
      </c>
      <c r="G1117" t="s">
        <v>44</v>
      </c>
      <c r="H1117">
        <v>192</v>
      </c>
      <c r="I1117" t="str">
        <f t="shared" si="16"/>
        <v>Computer (Data) Centers|C|Average</v>
      </c>
      <c r="J1117" t="s">
        <v>534</v>
      </c>
    </row>
    <row r="1118" spans="2:10">
      <c r="B1118" t="s">
        <v>532</v>
      </c>
      <c r="C1118" t="s">
        <v>533</v>
      </c>
      <c r="D1118" t="s">
        <v>248</v>
      </c>
      <c r="E1118" t="s">
        <v>264</v>
      </c>
      <c r="F1118" t="s">
        <v>209</v>
      </c>
      <c r="G1118" t="s">
        <v>226</v>
      </c>
      <c r="H1118">
        <v>154</v>
      </c>
      <c r="I1118" t="str">
        <f t="shared" ref="I1118:I1181" si="17">B1118&amp;"|"&amp;F1118&amp;"|"&amp;G1118</f>
        <v>Computer (Data) Centers|C|Low Cost</v>
      </c>
      <c r="J1118" t="s">
        <v>534</v>
      </c>
    </row>
    <row r="1119" spans="2:10">
      <c r="B1119" t="s">
        <v>532</v>
      </c>
      <c r="C1119" t="s">
        <v>533</v>
      </c>
      <c r="D1119" t="s">
        <v>248</v>
      </c>
      <c r="E1119" t="s">
        <v>264</v>
      </c>
      <c r="F1119" t="s">
        <v>214</v>
      </c>
      <c r="G1119" t="s">
        <v>44</v>
      </c>
      <c r="H1119">
        <v>183</v>
      </c>
      <c r="I1119" t="str">
        <f t="shared" si="17"/>
        <v>Computer (Data) Centers|D|Average</v>
      </c>
      <c r="J1119" t="s">
        <v>534</v>
      </c>
    </row>
    <row r="1120" spans="2:10">
      <c r="B1120" t="s">
        <v>532</v>
      </c>
      <c r="C1120" t="s">
        <v>533</v>
      </c>
      <c r="D1120" t="s">
        <v>248</v>
      </c>
      <c r="E1120" t="s">
        <v>264</v>
      </c>
      <c r="F1120" t="s">
        <v>214</v>
      </c>
      <c r="G1120" t="s">
        <v>226</v>
      </c>
      <c r="H1120">
        <v>147</v>
      </c>
      <c r="I1120" t="str">
        <f t="shared" si="17"/>
        <v>Computer (Data) Centers|D|Low Cost</v>
      </c>
      <c r="J1120" t="s">
        <v>534</v>
      </c>
    </row>
    <row r="1121" spans="2:10">
      <c r="B1121" t="s">
        <v>532</v>
      </c>
      <c r="C1121" t="s">
        <v>533</v>
      </c>
      <c r="D1121" t="s">
        <v>248</v>
      </c>
      <c r="E1121" t="s">
        <v>264</v>
      </c>
      <c r="F1121" t="s">
        <v>219</v>
      </c>
      <c r="G1121" t="s">
        <v>44</v>
      </c>
      <c r="H1121">
        <v>187</v>
      </c>
      <c r="I1121" t="str">
        <f t="shared" si="17"/>
        <v>Computer (Data) Centers|S|Average</v>
      </c>
      <c r="J1121" t="s">
        <v>534</v>
      </c>
    </row>
    <row r="1122" spans="2:10">
      <c r="B1122" t="s">
        <v>535</v>
      </c>
      <c r="C1122" t="s">
        <v>536</v>
      </c>
      <c r="D1122" t="s">
        <v>248</v>
      </c>
      <c r="E1122" t="s">
        <v>269</v>
      </c>
      <c r="F1122" t="s">
        <v>270</v>
      </c>
      <c r="G1122" t="s">
        <v>229</v>
      </c>
      <c r="H1122">
        <v>386</v>
      </c>
      <c r="I1122" t="str">
        <f t="shared" si="17"/>
        <v>Broadcasting Facilities|A-B|Good</v>
      </c>
      <c r="J1122" t="s">
        <v>537</v>
      </c>
    </row>
    <row r="1123" spans="2:10">
      <c r="B1123" t="s">
        <v>535</v>
      </c>
      <c r="C1123" t="s">
        <v>536</v>
      </c>
      <c r="D1123" t="s">
        <v>248</v>
      </c>
      <c r="E1123" t="s">
        <v>269</v>
      </c>
      <c r="F1123" t="s">
        <v>270</v>
      </c>
      <c r="G1123" t="s">
        <v>44</v>
      </c>
      <c r="H1123">
        <v>295</v>
      </c>
      <c r="I1123" t="str">
        <f t="shared" si="17"/>
        <v>Broadcasting Facilities|A-B|Average</v>
      </c>
      <c r="J1123" t="s">
        <v>537</v>
      </c>
    </row>
    <row r="1124" spans="2:10">
      <c r="B1124" t="s">
        <v>535</v>
      </c>
      <c r="C1124" t="s">
        <v>536</v>
      </c>
      <c r="D1124" t="s">
        <v>248</v>
      </c>
      <c r="E1124" t="s">
        <v>269</v>
      </c>
      <c r="F1124" t="s">
        <v>270</v>
      </c>
      <c r="G1124" t="s">
        <v>226</v>
      </c>
      <c r="H1124">
        <v>214</v>
      </c>
      <c r="I1124" t="str">
        <f t="shared" si="17"/>
        <v>Broadcasting Facilities|A-B|Low Cost</v>
      </c>
      <c r="J1124" t="s">
        <v>537</v>
      </c>
    </row>
    <row r="1125" spans="2:10">
      <c r="B1125" t="s">
        <v>535</v>
      </c>
      <c r="C1125" t="s">
        <v>536</v>
      </c>
      <c r="D1125" t="s">
        <v>248</v>
      </c>
      <c r="E1125" t="s">
        <v>269</v>
      </c>
      <c r="F1125" t="s">
        <v>209</v>
      </c>
      <c r="G1125" t="s">
        <v>231</v>
      </c>
      <c r="H1125">
        <v>353</v>
      </c>
      <c r="I1125" t="str">
        <f t="shared" si="17"/>
        <v>Broadcasting Facilities|C|Excellent</v>
      </c>
      <c r="J1125" t="s">
        <v>537</v>
      </c>
    </row>
    <row r="1126" spans="2:10">
      <c r="B1126" t="s">
        <v>535</v>
      </c>
      <c r="C1126" t="s">
        <v>536</v>
      </c>
      <c r="D1126" t="s">
        <v>248</v>
      </c>
      <c r="E1126" t="s">
        <v>269</v>
      </c>
      <c r="F1126" t="s">
        <v>209</v>
      </c>
      <c r="G1126" t="s">
        <v>229</v>
      </c>
      <c r="H1126">
        <v>253</v>
      </c>
      <c r="I1126" t="str">
        <f t="shared" si="17"/>
        <v>Broadcasting Facilities|C|Good</v>
      </c>
      <c r="J1126" t="s">
        <v>537</v>
      </c>
    </row>
    <row r="1127" spans="2:10">
      <c r="B1127" t="s">
        <v>535</v>
      </c>
      <c r="C1127" t="s">
        <v>536</v>
      </c>
      <c r="D1127" t="s">
        <v>248</v>
      </c>
      <c r="E1127" t="s">
        <v>269</v>
      </c>
      <c r="F1127" t="s">
        <v>209</v>
      </c>
      <c r="G1127" t="s">
        <v>44</v>
      </c>
      <c r="H1127">
        <v>187</v>
      </c>
      <c r="I1127" t="str">
        <f t="shared" si="17"/>
        <v>Broadcasting Facilities|C|Average</v>
      </c>
      <c r="J1127" t="s">
        <v>537</v>
      </c>
    </row>
    <row r="1128" spans="2:10">
      <c r="B1128" t="s">
        <v>535</v>
      </c>
      <c r="C1128" t="s">
        <v>536</v>
      </c>
      <c r="D1128" t="s">
        <v>248</v>
      </c>
      <c r="E1128" t="s">
        <v>269</v>
      </c>
      <c r="F1128" t="s">
        <v>209</v>
      </c>
      <c r="G1128" t="s">
        <v>226</v>
      </c>
      <c r="H1128">
        <v>138</v>
      </c>
      <c r="I1128" t="str">
        <f t="shared" si="17"/>
        <v>Broadcasting Facilities|C|Low Cost</v>
      </c>
      <c r="J1128" t="s">
        <v>537</v>
      </c>
    </row>
    <row r="1129" spans="2:10">
      <c r="B1129" t="s">
        <v>535</v>
      </c>
      <c r="C1129" t="s">
        <v>536</v>
      </c>
      <c r="D1129" t="s">
        <v>248</v>
      </c>
      <c r="E1129" t="s">
        <v>269</v>
      </c>
      <c r="F1129" t="s">
        <v>214</v>
      </c>
      <c r="G1129" t="s">
        <v>231</v>
      </c>
      <c r="H1129">
        <v>340</v>
      </c>
      <c r="I1129" t="str">
        <f t="shared" si="17"/>
        <v>Broadcasting Facilities|D|Excellent</v>
      </c>
      <c r="J1129" t="s">
        <v>537</v>
      </c>
    </row>
    <row r="1130" spans="2:10">
      <c r="B1130" t="s">
        <v>535</v>
      </c>
      <c r="C1130" t="s">
        <v>536</v>
      </c>
      <c r="D1130" t="s">
        <v>248</v>
      </c>
      <c r="E1130" t="s">
        <v>269</v>
      </c>
      <c r="F1130" t="s">
        <v>214</v>
      </c>
      <c r="G1130" t="s">
        <v>229</v>
      </c>
      <c r="H1130">
        <v>243</v>
      </c>
      <c r="I1130" t="str">
        <f t="shared" si="17"/>
        <v>Broadcasting Facilities|D|Good</v>
      </c>
      <c r="J1130" t="s">
        <v>537</v>
      </c>
    </row>
    <row r="1131" spans="2:10">
      <c r="B1131" t="s">
        <v>535</v>
      </c>
      <c r="C1131" t="s">
        <v>536</v>
      </c>
      <c r="D1131" t="s">
        <v>248</v>
      </c>
      <c r="E1131" t="s">
        <v>269</v>
      </c>
      <c r="F1131" t="s">
        <v>214</v>
      </c>
      <c r="G1131" t="s">
        <v>44</v>
      </c>
      <c r="H1131">
        <v>179</v>
      </c>
      <c r="I1131" t="str">
        <f t="shared" si="17"/>
        <v>Broadcasting Facilities|D|Average</v>
      </c>
      <c r="J1131" t="s">
        <v>537</v>
      </c>
    </row>
    <row r="1132" spans="2:10">
      <c r="B1132" t="s">
        <v>535</v>
      </c>
      <c r="C1132" t="s">
        <v>536</v>
      </c>
      <c r="D1132" t="s">
        <v>248</v>
      </c>
      <c r="E1132" t="s">
        <v>269</v>
      </c>
      <c r="F1132" t="s">
        <v>214</v>
      </c>
      <c r="G1132" t="s">
        <v>226</v>
      </c>
      <c r="H1132">
        <v>132</v>
      </c>
      <c r="I1132" t="str">
        <f t="shared" si="17"/>
        <v>Broadcasting Facilities|D|Low Cost</v>
      </c>
      <c r="J1132" t="s">
        <v>537</v>
      </c>
    </row>
    <row r="1133" spans="2:10">
      <c r="B1133" t="s">
        <v>535</v>
      </c>
      <c r="C1133" t="s">
        <v>536</v>
      </c>
      <c r="D1133" t="s">
        <v>248</v>
      </c>
      <c r="E1133" t="s">
        <v>269</v>
      </c>
      <c r="F1133" t="s">
        <v>313</v>
      </c>
      <c r="G1133" t="s">
        <v>44</v>
      </c>
      <c r="H1133">
        <v>174</v>
      </c>
      <c r="I1133" t="str">
        <f t="shared" si="17"/>
        <v>Broadcasting Facilities|DPOLE|Average</v>
      </c>
      <c r="J1133" t="s">
        <v>537</v>
      </c>
    </row>
    <row r="1134" spans="2:10">
      <c r="B1134" t="s">
        <v>535</v>
      </c>
      <c r="C1134" t="s">
        <v>536</v>
      </c>
      <c r="D1134" t="s">
        <v>248</v>
      </c>
      <c r="E1134" t="s">
        <v>269</v>
      </c>
      <c r="F1134" t="s">
        <v>313</v>
      </c>
      <c r="G1134" t="s">
        <v>226</v>
      </c>
      <c r="H1134">
        <v>128</v>
      </c>
      <c r="I1134" t="str">
        <f t="shared" si="17"/>
        <v>Broadcasting Facilities|DPOLE|Low Cost</v>
      </c>
      <c r="J1134" t="s">
        <v>537</v>
      </c>
    </row>
    <row r="1135" spans="2:10">
      <c r="B1135" t="s">
        <v>535</v>
      </c>
      <c r="C1135" t="s">
        <v>536</v>
      </c>
      <c r="D1135" t="s">
        <v>248</v>
      </c>
      <c r="E1135" t="s">
        <v>269</v>
      </c>
      <c r="F1135" t="s">
        <v>219</v>
      </c>
      <c r="G1135" t="s">
        <v>229</v>
      </c>
      <c r="H1135">
        <v>247</v>
      </c>
      <c r="I1135" t="str">
        <f t="shared" si="17"/>
        <v>Broadcasting Facilities|S|Good</v>
      </c>
      <c r="J1135" t="s">
        <v>537</v>
      </c>
    </row>
    <row r="1136" spans="2:10">
      <c r="B1136" t="s">
        <v>535</v>
      </c>
      <c r="C1136" t="s">
        <v>536</v>
      </c>
      <c r="D1136" t="s">
        <v>248</v>
      </c>
      <c r="E1136" t="s">
        <v>269</v>
      </c>
      <c r="F1136" t="s">
        <v>219</v>
      </c>
      <c r="G1136" t="s">
        <v>44</v>
      </c>
      <c r="H1136">
        <v>181</v>
      </c>
      <c r="I1136" t="str">
        <f t="shared" si="17"/>
        <v>Broadcasting Facilities|S|Average</v>
      </c>
      <c r="J1136" t="s">
        <v>537</v>
      </c>
    </row>
    <row r="1137" spans="2:10">
      <c r="B1137" t="s">
        <v>535</v>
      </c>
      <c r="C1137" t="s">
        <v>536</v>
      </c>
      <c r="D1137" t="s">
        <v>248</v>
      </c>
      <c r="E1137" t="s">
        <v>269</v>
      </c>
      <c r="F1137" t="s">
        <v>219</v>
      </c>
      <c r="G1137" t="s">
        <v>226</v>
      </c>
      <c r="H1137">
        <v>133</v>
      </c>
      <c r="I1137" t="str">
        <f t="shared" si="17"/>
        <v>Broadcasting Facilities|S|Low Cost</v>
      </c>
      <c r="J1137" t="s">
        <v>537</v>
      </c>
    </row>
    <row r="1138" spans="2:10">
      <c r="B1138" t="s">
        <v>538</v>
      </c>
      <c r="C1138" t="s">
        <v>539</v>
      </c>
      <c r="D1138" t="s">
        <v>248</v>
      </c>
      <c r="E1138" t="s">
        <v>274</v>
      </c>
      <c r="F1138" t="s">
        <v>270</v>
      </c>
      <c r="G1138" t="s">
        <v>231</v>
      </c>
      <c r="H1138">
        <v>650</v>
      </c>
      <c r="I1138" t="str">
        <f t="shared" si="17"/>
        <v>Passenger Terminals|A-B|Excellent</v>
      </c>
      <c r="J1138" t="s">
        <v>540</v>
      </c>
    </row>
    <row r="1139" spans="2:10">
      <c r="B1139" t="s">
        <v>538</v>
      </c>
      <c r="C1139" t="s">
        <v>539</v>
      </c>
      <c r="D1139" t="s">
        <v>248</v>
      </c>
      <c r="E1139" t="s">
        <v>274</v>
      </c>
      <c r="F1139" t="s">
        <v>270</v>
      </c>
      <c r="G1139" t="s">
        <v>229</v>
      </c>
      <c r="H1139">
        <v>458</v>
      </c>
      <c r="I1139" t="str">
        <f t="shared" si="17"/>
        <v>Passenger Terminals|A-B|Good</v>
      </c>
      <c r="J1139" t="s">
        <v>540</v>
      </c>
    </row>
    <row r="1140" spans="2:10">
      <c r="B1140" t="s">
        <v>538</v>
      </c>
      <c r="C1140" t="s">
        <v>539</v>
      </c>
      <c r="D1140" t="s">
        <v>248</v>
      </c>
      <c r="E1140" t="s">
        <v>274</v>
      </c>
      <c r="F1140" t="s">
        <v>270</v>
      </c>
      <c r="G1140" t="s">
        <v>44</v>
      </c>
      <c r="H1140">
        <v>323</v>
      </c>
      <c r="I1140" t="str">
        <f t="shared" si="17"/>
        <v>Passenger Terminals|A-B|Average</v>
      </c>
      <c r="J1140" t="s">
        <v>540</v>
      </c>
    </row>
    <row r="1141" spans="2:10">
      <c r="B1141" t="s">
        <v>538</v>
      </c>
      <c r="C1141" t="s">
        <v>539</v>
      </c>
      <c r="D1141" t="s">
        <v>248</v>
      </c>
      <c r="E1141" t="s">
        <v>274</v>
      </c>
      <c r="F1141" t="s">
        <v>270</v>
      </c>
      <c r="G1141" t="s">
        <v>226</v>
      </c>
      <c r="H1141">
        <v>227</v>
      </c>
      <c r="I1141" t="str">
        <f t="shared" si="17"/>
        <v>Passenger Terminals|A-B|Low Cost</v>
      </c>
      <c r="J1141" t="s">
        <v>540</v>
      </c>
    </row>
    <row r="1142" spans="2:10">
      <c r="B1142" t="s">
        <v>538</v>
      </c>
      <c r="C1142" t="s">
        <v>539</v>
      </c>
      <c r="D1142" t="s">
        <v>248</v>
      </c>
      <c r="E1142" t="s">
        <v>274</v>
      </c>
      <c r="F1142" t="s">
        <v>209</v>
      </c>
      <c r="G1142" t="s">
        <v>231</v>
      </c>
      <c r="H1142">
        <v>440</v>
      </c>
      <c r="I1142" t="str">
        <f t="shared" si="17"/>
        <v>Passenger Terminals|C|Excellent</v>
      </c>
      <c r="J1142" t="s">
        <v>540</v>
      </c>
    </row>
    <row r="1143" spans="2:10">
      <c r="B1143" t="s">
        <v>538</v>
      </c>
      <c r="C1143" t="s">
        <v>539</v>
      </c>
      <c r="D1143" t="s">
        <v>248</v>
      </c>
      <c r="E1143" t="s">
        <v>274</v>
      </c>
      <c r="F1143" t="s">
        <v>209</v>
      </c>
      <c r="G1143" t="s">
        <v>250</v>
      </c>
      <c r="H1143">
        <v>345</v>
      </c>
      <c r="I1143" t="str">
        <f t="shared" si="17"/>
        <v>Passenger Terminals|C|Very Good</v>
      </c>
      <c r="J1143" t="s">
        <v>540</v>
      </c>
    </row>
    <row r="1144" spans="2:10">
      <c r="B1144" t="s">
        <v>538</v>
      </c>
      <c r="C1144" t="s">
        <v>539</v>
      </c>
      <c r="D1144" t="s">
        <v>248</v>
      </c>
      <c r="E1144" t="s">
        <v>274</v>
      </c>
      <c r="F1144" t="s">
        <v>209</v>
      </c>
      <c r="G1144" t="s">
        <v>229</v>
      </c>
      <c r="H1144">
        <v>262</v>
      </c>
      <c r="I1144" t="str">
        <f t="shared" si="17"/>
        <v>Passenger Terminals|C|Good</v>
      </c>
      <c r="J1144" t="s">
        <v>540</v>
      </c>
    </row>
    <row r="1145" spans="2:10">
      <c r="B1145" t="s">
        <v>538</v>
      </c>
      <c r="C1145" t="s">
        <v>539</v>
      </c>
      <c r="D1145" t="s">
        <v>248</v>
      </c>
      <c r="E1145" t="s">
        <v>274</v>
      </c>
      <c r="F1145" t="s">
        <v>209</v>
      </c>
      <c r="G1145" t="s">
        <v>44</v>
      </c>
      <c r="H1145">
        <v>161</v>
      </c>
      <c r="I1145" t="str">
        <f t="shared" si="17"/>
        <v>Passenger Terminals|C|Average</v>
      </c>
      <c r="J1145" t="s">
        <v>540</v>
      </c>
    </row>
    <row r="1146" spans="2:10">
      <c r="B1146" t="s">
        <v>538</v>
      </c>
      <c r="C1146" t="s">
        <v>539</v>
      </c>
      <c r="D1146" t="s">
        <v>248</v>
      </c>
      <c r="E1146" t="s">
        <v>274</v>
      </c>
      <c r="F1146" t="s">
        <v>209</v>
      </c>
      <c r="G1146" t="s">
        <v>302</v>
      </c>
      <c r="H1146">
        <v>128</v>
      </c>
      <c r="I1146" t="str">
        <f t="shared" si="17"/>
        <v>Passenger Terminals|C|Fair</v>
      </c>
      <c r="J1146" t="s">
        <v>540</v>
      </c>
    </row>
    <row r="1147" spans="2:10">
      <c r="B1147" t="s">
        <v>538</v>
      </c>
      <c r="C1147" t="s">
        <v>539</v>
      </c>
      <c r="D1147" t="s">
        <v>248</v>
      </c>
      <c r="E1147" t="s">
        <v>274</v>
      </c>
      <c r="F1147" t="s">
        <v>209</v>
      </c>
      <c r="G1147" t="s">
        <v>226</v>
      </c>
      <c r="H1147">
        <v>102</v>
      </c>
      <c r="I1147" t="str">
        <f t="shared" si="17"/>
        <v>Passenger Terminals|C|Low Cost</v>
      </c>
      <c r="J1147" t="s">
        <v>540</v>
      </c>
    </row>
    <row r="1148" spans="2:10">
      <c r="B1148" t="s">
        <v>538</v>
      </c>
      <c r="C1148" t="s">
        <v>539</v>
      </c>
      <c r="D1148" t="s">
        <v>248</v>
      </c>
      <c r="E1148" t="s">
        <v>274</v>
      </c>
      <c r="F1148" t="s">
        <v>214</v>
      </c>
      <c r="G1148" t="s">
        <v>250</v>
      </c>
      <c r="H1148">
        <v>325</v>
      </c>
      <c r="I1148" t="str">
        <f t="shared" si="17"/>
        <v>Passenger Terminals|D|Very Good</v>
      </c>
      <c r="J1148" t="s">
        <v>540</v>
      </c>
    </row>
    <row r="1149" spans="2:10">
      <c r="B1149" t="s">
        <v>538</v>
      </c>
      <c r="C1149" t="s">
        <v>539</v>
      </c>
      <c r="D1149" t="s">
        <v>248</v>
      </c>
      <c r="E1149" t="s">
        <v>274</v>
      </c>
      <c r="F1149" t="s">
        <v>214</v>
      </c>
      <c r="G1149" t="s">
        <v>229</v>
      </c>
      <c r="H1149">
        <v>245</v>
      </c>
      <c r="I1149" t="str">
        <f t="shared" si="17"/>
        <v>Passenger Terminals|D|Good</v>
      </c>
      <c r="J1149" t="s">
        <v>540</v>
      </c>
    </row>
    <row r="1150" spans="2:10">
      <c r="B1150" t="s">
        <v>538</v>
      </c>
      <c r="C1150" t="s">
        <v>539</v>
      </c>
      <c r="D1150" t="s">
        <v>248</v>
      </c>
      <c r="E1150" t="s">
        <v>274</v>
      </c>
      <c r="F1150" t="s">
        <v>214</v>
      </c>
      <c r="G1150" t="s">
        <v>44</v>
      </c>
      <c r="H1150">
        <v>150</v>
      </c>
      <c r="I1150" t="str">
        <f t="shared" si="17"/>
        <v>Passenger Terminals|D|Average</v>
      </c>
      <c r="J1150" t="s">
        <v>540</v>
      </c>
    </row>
    <row r="1151" spans="2:10">
      <c r="B1151" t="s">
        <v>538</v>
      </c>
      <c r="C1151" t="s">
        <v>539</v>
      </c>
      <c r="D1151" t="s">
        <v>248</v>
      </c>
      <c r="E1151" t="s">
        <v>274</v>
      </c>
      <c r="F1151" t="s">
        <v>214</v>
      </c>
      <c r="G1151" t="s">
        <v>302</v>
      </c>
      <c r="H1151">
        <v>119</v>
      </c>
      <c r="I1151" t="str">
        <f t="shared" si="17"/>
        <v>Passenger Terminals|D|Fair</v>
      </c>
      <c r="J1151" t="s">
        <v>540</v>
      </c>
    </row>
    <row r="1152" spans="2:10">
      <c r="B1152" t="s">
        <v>538</v>
      </c>
      <c r="C1152" t="s">
        <v>539</v>
      </c>
      <c r="D1152" t="s">
        <v>248</v>
      </c>
      <c r="E1152" t="s">
        <v>274</v>
      </c>
      <c r="F1152" t="s">
        <v>214</v>
      </c>
      <c r="G1152" t="s">
        <v>226</v>
      </c>
      <c r="H1152">
        <v>95</v>
      </c>
      <c r="I1152" t="str">
        <f t="shared" si="17"/>
        <v>Passenger Terminals|D|Low Cost</v>
      </c>
      <c r="J1152" t="s">
        <v>540</v>
      </c>
    </row>
    <row r="1153" spans="2:10">
      <c r="B1153" t="s">
        <v>538</v>
      </c>
      <c r="C1153" t="s">
        <v>539</v>
      </c>
      <c r="D1153" t="s">
        <v>248</v>
      </c>
      <c r="E1153" t="s">
        <v>274</v>
      </c>
      <c r="F1153" t="s">
        <v>313</v>
      </c>
      <c r="G1153" t="s">
        <v>302</v>
      </c>
      <c r="H1153">
        <v>114</v>
      </c>
      <c r="I1153" t="str">
        <f t="shared" si="17"/>
        <v>Passenger Terminals|DPOLE|Fair</v>
      </c>
      <c r="J1153" t="s">
        <v>540</v>
      </c>
    </row>
    <row r="1154" spans="2:10">
      <c r="B1154" t="s">
        <v>538</v>
      </c>
      <c r="C1154" t="s">
        <v>539</v>
      </c>
      <c r="D1154" t="s">
        <v>248</v>
      </c>
      <c r="E1154" t="s">
        <v>274</v>
      </c>
      <c r="F1154" t="s">
        <v>313</v>
      </c>
      <c r="G1154" t="s">
        <v>226</v>
      </c>
      <c r="H1154">
        <v>90.5</v>
      </c>
      <c r="I1154" t="str">
        <f t="shared" si="17"/>
        <v>Passenger Terminals|DPOLE|Low Cost</v>
      </c>
      <c r="J1154" t="s">
        <v>540</v>
      </c>
    </row>
    <row r="1155" spans="2:10">
      <c r="B1155" t="s">
        <v>538</v>
      </c>
      <c r="C1155" t="s">
        <v>539</v>
      </c>
      <c r="D1155" t="s">
        <v>248</v>
      </c>
      <c r="E1155" t="s">
        <v>274</v>
      </c>
      <c r="F1155" t="s">
        <v>219</v>
      </c>
      <c r="G1155" t="s">
        <v>44</v>
      </c>
      <c r="H1155">
        <v>150</v>
      </c>
      <c r="I1155" t="str">
        <f t="shared" si="17"/>
        <v>Passenger Terminals|S|Average</v>
      </c>
      <c r="J1155" t="s">
        <v>540</v>
      </c>
    </row>
    <row r="1156" spans="2:10">
      <c r="B1156" t="s">
        <v>538</v>
      </c>
      <c r="C1156" t="s">
        <v>539</v>
      </c>
      <c r="D1156" t="s">
        <v>248</v>
      </c>
      <c r="E1156" t="s">
        <v>274</v>
      </c>
      <c r="F1156" t="s">
        <v>219</v>
      </c>
      <c r="G1156" t="s">
        <v>302</v>
      </c>
      <c r="H1156">
        <v>119</v>
      </c>
      <c r="I1156" t="str">
        <f t="shared" si="17"/>
        <v>Passenger Terminals|S|Fair</v>
      </c>
      <c r="J1156" t="s">
        <v>540</v>
      </c>
    </row>
    <row r="1157" spans="2:10">
      <c r="B1157" t="s">
        <v>538</v>
      </c>
      <c r="C1157" t="s">
        <v>539</v>
      </c>
      <c r="D1157" t="s">
        <v>248</v>
      </c>
      <c r="E1157" t="s">
        <v>274</v>
      </c>
      <c r="F1157" t="s">
        <v>219</v>
      </c>
      <c r="G1157" t="s">
        <v>226</v>
      </c>
      <c r="H1157">
        <v>94.5</v>
      </c>
      <c r="I1157" t="str">
        <f t="shared" si="17"/>
        <v>Passenger Terminals|S|Low Cost</v>
      </c>
      <c r="J1157" t="s">
        <v>540</v>
      </c>
    </row>
    <row r="1158" spans="2:10">
      <c r="B1158" t="s">
        <v>541</v>
      </c>
      <c r="C1158" t="s">
        <v>542</v>
      </c>
      <c r="D1158" t="s">
        <v>248</v>
      </c>
      <c r="E1158" t="s">
        <v>276</v>
      </c>
      <c r="F1158" t="s">
        <v>270</v>
      </c>
      <c r="G1158" t="s">
        <v>229</v>
      </c>
      <c r="H1158">
        <v>374</v>
      </c>
      <c r="I1158" t="str">
        <f t="shared" si="17"/>
        <v>Main Post Offices|A-B|Good</v>
      </c>
      <c r="J1158" t="s">
        <v>543</v>
      </c>
    </row>
    <row r="1159" spans="2:10">
      <c r="B1159" t="s">
        <v>541</v>
      </c>
      <c r="C1159" t="s">
        <v>542</v>
      </c>
      <c r="D1159" t="s">
        <v>248</v>
      </c>
      <c r="E1159" t="s">
        <v>276</v>
      </c>
      <c r="F1159" t="s">
        <v>270</v>
      </c>
      <c r="G1159" t="s">
        <v>44</v>
      </c>
      <c r="H1159">
        <v>282</v>
      </c>
      <c r="I1159" t="str">
        <f t="shared" si="17"/>
        <v>Main Post Offices|A-B|Average</v>
      </c>
      <c r="J1159" t="s">
        <v>543</v>
      </c>
    </row>
    <row r="1160" spans="2:10">
      <c r="B1160" t="s">
        <v>541</v>
      </c>
      <c r="C1160" t="s">
        <v>542</v>
      </c>
      <c r="D1160" t="s">
        <v>248</v>
      </c>
      <c r="E1160" t="s">
        <v>276</v>
      </c>
      <c r="F1160" t="s">
        <v>209</v>
      </c>
      <c r="G1160" t="s">
        <v>231</v>
      </c>
      <c r="H1160">
        <v>344</v>
      </c>
      <c r="I1160" t="str">
        <f t="shared" si="17"/>
        <v>Main Post Offices|C|Excellent</v>
      </c>
      <c r="J1160" t="s">
        <v>543</v>
      </c>
    </row>
    <row r="1161" spans="2:10">
      <c r="B1161" t="s">
        <v>541</v>
      </c>
      <c r="C1161" t="s">
        <v>542</v>
      </c>
      <c r="D1161" t="s">
        <v>248</v>
      </c>
      <c r="E1161" t="s">
        <v>276</v>
      </c>
      <c r="F1161" t="s">
        <v>209</v>
      </c>
      <c r="G1161" t="s">
        <v>229</v>
      </c>
      <c r="H1161">
        <v>253</v>
      </c>
      <c r="I1161" t="str">
        <f t="shared" si="17"/>
        <v>Main Post Offices|C|Good</v>
      </c>
      <c r="J1161" t="s">
        <v>543</v>
      </c>
    </row>
    <row r="1162" spans="2:10">
      <c r="B1162" t="s">
        <v>541</v>
      </c>
      <c r="C1162" t="s">
        <v>542</v>
      </c>
      <c r="D1162" t="s">
        <v>248</v>
      </c>
      <c r="E1162" t="s">
        <v>276</v>
      </c>
      <c r="F1162" t="s">
        <v>209</v>
      </c>
      <c r="G1162" t="s">
        <v>44</v>
      </c>
      <c r="H1162">
        <v>192</v>
      </c>
      <c r="I1162" t="str">
        <f t="shared" si="17"/>
        <v>Main Post Offices|C|Average</v>
      </c>
      <c r="J1162" t="s">
        <v>543</v>
      </c>
    </row>
    <row r="1163" spans="2:10">
      <c r="B1163" t="s">
        <v>541</v>
      </c>
      <c r="C1163" t="s">
        <v>542</v>
      </c>
      <c r="D1163" t="s">
        <v>248</v>
      </c>
      <c r="E1163" t="s">
        <v>276</v>
      </c>
      <c r="F1163" t="s">
        <v>255</v>
      </c>
      <c r="G1163" t="s">
        <v>231</v>
      </c>
      <c r="H1163">
        <v>319</v>
      </c>
      <c r="I1163" t="str">
        <f t="shared" si="17"/>
        <v>Main Post Offices|DMASVEN|Excellent</v>
      </c>
      <c r="J1163" t="s">
        <v>543</v>
      </c>
    </row>
    <row r="1164" spans="2:10">
      <c r="B1164" t="s">
        <v>541</v>
      </c>
      <c r="C1164" t="s">
        <v>542</v>
      </c>
      <c r="D1164" t="s">
        <v>248</v>
      </c>
      <c r="E1164" t="s">
        <v>276</v>
      </c>
      <c r="F1164" t="s">
        <v>255</v>
      </c>
      <c r="G1164" t="s">
        <v>229</v>
      </c>
      <c r="H1164">
        <v>244</v>
      </c>
      <c r="I1164" t="str">
        <f t="shared" si="17"/>
        <v>Main Post Offices|DMASVEN|Good</v>
      </c>
      <c r="J1164" t="s">
        <v>543</v>
      </c>
    </row>
    <row r="1165" spans="2:10">
      <c r="B1165" t="s">
        <v>541</v>
      </c>
      <c r="C1165" t="s">
        <v>542</v>
      </c>
      <c r="D1165" t="s">
        <v>248</v>
      </c>
      <c r="E1165" t="s">
        <v>276</v>
      </c>
      <c r="F1165" t="s">
        <v>255</v>
      </c>
      <c r="G1165" t="s">
        <v>44</v>
      </c>
      <c r="H1165">
        <v>185</v>
      </c>
      <c r="I1165" t="str">
        <f t="shared" si="17"/>
        <v>Main Post Offices|DMASVEN|Average</v>
      </c>
      <c r="J1165" t="s">
        <v>543</v>
      </c>
    </row>
    <row r="1166" spans="2:10">
      <c r="B1166" t="s">
        <v>541</v>
      </c>
      <c r="C1166" t="s">
        <v>542</v>
      </c>
      <c r="D1166" t="s">
        <v>248</v>
      </c>
      <c r="E1166" t="s">
        <v>276</v>
      </c>
      <c r="F1166" t="s">
        <v>214</v>
      </c>
      <c r="G1166" t="s">
        <v>250</v>
      </c>
      <c r="H1166">
        <v>268</v>
      </c>
      <c r="I1166" t="str">
        <f t="shared" si="17"/>
        <v>Main Post Offices|D|Very Good</v>
      </c>
      <c r="J1166" t="s">
        <v>543</v>
      </c>
    </row>
    <row r="1167" spans="2:10">
      <c r="B1167" t="s">
        <v>541</v>
      </c>
      <c r="C1167" t="s">
        <v>542</v>
      </c>
      <c r="D1167" t="s">
        <v>248</v>
      </c>
      <c r="E1167" t="s">
        <v>276</v>
      </c>
      <c r="F1167" t="s">
        <v>214</v>
      </c>
      <c r="G1167" t="s">
        <v>229</v>
      </c>
      <c r="H1167">
        <v>235</v>
      </c>
      <c r="I1167" t="str">
        <f t="shared" si="17"/>
        <v>Main Post Offices|D|Good</v>
      </c>
      <c r="J1167" t="s">
        <v>543</v>
      </c>
    </row>
    <row r="1168" spans="2:10">
      <c r="B1168" t="s">
        <v>541</v>
      </c>
      <c r="C1168" t="s">
        <v>542</v>
      </c>
      <c r="D1168" t="s">
        <v>248</v>
      </c>
      <c r="E1168" t="s">
        <v>276</v>
      </c>
      <c r="F1168" t="s">
        <v>214</v>
      </c>
      <c r="G1168" t="s">
        <v>44</v>
      </c>
      <c r="H1168">
        <v>180</v>
      </c>
      <c r="I1168" t="str">
        <f t="shared" si="17"/>
        <v>Main Post Offices|D|Average</v>
      </c>
      <c r="J1168" t="s">
        <v>543</v>
      </c>
    </row>
    <row r="1169" spans="2:10">
      <c r="B1169" t="s">
        <v>541</v>
      </c>
      <c r="C1169" t="s">
        <v>542</v>
      </c>
      <c r="D1169" t="s">
        <v>248</v>
      </c>
      <c r="E1169" t="s">
        <v>276</v>
      </c>
      <c r="F1169" t="s">
        <v>219</v>
      </c>
      <c r="G1169" t="s">
        <v>44</v>
      </c>
      <c r="H1169">
        <v>184</v>
      </c>
      <c r="I1169" t="str">
        <f t="shared" si="17"/>
        <v>Main Post Offices|S|Average</v>
      </c>
      <c r="J1169" t="s">
        <v>543</v>
      </c>
    </row>
    <row r="1170" spans="2:10">
      <c r="B1170" t="s">
        <v>544</v>
      </c>
      <c r="C1170" t="s">
        <v>545</v>
      </c>
      <c r="D1170" t="s">
        <v>248</v>
      </c>
      <c r="E1170" t="s">
        <v>276</v>
      </c>
      <c r="F1170" t="s">
        <v>270</v>
      </c>
      <c r="G1170" t="s">
        <v>44</v>
      </c>
      <c r="H1170">
        <v>210</v>
      </c>
      <c r="I1170" t="str">
        <f t="shared" si="17"/>
        <v>Mail - Processing Facilities|A-B|Average</v>
      </c>
      <c r="J1170" t="s">
        <v>543</v>
      </c>
    </row>
    <row r="1171" spans="2:10">
      <c r="B1171" t="s">
        <v>544</v>
      </c>
      <c r="C1171" t="s">
        <v>545</v>
      </c>
      <c r="D1171" t="s">
        <v>248</v>
      </c>
      <c r="E1171" t="s">
        <v>276</v>
      </c>
      <c r="F1171" t="s">
        <v>209</v>
      </c>
      <c r="G1171" t="s">
        <v>229</v>
      </c>
      <c r="H1171">
        <v>179</v>
      </c>
      <c r="I1171" t="str">
        <f t="shared" si="17"/>
        <v>Mail - Processing Facilities|C|Good</v>
      </c>
      <c r="J1171" t="s">
        <v>543</v>
      </c>
    </row>
    <row r="1172" spans="2:10">
      <c r="B1172" t="s">
        <v>544</v>
      </c>
      <c r="C1172" t="s">
        <v>545</v>
      </c>
      <c r="D1172" t="s">
        <v>248</v>
      </c>
      <c r="E1172" t="s">
        <v>276</v>
      </c>
      <c r="F1172" t="s">
        <v>209</v>
      </c>
      <c r="G1172" t="s">
        <v>44</v>
      </c>
      <c r="H1172">
        <v>125</v>
      </c>
      <c r="I1172" t="str">
        <f t="shared" si="17"/>
        <v>Mail - Processing Facilities|C|Average</v>
      </c>
      <c r="J1172" t="s">
        <v>543</v>
      </c>
    </row>
    <row r="1173" spans="2:10">
      <c r="B1173" t="s">
        <v>544</v>
      </c>
      <c r="C1173" t="s">
        <v>545</v>
      </c>
      <c r="D1173" t="s">
        <v>248</v>
      </c>
      <c r="E1173" t="s">
        <v>276</v>
      </c>
      <c r="F1173" t="s">
        <v>219</v>
      </c>
      <c r="G1173" t="s">
        <v>229</v>
      </c>
      <c r="H1173">
        <v>174</v>
      </c>
      <c r="I1173" t="str">
        <f t="shared" si="17"/>
        <v>Mail - Processing Facilities|S|Good</v>
      </c>
      <c r="J1173" t="s">
        <v>543</v>
      </c>
    </row>
    <row r="1174" spans="2:10">
      <c r="B1174" t="s">
        <v>544</v>
      </c>
      <c r="C1174" t="s">
        <v>545</v>
      </c>
      <c r="D1174" t="s">
        <v>248</v>
      </c>
      <c r="E1174" t="s">
        <v>276</v>
      </c>
      <c r="F1174" t="s">
        <v>219</v>
      </c>
      <c r="G1174" t="s">
        <v>44</v>
      </c>
      <c r="H1174">
        <v>122</v>
      </c>
      <c r="I1174" t="str">
        <f t="shared" si="17"/>
        <v>Mail - Processing Facilities|S|Average</v>
      </c>
      <c r="J1174" t="s">
        <v>543</v>
      </c>
    </row>
    <row r="1175" spans="2:10">
      <c r="B1175" t="s">
        <v>546</v>
      </c>
      <c r="C1175" t="s">
        <v>547</v>
      </c>
      <c r="D1175" t="s">
        <v>248</v>
      </c>
      <c r="E1175" t="s">
        <v>280</v>
      </c>
      <c r="F1175" t="s">
        <v>270</v>
      </c>
      <c r="G1175" t="s">
        <v>44</v>
      </c>
      <c r="H1175">
        <v>213</v>
      </c>
      <c r="I1175" t="str">
        <f t="shared" si="17"/>
        <v>Branch Post Offices|A-B|Average</v>
      </c>
      <c r="J1175" t="s">
        <v>548</v>
      </c>
    </row>
    <row r="1176" spans="2:10">
      <c r="B1176" t="s">
        <v>546</v>
      </c>
      <c r="C1176" t="s">
        <v>547</v>
      </c>
      <c r="D1176" t="s">
        <v>248</v>
      </c>
      <c r="E1176" t="s">
        <v>280</v>
      </c>
      <c r="F1176" t="s">
        <v>209</v>
      </c>
      <c r="G1176" t="s">
        <v>231</v>
      </c>
      <c r="H1176">
        <v>306</v>
      </c>
      <c r="I1176" t="str">
        <f t="shared" si="17"/>
        <v>Branch Post Offices|C|Excellent</v>
      </c>
      <c r="J1176" t="s">
        <v>548</v>
      </c>
    </row>
    <row r="1177" spans="2:10">
      <c r="B1177" t="s">
        <v>546</v>
      </c>
      <c r="C1177" t="s">
        <v>547</v>
      </c>
      <c r="D1177" t="s">
        <v>248</v>
      </c>
      <c r="E1177" t="s">
        <v>280</v>
      </c>
      <c r="F1177" t="s">
        <v>209</v>
      </c>
      <c r="G1177" t="s">
        <v>229</v>
      </c>
      <c r="H1177">
        <v>226</v>
      </c>
      <c r="I1177" t="str">
        <f t="shared" si="17"/>
        <v>Branch Post Offices|C|Good</v>
      </c>
      <c r="J1177" t="s">
        <v>548</v>
      </c>
    </row>
    <row r="1178" spans="2:10">
      <c r="B1178" t="s">
        <v>546</v>
      </c>
      <c r="C1178" t="s">
        <v>547</v>
      </c>
      <c r="D1178" t="s">
        <v>248</v>
      </c>
      <c r="E1178" t="s">
        <v>280</v>
      </c>
      <c r="F1178" t="s">
        <v>209</v>
      </c>
      <c r="G1178" t="s">
        <v>44</v>
      </c>
      <c r="H1178">
        <v>168</v>
      </c>
      <c r="I1178" t="str">
        <f t="shared" si="17"/>
        <v>Branch Post Offices|C|Average</v>
      </c>
      <c r="J1178" t="s">
        <v>548</v>
      </c>
    </row>
    <row r="1179" spans="2:10">
      <c r="B1179" t="s">
        <v>546</v>
      </c>
      <c r="C1179" t="s">
        <v>547</v>
      </c>
      <c r="D1179" t="s">
        <v>248</v>
      </c>
      <c r="E1179" t="s">
        <v>280</v>
      </c>
      <c r="F1179" t="s">
        <v>209</v>
      </c>
      <c r="G1179" t="s">
        <v>226</v>
      </c>
      <c r="H1179">
        <v>120</v>
      </c>
      <c r="I1179" t="str">
        <f t="shared" si="17"/>
        <v>Branch Post Offices|C|Low Cost</v>
      </c>
      <c r="J1179" t="s">
        <v>548</v>
      </c>
    </row>
    <row r="1180" spans="2:10">
      <c r="B1180" t="s">
        <v>546</v>
      </c>
      <c r="C1180" t="s">
        <v>547</v>
      </c>
      <c r="D1180" t="s">
        <v>248</v>
      </c>
      <c r="E1180" t="s">
        <v>280</v>
      </c>
      <c r="F1180" t="s">
        <v>255</v>
      </c>
      <c r="G1180" t="s">
        <v>231</v>
      </c>
      <c r="H1180">
        <v>293</v>
      </c>
      <c r="I1180" t="str">
        <f t="shared" si="17"/>
        <v>Branch Post Offices|DMASVEN|Excellent</v>
      </c>
      <c r="J1180" t="s">
        <v>548</v>
      </c>
    </row>
    <row r="1181" spans="2:10">
      <c r="B1181" t="s">
        <v>546</v>
      </c>
      <c r="C1181" t="s">
        <v>547</v>
      </c>
      <c r="D1181" t="s">
        <v>248</v>
      </c>
      <c r="E1181" t="s">
        <v>280</v>
      </c>
      <c r="F1181" t="s">
        <v>255</v>
      </c>
      <c r="G1181" t="s">
        <v>229</v>
      </c>
      <c r="H1181">
        <v>218</v>
      </c>
      <c r="I1181" t="str">
        <f t="shared" si="17"/>
        <v>Branch Post Offices|DMASVEN|Good</v>
      </c>
      <c r="J1181" t="s">
        <v>548</v>
      </c>
    </row>
    <row r="1182" spans="2:10">
      <c r="B1182" t="s">
        <v>546</v>
      </c>
      <c r="C1182" t="s">
        <v>547</v>
      </c>
      <c r="D1182" t="s">
        <v>248</v>
      </c>
      <c r="E1182" t="s">
        <v>280</v>
      </c>
      <c r="F1182" t="s">
        <v>255</v>
      </c>
      <c r="G1182" t="s">
        <v>44</v>
      </c>
      <c r="H1182">
        <v>163</v>
      </c>
      <c r="I1182" t="str">
        <f t="shared" ref="I1182:I1245" si="18">B1182&amp;"|"&amp;F1182&amp;"|"&amp;G1182</f>
        <v>Branch Post Offices|DMASVEN|Average</v>
      </c>
      <c r="J1182" t="s">
        <v>548</v>
      </c>
    </row>
    <row r="1183" spans="2:10">
      <c r="B1183" t="s">
        <v>546</v>
      </c>
      <c r="C1183" t="s">
        <v>547</v>
      </c>
      <c r="D1183" t="s">
        <v>248</v>
      </c>
      <c r="E1183" t="s">
        <v>280</v>
      </c>
      <c r="F1183" t="s">
        <v>255</v>
      </c>
      <c r="G1183" t="s">
        <v>226</v>
      </c>
      <c r="H1183">
        <v>117</v>
      </c>
      <c r="I1183" t="str">
        <f t="shared" si="18"/>
        <v>Branch Post Offices|DMASVEN|Low Cost</v>
      </c>
      <c r="J1183" t="s">
        <v>548</v>
      </c>
    </row>
    <row r="1184" spans="2:10">
      <c r="B1184" t="s">
        <v>546</v>
      </c>
      <c r="C1184" t="s">
        <v>547</v>
      </c>
      <c r="D1184" t="s">
        <v>248</v>
      </c>
      <c r="E1184" t="s">
        <v>280</v>
      </c>
      <c r="F1184" t="s">
        <v>214</v>
      </c>
      <c r="G1184" t="s">
        <v>231</v>
      </c>
      <c r="H1184">
        <v>278</v>
      </c>
      <c r="I1184" t="str">
        <f t="shared" si="18"/>
        <v>Branch Post Offices|D|Excellent</v>
      </c>
      <c r="J1184" t="s">
        <v>548</v>
      </c>
    </row>
    <row r="1185" spans="2:10">
      <c r="B1185" t="s">
        <v>546</v>
      </c>
      <c r="C1185" t="s">
        <v>547</v>
      </c>
      <c r="D1185" t="s">
        <v>248</v>
      </c>
      <c r="E1185" t="s">
        <v>280</v>
      </c>
      <c r="F1185" t="s">
        <v>214</v>
      </c>
      <c r="G1185" t="s">
        <v>229</v>
      </c>
      <c r="H1185">
        <v>208</v>
      </c>
      <c r="I1185" t="str">
        <f t="shared" si="18"/>
        <v>Branch Post Offices|D|Good</v>
      </c>
      <c r="J1185" t="s">
        <v>548</v>
      </c>
    </row>
    <row r="1186" spans="2:10">
      <c r="B1186" t="s">
        <v>546</v>
      </c>
      <c r="C1186" t="s">
        <v>547</v>
      </c>
      <c r="D1186" t="s">
        <v>248</v>
      </c>
      <c r="E1186" t="s">
        <v>280</v>
      </c>
      <c r="F1186" t="s">
        <v>214</v>
      </c>
      <c r="G1186" t="s">
        <v>44</v>
      </c>
      <c r="H1186">
        <v>158</v>
      </c>
      <c r="I1186" t="str">
        <f t="shared" si="18"/>
        <v>Branch Post Offices|D|Average</v>
      </c>
      <c r="J1186" t="s">
        <v>548</v>
      </c>
    </row>
    <row r="1187" spans="2:10">
      <c r="B1187" t="s">
        <v>546</v>
      </c>
      <c r="C1187" t="s">
        <v>547</v>
      </c>
      <c r="D1187" t="s">
        <v>248</v>
      </c>
      <c r="E1187" t="s">
        <v>280</v>
      </c>
      <c r="F1187" t="s">
        <v>214</v>
      </c>
      <c r="G1187" t="s">
        <v>226</v>
      </c>
      <c r="H1187">
        <v>114</v>
      </c>
      <c r="I1187" t="str">
        <f t="shared" si="18"/>
        <v>Branch Post Offices|D|Low Cost</v>
      </c>
      <c r="J1187" t="s">
        <v>548</v>
      </c>
    </row>
    <row r="1188" spans="2:10">
      <c r="B1188" t="s">
        <v>546</v>
      </c>
      <c r="C1188" t="s">
        <v>547</v>
      </c>
      <c r="D1188" t="s">
        <v>248</v>
      </c>
      <c r="E1188" t="s">
        <v>280</v>
      </c>
      <c r="F1188" t="s">
        <v>219</v>
      </c>
      <c r="G1188" t="s">
        <v>44</v>
      </c>
      <c r="H1188">
        <v>162</v>
      </c>
      <c r="I1188" t="str">
        <f t="shared" si="18"/>
        <v>Branch Post Offices|S|Average</v>
      </c>
      <c r="J1188" t="s">
        <v>548</v>
      </c>
    </row>
    <row r="1189" spans="2:10">
      <c r="B1189" t="s">
        <v>549</v>
      </c>
      <c r="C1189" t="s">
        <v>550</v>
      </c>
      <c r="D1189" t="s">
        <v>248</v>
      </c>
      <c r="E1189" t="s">
        <v>280</v>
      </c>
      <c r="F1189" t="s">
        <v>209</v>
      </c>
      <c r="G1189" t="s">
        <v>231</v>
      </c>
      <c r="H1189">
        <v>231</v>
      </c>
      <c r="I1189" t="str">
        <f t="shared" si="18"/>
        <v>Armories|C|Excellent</v>
      </c>
      <c r="J1189" t="s">
        <v>548</v>
      </c>
    </row>
    <row r="1190" spans="2:10">
      <c r="B1190" t="s">
        <v>549</v>
      </c>
      <c r="C1190" t="s">
        <v>550</v>
      </c>
      <c r="D1190" t="s">
        <v>248</v>
      </c>
      <c r="E1190" t="s">
        <v>280</v>
      </c>
      <c r="F1190" t="s">
        <v>209</v>
      </c>
      <c r="G1190" t="s">
        <v>229</v>
      </c>
      <c r="H1190">
        <v>174</v>
      </c>
      <c r="I1190" t="str">
        <f t="shared" si="18"/>
        <v>Armories|C|Good</v>
      </c>
      <c r="J1190" t="s">
        <v>548</v>
      </c>
    </row>
    <row r="1191" spans="2:10">
      <c r="B1191" t="s">
        <v>549</v>
      </c>
      <c r="C1191" t="s">
        <v>550</v>
      </c>
      <c r="D1191" t="s">
        <v>248</v>
      </c>
      <c r="E1191" t="s">
        <v>280</v>
      </c>
      <c r="F1191" t="s">
        <v>209</v>
      </c>
      <c r="G1191" t="s">
        <v>44</v>
      </c>
      <c r="H1191">
        <v>131</v>
      </c>
      <c r="I1191" t="str">
        <f t="shared" si="18"/>
        <v>Armories|C|Average</v>
      </c>
      <c r="J1191" t="s">
        <v>548</v>
      </c>
    </row>
    <row r="1192" spans="2:10">
      <c r="B1192" t="s">
        <v>549</v>
      </c>
      <c r="C1192" t="s">
        <v>550</v>
      </c>
      <c r="D1192" t="s">
        <v>248</v>
      </c>
      <c r="E1192" t="s">
        <v>280</v>
      </c>
      <c r="F1192" t="s">
        <v>214</v>
      </c>
      <c r="G1192" t="s">
        <v>231</v>
      </c>
      <c r="H1192">
        <v>215</v>
      </c>
      <c r="I1192" t="str">
        <f t="shared" si="18"/>
        <v>Armories|D|Excellent</v>
      </c>
      <c r="J1192" t="s">
        <v>548</v>
      </c>
    </row>
    <row r="1193" spans="2:10">
      <c r="B1193" t="s">
        <v>549</v>
      </c>
      <c r="C1193" t="s">
        <v>550</v>
      </c>
      <c r="D1193" t="s">
        <v>248</v>
      </c>
      <c r="E1193" t="s">
        <v>280</v>
      </c>
      <c r="F1193" t="s">
        <v>214</v>
      </c>
      <c r="G1193" t="s">
        <v>229</v>
      </c>
      <c r="H1193">
        <v>163</v>
      </c>
      <c r="I1193" t="str">
        <f t="shared" si="18"/>
        <v>Armories|D|Good</v>
      </c>
      <c r="J1193" t="s">
        <v>548</v>
      </c>
    </row>
    <row r="1194" spans="2:10">
      <c r="B1194" t="s">
        <v>549</v>
      </c>
      <c r="C1194" t="s">
        <v>550</v>
      </c>
      <c r="D1194" t="s">
        <v>248</v>
      </c>
      <c r="E1194" t="s">
        <v>280</v>
      </c>
      <c r="F1194" t="s">
        <v>214</v>
      </c>
      <c r="G1194" t="s">
        <v>44</v>
      </c>
      <c r="H1194">
        <v>123</v>
      </c>
      <c r="I1194" t="str">
        <f t="shared" si="18"/>
        <v>Armories|D|Average</v>
      </c>
      <c r="J1194" t="s">
        <v>548</v>
      </c>
    </row>
    <row r="1195" spans="2:10">
      <c r="B1195" t="s">
        <v>549</v>
      </c>
      <c r="C1195" t="s">
        <v>550</v>
      </c>
      <c r="D1195" t="s">
        <v>248</v>
      </c>
      <c r="E1195" t="s">
        <v>280</v>
      </c>
      <c r="F1195" t="s">
        <v>219</v>
      </c>
      <c r="G1195" t="s">
        <v>44</v>
      </c>
      <c r="H1195">
        <v>125</v>
      </c>
      <c r="I1195" t="str">
        <f t="shared" si="18"/>
        <v>Armories|S|Average</v>
      </c>
      <c r="J1195" t="s">
        <v>548</v>
      </c>
    </row>
    <row r="1196" spans="2:10">
      <c r="B1196" t="s">
        <v>549</v>
      </c>
      <c r="C1196" t="s">
        <v>550</v>
      </c>
      <c r="D1196" t="s">
        <v>248</v>
      </c>
      <c r="E1196" t="s">
        <v>280</v>
      </c>
      <c r="F1196" t="s">
        <v>551</v>
      </c>
      <c r="G1196" t="s">
        <v>44</v>
      </c>
      <c r="H1196">
        <v>65</v>
      </c>
      <c r="I1196" t="str">
        <f t="shared" si="18"/>
        <v>Armories|CDS|Average</v>
      </c>
      <c r="J1196" t="s">
        <v>548</v>
      </c>
    </row>
    <row r="1197" spans="2:10">
      <c r="B1197" t="s">
        <v>552</v>
      </c>
      <c r="C1197" t="s">
        <v>553</v>
      </c>
      <c r="D1197" t="s">
        <v>248</v>
      </c>
      <c r="E1197" t="s">
        <v>284</v>
      </c>
      <c r="F1197" t="s">
        <v>202</v>
      </c>
      <c r="G1197" t="s">
        <v>229</v>
      </c>
      <c r="H1197">
        <v>161</v>
      </c>
      <c r="I1197" t="str">
        <f t="shared" si="18"/>
        <v>Distribution Warehouses|A|Good</v>
      </c>
      <c r="J1197" t="s">
        <v>554</v>
      </c>
    </row>
    <row r="1198" spans="2:10">
      <c r="B1198" t="s">
        <v>552</v>
      </c>
      <c r="C1198" t="s">
        <v>553</v>
      </c>
      <c r="D1198" t="s">
        <v>248</v>
      </c>
      <c r="E1198" t="s">
        <v>284</v>
      </c>
      <c r="F1198" t="s">
        <v>202</v>
      </c>
      <c r="G1198" t="s">
        <v>44</v>
      </c>
      <c r="H1198">
        <v>123</v>
      </c>
      <c r="I1198" t="str">
        <f t="shared" si="18"/>
        <v>Distribution Warehouses|A|Average</v>
      </c>
      <c r="J1198" t="s">
        <v>554</v>
      </c>
    </row>
    <row r="1199" spans="2:10">
      <c r="B1199" t="s">
        <v>552</v>
      </c>
      <c r="C1199" t="s">
        <v>553</v>
      </c>
      <c r="D1199" t="s">
        <v>248</v>
      </c>
      <c r="E1199" t="s">
        <v>284</v>
      </c>
      <c r="F1199" t="s">
        <v>207</v>
      </c>
      <c r="G1199" t="s">
        <v>229</v>
      </c>
      <c r="H1199">
        <v>144</v>
      </c>
      <c r="I1199" t="str">
        <f t="shared" si="18"/>
        <v>Distribution Warehouses|B|Good</v>
      </c>
      <c r="J1199" t="s">
        <v>554</v>
      </c>
    </row>
    <row r="1200" spans="2:10">
      <c r="B1200" t="s">
        <v>552</v>
      </c>
      <c r="C1200" t="s">
        <v>553</v>
      </c>
      <c r="D1200" t="s">
        <v>248</v>
      </c>
      <c r="E1200" t="s">
        <v>284</v>
      </c>
      <c r="F1200" t="s">
        <v>207</v>
      </c>
      <c r="G1200" t="s">
        <v>44</v>
      </c>
      <c r="H1200">
        <v>108</v>
      </c>
      <c r="I1200" t="str">
        <f t="shared" si="18"/>
        <v>Distribution Warehouses|B|Average</v>
      </c>
      <c r="J1200" t="s">
        <v>554</v>
      </c>
    </row>
    <row r="1201" spans="2:10">
      <c r="B1201" t="s">
        <v>552</v>
      </c>
      <c r="C1201" t="s">
        <v>553</v>
      </c>
      <c r="D1201" t="s">
        <v>248</v>
      </c>
      <c r="E1201" t="s">
        <v>284</v>
      </c>
      <c r="F1201" t="s">
        <v>209</v>
      </c>
      <c r="G1201" t="s">
        <v>231</v>
      </c>
      <c r="H1201">
        <v>150</v>
      </c>
      <c r="I1201" t="str">
        <f t="shared" si="18"/>
        <v>Distribution Warehouses|C|Excellent</v>
      </c>
      <c r="J1201" t="s">
        <v>554</v>
      </c>
    </row>
    <row r="1202" spans="2:10">
      <c r="B1202" t="s">
        <v>552</v>
      </c>
      <c r="C1202" t="s">
        <v>553</v>
      </c>
      <c r="D1202" t="s">
        <v>248</v>
      </c>
      <c r="E1202" t="s">
        <v>284</v>
      </c>
      <c r="F1202" t="s">
        <v>209</v>
      </c>
      <c r="G1202" t="s">
        <v>229</v>
      </c>
      <c r="H1202">
        <v>103</v>
      </c>
      <c r="I1202" t="str">
        <f t="shared" si="18"/>
        <v>Distribution Warehouses|C|Good</v>
      </c>
      <c r="J1202" t="s">
        <v>554</v>
      </c>
    </row>
    <row r="1203" spans="2:10">
      <c r="B1203" t="s">
        <v>552</v>
      </c>
      <c r="C1203" t="s">
        <v>553</v>
      </c>
      <c r="D1203" t="s">
        <v>248</v>
      </c>
      <c r="E1203" t="s">
        <v>284</v>
      </c>
      <c r="F1203" t="s">
        <v>209</v>
      </c>
      <c r="G1203" t="s">
        <v>44</v>
      </c>
      <c r="H1203">
        <v>70.5</v>
      </c>
      <c r="I1203" t="str">
        <f t="shared" si="18"/>
        <v>Distribution Warehouses|C|Average</v>
      </c>
      <c r="J1203" t="s">
        <v>554</v>
      </c>
    </row>
    <row r="1204" spans="2:10">
      <c r="B1204" t="s">
        <v>552</v>
      </c>
      <c r="C1204" t="s">
        <v>553</v>
      </c>
      <c r="D1204" t="s">
        <v>248</v>
      </c>
      <c r="E1204" t="s">
        <v>284</v>
      </c>
      <c r="F1204" t="s">
        <v>209</v>
      </c>
      <c r="G1204" t="s">
        <v>226</v>
      </c>
      <c r="H1204">
        <v>50.5</v>
      </c>
      <c r="I1204" t="str">
        <f t="shared" si="18"/>
        <v>Distribution Warehouses|C|Low Cost</v>
      </c>
      <c r="J1204" t="s">
        <v>554</v>
      </c>
    </row>
    <row r="1205" spans="2:10">
      <c r="B1205" t="s">
        <v>552</v>
      </c>
      <c r="C1205" t="s">
        <v>553</v>
      </c>
      <c r="D1205" t="s">
        <v>248</v>
      </c>
      <c r="E1205" t="s">
        <v>284</v>
      </c>
      <c r="F1205" t="s">
        <v>214</v>
      </c>
      <c r="G1205" t="s">
        <v>229</v>
      </c>
      <c r="H1205">
        <v>92.5</v>
      </c>
      <c r="I1205" t="str">
        <f t="shared" si="18"/>
        <v>Distribution Warehouses|D|Good</v>
      </c>
      <c r="J1205" t="s">
        <v>554</v>
      </c>
    </row>
    <row r="1206" spans="2:10">
      <c r="B1206" t="s">
        <v>552</v>
      </c>
      <c r="C1206" t="s">
        <v>553</v>
      </c>
      <c r="D1206" t="s">
        <v>248</v>
      </c>
      <c r="E1206" t="s">
        <v>284</v>
      </c>
      <c r="F1206" t="s">
        <v>214</v>
      </c>
      <c r="G1206" t="s">
        <v>44</v>
      </c>
      <c r="H1206">
        <v>63</v>
      </c>
      <c r="I1206" t="str">
        <f t="shared" si="18"/>
        <v>Distribution Warehouses|D|Average</v>
      </c>
      <c r="J1206" t="s">
        <v>554</v>
      </c>
    </row>
    <row r="1207" spans="2:10">
      <c r="B1207" t="s">
        <v>552</v>
      </c>
      <c r="C1207" t="s">
        <v>553</v>
      </c>
      <c r="D1207" t="s">
        <v>248</v>
      </c>
      <c r="E1207" t="s">
        <v>284</v>
      </c>
      <c r="F1207" t="s">
        <v>313</v>
      </c>
      <c r="G1207" t="s">
        <v>44</v>
      </c>
      <c r="H1207">
        <v>57</v>
      </c>
      <c r="I1207" t="str">
        <f t="shared" si="18"/>
        <v>Distribution Warehouses|DPOLE|Average</v>
      </c>
      <c r="J1207" t="s">
        <v>554</v>
      </c>
    </row>
    <row r="1208" spans="2:10">
      <c r="B1208" t="s">
        <v>552</v>
      </c>
      <c r="C1208" t="s">
        <v>553</v>
      </c>
      <c r="D1208" t="s">
        <v>248</v>
      </c>
      <c r="E1208" t="s">
        <v>284</v>
      </c>
      <c r="F1208" t="s">
        <v>313</v>
      </c>
      <c r="G1208" t="s">
        <v>226</v>
      </c>
      <c r="H1208">
        <v>41.25</v>
      </c>
      <c r="I1208" t="str">
        <f t="shared" si="18"/>
        <v>Distribution Warehouses|DPOLE|Low Cost</v>
      </c>
      <c r="J1208" t="s">
        <v>554</v>
      </c>
    </row>
    <row r="1209" spans="2:10">
      <c r="B1209" t="s">
        <v>552</v>
      </c>
      <c r="C1209" t="s">
        <v>553</v>
      </c>
      <c r="D1209" t="s">
        <v>248</v>
      </c>
      <c r="E1209" t="s">
        <v>284</v>
      </c>
      <c r="F1209" t="s">
        <v>219</v>
      </c>
      <c r="G1209" t="s">
        <v>231</v>
      </c>
      <c r="H1209">
        <v>139</v>
      </c>
      <c r="I1209" t="str">
        <f t="shared" si="18"/>
        <v>Distribution Warehouses|S|Excellent</v>
      </c>
      <c r="J1209" t="s">
        <v>554</v>
      </c>
    </row>
    <row r="1210" spans="2:10">
      <c r="B1210" t="s">
        <v>552</v>
      </c>
      <c r="C1210" t="s">
        <v>553</v>
      </c>
      <c r="D1210" t="s">
        <v>248</v>
      </c>
      <c r="E1210" t="s">
        <v>284</v>
      </c>
      <c r="F1210" t="s">
        <v>219</v>
      </c>
      <c r="G1210" t="s">
        <v>229</v>
      </c>
      <c r="H1210">
        <v>94.5</v>
      </c>
      <c r="I1210" t="str">
        <f t="shared" si="18"/>
        <v>Distribution Warehouses|S|Good</v>
      </c>
      <c r="J1210" t="s">
        <v>554</v>
      </c>
    </row>
    <row r="1211" spans="2:10">
      <c r="B1211" t="s">
        <v>552</v>
      </c>
      <c r="C1211" t="s">
        <v>553</v>
      </c>
      <c r="D1211" t="s">
        <v>248</v>
      </c>
      <c r="E1211" t="s">
        <v>284</v>
      </c>
      <c r="F1211" t="s">
        <v>219</v>
      </c>
      <c r="G1211" t="s">
        <v>44</v>
      </c>
      <c r="H1211">
        <v>64</v>
      </c>
      <c r="I1211" t="str">
        <f t="shared" si="18"/>
        <v>Distribution Warehouses|S|Average</v>
      </c>
      <c r="J1211" t="s">
        <v>554</v>
      </c>
    </row>
    <row r="1212" spans="2:10">
      <c r="B1212" t="s">
        <v>552</v>
      </c>
      <c r="C1212" t="s">
        <v>553</v>
      </c>
      <c r="D1212" t="s">
        <v>248</v>
      </c>
      <c r="E1212" t="s">
        <v>284</v>
      </c>
      <c r="F1212" t="s">
        <v>219</v>
      </c>
      <c r="G1212" t="s">
        <v>226</v>
      </c>
      <c r="H1212">
        <v>45.5</v>
      </c>
      <c r="I1212" t="str">
        <f t="shared" si="18"/>
        <v>Distribution Warehouses|S|Low Cost</v>
      </c>
      <c r="J1212" t="s">
        <v>554</v>
      </c>
    </row>
    <row r="1213" spans="2:10">
      <c r="B1213" t="s">
        <v>555</v>
      </c>
      <c r="C1213" t="s">
        <v>556</v>
      </c>
      <c r="D1213" t="s">
        <v>248</v>
      </c>
      <c r="E1213" t="s">
        <v>284</v>
      </c>
      <c r="F1213" t="s">
        <v>209</v>
      </c>
      <c r="G1213" t="s">
        <v>229</v>
      </c>
      <c r="H1213">
        <v>136</v>
      </c>
      <c r="I1213" t="str">
        <f t="shared" si="18"/>
        <v>Transit Warehouses|C|Good</v>
      </c>
      <c r="J1213" t="s">
        <v>554</v>
      </c>
    </row>
    <row r="1214" spans="2:10">
      <c r="B1214" t="s">
        <v>555</v>
      </c>
      <c r="C1214" t="s">
        <v>556</v>
      </c>
      <c r="D1214" t="s">
        <v>248</v>
      </c>
      <c r="E1214" t="s">
        <v>284</v>
      </c>
      <c r="F1214" t="s">
        <v>209</v>
      </c>
      <c r="G1214" t="s">
        <v>44</v>
      </c>
      <c r="H1214">
        <v>95</v>
      </c>
      <c r="I1214" t="str">
        <f t="shared" si="18"/>
        <v>Transit Warehouses|C|Average</v>
      </c>
      <c r="J1214" t="s">
        <v>554</v>
      </c>
    </row>
    <row r="1215" spans="2:10">
      <c r="B1215" t="s">
        <v>555</v>
      </c>
      <c r="C1215" t="s">
        <v>556</v>
      </c>
      <c r="D1215" t="s">
        <v>248</v>
      </c>
      <c r="E1215" t="s">
        <v>284</v>
      </c>
      <c r="F1215" t="s">
        <v>214</v>
      </c>
      <c r="G1215" t="s">
        <v>44</v>
      </c>
      <c r="H1215">
        <v>85.5</v>
      </c>
      <c r="I1215" t="str">
        <f t="shared" si="18"/>
        <v>Transit Warehouses|D|Average</v>
      </c>
      <c r="J1215" t="s">
        <v>554</v>
      </c>
    </row>
    <row r="1216" spans="2:10">
      <c r="B1216" t="s">
        <v>555</v>
      </c>
      <c r="C1216" t="s">
        <v>556</v>
      </c>
      <c r="D1216" t="s">
        <v>248</v>
      </c>
      <c r="E1216" t="s">
        <v>284</v>
      </c>
      <c r="F1216" t="s">
        <v>313</v>
      </c>
      <c r="G1216" t="s">
        <v>44</v>
      </c>
      <c r="H1216">
        <v>80.5</v>
      </c>
      <c r="I1216" t="str">
        <f t="shared" si="18"/>
        <v>Transit Warehouses|DPOLE|Average</v>
      </c>
      <c r="J1216" t="s">
        <v>554</v>
      </c>
    </row>
    <row r="1217" spans="2:10">
      <c r="B1217" t="s">
        <v>555</v>
      </c>
      <c r="C1217" t="s">
        <v>556</v>
      </c>
      <c r="D1217" t="s">
        <v>248</v>
      </c>
      <c r="E1217" t="s">
        <v>284</v>
      </c>
      <c r="F1217" t="s">
        <v>219</v>
      </c>
      <c r="G1217" t="s">
        <v>229</v>
      </c>
      <c r="H1217">
        <v>124</v>
      </c>
      <c r="I1217" t="str">
        <f t="shared" si="18"/>
        <v>Transit Warehouses|S|Good</v>
      </c>
      <c r="J1217" t="s">
        <v>554</v>
      </c>
    </row>
    <row r="1218" spans="2:10">
      <c r="B1218" t="s">
        <v>555</v>
      </c>
      <c r="C1218" t="s">
        <v>556</v>
      </c>
      <c r="D1218" t="s">
        <v>248</v>
      </c>
      <c r="E1218" t="s">
        <v>284</v>
      </c>
      <c r="F1218" t="s">
        <v>219</v>
      </c>
      <c r="G1218" t="s">
        <v>44</v>
      </c>
      <c r="H1218">
        <v>86.5</v>
      </c>
      <c r="I1218" t="str">
        <f t="shared" si="18"/>
        <v>Transit Warehouses|S|Average</v>
      </c>
      <c r="J1218" t="s">
        <v>554</v>
      </c>
    </row>
    <row r="1219" spans="2:10">
      <c r="B1219" t="s">
        <v>557</v>
      </c>
      <c r="C1219" t="s">
        <v>558</v>
      </c>
      <c r="D1219" t="s">
        <v>248</v>
      </c>
      <c r="E1219" t="s">
        <v>286</v>
      </c>
      <c r="F1219" t="s">
        <v>270</v>
      </c>
      <c r="G1219" t="s">
        <v>229</v>
      </c>
      <c r="H1219">
        <v>166</v>
      </c>
      <c r="I1219" t="str">
        <f t="shared" si="18"/>
        <v>Cold Storage Facilities|A-B|Good</v>
      </c>
      <c r="J1219" t="s">
        <v>559</v>
      </c>
    </row>
    <row r="1220" spans="2:10">
      <c r="B1220" t="s">
        <v>557</v>
      </c>
      <c r="C1220" t="s">
        <v>558</v>
      </c>
      <c r="D1220" t="s">
        <v>248</v>
      </c>
      <c r="E1220" t="s">
        <v>286</v>
      </c>
      <c r="F1220" t="s">
        <v>270</v>
      </c>
      <c r="G1220" t="s">
        <v>44</v>
      </c>
      <c r="H1220">
        <v>119</v>
      </c>
      <c r="I1220" t="str">
        <f t="shared" si="18"/>
        <v>Cold Storage Facilities|A-B|Average</v>
      </c>
      <c r="J1220" t="s">
        <v>559</v>
      </c>
    </row>
    <row r="1221" spans="2:10">
      <c r="B1221" t="s">
        <v>557</v>
      </c>
      <c r="C1221" t="s">
        <v>558</v>
      </c>
      <c r="D1221" t="s">
        <v>248</v>
      </c>
      <c r="E1221" t="s">
        <v>286</v>
      </c>
      <c r="F1221" t="s">
        <v>209</v>
      </c>
      <c r="G1221" t="s">
        <v>231</v>
      </c>
      <c r="H1221">
        <v>184</v>
      </c>
      <c r="I1221" t="str">
        <f t="shared" si="18"/>
        <v>Cold Storage Facilities|C|Excellent</v>
      </c>
      <c r="J1221" t="s">
        <v>559</v>
      </c>
    </row>
    <row r="1222" spans="2:10">
      <c r="B1222" t="s">
        <v>557</v>
      </c>
      <c r="C1222" t="s">
        <v>558</v>
      </c>
      <c r="D1222" t="s">
        <v>248</v>
      </c>
      <c r="E1222" t="s">
        <v>286</v>
      </c>
      <c r="F1222" t="s">
        <v>209</v>
      </c>
      <c r="G1222" t="s">
        <v>229</v>
      </c>
      <c r="H1222">
        <v>131</v>
      </c>
      <c r="I1222" t="str">
        <f t="shared" si="18"/>
        <v>Cold Storage Facilities|C|Good</v>
      </c>
      <c r="J1222" t="s">
        <v>559</v>
      </c>
    </row>
    <row r="1223" spans="2:10">
      <c r="B1223" t="s">
        <v>557</v>
      </c>
      <c r="C1223" t="s">
        <v>558</v>
      </c>
      <c r="D1223" t="s">
        <v>248</v>
      </c>
      <c r="E1223" t="s">
        <v>286</v>
      </c>
      <c r="F1223" t="s">
        <v>209</v>
      </c>
      <c r="G1223" t="s">
        <v>44</v>
      </c>
      <c r="H1223">
        <v>94</v>
      </c>
      <c r="I1223" t="str">
        <f t="shared" si="18"/>
        <v>Cold Storage Facilities|C|Average</v>
      </c>
      <c r="J1223" t="s">
        <v>559</v>
      </c>
    </row>
    <row r="1224" spans="2:10">
      <c r="B1224" t="s">
        <v>557</v>
      </c>
      <c r="C1224" t="s">
        <v>558</v>
      </c>
      <c r="D1224" t="s">
        <v>248</v>
      </c>
      <c r="E1224" t="s">
        <v>286</v>
      </c>
      <c r="F1224" t="s">
        <v>209</v>
      </c>
      <c r="G1224" t="s">
        <v>302</v>
      </c>
      <c r="H1224">
        <v>78.5</v>
      </c>
      <c r="I1224" t="str">
        <f t="shared" si="18"/>
        <v>Cold Storage Facilities|C|Fair</v>
      </c>
      <c r="J1224" t="s">
        <v>559</v>
      </c>
    </row>
    <row r="1225" spans="2:10">
      <c r="B1225" t="s">
        <v>557</v>
      </c>
      <c r="C1225" t="s">
        <v>558</v>
      </c>
      <c r="D1225" t="s">
        <v>248</v>
      </c>
      <c r="E1225" t="s">
        <v>286</v>
      </c>
      <c r="F1225" t="s">
        <v>209</v>
      </c>
      <c r="G1225" t="s">
        <v>226</v>
      </c>
      <c r="H1225">
        <v>68</v>
      </c>
      <c r="I1225" t="str">
        <f t="shared" si="18"/>
        <v>Cold Storage Facilities|C|Low Cost</v>
      </c>
      <c r="J1225" t="s">
        <v>559</v>
      </c>
    </row>
    <row r="1226" spans="2:10">
      <c r="B1226" t="s">
        <v>557</v>
      </c>
      <c r="C1226" t="s">
        <v>558</v>
      </c>
      <c r="D1226" t="s">
        <v>248</v>
      </c>
      <c r="E1226" t="s">
        <v>286</v>
      </c>
      <c r="F1226" t="s">
        <v>214</v>
      </c>
      <c r="G1226" t="s">
        <v>44</v>
      </c>
      <c r="H1226">
        <v>87.5</v>
      </c>
      <c r="I1226" t="str">
        <f t="shared" si="18"/>
        <v>Cold Storage Facilities|D|Average</v>
      </c>
      <c r="J1226" t="s">
        <v>559</v>
      </c>
    </row>
    <row r="1227" spans="2:10">
      <c r="B1227" t="s">
        <v>557</v>
      </c>
      <c r="C1227" t="s">
        <v>558</v>
      </c>
      <c r="D1227" t="s">
        <v>248</v>
      </c>
      <c r="E1227" t="s">
        <v>286</v>
      </c>
      <c r="F1227" t="s">
        <v>214</v>
      </c>
      <c r="G1227" t="s">
        <v>226</v>
      </c>
      <c r="H1227">
        <v>63</v>
      </c>
      <c r="I1227" t="str">
        <f t="shared" si="18"/>
        <v>Cold Storage Facilities|D|Low Cost</v>
      </c>
      <c r="J1227" t="s">
        <v>559</v>
      </c>
    </row>
    <row r="1228" spans="2:10">
      <c r="B1228" t="s">
        <v>557</v>
      </c>
      <c r="C1228" t="s">
        <v>558</v>
      </c>
      <c r="D1228" t="s">
        <v>248</v>
      </c>
      <c r="E1228" t="s">
        <v>286</v>
      </c>
      <c r="F1228" t="s">
        <v>313</v>
      </c>
      <c r="G1228" t="s">
        <v>44</v>
      </c>
      <c r="H1228">
        <v>82.5</v>
      </c>
      <c r="I1228" t="str">
        <f t="shared" si="18"/>
        <v>Cold Storage Facilities|DPOLE|Average</v>
      </c>
      <c r="J1228" t="s">
        <v>559</v>
      </c>
    </row>
    <row r="1229" spans="2:10">
      <c r="B1229" t="s">
        <v>557</v>
      </c>
      <c r="C1229" t="s">
        <v>558</v>
      </c>
      <c r="D1229" t="s">
        <v>248</v>
      </c>
      <c r="E1229" t="s">
        <v>286</v>
      </c>
      <c r="F1229" t="s">
        <v>313</v>
      </c>
      <c r="G1229" t="s">
        <v>226</v>
      </c>
      <c r="H1229">
        <v>58.5</v>
      </c>
      <c r="I1229" t="str">
        <f t="shared" si="18"/>
        <v>Cold Storage Facilities|DPOLE|Low Cost</v>
      </c>
      <c r="J1229" t="s">
        <v>559</v>
      </c>
    </row>
    <row r="1230" spans="2:10">
      <c r="B1230" t="s">
        <v>557</v>
      </c>
      <c r="C1230" t="s">
        <v>558</v>
      </c>
      <c r="D1230" t="s">
        <v>248</v>
      </c>
      <c r="E1230" t="s">
        <v>286</v>
      </c>
      <c r="F1230" t="s">
        <v>219</v>
      </c>
      <c r="G1230" t="s">
        <v>231</v>
      </c>
      <c r="H1230">
        <v>186</v>
      </c>
      <c r="I1230" t="str">
        <f t="shared" si="18"/>
        <v>Cold Storage Facilities|S|Excellent</v>
      </c>
      <c r="J1230" t="s">
        <v>559</v>
      </c>
    </row>
    <row r="1231" spans="2:10">
      <c r="B1231" t="s">
        <v>557</v>
      </c>
      <c r="C1231" t="s">
        <v>558</v>
      </c>
      <c r="D1231" t="s">
        <v>248</v>
      </c>
      <c r="E1231" t="s">
        <v>286</v>
      </c>
      <c r="F1231" t="s">
        <v>219</v>
      </c>
      <c r="G1231" t="s">
        <v>229</v>
      </c>
      <c r="H1231">
        <v>128</v>
      </c>
      <c r="I1231" t="str">
        <f t="shared" si="18"/>
        <v>Cold Storage Facilities|S|Good</v>
      </c>
      <c r="J1231" t="s">
        <v>559</v>
      </c>
    </row>
    <row r="1232" spans="2:10">
      <c r="B1232" t="s">
        <v>557</v>
      </c>
      <c r="C1232" t="s">
        <v>558</v>
      </c>
      <c r="D1232" t="s">
        <v>248</v>
      </c>
      <c r="E1232" t="s">
        <v>286</v>
      </c>
      <c r="F1232" t="s">
        <v>219</v>
      </c>
      <c r="G1232" t="s">
        <v>44</v>
      </c>
      <c r="H1232">
        <v>89</v>
      </c>
      <c r="I1232" t="str">
        <f t="shared" si="18"/>
        <v>Cold Storage Facilities|S|Average</v>
      </c>
      <c r="J1232" t="s">
        <v>559</v>
      </c>
    </row>
    <row r="1233" spans="2:10">
      <c r="B1233" t="s">
        <v>557</v>
      </c>
      <c r="C1233" t="s">
        <v>558</v>
      </c>
      <c r="D1233" t="s">
        <v>248</v>
      </c>
      <c r="E1233" t="s">
        <v>286</v>
      </c>
      <c r="F1233" t="s">
        <v>219</v>
      </c>
      <c r="G1233" t="s">
        <v>302</v>
      </c>
      <c r="H1233">
        <v>73.5</v>
      </c>
      <c r="I1233" t="str">
        <f t="shared" si="18"/>
        <v>Cold Storage Facilities|S|Fair</v>
      </c>
      <c r="J1233" t="s">
        <v>559</v>
      </c>
    </row>
    <row r="1234" spans="2:10">
      <c r="B1234" t="s">
        <v>557</v>
      </c>
      <c r="C1234" t="s">
        <v>558</v>
      </c>
      <c r="D1234" t="s">
        <v>248</v>
      </c>
      <c r="E1234" t="s">
        <v>286</v>
      </c>
      <c r="F1234" t="s">
        <v>219</v>
      </c>
      <c r="G1234" t="s">
        <v>226</v>
      </c>
      <c r="H1234">
        <v>63</v>
      </c>
      <c r="I1234" t="str">
        <f t="shared" si="18"/>
        <v>Cold Storage Facilities|S|Low Cost</v>
      </c>
      <c r="J1234" t="s">
        <v>559</v>
      </c>
    </row>
    <row r="1235" spans="2:10">
      <c r="B1235" t="s">
        <v>560</v>
      </c>
      <c r="C1235" t="s">
        <v>561</v>
      </c>
      <c r="D1235" t="s">
        <v>248</v>
      </c>
      <c r="E1235" t="s">
        <v>290</v>
      </c>
      <c r="F1235" t="s">
        <v>270</v>
      </c>
      <c r="G1235" t="s">
        <v>44</v>
      </c>
      <c r="H1235">
        <v>171</v>
      </c>
      <c r="I1235" t="str">
        <f t="shared" si="18"/>
        <v>Creameries|A-B|Average</v>
      </c>
      <c r="J1235" t="s">
        <v>562</v>
      </c>
    </row>
    <row r="1236" spans="2:10">
      <c r="B1236" t="s">
        <v>560</v>
      </c>
      <c r="C1236" t="s">
        <v>561</v>
      </c>
      <c r="D1236" t="s">
        <v>248</v>
      </c>
      <c r="E1236" t="s">
        <v>290</v>
      </c>
      <c r="F1236" t="s">
        <v>209</v>
      </c>
      <c r="G1236" t="s">
        <v>229</v>
      </c>
      <c r="H1236">
        <v>163</v>
      </c>
      <c r="I1236" t="str">
        <f t="shared" si="18"/>
        <v>Creameries|C|Good</v>
      </c>
      <c r="J1236" t="s">
        <v>562</v>
      </c>
    </row>
    <row r="1237" spans="2:10">
      <c r="B1237" t="s">
        <v>560</v>
      </c>
      <c r="C1237" t="s">
        <v>561</v>
      </c>
      <c r="D1237" t="s">
        <v>248</v>
      </c>
      <c r="E1237" t="s">
        <v>290</v>
      </c>
      <c r="F1237" t="s">
        <v>209</v>
      </c>
      <c r="G1237" t="s">
        <v>44</v>
      </c>
      <c r="H1237">
        <v>120</v>
      </c>
      <c r="I1237" t="str">
        <f t="shared" si="18"/>
        <v>Creameries|C|Average</v>
      </c>
      <c r="J1237" t="s">
        <v>562</v>
      </c>
    </row>
    <row r="1238" spans="2:10">
      <c r="B1238" t="s">
        <v>560</v>
      </c>
      <c r="C1238" t="s">
        <v>561</v>
      </c>
      <c r="D1238" t="s">
        <v>248</v>
      </c>
      <c r="E1238" t="s">
        <v>290</v>
      </c>
      <c r="F1238" t="s">
        <v>209</v>
      </c>
      <c r="G1238" t="s">
        <v>226</v>
      </c>
      <c r="H1238">
        <v>82</v>
      </c>
      <c r="I1238" t="str">
        <f t="shared" si="18"/>
        <v>Creameries|C|Low Cost</v>
      </c>
      <c r="J1238" t="s">
        <v>562</v>
      </c>
    </row>
    <row r="1239" spans="2:10">
      <c r="B1239" t="s">
        <v>560</v>
      </c>
      <c r="C1239" t="s">
        <v>561</v>
      </c>
      <c r="D1239" t="s">
        <v>248</v>
      </c>
      <c r="E1239" t="s">
        <v>290</v>
      </c>
      <c r="F1239" t="s">
        <v>214</v>
      </c>
      <c r="G1239" t="s">
        <v>229</v>
      </c>
      <c r="H1239">
        <v>150</v>
      </c>
      <c r="I1239" t="str">
        <f t="shared" si="18"/>
        <v>Creameries|D|Good</v>
      </c>
      <c r="J1239" t="s">
        <v>562</v>
      </c>
    </row>
    <row r="1240" spans="2:10">
      <c r="B1240" t="s">
        <v>560</v>
      </c>
      <c r="C1240" t="s">
        <v>561</v>
      </c>
      <c r="D1240" t="s">
        <v>248</v>
      </c>
      <c r="E1240" t="s">
        <v>290</v>
      </c>
      <c r="F1240" t="s">
        <v>214</v>
      </c>
      <c r="G1240" t="s">
        <v>44</v>
      </c>
      <c r="H1240">
        <v>109</v>
      </c>
      <c r="I1240" t="str">
        <f t="shared" si="18"/>
        <v>Creameries|D|Average</v>
      </c>
      <c r="J1240" t="s">
        <v>562</v>
      </c>
    </row>
    <row r="1241" spans="2:10">
      <c r="B1241" t="s">
        <v>560</v>
      </c>
      <c r="C1241" t="s">
        <v>561</v>
      </c>
      <c r="D1241" t="s">
        <v>248</v>
      </c>
      <c r="E1241" t="s">
        <v>290</v>
      </c>
      <c r="F1241" t="s">
        <v>214</v>
      </c>
      <c r="G1241" t="s">
        <v>226</v>
      </c>
      <c r="H1241">
        <v>73</v>
      </c>
      <c r="I1241" t="str">
        <f t="shared" si="18"/>
        <v>Creameries|D|Low Cost</v>
      </c>
      <c r="J1241" t="s">
        <v>562</v>
      </c>
    </row>
    <row r="1242" spans="2:10">
      <c r="B1242" t="s">
        <v>560</v>
      </c>
      <c r="C1242" t="s">
        <v>561</v>
      </c>
      <c r="D1242" t="s">
        <v>248</v>
      </c>
      <c r="E1242" t="s">
        <v>290</v>
      </c>
      <c r="F1242" t="s">
        <v>219</v>
      </c>
      <c r="G1242" t="s">
        <v>229</v>
      </c>
      <c r="H1242">
        <v>154</v>
      </c>
      <c r="I1242" t="str">
        <f t="shared" si="18"/>
        <v>Creameries|S|Good</v>
      </c>
      <c r="J1242" t="s">
        <v>562</v>
      </c>
    </row>
    <row r="1243" spans="2:10">
      <c r="B1243" t="s">
        <v>560</v>
      </c>
      <c r="C1243" t="s">
        <v>561</v>
      </c>
      <c r="D1243" t="s">
        <v>248</v>
      </c>
      <c r="E1243" t="s">
        <v>290</v>
      </c>
      <c r="F1243" t="s">
        <v>219</v>
      </c>
      <c r="G1243" t="s">
        <v>44</v>
      </c>
      <c r="H1243">
        <v>112</v>
      </c>
      <c r="I1243" t="str">
        <f t="shared" si="18"/>
        <v>Creameries|S|Average</v>
      </c>
      <c r="J1243" t="s">
        <v>562</v>
      </c>
    </row>
    <row r="1244" spans="2:10">
      <c r="B1244" t="s">
        <v>560</v>
      </c>
      <c r="C1244" t="s">
        <v>561</v>
      </c>
      <c r="D1244" t="s">
        <v>248</v>
      </c>
      <c r="E1244" t="s">
        <v>290</v>
      </c>
      <c r="F1244" t="s">
        <v>219</v>
      </c>
      <c r="G1244" t="s">
        <v>226</v>
      </c>
      <c r="H1244">
        <v>75</v>
      </c>
      <c r="I1244" t="str">
        <f t="shared" si="18"/>
        <v>Creameries|S|Low Cost</v>
      </c>
      <c r="J1244" t="s">
        <v>562</v>
      </c>
    </row>
    <row r="1245" spans="2:10">
      <c r="B1245" t="s">
        <v>563</v>
      </c>
      <c r="C1245" t="s">
        <v>564</v>
      </c>
      <c r="D1245" t="s">
        <v>248</v>
      </c>
      <c r="E1245" t="s">
        <v>290</v>
      </c>
      <c r="F1245" t="s">
        <v>209</v>
      </c>
      <c r="G1245" t="s">
        <v>229</v>
      </c>
      <c r="H1245">
        <v>79.5</v>
      </c>
      <c r="I1245" t="str">
        <f t="shared" si="18"/>
        <v>Mega (Storage/Distribution) Warehouses|C|Good</v>
      </c>
      <c r="J1245" t="s">
        <v>562</v>
      </c>
    </row>
    <row r="1246" spans="2:10">
      <c r="B1246" t="s">
        <v>563</v>
      </c>
      <c r="C1246" t="s">
        <v>564</v>
      </c>
      <c r="D1246" t="s">
        <v>248</v>
      </c>
      <c r="E1246" t="s">
        <v>290</v>
      </c>
      <c r="F1246" t="s">
        <v>209</v>
      </c>
      <c r="G1246" t="s">
        <v>44</v>
      </c>
      <c r="H1246">
        <v>52</v>
      </c>
      <c r="I1246" t="str">
        <f t="shared" ref="I1246:I1309" si="19">B1246&amp;"|"&amp;F1246&amp;"|"&amp;G1246</f>
        <v>Mega (Storage/Distribution) Warehouses|C|Average</v>
      </c>
      <c r="J1246" t="s">
        <v>562</v>
      </c>
    </row>
    <row r="1247" spans="2:10">
      <c r="B1247" t="s">
        <v>563</v>
      </c>
      <c r="C1247" t="s">
        <v>564</v>
      </c>
      <c r="D1247" t="s">
        <v>248</v>
      </c>
      <c r="E1247" t="s">
        <v>290</v>
      </c>
      <c r="F1247" t="s">
        <v>209</v>
      </c>
      <c r="G1247" t="s">
        <v>226</v>
      </c>
      <c r="H1247">
        <v>34.75</v>
      </c>
      <c r="I1247" t="str">
        <f t="shared" si="19"/>
        <v>Mega (Storage/Distribution) Warehouses|C|Low Cost</v>
      </c>
      <c r="J1247" t="s">
        <v>562</v>
      </c>
    </row>
    <row r="1248" spans="2:10">
      <c r="B1248" t="s">
        <v>563</v>
      </c>
      <c r="C1248" t="s">
        <v>564</v>
      </c>
      <c r="D1248" t="s">
        <v>248</v>
      </c>
      <c r="E1248" t="s">
        <v>290</v>
      </c>
      <c r="F1248" t="s">
        <v>209</v>
      </c>
      <c r="G1248" t="s">
        <v>314</v>
      </c>
      <c r="H1248">
        <v>28.5</v>
      </c>
      <c r="I1248" t="str">
        <f t="shared" si="19"/>
        <v>Mega (Storage/Distribution) Warehouses|C|Cheap</v>
      </c>
      <c r="J1248" t="s">
        <v>562</v>
      </c>
    </row>
    <row r="1249" spans="2:10">
      <c r="B1249" t="s">
        <v>563</v>
      </c>
      <c r="C1249" t="s">
        <v>564</v>
      </c>
      <c r="D1249" t="s">
        <v>248</v>
      </c>
      <c r="E1249" t="s">
        <v>290</v>
      </c>
      <c r="F1249" t="s">
        <v>219</v>
      </c>
      <c r="G1249" t="s">
        <v>229</v>
      </c>
      <c r="H1249">
        <v>77</v>
      </c>
      <c r="I1249" t="str">
        <f t="shared" si="19"/>
        <v>Mega (Storage/Distribution) Warehouses|S|Good</v>
      </c>
      <c r="J1249" t="s">
        <v>562</v>
      </c>
    </row>
    <row r="1250" spans="2:10">
      <c r="B1250" t="s">
        <v>563</v>
      </c>
      <c r="C1250" t="s">
        <v>564</v>
      </c>
      <c r="D1250" t="s">
        <v>248</v>
      </c>
      <c r="E1250" t="s">
        <v>290</v>
      </c>
      <c r="F1250" t="s">
        <v>219</v>
      </c>
      <c r="G1250" t="s">
        <v>44</v>
      </c>
      <c r="H1250">
        <v>52.5</v>
      </c>
      <c r="I1250" t="str">
        <f t="shared" si="19"/>
        <v>Mega (Storage/Distribution) Warehouses|S|Average</v>
      </c>
      <c r="J1250" t="s">
        <v>562</v>
      </c>
    </row>
    <row r="1251" spans="2:10">
      <c r="B1251" t="s">
        <v>563</v>
      </c>
      <c r="C1251" t="s">
        <v>564</v>
      </c>
      <c r="D1251" t="s">
        <v>248</v>
      </c>
      <c r="E1251" t="s">
        <v>290</v>
      </c>
      <c r="F1251" t="s">
        <v>219</v>
      </c>
      <c r="G1251" t="s">
        <v>226</v>
      </c>
      <c r="H1251">
        <v>36.25</v>
      </c>
      <c r="I1251" t="str">
        <f t="shared" si="19"/>
        <v>Mega (Storage/Distribution) Warehouses|S|Low Cost</v>
      </c>
      <c r="J1251" t="s">
        <v>562</v>
      </c>
    </row>
    <row r="1252" spans="2:10">
      <c r="B1252" t="s">
        <v>563</v>
      </c>
      <c r="C1252" t="s">
        <v>564</v>
      </c>
      <c r="D1252" t="s">
        <v>248</v>
      </c>
      <c r="E1252" t="s">
        <v>290</v>
      </c>
      <c r="F1252" t="s">
        <v>219</v>
      </c>
      <c r="G1252" t="s">
        <v>314</v>
      </c>
      <c r="H1252">
        <v>25.5</v>
      </c>
      <c r="I1252" t="str">
        <f t="shared" si="19"/>
        <v>Mega (Storage/Distribution) Warehouses|S|Cheap</v>
      </c>
      <c r="J1252" t="s">
        <v>562</v>
      </c>
    </row>
    <row r="1253" spans="2:10">
      <c r="B1253" t="s">
        <v>565</v>
      </c>
      <c r="C1253" t="s">
        <v>566</v>
      </c>
      <c r="D1253" t="s">
        <v>248</v>
      </c>
      <c r="E1253" t="s">
        <v>294</v>
      </c>
      <c r="F1253" t="s">
        <v>202</v>
      </c>
      <c r="G1253" t="s">
        <v>229</v>
      </c>
      <c r="H1253">
        <v>137</v>
      </c>
      <c r="I1253" t="str">
        <f t="shared" si="19"/>
        <v>Storage Warehouses|A|Good</v>
      </c>
      <c r="J1253" t="s">
        <v>567</v>
      </c>
    </row>
    <row r="1254" spans="2:10">
      <c r="B1254" t="s">
        <v>565</v>
      </c>
      <c r="C1254" t="s">
        <v>566</v>
      </c>
      <c r="D1254" t="s">
        <v>248</v>
      </c>
      <c r="E1254" t="s">
        <v>294</v>
      </c>
      <c r="F1254" t="s">
        <v>202</v>
      </c>
      <c r="G1254" t="s">
        <v>44</v>
      </c>
      <c r="H1254">
        <v>101</v>
      </c>
      <c r="I1254" t="str">
        <f t="shared" si="19"/>
        <v>Storage Warehouses|A|Average</v>
      </c>
      <c r="J1254" t="s">
        <v>567</v>
      </c>
    </row>
    <row r="1255" spans="2:10">
      <c r="B1255" t="s">
        <v>565</v>
      </c>
      <c r="C1255" t="s">
        <v>566</v>
      </c>
      <c r="D1255" t="s">
        <v>248</v>
      </c>
      <c r="E1255" t="s">
        <v>294</v>
      </c>
      <c r="F1255" t="s">
        <v>202</v>
      </c>
      <c r="G1255" t="s">
        <v>226</v>
      </c>
      <c r="H1255">
        <v>79.5</v>
      </c>
      <c r="I1255" t="str">
        <f t="shared" si="19"/>
        <v>Storage Warehouses|A|Low Cost</v>
      </c>
      <c r="J1255" t="s">
        <v>567</v>
      </c>
    </row>
    <row r="1256" spans="2:10">
      <c r="B1256" t="s">
        <v>565</v>
      </c>
      <c r="C1256" t="s">
        <v>566</v>
      </c>
      <c r="D1256" t="s">
        <v>248</v>
      </c>
      <c r="E1256" t="s">
        <v>294</v>
      </c>
      <c r="F1256" t="s">
        <v>207</v>
      </c>
      <c r="G1256" t="s">
        <v>229</v>
      </c>
      <c r="H1256">
        <v>121</v>
      </c>
      <c r="I1256" t="str">
        <f t="shared" si="19"/>
        <v>Storage Warehouses|B|Good</v>
      </c>
      <c r="J1256" t="s">
        <v>567</v>
      </c>
    </row>
    <row r="1257" spans="2:10">
      <c r="B1257" t="s">
        <v>565</v>
      </c>
      <c r="C1257" t="s">
        <v>566</v>
      </c>
      <c r="D1257" t="s">
        <v>248</v>
      </c>
      <c r="E1257" t="s">
        <v>294</v>
      </c>
      <c r="F1257" t="s">
        <v>207</v>
      </c>
      <c r="G1257" t="s">
        <v>44</v>
      </c>
      <c r="H1257">
        <v>88</v>
      </c>
      <c r="I1257" t="str">
        <f t="shared" si="19"/>
        <v>Storage Warehouses|B|Average</v>
      </c>
      <c r="J1257" t="s">
        <v>567</v>
      </c>
    </row>
    <row r="1258" spans="2:10">
      <c r="B1258" t="s">
        <v>565</v>
      </c>
      <c r="C1258" t="s">
        <v>566</v>
      </c>
      <c r="D1258" t="s">
        <v>248</v>
      </c>
      <c r="E1258" t="s">
        <v>294</v>
      </c>
      <c r="F1258" t="s">
        <v>207</v>
      </c>
      <c r="G1258" t="s">
        <v>226</v>
      </c>
      <c r="H1258">
        <v>69</v>
      </c>
      <c r="I1258" t="str">
        <f t="shared" si="19"/>
        <v>Storage Warehouses|B|Low Cost</v>
      </c>
      <c r="J1258" t="s">
        <v>567</v>
      </c>
    </row>
    <row r="1259" spans="2:10">
      <c r="B1259" t="s">
        <v>565</v>
      </c>
      <c r="C1259" t="s">
        <v>566</v>
      </c>
      <c r="D1259" t="s">
        <v>248</v>
      </c>
      <c r="E1259" t="s">
        <v>294</v>
      </c>
      <c r="F1259" t="s">
        <v>209</v>
      </c>
      <c r="G1259" t="s">
        <v>231</v>
      </c>
      <c r="H1259">
        <v>134</v>
      </c>
      <c r="I1259" t="str">
        <f t="shared" si="19"/>
        <v>Storage Warehouses|C|Excellent</v>
      </c>
      <c r="J1259" t="s">
        <v>567</v>
      </c>
    </row>
    <row r="1260" spans="2:10">
      <c r="B1260" t="s">
        <v>565</v>
      </c>
      <c r="C1260" t="s">
        <v>566</v>
      </c>
      <c r="D1260" t="s">
        <v>248</v>
      </c>
      <c r="E1260" t="s">
        <v>294</v>
      </c>
      <c r="F1260" t="s">
        <v>209</v>
      </c>
      <c r="G1260" t="s">
        <v>229</v>
      </c>
      <c r="H1260">
        <v>86.5</v>
      </c>
      <c r="I1260" t="str">
        <f t="shared" si="19"/>
        <v>Storage Warehouses|C|Good</v>
      </c>
      <c r="J1260" t="s">
        <v>567</v>
      </c>
    </row>
    <row r="1261" spans="2:10">
      <c r="B1261" t="s">
        <v>565</v>
      </c>
      <c r="C1261" t="s">
        <v>566</v>
      </c>
      <c r="D1261" t="s">
        <v>248</v>
      </c>
      <c r="E1261" t="s">
        <v>294</v>
      </c>
      <c r="F1261" t="s">
        <v>209</v>
      </c>
      <c r="G1261" t="s">
        <v>44</v>
      </c>
      <c r="H1261">
        <v>61</v>
      </c>
      <c r="I1261" t="str">
        <f t="shared" si="19"/>
        <v>Storage Warehouses|C|Average</v>
      </c>
      <c r="J1261" t="s">
        <v>567</v>
      </c>
    </row>
    <row r="1262" spans="2:10">
      <c r="B1262" t="s">
        <v>565</v>
      </c>
      <c r="C1262" t="s">
        <v>566</v>
      </c>
      <c r="D1262" t="s">
        <v>248</v>
      </c>
      <c r="E1262" t="s">
        <v>294</v>
      </c>
      <c r="F1262" t="s">
        <v>209</v>
      </c>
      <c r="G1262" t="s">
        <v>226</v>
      </c>
      <c r="H1262">
        <v>43</v>
      </c>
      <c r="I1262" t="str">
        <f t="shared" si="19"/>
        <v>Storage Warehouses|C|Low Cost</v>
      </c>
      <c r="J1262" t="s">
        <v>567</v>
      </c>
    </row>
    <row r="1263" spans="2:10">
      <c r="B1263" t="s">
        <v>565</v>
      </c>
      <c r="C1263" t="s">
        <v>566</v>
      </c>
      <c r="D1263" t="s">
        <v>248</v>
      </c>
      <c r="E1263" t="s">
        <v>294</v>
      </c>
      <c r="F1263" t="s">
        <v>266</v>
      </c>
      <c r="G1263" t="s">
        <v>229</v>
      </c>
      <c r="H1263">
        <v>119</v>
      </c>
      <c r="I1263" t="str">
        <f t="shared" si="19"/>
        <v>Storage Warehouses|CMILL|Good</v>
      </c>
      <c r="J1263" t="s">
        <v>567</v>
      </c>
    </row>
    <row r="1264" spans="2:10">
      <c r="B1264" t="s">
        <v>565</v>
      </c>
      <c r="C1264" t="s">
        <v>566</v>
      </c>
      <c r="D1264" t="s">
        <v>248</v>
      </c>
      <c r="E1264" t="s">
        <v>294</v>
      </c>
      <c r="F1264" t="s">
        <v>266</v>
      </c>
      <c r="G1264" t="s">
        <v>44</v>
      </c>
      <c r="H1264">
        <v>82</v>
      </c>
      <c r="I1264" t="str">
        <f t="shared" si="19"/>
        <v>Storage Warehouses|CMILL|Average</v>
      </c>
      <c r="J1264" t="s">
        <v>567</v>
      </c>
    </row>
    <row r="1265" spans="2:10">
      <c r="B1265" t="s">
        <v>565</v>
      </c>
      <c r="C1265" t="s">
        <v>566</v>
      </c>
      <c r="D1265" t="s">
        <v>248</v>
      </c>
      <c r="E1265" t="s">
        <v>294</v>
      </c>
      <c r="F1265" t="s">
        <v>214</v>
      </c>
      <c r="G1265" t="s">
        <v>229</v>
      </c>
      <c r="H1265">
        <v>78</v>
      </c>
      <c r="I1265" t="str">
        <f t="shared" si="19"/>
        <v>Storage Warehouses|D|Good</v>
      </c>
      <c r="J1265" t="s">
        <v>567</v>
      </c>
    </row>
    <row r="1266" spans="2:10">
      <c r="B1266" t="s">
        <v>565</v>
      </c>
      <c r="C1266" t="s">
        <v>566</v>
      </c>
      <c r="D1266" t="s">
        <v>248</v>
      </c>
      <c r="E1266" t="s">
        <v>294</v>
      </c>
      <c r="F1266" t="s">
        <v>214</v>
      </c>
      <c r="G1266" t="s">
        <v>44</v>
      </c>
      <c r="H1266">
        <v>54.5</v>
      </c>
      <c r="I1266" t="str">
        <f t="shared" si="19"/>
        <v>Storage Warehouses|D|Average</v>
      </c>
      <c r="J1266" t="s">
        <v>567</v>
      </c>
    </row>
    <row r="1267" spans="2:10">
      <c r="B1267" t="s">
        <v>565</v>
      </c>
      <c r="C1267" t="s">
        <v>566</v>
      </c>
      <c r="D1267" t="s">
        <v>248</v>
      </c>
      <c r="E1267" t="s">
        <v>294</v>
      </c>
      <c r="F1267" t="s">
        <v>214</v>
      </c>
      <c r="G1267" t="s">
        <v>226</v>
      </c>
      <c r="H1267">
        <v>38.75</v>
      </c>
      <c r="I1267" t="str">
        <f t="shared" si="19"/>
        <v>Storage Warehouses|D|Low Cost</v>
      </c>
      <c r="J1267" t="s">
        <v>567</v>
      </c>
    </row>
    <row r="1268" spans="2:10">
      <c r="B1268" t="s">
        <v>565</v>
      </c>
      <c r="C1268" t="s">
        <v>566</v>
      </c>
      <c r="D1268" t="s">
        <v>248</v>
      </c>
      <c r="E1268" t="s">
        <v>294</v>
      </c>
      <c r="F1268" t="s">
        <v>313</v>
      </c>
      <c r="G1268" t="s">
        <v>44</v>
      </c>
      <c r="H1268">
        <v>48</v>
      </c>
      <c r="I1268" t="str">
        <f t="shared" si="19"/>
        <v>Storage Warehouses|DPOLE|Average</v>
      </c>
      <c r="J1268" t="s">
        <v>567</v>
      </c>
    </row>
    <row r="1269" spans="2:10">
      <c r="B1269" t="s">
        <v>565</v>
      </c>
      <c r="C1269" t="s">
        <v>566</v>
      </c>
      <c r="D1269" t="s">
        <v>248</v>
      </c>
      <c r="E1269" t="s">
        <v>294</v>
      </c>
      <c r="F1269" t="s">
        <v>313</v>
      </c>
      <c r="G1269" t="s">
        <v>226</v>
      </c>
      <c r="H1269">
        <v>34</v>
      </c>
      <c r="I1269" t="str">
        <f t="shared" si="19"/>
        <v>Storage Warehouses|DPOLE|Low Cost</v>
      </c>
      <c r="J1269" t="s">
        <v>567</v>
      </c>
    </row>
    <row r="1270" spans="2:10">
      <c r="B1270" t="s">
        <v>565</v>
      </c>
      <c r="C1270" t="s">
        <v>566</v>
      </c>
      <c r="D1270" t="s">
        <v>248</v>
      </c>
      <c r="E1270" t="s">
        <v>294</v>
      </c>
      <c r="F1270" t="s">
        <v>219</v>
      </c>
      <c r="G1270" t="s">
        <v>231</v>
      </c>
      <c r="H1270">
        <v>125</v>
      </c>
      <c r="I1270" t="str">
        <f t="shared" si="19"/>
        <v>Storage Warehouses|S|Excellent</v>
      </c>
      <c r="J1270" t="s">
        <v>567</v>
      </c>
    </row>
    <row r="1271" spans="2:10">
      <c r="B1271" t="s">
        <v>565</v>
      </c>
      <c r="C1271" t="s">
        <v>566</v>
      </c>
      <c r="D1271" t="s">
        <v>248</v>
      </c>
      <c r="E1271" t="s">
        <v>294</v>
      </c>
      <c r="F1271" t="s">
        <v>219</v>
      </c>
      <c r="G1271" t="s">
        <v>229</v>
      </c>
      <c r="H1271">
        <v>79.5</v>
      </c>
      <c r="I1271" t="str">
        <f t="shared" si="19"/>
        <v>Storage Warehouses|S|Good</v>
      </c>
      <c r="J1271" t="s">
        <v>567</v>
      </c>
    </row>
    <row r="1272" spans="2:10">
      <c r="B1272" t="s">
        <v>565</v>
      </c>
      <c r="C1272" t="s">
        <v>566</v>
      </c>
      <c r="D1272" t="s">
        <v>248</v>
      </c>
      <c r="E1272" t="s">
        <v>294</v>
      </c>
      <c r="F1272" t="s">
        <v>219</v>
      </c>
      <c r="G1272" t="s">
        <v>44</v>
      </c>
      <c r="H1272">
        <v>55.5</v>
      </c>
      <c r="I1272" t="str">
        <f t="shared" si="19"/>
        <v>Storage Warehouses|S|Average</v>
      </c>
      <c r="J1272" t="s">
        <v>567</v>
      </c>
    </row>
    <row r="1273" spans="2:10">
      <c r="B1273" t="s">
        <v>565</v>
      </c>
      <c r="C1273" t="s">
        <v>566</v>
      </c>
      <c r="D1273" t="s">
        <v>248</v>
      </c>
      <c r="E1273" t="s">
        <v>294</v>
      </c>
      <c r="F1273" t="s">
        <v>219</v>
      </c>
      <c r="G1273" t="s">
        <v>226</v>
      </c>
      <c r="H1273">
        <v>38.75</v>
      </c>
      <c r="I1273" t="str">
        <f t="shared" si="19"/>
        <v>Storage Warehouses|S|Low Cost</v>
      </c>
      <c r="J1273" t="s">
        <v>567</v>
      </c>
    </row>
    <row r="1274" spans="2:10">
      <c r="B1274" t="s">
        <v>568</v>
      </c>
      <c r="C1274" t="s">
        <v>569</v>
      </c>
      <c r="D1274" t="s">
        <v>248</v>
      </c>
      <c r="E1274" t="s">
        <v>300</v>
      </c>
      <c r="F1274" t="s">
        <v>209</v>
      </c>
      <c r="G1274" t="s">
        <v>229</v>
      </c>
      <c r="H1274">
        <v>68.5</v>
      </c>
      <c r="I1274" t="str">
        <f t="shared" si="19"/>
        <v>Mini-Warehouses / Self-Storage|C|Good</v>
      </c>
      <c r="J1274" t="s">
        <v>570</v>
      </c>
    </row>
    <row r="1275" spans="2:10">
      <c r="B1275" t="s">
        <v>568</v>
      </c>
      <c r="C1275" t="s">
        <v>569</v>
      </c>
      <c r="D1275" t="s">
        <v>248</v>
      </c>
      <c r="E1275" t="s">
        <v>300</v>
      </c>
      <c r="F1275" t="s">
        <v>209</v>
      </c>
      <c r="G1275" t="s">
        <v>44</v>
      </c>
      <c r="H1275">
        <v>51</v>
      </c>
      <c r="I1275" t="str">
        <f t="shared" si="19"/>
        <v>Mini-Warehouses / Self-Storage|C|Average</v>
      </c>
      <c r="J1275" t="s">
        <v>570</v>
      </c>
    </row>
    <row r="1276" spans="2:10">
      <c r="B1276" t="s">
        <v>568</v>
      </c>
      <c r="C1276" t="s">
        <v>569</v>
      </c>
      <c r="D1276" t="s">
        <v>248</v>
      </c>
      <c r="E1276" t="s">
        <v>300</v>
      </c>
      <c r="F1276" t="s">
        <v>209</v>
      </c>
      <c r="G1276" t="s">
        <v>226</v>
      </c>
      <c r="H1276">
        <v>38.25</v>
      </c>
      <c r="I1276" t="str">
        <f t="shared" si="19"/>
        <v>Mini-Warehouses / Self-Storage|C|Low Cost</v>
      </c>
      <c r="J1276" t="s">
        <v>570</v>
      </c>
    </row>
    <row r="1277" spans="2:10">
      <c r="B1277" t="s">
        <v>568</v>
      </c>
      <c r="C1277" t="s">
        <v>569</v>
      </c>
      <c r="D1277" t="s">
        <v>248</v>
      </c>
      <c r="E1277" t="s">
        <v>300</v>
      </c>
      <c r="F1277" t="s">
        <v>214</v>
      </c>
      <c r="G1277" t="s">
        <v>229</v>
      </c>
      <c r="H1277">
        <v>63.5</v>
      </c>
      <c r="I1277" t="str">
        <f t="shared" si="19"/>
        <v>Mini-Warehouses / Self-Storage|D|Good</v>
      </c>
      <c r="J1277" t="s">
        <v>570</v>
      </c>
    </row>
    <row r="1278" spans="2:10">
      <c r="B1278" t="s">
        <v>568</v>
      </c>
      <c r="C1278" t="s">
        <v>569</v>
      </c>
      <c r="D1278" t="s">
        <v>248</v>
      </c>
      <c r="E1278" t="s">
        <v>300</v>
      </c>
      <c r="F1278" t="s">
        <v>214</v>
      </c>
      <c r="G1278" t="s">
        <v>44</v>
      </c>
      <c r="H1278">
        <v>47.5</v>
      </c>
      <c r="I1278" t="str">
        <f t="shared" si="19"/>
        <v>Mini-Warehouses / Self-Storage|D|Average</v>
      </c>
      <c r="J1278" t="s">
        <v>570</v>
      </c>
    </row>
    <row r="1279" spans="2:10">
      <c r="B1279" t="s">
        <v>568</v>
      </c>
      <c r="C1279" t="s">
        <v>569</v>
      </c>
      <c r="D1279" t="s">
        <v>248</v>
      </c>
      <c r="E1279" t="s">
        <v>300</v>
      </c>
      <c r="F1279" t="s">
        <v>214</v>
      </c>
      <c r="G1279" t="s">
        <v>226</v>
      </c>
      <c r="H1279">
        <v>35.5</v>
      </c>
      <c r="I1279" t="str">
        <f t="shared" si="19"/>
        <v>Mini-Warehouses / Self-Storage|D|Low Cost</v>
      </c>
      <c r="J1279" t="s">
        <v>570</v>
      </c>
    </row>
    <row r="1280" spans="2:10">
      <c r="B1280" t="s">
        <v>568</v>
      </c>
      <c r="C1280" t="s">
        <v>569</v>
      </c>
      <c r="D1280" t="s">
        <v>248</v>
      </c>
      <c r="E1280" t="s">
        <v>300</v>
      </c>
      <c r="F1280" t="s">
        <v>313</v>
      </c>
      <c r="G1280" t="s">
        <v>229</v>
      </c>
      <c r="H1280">
        <v>58.5</v>
      </c>
      <c r="I1280" t="str">
        <f t="shared" si="19"/>
        <v>Mini-Warehouses / Self-Storage|DPOLE|Good</v>
      </c>
      <c r="J1280" t="s">
        <v>570</v>
      </c>
    </row>
    <row r="1281" spans="2:10">
      <c r="B1281" t="s">
        <v>568</v>
      </c>
      <c r="C1281" t="s">
        <v>569</v>
      </c>
      <c r="D1281" t="s">
        <v>248</v>
      </c>
      <c r="E1281" t="s">
        <v>300</v>
      </c>
      <c r="F1281" t="s">
        <v>313</v>
      </c>
      <c r="G1281" t="s">
        <v>44</v>
      </c>
      <c r="H1281">
        <v>43.5</v>
      </c>
      <c r="I1281" t="str">
        <f t="shared" si="19"/>
        <v>Mini-Warehouses / Self-Storage|DPOLE|Average</v>
      </c>
      <c r="J1281" t="s">
        <v>570</v>
      </c>
    </row>
    <row r="1282" spans="2:10">
      <c r="B1282" t="s">
        <v>568</v>
      </c>
      <c r="C1282" t="s">
        <v>569</v>
      </c>
      <c r="D1282" t="s">
        <v>248</v>
      </c>
      <c r="E1282" t="s">
        <v>300</v>
      </c>
      <c r="F1282" t="s">
        <v>313</v>
      </c>
      <c r="G1282" t="s">
        <v>226</v>
      </c>
      <c r="H1282">
        <v>32.5</v>
      </c>
      <c r="I1282" t="str">
        <f t="shared" si="19"/>
        <v>Mini-Warehouses / Self-Storage|DPOLE|Low Cost</v>
      </c>
      <c r="J1282" t="s">
        <v>570</v>
      </c>
    </row>
    <row r="1283" spans="2:10">
      <c r="B1283" t="s">
        <v>568</v>
      </c>
      <c r="C1283" t="s">
        <v>569</v>
      </c>
      <c r="D1283" t="s">
        <v>248</v>
      </c>
      <c r="E1283" t="s">
        <v>300</v>
      </c>
      <c r="F1283" t="s">
        <v>219</v>
      </c>
      <c r="G1283" t="s">
        <v>229</v>
      </c>
      <c r="H1283">
        <v>63.5</v>
      </c>
      <c r="I1283" t="str">
        <f t="shared" si="19"/>
        <v>Mini-Warehouses / Self-Storage|S|Good</v>
      </c>
      <c r="J1283" t="s">
        <v>570</v>
      </c>
    </row>
    <row r="1284" spans="2:10">
      <c r="B1284" t="s">
        <v>568</v>
      </c>
      <c r="C1284" t="s">
        <v>569</v>
      </c>
      <c r="D1284" t="s">
        <v>248</v>
      </c>
      <c r="E1284" t="s">
        <v>300</v>
      </c>
      <c r="F1284" t="s">
        <v>219</v>
      </c>
      <c r="G1284" t="s">
        <v>44</v>
      </c>
      <c r="H1284">
        <v>47.5</v>
      </c>
      <c r="I1284" t="str">
        <f t="shared" si="19"/>
        <v>Mini-Warehouses / Self-Storage|S|Average</v>
      </c>
      <c r="J1284" t="s">
        <v>570</v>
      </c>
    </row>
    <row r="1285" spans="2:10">
      <c r="B1285" t="s">
        <v>568</v>
      </c>
      <c r="C1285" t="s">
        <v>569</v>
      </c>
      <c r="D1285" t="s">
        <v>248</v>
      </c>
      <c r="E1285" t="s">
        <v>300</v>
      </c>
      <c r="F1285" t="s">
        <v>219</v>
      </c>
      <c r="G1285" t="s">
        <v>226</v>
      </c>
      <c r="H1285">
        <v>35.5</v>
      </c>
      <c r="I1285" t="str">
        <f t="shared" si="19"/>
        <v>Mini-Warehouses / Self-Storage|S|Low Cost</v>
      </c>
      <c r="J1285" t="s">
        <v>570</v>
      </c>
    </row>
    <row r="1286" spans="2:10">
      <c r="B1286" t="s">
        <v>568</v>
      </c>
      <c r="C1286" t="s">
        <v>569</v>
      </c>
      <c r="D1286" t="s">
        <v>248</v>
      </c>
      <c r="E1286" t="s">
        <v>300</v>
      </c>
      <c r="F1286" t="s">
        <v>219</v>
      </c>
      <c r="G1286" t="s">
        <v>314</v>
      </c>
      <c r="H1286">
        <v>26.25</v>
      </c>
      <c r="I1286" t="str">
        <f t="shared" si="19"/>
        <v>Mini-Warehouses / Self-Storage|S|Cheap</v>
      </c>
      <c r="J1286" t="s">
        <v>570</v>
      </c>
    </row>
    <row r="1287" spans="2:10">
      <c r="B1287" t="s">
        <v>571</v>
      </c>
      <c r="C1287" t="s">
        <v>572</v>
      </c>
      <c r="D1287" t="s">
        <v>248</v>
      </c>
      <c r="E1287" t="s">
        <v>300</v>
      </c>
      <c r="F1287" t="s">
        <v>270</v>
      </c>
      <c r="G1287" t="s">
        <v>44</v>
      </c>
      <c r="H1287">
        <v>94</v>
      </c>
      <c r="I1287" t="str">
        <f t="shared" si="19"/>
        <v>Mini-Warehouses, High-Rise|A-B|Average</v>
      </c>
      <c r="J1287" t="s">
        <v>570</v>
      </c>
    </row>
    <row r="1288" spans="2:10">
      <c r="B1288" t="s">
        <v>571</v>
      </c>
      <c r="C1288" t="s">
        <v>572</v>
      </c>
      <c r="D1288" t="s">
        <v>248</v>
      </c>
      <c r="E1288" t="s">
        <v>300</v>
      </c>
      <c r="F1288" t="s">
        <v>209</v>
      </c>
      <c r="G1288" t="s">
        <v>229</v>
      </c>
      <c r="H1288">
        <v>86.5</v>
      </c>
      <c r="I1288" t="str">
        <f t="shared" si="19"/>
        <v>Mini-Warehouses, High-Rise|C|Good</v>
      </c>
      <c r="J1288" t="s">
        <v>570</v>
      </c>
    </row>
    <row r="1289" spans="2:10">
      <c r="B1289" t="s">
        <v>571</v>
      </c>
      <c r="C1289" t="s">
        <v>572</v>
      </c>
      <c r="D1289" t="s">
        <v>248</v>
      </c>
      <c r="E1289" t="s">
        <v>300</v>
      </c>
      <c r="F1289" t="s">
        <v>209</v>
      </c>
      <c r="G1289" t="s">
        <v>44</v>
      </c>
      <c r="H1289">
        <v>66</v>
      </c>
      <c r="I1289" t="str">
        <f t="shared" si="19"/>
        <v>Mini-Warehouses, High-Rise|C|Average</v>
      </c>
      <c r="J1289" t="s">
        <v>570</v>
      </c>
    </row>
    <row r="1290" spans="2:10">
      <c r="B1290" t="s">
        <v>571</v>
      </c>
      <c r="C1290" t="s">
        <v>572</v>
      </c>
      <c r="D1290" t="s">
        <v>248</v>
      </c>
      <c r="E1290" t="s">
        <v>300</v>
      </c>
      <c r="F1290" t="s">
        <v>214</v>
      </c>
      <c r="G1290" t="s">
        <v>229</v>
      </c>
      <c r="H1290">
        <v>79.5</v>
      </c>
      <c r="I1290" t="str">
        <f t="shared" si="19"/>
        <v>Mini-Warehouses, High-Rise|D|Good</v>
      </c>
      <c r="J1290" t="s">
        <v>570</v>
      </c>
    </row>
    <row r="1291" spans="2:10">
      <c r="B1291" t="s">
        <v>571</v>
      </c>
      <c r="C1291" t="s">
        <v>572</v>
      </c>
      <c r="D1291" t="s">
        <v>248</v>
      </c>
      <c r="E1291" t="s">
        <v>300</v>
      </c>
      <c r="F1291" t="s">
        <v>219</v>
      </c>
      <c r="G1291" t="s">
        <v>229</v>
      </c>
      <c r="H1291">
        <v>81</v>
      </c>
      <c r="I1291" t="str">
        <f t="shared" si="19"/>
        <v>Mini-Warehouses, High-Rise|S|Good</v>
      </c>
      <c r="J1291" t="s">
        <v>570</v>
      </c>
    </row>
    <row r="1292" spans="2:10">
      <c r="B1292" t="s">
        <v>573</v>
      </c>
      <c r="C1292" t="s">
        <v>574</v>
      </c>
      <c r="D1292" t="s">
        <v>248</v>
      </c>
      <c r="E1292" t="s">
        <v>309</v>
      </c>
      <c r="F1292" t="s">
        <v>209</v>
      </c>
      <c r="G1292" t="s">
        <v>231</v>
      </c>
      <c r="H1292">
        <v>165</v>
      </c>
      <c r="I1292" t="str">
        <f t="shared" si="19"/>
        <v>Maintenance Hangars|C|Excellent</v>
      </c>
      <c r="J1292" t="s">
        <v>575</v>
      </c>
    </row>
    <row r="1293" spans="2:10">
      <c r="B1293" t="s">
        <v>573</v>
      </c>
      <c r="C1293" t="s">
        <v>574</v>
      </c>
      <c r="D1293" t="s">
        <v>248</v>
      </c>
      <c r="E1293" t="s">
        <v>309</v>
      </c>
      <c r="F1293" t="s">
        <v>209</v>
      </c>
      <c r="G1293" t="s">
        <v>229</v>
      </c>
      <c r="H1293">
        <v>111</v>
      </c>
      <c r="I1293" t="str">
        <f t="shared" si="19"/>
        <v>Maintenance Hangars|C|Good</v>
      </c>
      <c r="J1293" t="s">
        <v>575</v>
      </c>
    </row>
    <row r="1294" spans="2:10">
      <c r="B1294" t="s">
        <v>573</v>
      </c>
      <c r="C1294" t="s">
        <v>574</v>
      </c>
      <c r="D1294" t="s">
        <v>248</v>
      </c>
      <c r="E1294" t="s">
        <v>309</v>
      </c>
      <c r="F1294" t="s">
        <v>209</v>
      </c>
      <c r="G1294" t="s">
        <v>44</v>
      </c>
      <c r="H1294">
        <v>80</v>
      </c>
      <c r="I1294" t="str">
        <f t="shared" si="19"/>
        <v>Maintenance Hangars|C|Average</v>
      </c>
      <c r="J1294" t="s">
        <v>575</v>
      </c>
    </row>
    <row r="1295" spans="2:10">
      <c r="B1295" t="s">
        <v>573</v>
      </c>
      <c r="C1295" t="s">
        <v>574</v>
      </c>
      <c r="D1295" t="s">
        <v>248</v>
      </c>
      <c r="E1295" t="s">
        <v>309</v>
      </c>
      <c r="F1295" t="s">
        <v>209</v>
      </c>
      <c r="G1295" t="s">
        <v>226</v>
      </c>
      <c r="H1295">
        <v>57.5</v>
      </c>
      <c r="I1295" t="str">
        <f t="shared" si="19"/>
        <v>Maintenance Hangars|C|Low Cost</v>
      </c>
      <c r="J1295" t="s">
        <v>575</v>
      </c>
    </row>
    <row r="1296" spans="2:10">
      <c r="B1296" t="s">
        <v>573</v>
      </c>
      <c r="C1296" t="s">
        <v>574</v>
      </c>
      <c r="D1296" t="s">
        <v>248</v>
      </c>
      <c r="E1296" t="s">
        <v>309</v>
      </c>
      <c r="F1296" t="s">
        <v>214</v>
      </c>
      <c r="G1296" t="s">
        <v>44</v>
      </c>
      <c r="H1296">
        <v>73</v>
      </c>
      <c r="I1296" t="str">
        <f t="shared" si="19"/>
        <v>Maintenance Hangars|D|Average</v>
      </c>
      <c r="J1296" t="s">
        <v>575</v>
      </c>
    </row>
    <row r="1297" spans="2:10">
      <c r="B1297" t="s">
        <v>573</v>
      </c>
      <c r="C1297" t="s">
        <v>574</v>
      </c>
      <c r="D1297" t="s">
        <v>248</v>
      </c>
      <c r="E1297" t="s">
        <v>309</v>
      </c>
      <c r="F1297" t="s">
        <v>214</v>
      </c>
      <c r="G1297" t="s">
        <v>226</v>
      </c>
      <c r="H1297">
        <v>52.5</v>
      </c>
      <c r="I1297" t="str">
        <f t="shared" si="19"/>
        <v>Maintenance Hangars|D|Low Cost</v>
      </c>
      <c r="J1297" t="s">
        <v>575</v>
      </c>
    </row>
    <row r="1298" spans="2:10">
      <c r="B1298" t="s">
        <v>573</v>
      </c>
      <c r="C1298" t="s">
        <v>574</v>
      </c>
      <c r="D1298" t="s">
        <v>248</v>
      </c>
      <c r="E1298" t="s">
        <v>309</v>
      </c>
      <c r="F1298" t="s">
        <v>219</v>
      </c>
      <c r="G1298" t="s">
        <v>231</v>
      </c>
      <c r="H1298">
        <v>158</v>
      </c>
      <c r="I1298" t="str">
        <f t="shared" si="19"/>
        <v>Maintenance Hangars|S|Excellent</v>
      </c>
      <c r="J1298" t="s">
        <v>575</v>
      </c>
    </row>
    <row r="1299" spans="2:10">
      <c r="B1299" t="s">
        <v>573</v>
      </c>
      <c r="C1299" t="s">
        <v>574</v>
      </c>
      <c r="D1299" t="s">
        <v>248</v>
      </c>
      <c r="E1299" t="s">
        <v>309</v>
      </c>
      <c r="F1299" t="s">
        <v>219</v>
      </c>
      <c r="G1299" t="s">
        <v>229</v>
      </c>
      <c r="H1299">
        <v>102</v>
      </c>
      <c r="I1299" t="str">
        <f t="shared" si="19"/>
        <v>Maintenance Hangars|S|Good</v>
      </c>
      <c r="J1299" t="s">
        <v>575</v>
      </c>
    </row>
    <row r="1300" spans="2:10">
      <c r="B1300" t="s">
        <v>573</v>
      </c>
      <c r="C1300" t="s">
        <v>574</v>
      </c>
      <c r="D1300" t="s">
        <v>248</v>
      </c>
      <c r="E1300" t="s">
        <v>309</v>
      </c>
      <c r="F1300" t="s">
        <v>219</v>
      </c>
      <c r="G1300" t="s">
        <v>44</v>
      </c>
      <c r="H1300">
        <v>71.5</v>
      </c>
      <c r="I1300" t="str">
        <f t="shared" si="19"/>
        <v>Maintenance Hangars|S|Average</v>
      </c>
      <c r="J1300" t="s">
        <v>575</v>
      </c>
    </row>
    <row r="1301" spans="2:10">
      <c r="B1301" t="s">
        <v>573</v>
      </c>
      <c r="C1301" t="s">
        <v>574</v>
      </c>
      <c r="D1301" t="s">
        <v>248</v>
      </c>
      <c r="E1301" t="s">
        <v>309</v>
      </c>
      <c r="F1301" t="s">
        <v>219</v>
      </c>
      <c r="G1301" t="s">
        <v>226</v>
      </c>
      <c r="H1301">
        <v>50</v>
      </c>
      <c r="I1301" t="str">
        <f t="shared" si="19"/>
        <v>Maintenance Hangars|S|Low Cost</v>
      </c>
      <c r="J1301" t="s">
        <v>575</v>
      </c>
    </row>
    <row r="1302" spans="2:10">
      <c r="B1302" t="s">
        <v>576</v>
      </c>
      <c r="C1302" t="s">
        <v>577</v>
      </c>
      <c r="D1302" t="s">
        <v>248</v>
      </c>
      <c r="E1302" t="s">
        <v>309</v>
      </c>
      <c r="F1302" t="s">
        <v>209</v>
      </c>
      <c r="G1302" t="s">
        <v>231</v>
      </c>
      <c r="H1302">
        <v>128</v>
      </c>
      <c r="I1302" t="str">
        <f t="shared" si="19"/>
        <v>Storage Hangars|C|Excellent</v>
      </c>
      <c r="J1302" t="s">
        <v>575</v>
      </c>
    </row>
    <row r="1303" spans="2:10">
      <c r="B1303" t="s">
        <v>576</v>
      </c>
      <c r="C1303" t="s">
        <v>577</v>
      </c>
      <c r="D1303" t="s">
        <v>248</v>
      </c>
      <c r="E1303" t="s">
        <v>309</v>
      </c>
      <c r="F1303" t="s">
        <v>209</v>
      </c>
      <c r="G1303" t="s">
        <v>229</v>
      </c>
      <c r="H1303">
        <v>89</v>
      </c>
      <c r="I1303" t="str">
        <f t="shared" si="19"/>
        <v>Storage Hangars|C|Good</v>
      </c>
      <c r="J1303" t="s">
        <v>575</v>
      </c>
    </row>
    <row r="1304" spans="2:10">
      <c r="B1304" t="s">
        <v>576</v>
      </c>
      <c r="C1304" t="s">
        <v>577</v>
      </c>
      <c r="D1304" t="s">
        <v>248</v>
      </c>
      <c r="E1304" t="s">
        <v>309</v>
      </c>
      <c r="F1304" t="s">
        <v>209</v>
      </c>
      <c r="G1304" t="s">
        <v>44</v>
      </c>
      <c r="H1304">
        <v>59.5</v>
      </c>
      <c r="I1304" t="str">
        <f t="shared" si="19"/>
        <v>Storage Hangars|C|Average</v>
      </c>
      <c r="J1304" t="s">
        <v>575</v>
      </c>
    </row>
    <row r="1305" spans="2:10">
      <c r="B1305" t="s">
        <v>576</v>
      </c>
      <c r="C1305" t="s">
        <v>577</v>
      </c>
      <c r="D1305" t="s">
        <v>248</v>
      </c>
      <c r="E1305" t="s">
        <v>309</v>
      </c>
      <c r="F1305" t="s">
        <v>209</v>
      </c>
      <c r="G1305" t="s">
        <v>226</v>
      </c>
      <c r="H1305">
        <v>41</v>
      </c>
      <c r="I1305" t="str">
        <f t="shared" si="19"/>
        <v>Storage Hangars|C|Low Cost</v>
      </c>
      <c r="J1305" t="s">
        <v>575</v>
      </c>
    </row>
    <row r="1306" spans="2:10">
      <c r="B1306" t="s">
        <v>576</v>
      </c>
      <c r="C1306" t="s">
        <v>577</v>
      </c>
      <c r="D1306" t="s">
        <v>248</v>
      </c>
      <c r="E1306" t="s">
        <v>309</v>
      </c>
      <c r="F1306" t="s">
        <v>214</v>
      </c>
      <c r="G1306" t="s">
        <v>44</v>
      </c>
      <c r="H1306">
        <v>53.5</v>
      </c>
      <c r="I1306" t="str">
        <f t="shared" si="19"/>
        <v>Storage Hangars|D|Average</v>
      </c>
      <c r="J1306" t="s">
        <v>575</v>
      </c>
    </row>
    <row r="1307" spans="2:10">
      <c r="B1307" t="s">
        <v>576</v>
      </c>
      <c r="C1307" t="s">
        <v>577</v>
      </c>
      <c r="D1307" t="s">
        <v>248</v>
      </c>
      <c r="E1307" t="s">
        <v>309</v>
      </c>
      <c r="F1307" t="s">
        <v>214</v>
      </c>
      <c r="G1307" t="s">
        <v>226</v>
      </c>
      <c r="H1307">
        <v>36.75</v>
      </c>
      <c r="I1307" t="str">
        <f t="shared" si="19"/>
        <v>Storage Hangars|D|Low Cost</v>
      </c>
      <c r="J1307" t="s">
        <v>575</v>
      </c>
    </row>
    <row r="1308" spans="2:10">
      <c r="B1308" t="s">
        <v>576</v>
      </c>
      <c r="C1308" t="s">
        <v>577</v>
      </c>
      <c r="D1308" t="s">
        <v>248</v>
      </c>
      <c r="E1308" t="s">
        <v>309</v>
      </c>
      <c r="F1308" t="s">
        <v>313</v>
      </c>
      <c r="G1308" t="s">
        <v>226</v>
      </c>
      <c r="H1308">
        <v>31.75</v>
      </c>
      <c r="I1308" t="str">
        <f t="shared" si="19"/>
        <v>Storage Hangars|DPOLE|Low Cost</v>
      </c>
      <c r="J1308" t="s">
        <v>575</v>
      </c>
    </row>
    <row r="1309" spans="2:10">
      <c r="B1309" t="s">
        <v>576</v>
      </c>
      <c r="C1309" t="s">
        <v>577</v>
      </c>
      <c r="D1309" t="s">
        <v>248</v>
      </c>
      <c r="E1309" t="s">
        <v>309</v>
      </c>
      <c r="F1309" t="s">
        <v>313</v>
      </c>
      <c r="G1309" t="s">
        <v>314</v>
      </c>
      <c r="H1309">
        <v>23.1</v>
      </c>
      <c r="I1309" t="str">
        <f t="shared" si="19"/>
        <v>Storage Hangars|DPOLE|Cheap</v>
      </c>
      <c r="J1309" t="s">
        <v>575</v>
      </c>
    </row>
    <row r="1310" spans="2:10">
      <c r="B1310" t="s">
        <v>576</v>
      </c>
      <c r="C1310" t="s">
        <v>577</v>
      </c>
      <c r="D1310" t="s">
        <v>248</v>
      </c>
      <c r="E1310" t="s">
        <v>309</v>
      </c>
      <c r="F1310" t="s">
        <v>219</v>
      </c>
      <c r="G1310" t="s">
        <v>231</v>
      </c>
      <c r="H1310">
        <v>119</v>
      </c>
      <c r="I1310" t="str">
        <f t="shared" ref="I1310:I1373" si="20">B1310&amp;"|"&amp;F1310&amp;"|"&amp;G1310</f>
        <v>Storage Hangars|S|Excellent</v>
      </c>
      <c r="J1310" t="s">
        <v>575</v>
      </c>
    </row>
    <row r="1311" spans="2:10">
      <c r="B1311" t="s">
        <v>576</v>
      </c>
      <c r="C1311" t="s">
        <v>577</v>
      </c>
      <c r="D1311" t="s">
        <v>248</v>
      </c>
      <c r="E1311" t="s">
        <v>309</v>
      </c>
      <c r="F1311" t="s">
        <v>219</v>
      </c>
      <c r="G1311" t="s">
        <v>229</v>
      </c>
      <c r="H1311">
        <v>81.5</v>
      </c>
      <c r="I1311" t="str">
        <f t="shared" si="20"/>
        <v>Storage Hangars|S|Good</v>
      </c>
      <c r="J1311" t="s">
        <v>575</v>
      </c>
    </row>
    <row r="1312" spans="2:10">
      <c r="B1312" t="s">
        <v>576</v>
      </c>
      <c r="C1312" t="s">
        <v>577</v>
      </c>
      <c r="D1312" t="s">
        <v>248</v>
      </c>
      <c r="E1312" t="s">
        <v>309</v>
      </c>
      <c r="F1312" t="s">
        <v>219</v>
      </c>
      <c r="G1312" t="s">
        <v>44</v>
      </c>
      <c r="H1312">
        <v>53</v>
      </c>
      <c r="I1312" t="str">
        <f t="shared" si="20"/>
        <v>Storage Hangars|S|Average</v>
      </c>
      <c r="J1312" t="s">
        <v>575</v>
      </c>
    </row>
    <row r="1313" spans="2:10">
      <c r="B1313" t="s">
        <v>576</v>
      </c>
      <c r="C1313" t="s">
        <v>577</v>
      </c>
      <c r="D1313" t="s">
        <v>248</v>
      </c>
      <c r="E1313" t="s">
        <v>309</v>
      </c>
      <c r="F1313" t="s">
        <v>219</v>
      </c>
      <c r="G1313" t="s">
        <v>226</v>
      </c>
      <c r="H1313">
        <v>35.5</v>
      </c>
      <c r="I1313" t="str">
        <f t="shared" si="20"/>
        <v>Storage Hangars|S|Low Cost</v>
      </c>
      <c r="J1313" t="s">
        <v>575</v>
      </c>
    </row>
    <row r="1314" spans="2:10">
      <c r="B1314" t="s">
        <v>576</v>
      </c>
      <c r="C1314" t="s">
        <v>577</v>
      </c>
      <c r="D1314" t="s">
        <v>248</v>
      </c>
      <c r="E1314" t="s">
        <v>309</v>
      </c>
      <c r="F1314" t="s">
        <v>219</v>
      </c>
      <c r="G1314" t="s">
        <v>314</v>
      </c>
      <c r="H1314">
        <v>26</v>
      </c>
      <c r="I1314" t="str">
        <f t="shared" si="20"/>
        <v>Storage Hangars|S|Cheap</v>
      </c>
      <c r="J1314" t="s">
        <v>575</v>
      </c>
    </row>
    <row r="1315" spans="2:10">
      <c r="B1315" t="s">
        <v>578</v>
      </c>
      <c r="C1315" t="s">
        <v>579</v>
      </c>
      <c r="D1315" t="s">
        <v>248</v>
      </c>
      <c r="E1315" t="s">
        <v>317</v>
      </c>
      <c r="F1315" t="s">
        <v>209</v>
      </c>
      <c r="G1315" t="s">
        <v>44</v>
      </c>
      <c r="H1315">
        <v>53</v>
      </c>
      <c r="I1315" t="str">
        <f t="shared" si="20"/>
        <v>T-Hangars|C|Average</v>
      </c>
      <c r="J1315" t="s">
        <v>580</v>
      </c>
    </row>
    <row r="1316" spans="2:10">
      <c r="B1316" t="s">
        <v>578</v>
      </c>
      <c r="C1316" t="s">
        <v>579</v>
      </c>
      <c r="D1316" t="s">
        <v>248</v>
      </c>
      <c r="E1316" t="s">
        <v>317</v>
      </c>
      <c r="F1316" t="s">
        <v>313</v>
      </c>
      <c r="G1316" t="s">
        <v>226</v>
      </c>
      <c r="H1316">
        <v>34</v>
      </c>
      <c r="I1316" t="str">
        <f t="shared" si="20"/>
        <v>T-Hangars|DPOLE|Low Cost</v>
      </c>
      <c r="J1316" t="s">
        <v>580</v>
      </c>
    </row>
    <row r="1317" spans="2:10">
      <c r="B1317" t="s">
        <v>578</v>
      </c>
      <c r="C1317" t="s">
        <v>579</v>
      </c>
      <c r="D1317" t="s">
        <v>248</v>
      </c>
      <c r="E1317" t="s">
        <v>317</v>
      </c>
      <c r="F1317" t="s">
        <v>219</v>
      </c>
      <c r="G1317" t="s">
        <v>44</v>
      </c>
      <c r="H1317">
        <v>48.75</v>
      </c>
      <c r="I1317" t="str">
        <f t="shared" si="20"/>
        <v>T-Hangars|S|Average</v>
      </c>
      <c r="J1317" t="s">
        <v>580</v>
      </c>
    </row>
    <row r="1318" spans="2:10">
      <c r="B1318" t="s">
        <v>578</v>
      </c>
      <c r="C1318" t="s">
        <v>579</v>
      </c>
      <c r="D1318" t="s">
        <v>248</v>
      </c>
      <c r="E1318" t="s">
        <v>317</v>
      </c>
      <c r="F1318" t="s">
        <v>219</v>
      </c>
      <c r="G1318" t="s">
        <v>226</v>
      </c>
      <c r="H1318">
        <v>37.75</v>
      </c>
      <c r="I1318" t="str">
        <f t="shared" si="20"/>
        <v>T-Hangars|S|Low Cost</v>
      </c>
      <c r="J1318" t="s">
        <v>580</v>
      </c>
    </row>
    <row r="1319" spans="2:10">
      <c r="B1319" t="s">
        <v>581</v>
      </c>
      <c r="C1319" t="s">
        <v>582</v>
      </c>
      <c r="D1319" t="s">
        <v>248</v>
      </c>
      <c r="E1319" t="s">
        <v>317</v>
      </c>
      <c r="F1319" t="s">
        <v>270</v>
      </c>
      <c r="G1319" t="s">
        <v>44</v>
      </c>
      <c r="H1319">
        <v>193</v>
      </c>
      <c r="I1319" t="str">
        <f t="shared" si="20"/>
        <v>Complete Auto Dealerships|A-B|Average</v>
      </c>
      <c r="J1319" t="s">
        <v>580</v>
      </c>
    </row>
    <row r="1320" spans="2:10">
      <c r="B1320" t="s">
        <v>581</v>
      </c>
      <c r="C1320" t="s">
        <v>582</v>
      </c>
      <c r="D1320" t="s">
        <v>248</v>
      </c>
      <c r="E1320" t="s">
        <v>317</v>
      </c>
      <c r="F1320" t="s">
        <v>209</v>
      </c>
      <c r="G1320" t="s">
        <v>231</v>
      </c>
      <c r="H1320">
        <v>247</v>
      </c>
      <c r="I1320" t="str">
        <f t="shared" si="20"/>
        <v>Complete Auto Dealerships|C|Excellent</v>
      </c>
      <c r="J1320" t="s">
        <v>580</v>
      </c>
    </row>
    <row r="1321" spans="2:10">
      <c r="B1321" t="s">
        <v>581</v>
      </c>
      <c r="C1321" t="s">
        <v>582</v>
      </c>
      <c r="D1321" t="s">
        <v>248</v>
      </c>
      <c r="E1321" t="s">
        <v>317</v>
      </c>
      <c r="F1321" t="s">
        <v>209</v>
      </c>
      <c r="G1321" t="s">
        <v>229</v>
      </c>
      <c r="H1321">
        <v>173</v>
      </c>
      <c r="I1321" t="str">
        <f t="shared" si="20"/>
        <v>Complete Auto Dealerships|C|Good</v>
      </c>
      <c r="J1321" t="s">
        <v>580</v>
      </c>
    </row>
    <row r="1322" spans="2:10">
      <c r="B1322" t="s">
        <v>581</v>
      </c>
      <c r="C1322" t="s">
        <v>582</v>
      </c>
      <c r="D1322" t="s">
        <v>248</v>
      </c>
      <c r="E1322" t="s">
        <v>317</v>
      </c>
      <c r="F1322" t="s">
        <v>209</v>
      </c>
      <c r="G1322" t="s">
        <v>44</v>
      </c>
      <c r="H1322">
        <v>125</v>
      </c>
      <c r="I1322" t="str">
        <f t="shared" si="20"/>
        <v>Complete Auto Dealerships|C|Average</v>
      </c>
      <c r="J1322" t="s">
        <v>580</v>
      </c>
    </row>
    <row r="1323" spans="2:10">
      <c r="B1323" t="s">
        <v>581</v>
      </c>
      <c r="C1323" t="s">
        <v>582</v>
      </c>
      <c r="D1323" t="s">
        <v>248</v>
      </c>
      <c r="E1323" t="s">
        <v>317</v>
      </c>
      <c r="F1323" t="s">
        <v>209</v>
      </c>
      <c r="G1323" t="s">
        <v>226</v>
      </c>
      <c r="H1323">
        <v>85</v>
      </c>
      <c r="I1323" t="str">
        <f t="shared" si="20"/>
        <v>Complete Auto Dealerships|C|Low Cost</v>
      </c>
      <c r="J1323" t="s">
        <v>580</v>
      </c>
    </row>
    <row r="1324" spans="2:10">
      <c r="B1324" t="s">
        <v>581</v>
      </c>
      <c r="C1324" t="s">
        <v>582</v>
      </c>
      <c r="D1324" t="s">
        <v>248</v>
      </c>
      <c r="E1324" t="s">
        <v>317</v>
      </c>
      <c r="F1324" t="s">
        <v>214</v>
      </c>
      <c r="G1324" t="s">
        <v>231</v>
      </c>
      <c r="H1324">
        <v>238</v>
      </c>
      <c r="I1324" t="str">
        <f t="shared" si="20"/>
        <v>Complete Auto Dealerships|D|Excellent</v>
      </c>
      <c r="J1324" t="s">
        <v>580</v>
      </c>
    </row>
    <row r="1325" spans="2:10">
      <c r="B1325" t="s">
        <v>581</v>
      </c>
      <c r="C1325" t="s">
        <v>582</v>
      </c>
      <c r="D1325" t="s">
        <v>248</v>
      </c>
      <c r="E1325" t="s">
        <v>317</v>
      </c>
      <c r="F1325" t="s">
        <v>214</v>
      </c>
      <c r="G1325" t="s">
        <v>229</v>
      </c>
      <c r="H1325">
        <v>165</v>
      </c>
      <c r="I1325" t="str">
        <f t="shared" si="20"/>
        <v>Complete Auto Dealerships|D|Good</v>
      </c>
      <c r="J1325" t="s">
        <v>580</v>
      </c>
    </row>
    <row r="1326" spans="2:10">
      <c r="B1326" t="s">
        <v>581</v>
      </c>
      <c r="C1326" t="s">
        <v>582</v>
      </c>
      <c r="D1326" t="s">
        <v>248</v>
      </c>
      <c r="E1326" t="s">
        <v>317</v>
      </c>
      <c r="F1326" t="s">
        <v>214</v>
      </c>
      <c r="G1326" t="s">
        <v>44</v>
      </c>
      <c r="H1326">
        <v>117</v>
      </c>
      <c r="I1326" t="str">
        <f t="shared" si="20"/>
        <v>Complete Auto Dealerships|D|Average</v>
      </c>
      <c r="J1326" t="s">
        <v>580</v>
      </c>
    </row>
    <row r="1327" spans="2:10">
      <c r="B1327" t="s">
        <v>581</v>
      </c>
      <c r="C1327" t="s">
        <v>582</v>
      </c>
      <c r="D1327" t="s">
        <v>248</v>
      </c>
      <c r="E1327" t="s">
        <v>317</v>
      </c>
      <c r="F1327" t="s">
        <v>214</v>
      </c>
      <c r="G1327" t="s">
        <v>226</v>
      </c>
      <c r="H1327">
        <v>78.5</v>
      </c>
      <c r="I1327" t="str">
        <f t="shared" si="20"/>
        <v>Complete Auto Dealerships|D|Low Cost</v>
      </c>
      <c r="J1327" t="s">
        <v>580</v>
      </c>
    </row>
    <row r="1328" spans="2:10">
      <c r="B1328" t="s">
        <v>581</v>
      </c>
      <c r="C1328" t="s">
        <v>582</v>
      </c>
      <c r="D1328" t="s">
        <v>248</v>
      </c>
      <c r="E1328" t="s">
        <v>317</v>
      </c>
      <c r="F1328" t="s">
        <v>313</v>
      </c>
      <c r="G1328" t="s">
        <v>44</v>
      </c>
      <c r="H1328">
        <v>111</v>
      </c>
      <c r="I1328" t="str">
        <f t="shared" si="20"/>
        <v>Complete Auto Dealerships|DPOLE|Average</v>
      </c>
      <c r="J1328" t="s">
        <v>580</v>
      </c>
    </row>
    <row r="1329" spans="2:10">
      <c r="B1329" t="s">
        <v>581</v>
      </c>
      <c r="C1329" t="s">
        <v>582</v>
      </c>
      <c r="D1329" t="s">
        <v>248</v>
      </c>
      <c r="E1329" t="s">
        <v>317</v>
      </c>
      <c r="F1329" t="s">
        <v>313</v>
      </c>
      <c r="G1329" t="s">
        <v>226</v>
      </c>
      <c r="H1329">
        <v>73.5</v>
      </c>
      <c r="I1329" t="str">
        <f t="shared" si="20"/>
        <v>Complete Auto Dealerships|DPOLE|Low Cost</v>
      </c>
      <c r="J1329" t="s">
        <v>580</v>
      </c>
    </row>
    <row r="1330" spans="2:10">
      <c r="B1330" t="s">
        <v>581</v>
      </c>
      <c r="C1330" t="s">
        <v>582</v>
      </c>
      <c r="D1330" t="s">
        <v>248</v>
      </c>
      <c r="E1330" t="s">
        <v>317</v>
      </c>
      <c r="F1330" t="s">
        <v>219</v>
      </c>
      <c r="G1330" t="s">
        <v>229</v>
      </c>
      <c r="H1330">
        <v>167</v>
      </c>
      <c r="I1330" t="str">
        <f t="shared" si="20"/>
        <v>Complete Auto Dealerships|S|Good</v>
      </c>
      <c r="J1330" t="s">
        <v>580</v>
      </c>
    </row>
    <row r="1331" spans="2:10">
      <c r="B1331" t="s">
        <v>581</v>
      </c>
      <c r="C1331" t="s">
        <v>582</v>
      </c>
      <c r="D1331" t="s">
        <v>248</v>
      </c>
      <c r="E1331" t="s">
        <v>317</v>
      </c>
      <c r="F1331" t="s">
        <v>219</v>
      </c>
      <c r="G1331" t="s">
        <v>44</v>
      </c>
      <c r="H1331">
        <v>118</v>
      </c>
      <c r="I1331" t="str">
        <f t="shared" si="20"/>
        <v>Complete Auto Dealerships|S|Average</v>
      </c>
      <c r="J1331" t="s">
        <v>580</v>
      </c>
    </row>
    <row r="1332" spans="2:10">
      <c r="B1332" t="s">
        <v>581</v>
      </c>
      <c r="C1332" t="s">
        <v>582</v>
      </c>
      <c r="D1332" t="s">
        <v>248</v>
      </c>
      <c r="E1332" t="s">
        <v>317</v>
      </c>
      <c r="F1332" t="s">
        <v>219</v>
      </c>
      <c r="G1332" t="s">
        <v>226</v>
      </c>
      <c r="H1332">
        <v>78.5</v>
      </c>
      <c r="I1332" t="str">
        <f t="shared" si="20"/>
        <v>Complete Auto Dealerships|S|Low Cost</v>
      </c>
      <c r="J1332" t="s">
        <v>580</v>
      </c>
    </row>
    <row r="1333" spans="2:10">
      <c r="B1333" t="s">
        <v>583</v>
      </c>
      <c r="C1333" t="s">
        <v>584</v>
      </c>
      <c r="D1333" t="s">
        <v>248</v>
      </c>
      <c r="E1333" t="s">
        <v>323</v>
      </c>
      <c r="F1333" t="s">
        <v>209</v>
      </c>
      <c r="G1333" t="s">
        <v>229</v>
      </c>
      <c r="H1333">
        <v>131</v>
      </c>
      <c r="I1333" t="str">
        <f t="shared" si="20"/>
        <v>Automotive Service Centers|C|Good</v>
      </c>
      <c r="J1333" t="s">
        <v>585</v>
      </c>
    </row>
    <row r="1334" spans="2:10">
      <c r="B1334" t="s">
        <v>583</v>
      </c>
      <c r="C1334" t="s">
        <v>584</v>
      </c>
      <c r="D1334" t="s">
        <v>248</v>
      </c>
      <c r="E1334" t="s">
        <v>323</v>
      </c>
      <c r="F1334" t="s">
        <v>209</v>
      </c>
      <c r="G1334" t="s">
        <v>44</v>
      </c>
      <c r="H1334">
        <v>105</v>
      </c>
      <c r="I1334" t="str">
        <f t="shared" si="20"/>
        <v>Automotive Service Centers|C|Average</v>
      </c>
      <c r="J1334" t="s">
        <v>585</v>
      </c>
    </row>
    <row r="1335" spans="2:10">
      <c r="B1335" t="s">
        <v>583</v>
      </c>
      <c r="C1335" t="s">
        <v>584</v>
      </c>
      <c r="D1335" t="s">
        <v>248</v>
      </c>
      <c r="E1335" t="s">
        <v>323</v>
      </c>
      <c r="F1335" t="s">
        <v>209</v>
      </c>
      <c r="G1335" t="s">
        <v>226</v>
      </c>
      <c r="H1335">
        <v>84.5</v>
      </c>
      <c r="I1335" t="str">
        <f t="shared" si="20"/>
        <v>Automotive Service Centers|C|Low Cost</v>
      </c>
      <c r="J1335" t="s">
        <v>585</v>
      </c>
    </row>
    <row r="1336" spans="2:10">
      <c r="B1336" t="s">
        <v>583</v>
      </c>
      <c r="C1336" t="s">
        <v>584</v>
      </c>
      <c r="D1336" t="s">
        <v>248</v>
      </c>
      <c r="E1336" t="s">
        <v>323</v>
      </c>
      <c r="F1336" t="s">
        <v>214</v>
      </c>
      <c r="G1336" t="s">
        <v>229</v>
      </c>
      <c r="H1336">
        <v>122</v>
      </c>
      <c r="I1336" t="str">
        <f t="shared" si="20"/>
        <v>Automotive Service Centers|D|Good</v>
      </c>
      <c r="J1336" t="s">
        <v>585</v>
      </c>
    </row>
    <row r="1337" spans="2:10">
      <c r="B1337" t="s">
        <v>583</v>
      </c>
      <c r="C1337" t="s">
        <v>584</v>
      </c>
      <c r="D1337" t="s">
        <v>248</v>
      </c>
      <c r="E1337" t="s">
        <v>323</v>
      </c>
      <c r="F1337" t="s">
        <v>214</v>
      </c>
      <c r="G1337" t="s">
        <v>44</v>
      </c>
      <c r="H1337">
        <v>98</v>
      </c>
      <c r="I1337" t="str">
        <f t="shared" si="20"/>
        <v>Automotive Service Centers|D|Average</v>
      </c>
      <c r="J1337" t="s">
        <v>585</v>
      </c>
    </row>
    <row r="1338" spans="2:10">
      <c r="B1338" t="s">
        <v>583</v>
      </c>
      <c r="C1338" t="s">
        <v>584</v>
      </c>
      <c r="D1338" t="s">
        <v>248</v>
      </c>
      <c r="E1338" t="s">
        <v>323</v>
      </c>
      <c r="F1338" t="s">
        <v>313</v>
      </c>
      <c r="G1338" t="s">
        <v>226</v>
      </c>
      <c r="H1338">
        <v>73</v>
      </c>
      <c r="I1338" t="str">
        <f t="shared" si="20"/>
        <v>Automotive Service Centers|DPOLE|Low Cost</v>
      </c>
      <c r="J1338" t="s">
        <v>585</v>
      </c>
    </row>
    <row r="1339" spans="2:10">
      <c r="B1339" t="s">
        <v>583</v>
      </c>
      <c r="C1339" t="s">
        <v>584</v>
      </c>
      <c r="D1339" t="s">
        <v>248</v>
      </c>
      <c r="E1339" t="s">
        <v>323</v>
      </c>
      <c r="F1339" t="s">
        <v>219</v>
      </c>
      <c r="G1339" t="s">
        <v>44</v>
      </c>
      <c r="H1339">
        <v>97.5</v>
      </c>
      <c r="I1339" t="str">
        <f t="shared" si="20"/>
        <v>Automotive Service Centers|S|Average</v>
      </c>
      <c r="J1339" t="s">
        <v>585</v>
      </c>
    </row>
    <row r="1340" spans="2:10">
      <c r="B1340" t="s">
        <v>583</v>
      </c>
      <c r="C1340" t="s">
        <v>584</v>
      </c>
      <c r="D1340" t="s">
        <v>248</v>
      </c>
      <c r="E1340" t="s">
        <v>323</v>
      </c>
      <c r="F1340" t="s">
        <v>219</v>
      </c>
      <c r="G1340" t="s">
        <v>226</v>
      </c>
      <c r="H1340">
        <v>78</v>
      </c>
      <c r="I1340" t="str">
        <f t="shared" si="20"/>
        <v>Automotive Service Centers|S|Low Cost</v>
      </c>
      <c r="J1340" t="s">
        <v>585</v>
      </c>
    </row>
    <row r="1341" spans="2:10">
      <c r="B1341" t="s">
        <v>586</v>
      </c>
      <c r="C1341" t="s">
        <v>587</v>
      </c>
      <c r="D1341" t="s">
        <v>248</v>
      </c>
      <c r="E1341" t="s">
        <v>323</v>
      </c>
      <c r="F1341" t="s">
        <v>270</v>
      </c>
      <c r="G1341" t="s">
        <v>44</v>
      </c>
      <c r="H1341">
        <v>218</v>
      </c>
      <c r="I1341" t="str">
        <f t="shared" si="20"/>
        <v>Showrooms|A-B|Average</v>
      </c>
      <c r="J1341" t="s">
        <v>585</v>
      </c>
    </row>
    <row r="1342" spans="2:10">
      <c r="B1342" t="s">
        <v>586</v>
      </c>
      <c r="C1342" t="s">
        <v>587</v>
      </c>
      <c r="D1342" t="s">
        <v>248</v>
      </c>
      <c r="E1342" t="s">
        <v>323</v>
      </c>
      <c r="F1342" t="s">
        <v>209</v>
      </c>
      <c r="G1342" t="s">
        <v>231</v>
      </c>
      <c r="H1342">
        <v>274</v>
      </c>
      <c r="I1342" t="str">
        <f t="shared" si="20"/>
        <v>Showrooms|C|Excellent</v>
      </c>
      <c r="J1342" t="s">
        <v>585</v>
      </c>
    </row>
    <row r="1343" spans="2:10">
      <c r="B1343" t="s">
        <v>586</v>
      </c>
      <c r="C1343" t="s">
        <v>587</v>
      </c>
      <c r="D1343" t="s">
        <v>248</v>
      </c>
      <c r="E1343" t="s">
        <v>323</v>
      </c>
      <c r="F1343" t="s">
        <v>209</v>
      </c>
      <c r="G1343" t="s">
        <v>229</v>
      </c>
      <c r="H1343">
        <v>194</v>
      </c>
      <c r="I1343" t="str">
        <f t="shared" si="20"/>
        <v>Showrooms|C|Good</v>
      </c>
      <c r="J1343" t="s">
        <v>585</v>
      </c>
    </row>
    <row r="1344" spans="2:10">
      <c r="B1344" t="s">
        <v>586</v>
      </c>
      <c r="C1344" t="s">
        <v>587</v>
      </c>
      <c r="D1344" t="s">
        <v>248</v>
      </c>
      <c r="E1344" t="s">
        <v>323</v>
      </c>
      <c r="F1344" t="s">
        <v>209</v>
      </c>
      <c r="G1344" t="s">
        <v>44</v>
      </c>
      <c r="H1344">
        <v>140</v>
      </c>
      <c r="I1344" t="str">
        <f t="shared" si="20"/>
        <v>Showrooms|C|Average</v>
      </c>
      <c r="J1344" t="s">
        <v>585</v>
      </c>
    </row>
    <row r="1345" spans="2:10">
      <c r="B1345" t="s">
        <v>586</v>
      </c>
      <c r="C1345" t="s">
        <v>587</v>
      </c>
      <c r="D1345" t="s">
        <v>248</v>
      </c>
      <c r="E1345" t="s">
        <v>323</v>
      </c>
      <c r="F1345" t="s">
        <v>209</v>
      </c>
      <c r="G1345" t="s">
        <v>226</v>
      </c>
      <c r="H1345">
        <v>97</v>
      </c>
      <c r="I1345" t="str">
        <f t="shared" si="20"/>
        <v>Showrooms|C|Low Cost</v>
      </c>
      <c r="J1345" t="s">
        <v>585</v>
      </c>
    </row>
    <row r="1346" spans="2:10">
      <c r="B1346" t="s">
        <v>586</v>
      </c>
      <c r="C1346" t="s">
        <v>587</v>
      </c>
      <c r="D1346" t="s">
        <v>248</v>
      </c>
      <c r="E1346" t="s">
        <v>323</v>
      </c>
      <c r="F1346" t="s">
        <v>214</v>
      </c>
      <c r="G1346" t="s">
        <v>231</v>
      </c>
      <c r="H1346">
        <v>265</v>
      </c>
      <c r="I1346" t="str">
        <f t="shared" si="20"/>
        <v>Showrooms|D|Excellent</v>
      </c>
      <c r="J1346" t="s">
        <v>585</v>
      </c>
    </row>
    <row r="1347" spans="2:10">
      <c r="B1347" t="s">
        <v>586</v>
      </c>
      <c r="C1347" t="s">
        <v>587</v>
      </c>
      <c r="D1347" t="s">
        <v>248</v>
      </c>
      <c r="E1347" t="s">
        <v>323</v>
      </c>
      <c r="F1347" t="s">
        <v>214</v>
      </c>
      <c r="G1347" t="s">
        <v>229</v>
      </c>
      <c r="H1347">
        <v>185</v>
      </c>
      <c r="I1347" t="str">
        <f t="shared" si="20"/>
        <v>Showrooms|D|Good</v>
      </c>
      <c r="J1347" t="s">
        <v>585</v>
      </c>
    </row>
    <row r="1348" spans="2:10">
      <c r="B1348" t="s">
        <v>586</v>
      </c>
      <c r="C1348" t="s">
        <v>587</v>
      </c>
      <c r="D1348" t="s">
        <v>248</v>
      </c>
      <c r="E1348" t="s">
        <v>323</v>
      </c>
      <c r="F1348" t="s">
        <v>214</v>
      </c>
      <c r="G1348" t="s">
        <v>44</v>
      </c>
      <c r="H1348">
        <v>133</v>
      </c>
      <c r="I1348" t="str">
        <f t="shared" si="20"/>
        <v>Showrooms|D|Average</v>
      </c>
      <c r="J1348" t="s">
        <v>585</v>
      </c>
    </row>
    <row r="1349" spans="2:10">
      <c r="B1349" t="s">
        <v>586</v>
      </c>
      <c r="C1349" t="s">
        <v>587</v>
      </c>
      <c r="D1349" t="s">
        <v>248</v>
      </c>
      <c r="E1349" t="s">
        <v>323</v>
      </c>
      <c r="F1349" t="s">
        <v>214</v>
      </c>
      <c r="G1349" t="s">
        <v>226</v>
      </c>
      <c r="H1349">
        <v>90.5</v>
      </c>
      <c r="I1349" t="str">
        <f t="shared" si="20"/>
        <v>Showrooms|D|Low Cost</v>
      </c>
      <c r="J1349" t="s">
        <v>585</v>
      </c>
    </row>
    <row r="1350" spans="2:10">
      <c r="B1350" t="s">
        <v>586</v>
      </c>
      <c r="C1350" t="s">
        <v>587</v>
      </c>
      <c r="D1350" t="s">
        <v>248</v>
      </c>
      <c r="E1350" t="s">
        <v>323</v>
      </c>
      <c r="F1350" t="s">
        <v>313</v>
      </c>
      <c r="G1350" t="s">
        <v>44</v>
      </c>
      <c r="H1350">
        <v>125</v>
      </c>
      <c r="I1350" t="str">
        <f t="shared" si="20"/>
        <v>Showrooms|DPOLE|Average</v>
      </c>
      <c r="J1350" t="s">
        <v>585</v>
      </c>
    </row>
    <row r="1351" spans="2:10">
      <c r="B1351" t="s">
        <v>586</v>
      </c>
      <c r="C1351" t="s">
        <v>587</v>
      </c>
      <c r="D1351" t="s">
        <v>248</v>
      </c>
      <c r="E1351" t="s">
        <v>323</v>
      </c>
      <c r="F1351" t="s">
        <v>313</v>
      </c>
      <c r="G1351" t="s">
        <v>226</v>
      </c>
      <c r="H1351">
        <v>83.5</v>
      </c>
      <c r="I1351" t="str">
        <f t="shared" si="20"/>
        <v>Showrooms|DPOLE|Low Cost</v>
      </c>
      <c r="J1351" t="s">
        <v>585</v>
      </c>
    </row>
    <row r="1352" spans="2:10">
      <c r="B1352" t="s">
        <v>586</v>
      </c>
      <c r="C1352" t="s">
        <v>587</v>
      </c>
      <c r="D1352" t="s">
        <v>248</v>
      </c>
      <c r="E1352" t="s">
        <v>323</v>
      </c>
      <c r="F1352" t="s">
        <v>219</v>
      </c>
      <c r="G1352" t="s">
        <v>229</v>
      </c>
      <c r="H1352">
        <v>187</v>
      </c>
      <c r="I1352" t="str">
        <f t="shared" si="20"/>
        <v>Showrooms|S|Good</v>
      </c>
      <c r="J1352" t="s">
        <v>585</v>
      </c>
    </row>
    <row r="1353" spans="2:10">
      <c r="B1353" t="s">
        <v>586</v>
      </c>
      <c r="C1353" t="s">
        <v>587</v>
      </c>
      <c r="D1353" t="s">
        <v>248</v>
      </c>
      <c r="E1353" t="s">
        <v>323</v>
      </c>
      <c r="F1353" t="s">
        <v>219</v>
      </c>
      <c r="G1353" t="s">
        <v>44</v>
      </c>
      <c r="H1353">
        <v>133</v>
      </c>
      <c r="I1353" t="str">
        <f t="shared" si="20"/>
        <v>Showrooms|S|Average</v>
      </c>
      <c r="J1353" t="s">
        <v>585</v>
      </c>
    </row>
    <row r="1354" spans="2:10">
      <c r="B1354" t="s">
        <v>586</v>
      </c>
      <c r="C1354" t="s">
        <v>587</v>
      </c>
      <c r="D1354" t="s">
        <v>248</v>
      </c>
      <c r="E1354" t="s">
        <v>323</v>
      </c>
      <c r="F1354" t="s">
        <v>219</v>
      </c>
      <c r="G1354" t="s">
        <v>226</v>
      </c>
      <c r="H1354">
        <v>89.5</v>
      </c>
      <c r="I1354" t="str">
        <f t="shared" si="20"/>
        <v>Showrooms|S|Low Cost</v>
      </c>
      <c r="J1354" t="s">
        <v>585</v>
      </c>
    </row>
    <row r="1355" spans="2:10">
      <c r="B1355" t="s">
        <v>588</v>
      </c>
      <c r="C1355" t="s">
        <v>589</v>
      </c>
      <c r="D1355" t="s">
        <v>248</v>
      </c>
      <c r="E1355" t="s">
        <v>329</v>
      </c>
      <c r="F1355" t="s">
        <v>270</v>
      </c>
      <c r="G1355" t="s">
        <v>44</v>
      </c>
      <c r="H1355">
        <v>122</v>
      </c>
      <c r="I1355" t="str">
        <f t="shared" si="20"/>
        <v>Service Garages (Commercial/Repair)|A-B|Average</v>
      </c>
      <c r="J1355" t="s">
        <v>590</v>
      </c>
    </row>
    <row r="1356" spans="2:10">
      <c r="B1356" t="s">
        <v>588</v>
      </c>
      <c r="C1356" t="s">
        <v>589</v>
      </c>
      <c r="D1356" t="s">
        <v>248</v>
      </c>
      <c r="E1356" t="s">
        <v>329</v>
      </c>
      <c r="F1356" t="s">
        <v>209</v>
      </c>
      <c r="G1356" t="s">
        <v>231</v>
      </c>
      <c r="H1356">
        <v>156</v>
      </c>
      <c r="I1356" t="str">
        <f t="shared" si="20"/>
        <v>Service Garages (Commercial/Repair)|C|Excellent</v>
      </c>
      <c r="J1356" t="s">
        <v>590</v>
      </c>
    </row>
    <row r="1357" spans="2:10">
      <c r="B1357" t="s">
        <v>588</v>
      </c>
      <c r="C1357" t="s">
        <v>589</v>
      </c>
      <c r="D1357" t="s">
        <v>248</v>
      </c>
      <c r="E1357" t="s">
        <v>329</v>
      </c>
      <c r="F1357" t="s">
        <v>209</v>
      </c>
      <c r="G1357" t="s">
        <v>229</v>
      </c>
      <c r="H1357">
        <v>109</v>
      </c>
      <c r="I1357" t="str">
        <f t="shared" si="20"/>
        <v>Service Garages (Commercial/Repair)|C|Good</v>
      </c>
      <c r="J1357" t="s">
        <v>590</v>
      </c>
    </row>
    <row r="1358" spans="2:10">
      <c r="B1358" t="s">
        <v>588</v>
      </c>
      <c r="C1358" t="s">
        <v>589</v>
      </c>
      <c r="D1358" t="s">
        <v>248</v>
      </c>
      <c r="E1358" t="s">
        <v>329</v>
      </c>
      <c r="F1358" t="s">
        <v>209</v>
      </c>
      <c r="G1358" t="s">
        <v>44</v>
      </c>
      <c r="H1358">
        <v>79.5</v>
      </c>
      <c r="I1358" t="str">
        <f t="shared" si="20"/>
        <v>Service Garages (Commercial/Repair)|C|Average</v>
      </c>
      <c r="J1358" t="s">
        <v>590</v>
      </c>
    </row>
    <row r="1359" spans="2:10">
      <c r="B1359" t="s">
        <v>588</v>
      </c>
      <c r="C1359" t="s">
        <v>589</v>
      </c>
      <c r="D1359" t="s">
        <v>248</v>
      </c>
      <c r="E1359" t="s">
        <v>329</v>
      </c>
      <c r="F1359" t="s">
        <v>209</v>
      </c>
      <c r="G1359" t="s">
        <v>226</v>
      </c>
      <c r="H1359">
        <v>57.5</v>
      </c>
      <c r="I1359" t="str">
        <f t="shared" si="20"/>
        <v>Service Garages (Commercial/Repair)|C|Low Cost</v>
      </c>
      <c r="J1359" t="s">
        <v>590</v>
      </c>
    </row>
    <row r="1360" spans="2:10">
      <c r="B1360" t="s">
        <v>588</v>
      </c>
      <c r="C1360" t="s">
        <v>589</v>
      </c>
      <c r="D1360" t="s">
        <v>248</v>
      </c>
      <c r="E1360" t="s">
        <v>329</v>
      </c>
      <c r="F1360" t="s">
        <v>214</v>
      </c>
      <c r="G1360" t="s">
        <v>229</v>
      </c>
      <c r="H1360">
        <v>96</v>
      </c>
      <c r="I1360" t="str">
        <f t="shared" si="20"/>
        <v>Service Garages (Commercial/Repair)|D|Good</v>
      </c>
      <c r="J1360" t="s">
        <v>590</v>
      </c>
    </row>
    <row r="1361" spans="2:10">
      <c r="B1361" t="s">
        <v>588</v>
      </c>
      <c r="C1361" t="s">
        <v>589</v>
      </c>
      <c r="D1361" t="s">
        <v>248</v>
      </c>
      <c r="E1361" t="s">
        <v>329</v>
      </c>
      <c r="F1361" t="s">
        <v>214</v>
      </c>
      <c r="G1361" t="s">
        <v>44</v>
      </c>
      <c r="H1361">
        <v>70.5</v>
      </c>
      <c r="I1361" t="str">
        <f t="shared" si="20"/>
        <v>Service Garages (Commercial/Repair)|D|Average</v>
      </c>
      <c r="J1361" t="s">
        <v>590</v>
      </c>
    </row>
    <row r="1362" spans="2:10">
      <c r="B1362" t="s">
        <v>588</v>
      </c>
      <c r="C1362" t="s">
        <v>589</v>
      </c>
      <c r="D1362" t="s">
        <v>248</v>
      </c>
      <c r="E1362" t="s">
        <v>329</v>
      </c>
      <c r="F1362" t="s">
        <v>214</v>
      </c>
      <c r="G1362" t="s">
        <v>226</v>
      </c>
      <c r="H1362">
        <v>52</v>
      </c>
      <c r="I1362" t="str">
        <f t="shared" si="20"/>
        <v>Service Garages (Commercial/Repair)|D|Low Cost</v>
      </c>
      <c r="J1362" t="s">
        <v>590</v>
      </c>
    </row>
    <row r="1363" spans="2:10">
      <c r="B1363" t="s">
        <v>588</v>
      </c>
      <c r="C1363" t="s">
        <v>589</v>
      </c>
      <c r="D1363" t="s">
        <v>248</v>
      </c>
      <c r="E1363" t="s">
        <v>329</v>
      </c>
      <c r="F1363" t="s">
        <v>313</v>
      </c>
      <c r="G1363" t="s">
        <v>44</v>
      </c>
      <c r="H1363">
        <v>62</v>
      </c>
      <c r="I1363" t="str">
        <f t="shared" si="20"/>
        <v>Service Garages (Commercial/Repair)|DPOLE|Average</v>
      </c>
      <c r="J1363" t="s">
        <v>590</v>
      </c>
    </row>
    <row r="1364" spans="2:10">
      <c r="B1364" t="s">
        <v>588</v>
      </c>
      <c r="C1364" t="s">
        <v>589</v>
      </c>
      <c r="D1364" t="s">
        <v>248</v>
      </c>
      <c r="E1364" t="s">
        <v>329</v>
      </c>
      <c r="F1364" t="s">
        <v>313</v>
      </c>
      <c r="G1364" t="s">
        <v>226</v>
      </c>
      <c r="H1364">
        <v>45.5</v>
      </c>
      <c r="I1364" t="str">
        <f t="shared" si="20"/>
        <v>Service Garages (Commercial/Repair)|DPOLE|Low Cost</v>
      </c>
      <c r="J1364" t="s">
        <v>590</v>
      </c>
    </row>
    <row r="1365" spans="2:10">
      <c r="B1365" t="s">
        <v>588</v>
      </c>
      <c r="C1365" t="s">
        <v>589</v>
      </c>
      <c r="D1365" t="s">
        <v>248</v>
      </c>
      <c r="E1365" t="s">
        <v>329</v>
      </c>
      <c r="F1365" t="s">
        <v>219</v>
      </c>
      <c r="G1365" t="s">
        <v>229</v>
      </c>
      <c r="H1365">
        <v>94.5</v>
      </c>
      <c r="I1365" t="str">
        <f t="shared" si="20"/>
        <v>Service Garages (Commercial/Repair)|S|Good</v>
      </c>
      <c r="J1365" t="s">
        <v>590</v>
      </c>
    </row>
    <row r="1366" spans="2:10">
      <c r="B1366" t="s">
        <v>588</v>
      </c>
      <c r="C1366" t="s">
        <v>589</v>
      </c>
      <c r="D1366" t="s">
        <v>248</v>
      </c>
      <c r="E1366" t="s">
        <v>329</v>
      </c>
      <c r="F1366" t="s">
        <v>219</v>
      </c>
      <c r="G1366" t="s">
        <v>44</v>
      </c>
      <c r="H1366">
        <v>68</v>
      </c>
      <c r="I1366" t="str">
        <f t="shared" si="20"/>
        <v>Service Garages (Commercial/Repair)|S|Average</v>
      </c>
      <c r="J1366" t="s">
        <v>590</v>
      </c>
    </row>
    <row r="1367" spans="2:10">
      <c r="B1367" t="s">
        <v>588</v>
      </c>
      <c r="C1367" t="s">
        <v>589</v>
      </c>
      <c r="D1367" t="s">
        <v>248</v>
      </c>
      <c r="E1367" t="s">
        <v>329</v>
      </c>
      <c r="F1367" t="s">
        <v>219</v>
      </c>
      <c r="G1367" t="s">
        <v>226</v>
      </c>
      <c r="H1367">
        <v>49.5</v>
      </c>
      <c r="I1367" t="str">
        <f t="shared" si="20"/>
        <v>Service Garages (Commercial/Repair)|S|Low Cost</v>
      </c>
      <c r="J1367" t="s">
        <v>590</v>
      </c>
    </row>
    <row r="1368" spans="2:10">
      <c r="B1368" t="s">
        <v>591</v>
      </c>
      <c r="C1368" t="s">
        <v>592</v>
      </c>
      <c r="D1368" t="s">
        <v>248</v>
      </c>
      <c r="E1368" t="s">
        <v>329</v>
      </c>
      <c r="F1368" t="s">
        <v>209</v>
      </c>
      <c r="G1368" t="s">
        <v>229</v>
      </c>
      <c r="H1368">
        <v>49.5</v>
      </c>
      <c r="I1368" t="str">
        <f t="shared" si="20"/>
        <v>Service Garage Sheds|C|Good</v>
      </c>
      <c r="J1368" t="s">
        <v>590</v>
      </c>
    </row>
    <row r="1369" spans="2:10">
      <c r="B1369" t="s">
        <v>591</v>
      </c>
      <c r="C1369" t="s">
        <v>592</v>
      </c>
      <c r="D1369" t="s">
        <v>248</v>
      </c>
      <c r="E1369" t="s">
        <v>329</v>
      </c>
      <c r="F1369" t="s">
        <v>209</v>
      </c>
      <c r="G1369" t="s">
        <v>44</v>
      </c>
      <c r="H1369">
        <v>35</v>
      </c>
      <c r="I1369" t="str">
        <f t="shared" si="20"/>
        <v>Service Garage Sheds|C|Average</v>
      </c>
      <c r="J1369" t="s">
        <v>590</v>
      </c>
    </row>
    <row r="1370" spans="2:10">
      <c r="B1370" t="s">
        <v>591</v>
      </c>
      <c r="C1370" t="s">
        <v>592</v>
      </c>
      <c r="D1370" t="s">
        <v>248</v>
      </c>
      <c r="E1370" t="s">
        <v>329</v>
      </c>
      <c r="F1370" t="s">
        <v>209</v>
      </c>
      <c r="G1370" t="s">
        <v>226</v>
      </c>
      <c r="H1370">
        <v>26.5</v>
      </c>
      <c r="I1370" t="str">
        <f t="shared" si="20"/>
        <v>Service Garage Sheds|C|Low Cost</v>
      </c>
      <c r="J1370" t="s">
        <v>590</v>
      </c>
    </row>
    <row r="1371" spans="2:10">
      <c r="B1371" t="s">
        <v>591</v>
      </c>
      <c r="C1371" t="s">
        <v>592</v>
      </c>
      <c r="D1371" t="s">
        <v>248</v>
      </c>
      <c r="E1371" t="s">
        <v>329</v>
      </c>
      <c r="F1371" t="s">
        <v>313</v>
      </c>
      <c r="G1371" t="s">
        <v>229</v>
      </c>
      <c r="H1371">
        <v>39.75</v>
      </c>
      <c r="I1371" t="str">
        <f t="shared" si="20"/>
        <v>Service Garage Sheds|DPOLE|Good</v>
      </c>
      <c r="J1371" t="s">
        <v>590</v>
      </c>
    </row>
    <row r="1372" spans="2:10">
      <c r="B1372" t="s">
        <v>591</v>
      </c>
      <c r="C1372" t="s">
        <v>592</v>
      </c>
      <c r="D1372" t="s">
        <v>248</v>
      </c>
      <c r="E1372" t="s">
        <v>329</v>
      </c>
      <c r="F1372" t="s">
        <v>313</v>
      </c>
      <c r="G1372" t="s">
        <v>44</v>
      </c>
      <c r="H1372">
        <v>28.25</v>
      </c>
      <c r="I1372" t="str">
        <f t="shared" si="20"/>
        <v>Service Garage Sheds|DPOLE|Average</v>
      </c>
      <c r="J1372" t="s">
        <v>590</v>
      </c>
    </row>
    <row r="1373" spans="2:10">
      <c r="B1373" t="s">
        <v>591</v>
      </c>
      <c r="C1373" t="s">
        <v>592</v>
      </c>
      <c r="D1373" t="s">
        <v>248</v>
      </c>
      <c r="E1373" t="s">
        <v>329</v>
      </c>
      <c r="F1373" t="s">
        <v>313</v>
      </c>
      <c r="G1373" t="s">
        <v>226</v>
      </c>
      <c r="H1373">
        <v>21.7</v>
      </c>
      <c r="I1373" t="str">
        <f t="shared" si="20"/>
        <v>Service Garage Sheds|DPOLE|Low Cost</v>
      </c>
      <c r="J1373" t="s">
        <v>590</v>
      </c>
    </row>
    <row r="1374" spans="2:10">
      <c r="B1374" t="s">
        <v>591</v>
      </c>
      <c r="C1374" t="s">
        <v>592</v>
      </c>
      <c r="D1374" t="s">
        <v>248</v>
      </c>
      <c r="E1374" t="s">
        <v>329</v>
      </c>
      <c r="F1374" t="s">
        <v>219</v>
      </c>
      <c r="G1374" t="s">
        <v>229</v>
      </c>
      <c r="H1374">
        <v>43.75</v>
      </c>
      <c r="I1374" t="str">
        <f t="shared" ref="I1374:I1437" si="21">B1374&amp;"|"&amp;F1374&amp;"|"&amp;G1374</f>
        <v>Service Garage Sheds|S|Good</v>
      </c>
      <c r="J1374" t="s">
        <v>590</v>
      </c>
    </row>
    <row r="1375" spans="2:10">
      <c r="B1375" t="s">
        <v>591</v>
      </c>
      <c r="C1375" t="s">
        <v>592</v>
      </c>
      <c r="D1375" t="s">
        <v>248</v>
      </c>
      <c r="E1375" t="s">
        <v>329</v>
      </c>
      <c r="F1375" t="s">
        <v>219</v>
      </c>
      <c r="G1375" t="s">
        <v>44</v>
      </c>
      <c r="H1375">
        <v>31.25</v>
      </c>
      <c r="I1375" t="str">
        <f t="shared" si="21"/>
        <v>Service Garage Sheds|S|Average</v>
      </c>
      <c r="J1375" t="s">
        <v>590</v>
      </c>
    </row>
    <row r="1376" spans="2:10">
      <c r="B1376" t="s">
        <v>591</v>
      </c>
      <c r="C1376" t="s">
        <v>592</v>
      </c>
      <c r="D1376" t="s">
        <v>248</v>
      </c>
      <c r="E1376" t="s">
        <v>329</v>
      </c>
      <c r="F1376" t="s">
        <v>219</v>
      </c>
      <c r="G1376" t="s">
        <v>226</v>
      </c>
      <c r="H1376">
        <v>23.9</v>
      </c>
      <c r="I1376" t="str">
        <f t="shared" si="21"/>
        <v>Service Garage Sheds|S|Low Cost</v>
      </c>
      <c r="J1376" t="s">
        <v>590</v>
      </c>
    </row>
    <row r="1377" spans="2:10">
      <c r="B1377" t="s">
        <v>593</v>
      </c>
      <c r="C1377" t="s">
        <v>594</v>
      </c>
      <c r="D1377" t="s">
        <v>248</v>
      </c>
      <c r="E1377" t="s">
        <v>333</v>
      </c>
      <c r="F1377" t="s">
        <v>209</v>
      </c>
      <c r="G1377" t="s">
        <v>231</v>
      </c>
      <c r="H1377">
        <v>242</v>
      </c>
      <c r="I1377" t="str">
        <f t="shared" si="21"/>
        <v>Municipal Service Garages|C|Excellent</v>
      </c>
      <c r="J1377" t="s">
        <v>595</v>
      </c>
    </row>
    <row r="1378" spans="2:10">
      <c r="B1378" t="s">
        <v>593</v>
      </c>
      <c r="C1378" t="s">
        <v>594</v>
      </c>
      <c r="D1378" t="s">
        <v>248</v>
      </c>
      <c r="E1378" t="s">
        <v>333</v>
      </c>
      <c r="F1378" t="s">
        <v>209</v>
      </c>
      <c r="G1378" t="s">
        <v>229</v>
      </c>
      <c r="H1378">
        <v>173</v>
      </c>
      <c r="I1378" t="str">
        <f t="shared" si="21"/>
        <v>Municipal Service Garages|C|Good</v>
      </c>
      <c r="J1378" t="s">
        <v>595</v>
      </c>
    </row>
    <row r="1379" spans="2:10">
      <c r="B1379" t="s">
        <v>593</v>
      </c>
      <c r="C1379" t="s">
        <v>594</v>
      </c>
      <c r="D1379" t="s">
        <v>248</v>
      </c>
      <c r="E1379" t="s">
        <v>333</v>
      </c>
      <c r="F1379" t="s">
        <v>209</v>
      </c>
      <c r="G1379" t="s">
        <v>44</v>
      </c>
      <c r="H1379">
        <v>118</v>
      </c>
      <c r="I1379" t="str">
        <f t="shared" si="21"/>
        <v>Municipal Service Garages|C|Average</v>
      </c>
      <c r="J1379" t="s">
        <v>595</v>
      </c>
    </row>
    <row r="1380" spans="2:10">
      <c r="B1380" t="s">
        <v>593</v>
      </c>
      <c r="C1380" t="s">
        <v>594</v>
      </c>
      <c r="D1380" t="s">
        <v>248</v>
      </c>
      <c r="E1380" t="s">
        <v>333</v>
      </c>
      <c r="F1380" t="s">
        <v>214</v>
      </c>
      <c r="G1380" t="s">
        <v>44</v>
      </c>
      <c r="H1380">
        <v>105</v>
      </c>
      <c r="I1380" t="str">
        <f t="shared" si="21"/>
        <v>Municipal Service Garages|D|Average</v>
      </c>
      <c r="J1380" t="s">
        <v>595</v>
      </c>
    </row>
    <row r="1381" spans="2:10">
      <c r="B1381" t="s">
        <v>593</v>
      </c>
      <c r="C1381" t="s">
        <v>594</v>
      </c>
      <c r="D1381" t="s">
        <v>248</v>
      </c>
      <c r="E1381" t="s">
        <v>333</v>
      </c>
      <c r="F1381" t="s">
        <v>219</v>
      </c>
      <c r="G1381" t="s">
        <v>231</v>
      </c>
      <c r="H1381">
        <v>212</v>
      </c>
      <c r="I1381" t="str">
        <f t="shared" si="21"/>
        <v>Municipal Service Garages|S|Excellent</v>
      </c>
      <c r="J1381" t="s">
        <v>595</v>
      </c>
    </row>
    <row r="1382" spans="2:10">
      <c r="B1382" t="s">
        <v>593</v>
      </c>
      <c r="C1382" t="s">
        <v>594</v>
      </c>
      <c r="D1382" t="s">
        <v>248</v>
      </c>
      <c r="E1382" t="s">
        <v>333</v>
      </c>
      <c r="F1382" t="s">
        <v>219</v>
      </c>
      <c r="G1382" t="s">
        <v>229</v>
      </c>
      <c r="H1382">
        <v>153</v>
      </c>
      <c r="I1382" t="str">
        <f t="shared" si="21"/>
        <v>Municipal Service Garages|S|Good</v>
      </c>
      <c r="J1382" t="s">
        <v>595</v>
      </c>
    </row>
    <row r="1383" spans="2:10">
      <c r="B1383" t="s">
        <v>593</v>
      </c>
      <c r="C1383" t="s">
        <v>594</v>
      </c>
      <c r="D1383" t="s">
        <v>248</v>
      </c>
      <c r="E1383" t="s">
        <v>333</v>
      </c>
      <c r="F1383" t="s">
        <v>219</v>
      </c>
      <c r="G1383" t="s">
        <v>44</v>
      </c>
      <c r="H1383">
        <v>106</v>
      </c>
      <c r="I1383" t="str">
        <f t="shared" si="21"/>
        <v>Municipal Service Garages|S|Average</v>
      </c>
      <c r="J1383" t="s">
        <v>595</v>
      </c>
    </row>
    <row r="1384" spans="2:10">
      <c r="B1384" t="s">
        <v>596</v>
      </c>
      <c r="C1384" t="s">
        <v>597</v>
      </c>
      <c r="D1384" t="s">
        <v>248</v>
      </c>
      <c r="E1384" t="s">
        <v>333</v>
      </c>
      <c r="F1384" t="s">
        <v>209</v>
      </c>
      <c r="G1384" t="s">
        <v>231</v>
      </c>
      <c r="H1384">
        <v>235</v>
      </c>
      <c r="I1384" t="str">
        <f t="shared" si="21"/>
        <v>Mini-Lube Garages|C|Excellent</v>
      </c>
      <c r="J1384" t="s">
        <v>595</v>
      </c>
    </row>
    <row r="1385" spans="2:10">
      <c r="B1385" t="s">
        <v>596</v>
      </c>
      <c r="C1385" t="s">
        <v>597</v>
      </c>
      <c r="D1385" t="s">
        <v>248</v>
      </c>
      <c r="E1385" t="s">
        <v>333</v>
      </c>
      <c r="F1385" t="s">
        <v>209</v>
      </c>
      <c r="G1385" t="s">
        <v>229</v>
      </c>
      <c r="H1385">
        <v>181</v>
      </c>
      <c r="I1385" t="str">
        <f t="shared" si="21"/>
        <v>Mini-Lube Garages|C|Good</v>
      </c>
      <c r="J1385" t="s">
        <v>595</v>
      </c>
    </row>
    <row r="1386" spans="2:10">
      <c r="B1386" t="s">
        <v>596</v>
      </c>
      <c r="C1386" t="s">
        <v>597</v>
      </c>
      <c r="D1386" t="s">
        <v>248</v>
      </c>
      <c r="E1386" t="s">
        <v>333</v>
      </c>
      <c r="F1386" t="s">
        <v>209</v>
      </c>
      <c r="G1386" t="s">
        <v>44</v>
      </c>
      <c r="H1386">
        <v>140</v>
      </c>
      <c r="I1386" t="str">
        <f t="shared" si="21"/>
        <v>Mini-Lube Garages|C|Average</v>
      </c>
      <c r="J1386" t="s">
        <v>595</v>
      </c>
    </row>
    <row r="1387" spans="2:10">
      <c r="B1387" t="s">
        <v>596</v>
      </c>
      <c r="C1387" t="s">
        <v>597</v>
      </c>
      <c r="D1387" t="s">
        <v>248</v>
      </c>
      <c r="E1387" t="s">
        <v>333</v>
      </c>
      <c r="F1387" t="s">
        <v>209</v>
      </c>
      <c r="G1387" t="s">
        <v>226</v>
      </c>
      <c r="H1387">
        <v>111</v>
      </c>
      <c r="I1387" t="str">
        <f t="shared" si="21"/>
        <v>Mini-Lube Garages|C|Low Cost</v>
      </c>
      <c r="J1387" t="s">
        <v>595</v>
      </c>
    </row>
    <row r="1388" spans="2:10">
      <c r="B1388" t="s">
        <v>596</v>
      </c>
      <c r="C1388" t="s">
        <v>597</v>
      </c>
      <c r="D1388" t="s">
        <v>248</v>
      </c>
      <c r="E1388" t="s">
        <v>333</v>
      </c>
      <c r="F1388" t="s">
        <v>214</v>
      </c>
      <c r="G1388" t="s">
        <v>231</v>
      </c>
      <c r="H1388">
        <v>226</v>
      </c>
      <c r="I1388" t="str">
        <f t="shared" si="21"/>
        <v>Mini-Lube Garages|D|Excellent</v>
      </c>
      <c r="J1388" t="s">
        <v>595</v>
      </c>
    </row>
    <row r="1389" spans="2:10">
      <c r="B1389" t="s">
        <v>596</v>
      </c>
      <c r="C1389" t="s">
        <v>597</v>
      </c>
      <c r="D1389" t="s">
        <v>248</v>
      </c>
      <c r="E1389" t="s">
        <v>333</v>
      </c>
      <c r="F1389" t="s">
        <v>214</v>
      </c>
      <c r="G1389" t="s">
        <v>229</v>
      </c>
      <c r="H1389">
        <v>173</v>
      </c>
      <c r="I1389" t="str">
        <f t="shared" si="21"/>
        <v>Mini-Lube Garages|D|Good</v>
      </c>
      <c r="J1389" t="s">
        <v>595</v>
      </c>
    </row>
    <row r="1390" spans="2:10">
      <c r="B1390" t="s">
        <v>596</v>
      </c>
      <c r="C1390" t="s">
        <v>597</v>
      </c>
      <c r="D1390" t="s">
        <v>248</v>
      </c>
      <c r="E1390" t="s">
        <v>333</v>
      </c>
      <c r="F1390" t="s">
        <v>214</v>
      </c>
      <c r="G1390" t="s">
        <v>44</v>
      </c>
      <c r="H1390">
        <v>133</v>
      </c>
      <c r="I1390" t="str">
        <f t="shared" si="21"/>
        <v>Mini-Lube Garages|D|Average</v>
      </c>
      <c r="J1390" t="s">
        <v>595</v>
      </c>
    </row>
    <row r="1391" spans="2:10">
      <c r="B1391" t="s">
        <v>596</v>
      </c>
      <c r="C1391" t="s">
        <v>597</v>
      </c>
      <c r="D1391" t="s">
        <v>248</v>
      </c>
      <c r="E1391" t="s">
        <v>333</v>
      </c>
      <c r="F1391" t="s">
        <v>214</v>
      </c>
      <c r="G1391" t="s">
        <v>226</v>
      </c>
      <c r="H1391">
        <v>104</v>
      </c>
      <c r="I1391" t="str">
        <f t="shared" si="21"/>
        <v>Mini-Lube Garages|D|Low Cost</v>
      </c>
      <c r="J1391" t="s">
        <v>595</v>
      </c>
    </row>
    <row r="1392" spans="2:10">
      <c r="B1392" t="s">
        <v>596</v>
      </c>
      <c r="C1392" t="s">
        <v>597</v>
      </c>
      <c r="D1392" t="s">
        <v>248</v>
      </c>
      <c r="E1392" t="s">
        <v>333</v>
      </c>
      <c r="F1392" t="s">
        <v>219</v>
      </c>
      <c r="G1392" t="s">
        <v>44</v>
      </c>
      <c r="H1392">
        <v>133</v>
      </c>
      <c r="I1392" t="str">
        <f t="shared" si="21"/>
        <v>Mini-Lube Garages|S|Average</v>
      </c>
      <c r="J1392" t="s">
        <v>595</v>
      </c>
    </row>
    <row r="1393" spans="2:10">
      <c r="B1393" t="s">
        <v>596</v>
      </c>
      <c r="C1393" t="s">
        <v>597</v>
      </c>
      <c r="D1393" t="s">
        <v>248</v>
      </c>
      <c r="E1393" t="s">
        <v>333</v>
      </c>
      <c r="F1393" t="s">
        <v>219</v>
      </c>
      <c r="G1393" t="s">
        <v>226</v>
      </c>
      <c r="H1393">
        <v>105</v>
      </c>
      <c r="I1393" t="str">
        <f t="shared" si="21"/>
        <v>Mini-Lube Garages|S|Low Cost</v>
      </c>
      <c r="J1393" t="s">
        <v>595</v>
      </c>
    </row>
    <row r="1394" spans="2:10">
      <c r="B1394" t="s">
        <v>596</v>
      </c>
      <c r="C1394" t="s">
        <v>597</v>
      </c>
      <c r="D1394" t="s">
        <v>248</v>
      </c>
      <c r="E1394" t="s">
        <v>333</v>
      </c>
      <c r="F1394" t="s">
        <v>551</v>
      </c>
      <c r="G1394" t="s">
        <v>44</v>
      </c>
      <c r="H1394">
        <v>59.5</v>
      </c>
      <c r="I1394" t="str">
        <f t="shared" si="21"/>
        <v>Mini-Lube Garages|CDS|Average</v>
      </c>
      <c r="J1394" t="s">
        <v>595</v>
      </c>
    </row>
    <row r="1395" spans="2:10">
      <c r="B1395" t="s">
        <v>598</v>
      </c>
      <c r="C1395" t="s">
        <v>599</v>
      </c>
      <c r="D1395" t="s">
        <v>248</v>
      </c>
      <c r="E1395" t="s">
        <v>407</v>
      </c>
      <c r="F1395" t="s">
        <v>202</v>
      </c>
      <c r="G1395" t="s">
        <v>229</v>
      </c>
      <c r="H1395">
        <v>110</v>
      </c>
      <c r="I1395" t="str">
        <f t="shared" si="21"/>
        <v>Parking (Parkade) Structures|A|Good</v>
      </c>
      <c r="J1395" t="s">
        <v>600</v>
      </c>
    </row>
    <row r="1396" spans="2:10">
      <c r="B1396" t="s">
        <v>598</v>
      </c>
      <c r="C1396" t="s">
        <v>599</v>
      </c>
      <c r="D1396" t="s">
        <v>248</v>
      </c>
      <c r="E1396" t="s">
        <v>407</v>
      </c>
      <c r="F1396" t="s">
        <v>202</v>
      </c>
      <c r="G1396" t="s">
        <v>44</v>
      </c>
      <c r="H1396">
        <v>84</v>
      </c>
      <c r="I1396" t="str">
        <f t="shared" si="21"/>
        <v>Parking (Parkade) Structures|A|Average</v>
      </c>
      <c r="J1396" t="s">
        <v>600</v>
      </c>
    </row>
    <row r="1397" spans="2:10">
      <c r="B1397" t="s">
        <v>598</v>
      </c>
      <c r="C1397" t="s">
        <v>599</v>
      </c>
      <c r="D1397" t="s">
        <v>248</v>
      </c>
      <c r="E1397" t="s">
        <v>407</v>
      </c>
      <c r="F1397" t="s">
        <v>207</v>
      </c>
      <c r="G1397" t="s">
        <v>229</v>
      </c>
      <c r="H1397">
        <v>96.5</v>
      </c>
      <c r="I1397" t="str">
        <f t="shared" si="21"/>
        <v>Parking (Parkade) Structures|B|Good</v>
      </c>
      <c r="J1397" t="s">
        <v>600</v>
      </c>
    </row>
    <row r="1398" spans="2:10">
      <c r="B1398" t="s">
        <v>598</v>
      </c>
      <c r="C1398" t="s">
        <v>599</v>
      </c>
      <c r="D1398" t="s">
        <v>248</v>
      </c>
      <c r="E1398" t="s">
        <v>407</v>
      </c>
      <c r="F1398" t="s">
        <v>207</v>
      </c>
      <c r="G1398" t="s">
        <v>44</v>
      </c>
      <c r="H1398">
        <v>75</v>
      </c>
      <c r="I1398" t="str">
        <f t="shared" si="21"/>
        <v>Parking (Parkade) Structures|B|Average</v>
      </c>
      <c r="J1398" t="s">
        <v>600</v>
      </c>
    </row>
    <row r="1399" spans="2:10">
      <c r="B1399" t="s">
        <v>598</v>
      </c>
      <c r="C1399" t="s">
        <v>599</v>
      </c>
      <c r="D1399" t="s">
        <v>248</v>
      </c>
      <c r="E1399" t="s">
        <v>407</v>
      </c>
      <c r="F1399" t="s">
        <v>207</v>
      </c>
      <c r="G1399" t="s">
        <v>226</v>
      </c>
      <c r="H1399">
        <v>58.5</v>
      </c>
      <c r="I1399" t="str">
        <f t="shared" si="21"/>
        <v>Parking (Parkade) Structures|B|Low Cost</v>
      </c>
      <c r="J1399" t="s">
        <v>600</v>
      </c>
    </row>
    <row r="1400" spans="2:10">
      <c r="B1400" t="s">
        <v>598</v>
      </c>
      <c r="C1400" t="s">
        <v>599</v>
      </c>
      <c r="D1400" t="s">
        <v>248</v>
      </c>
      <c r="E1400" t="s">
        <v>407</v>
      </c>
      <c r="F1400" t="s">
        <v>219</v>
      </c>
      <c r="G1400" t="s">
        <v>226</v>
      </c>
      <c r="H1400">
        <v>56</v>
      </c>
      <c r="I1400" t="str">
        <f t="shared" si="21"/>
        <v>Parking (Parkade) Structures|S|Low Cost</v>
      </c>
      <c r="J1400" t="s">
        <v>600</v>
      </c>
    </row>
    <row r="1401" spans="2:10">
      <c r="B1401" t="s">
        <v>598</v>
      </c>
      <c r="C1401" t="s">
        <v>599</v>
      </c>
      <c r="D1401" t="s">
        <v>248</v>
      </c>
      <c r="E1401" t="s">
        <v>407</v>
      </c>
      <c r="F1401" t="s">
        <v>219</v>
      </c>
      <c r="G1401" t="s">
        <v>314</v>
      </c>
      <c r="H1401">
        <v>43.75</v>
      </c>
      <c r="I1401" t="str">
        <f t="shared" si="21"/>
        <v>Parking (Parkade) Structures|S|Cheap</v>
      </c>
      <c r="J1401" t="s">
        <v>600</v>
      </c>
    </row>
    <row r="1402" spans="2:10">
      <c r="B1402" t="s">
        <v>601</v>
      </c>
      <c r="C1402" t="s">
        <v>602</v>
      </c>
      <c r="D1402" t="s">
        <v>248</v>
      </c>
      <c r="E1402" t="s">
        <v>407</v>
      </c>
      <c r="F1402" t="s">
        <v>270</v>
      </c>
      <c r="G1402" t="s">
        <v>44</v>
      </c>
      <c r="H1402">
        <v>109</v>
      </c>
      <c r="I1402" t="str">
        <f t="shared" si="21"/>
        <v>Storage Garages|A-B|Average</v>
      </c>
      <c r="J1402" t="s">
        <v>600</v>
      </c>
    </row>
    <row r="1403" spans="2:10">
      <c r="B1403" t="s">
        <v>601</v>
      </c>
      <c r="C1403" t="s">
        <v>602</v>
      </c>
      <c r="D1403" t="s">
        <v>248</v>
      </c>
      <c r="E1403" t="s">
        <v>407</v>
      </c>
      <c r="F1403" t="s">
        <v>209</v>
      </c>
      <c r="G1403" t="s">
        <v>44</v>
      </c>
      <c r="H1403">
        <v>79</v>
      </c>
      <c r="I1403" t="str">
        <f t="shared" si="21"/>
        <v>Storage Garages|C|Average</v>
      </c>
      <c r="J1403" t="s">
        <v>600</v>
      </c>
    </row>
    <row r="1404" spans="2:10">
      <c r="B1404" t="s">
        <v>601</v>
      </c>
      <c r="C1404" t="s">
        <v>602</v>
      </c>
      <c r="D1404" t="s">
        <v>248</v>
      </c>
      <c r="E1404" t="s">
        <v>407</v>
      </c>
      <c r="F1404" t="s">
        <v>266</v>
      </c>
      <c r="G1404" t="s">
        <v>44</v>
      </c>
      <c r="H1404">
        <v>93.5</v>
      </c>
      <c r="I1404" t="str">
        <f t="shared" si="21"/>
        <v>Storage Garages|CMILL|Average</v>
      </c>
      <c r="J1404" t="s">
        <v>600</v>
      </c>
    </row>
    <row r="1405" spans="2:10">
      <c r="B1405" t="s">
        <v>601</v>
      </c>
      <c r="C1405" t="s">
        <v>602</v>
      </c>
      <c r="D1405" t="s">
        <v>248</v>
      </c>
      <c r="E1405" t="s">
        <v>407</v>
      </c>
      <c r="F1405" t="s">
        <v>214</v>
      </c>
      <c r="G1405" t="s">
        <v>44</v>
      </c>
      <c r="H1405">
        <v>71.5</v>
      </c>
      <c r="I1405" t="str">
        <f t="shared" si="21"/>
        <v>Storage Garages|D|Average</v>
      </c>
      <c r="J1405" t="s">
        <v>600</v>
      </c>
    </row>
    <row r="1406" spans="2:10">
      <c r="B1406" t="s">
        <v>601</v>
      </c>
      <c r="C1406" t="s">
        <v>602</v>
      </c>
      <c r="D1406" t="s">
        <v>248</v>
      </c>
      <c r="E1406" t="s">
        <v>407</v>
      </c>
      <c r="F1406" t="s">
        <v>219</v>
      </c>
      <c r="G1406" t="s">
        <v>44</v>
      </c>
      <c r="H1406">
        <v>69.5</v>
      </c>
      <c r="I1406" t="str">
        <f t="shared" si="21"/>
        <v>Storage Garages|S|Average</v>
      </c>
      <c r="J1406" t="s">
        <v>600</v>
      </c>
    </row>
    <row r="1407" spans="2:10">
      <c r="B1407" t="s">
        <v>603</v>
      </c>
      <c r="C1407" t="s">
        <v>604</v>
      </c>
      <c r="D1407" t="s">
        <v>248</v>
      </c>
      <c r="E1407" t="s">
        <v>501</v>
      </c>
      <c r="F1407" t="s">
        <v>209</v>
      </c>
      <c r="G1407" t="s">
        <v>229</v>
      </c>
      <c r="H1407">
        <v>71</v>
      </c>
      <c r="I1407" t="str">
        <f t="shared" si="21"/>
        <v>Light Industrial/Warehouse Shell Buildings|C|Good</v>
      </c>
      <c r="J1407" t="s">
        <v>605</v>
      </c>
    </row>
    <row r="1408" spans="2:10">
      <c r="B1408" t="s">
        <v>603</v>
      </c>
      <c r="C1408" t="s">
        <v>604</v>
      </c>
      <c r="D1408" t="s">
        <v>248</v>
      </c>
      <c r="E1408" t="s">
        <v>501</v>
      </c>
      <c r="F1408" t="s">
        <v>209</v>
      </c>
      <c r="G1408" t="s">
        <v>44</v>
      </c>
      <c r="H1408">
        <v>51</v>
      </c>
      <c r="I1408" t="str">
        <f t="shared" si="21"/>
        <v>Light Industrial/Warehouse Shell Buildings|C|Average</v>
      </c>
      <c r="J1408" t="s">
        <v>605</v>
      </c>
    </row>
    <row r="1409" spans="2:10">
      <c r="B1409" t="s">
        <v>603</v>
      </c>
      <c r="C1409" t="s">
        <v>604</v>
      </c>
      <c r="D1409" t="s">
        <v>248</v>
      </c>
      <c r="E1409" t="s">
        <v>501</v>
      </c>
      <c r="F1409" t="s">
        <v>209</v>
      </c>
      <c r="G1409" t="s">
        <v>226</v>
      </c>
      <c r="H1409">
        <v>36.75</v>
      </c>
      <c r="I1409" t="str">
        <f t="shared" si="21"/>
        <v>Light Industrial/Warehouse Shell Buildings|C|Low Cost</v>
      </c>
      <c r="J1409" t="s">
        <v>605</v>
      </c>
    </row>
    <row r="1410" spans="2:10">
      <c r="B1410" t="s">
        <v>603</v>
      </c>
      <c r="C1410" t="s">
        <v>604</v>
      </c>
      <c r="D1410" t="s">
        <v>248</v>
      </c>
      <c r="E1410" t="s">
        <v>501</v>
      </c>
      <c r="F1410" t="s">
        <v>209</v>
      </c>
      <c r="G1410" t="s">
        <v>314</v>
      </c>
      <c r="H1410">
        <v>29.75</v>
      </c>
      <c r="I1410" t="str">
        <f t="shared" si="21"/>
        <v>Light Industrial/Warehouse Shell Buildings|C|Cheap</v>
      </c>
      <c r="J1410" t="s">
        <v>605</v>
      </c>
    </row>
    <row r="1411" spans="2:10">
      <c r="B1411" t="s">
        <v>603</v>
      </c>
      <c r="C1411" t="s">
        <v>604</v>
      </c>
      <c r="D1411" t="s">
        <v>248</v>
      </c>
      <c r="E1411" t="s">
        <v>501</v>
      </c>
      <c r="F1411" t="s">
        <v>214</v>
      </c>
      <c r="G1411" t="s">
        <v>229</v>
      </c>
      <c r="H1411">
        <v>65.5</v>
      </c>
      <c r="I1411" t="str">
        <f t="shared" si="21"/>
        <v>Light Industrial/Warehouse Shell Buildings|D|Good</v>
      </c>
      <c r="J1411" t="s">
        <v>605</v>
      </c>
    </row>
    <row r="1412" spans="2:10">
      <c r="B1412" t="s">
        <v>603</v>
      </c>
      <c r="C1412" t="s">
        <v>604</v>
      </c>
      <c r="D1412" t="s">
        <v>248</v>
      </c>
      <c r="E1412" t="s">
        <v>501</v>
      </c>
      <c r="F1412" t="s">
        <v>214</v>
      </c>
      <c r="G1412" t="s">
        <v>44</v>
      </c>
      <c r="H1412">
        <v>46.75</v>
      </c>
      <c r="I1412" t="str">
        <f t="shared" si="21"/>
        <v>Light Industrial/Warehouse Shell Buildings|D|Average</v>
      </c>
      <c r="J1412" t="s">
        <v>605</v>
      </c>
    </row>
    <row r="1413" spans="2:10">
      <c r="B1413" t="s">
        <v>603</v>
      </c>
      <c r="C1413" t="s">
        <v>604</v>
      </c>
      <c r="D1413" t="s">
        <v>248</v>
      </c>
      <c r="E1413" t="s">
        <v>501</v>
      </c>
      <c r="F1413" t="s">
        <v>313</v>
      </c>
      <c r="G1413" t="s">
        <v>44</v>
      </c>
      <c r="H1413">
        <v>38.75</v>
      </c>
      <c r="I1413" t="str">
        <f t="shared" si="21"/>
        <v>Light Industrial/Warehouse Shell Buildings|DPOLE|Average</v>
      </c>
      <c r="J1413" t="s">
        <v>605</v>
      </c>
    </row>
    <row r="1414" spans="2:10">
      <c r="B1414" t="s">
        <v>603</v>
      </c>
      <c r="C1414" t="s">
        <v>604</v>
      </c>
      <c r="D1414" t="s">
        <v>248</v>
      </c>
      <c r="E1414" t="s">
        <v>501</v>
      </c>
      <c r="F1414" t="s">
        <v>313</v>
      </c>
      <c r="G1414" t="s">
        <v>226</v>
      </c>
      <c r="H1414">
        <v>27.75</v>
      </c>
      <c r="I1414" t="str">
        <f t="shared" si="21"/>
        <v>Light Industrial/Warehouse Shell Buildings|DPOLE|Low Cost</v>
      </c>
      <c r="J1414" t="s">
        <v>605</v>
      </c>
    </row>
    <row r="1415" spans="2:10">
      <c r="B1415" t="s">
        <v>603</v>
      </c>
      <c r="C1415" t="s">
        <v>604</v>
      </c>
      <c r="D1415" t="s">
        <v>248</v>
      </c>
      <c r="E1415" t="s">
        <v>501</v>
      </c>
      <c r="F1415" t="s">
        <v>313</v>
      </c>
      <c r="G1415" t="s">
        <v>314</v>
      </c>
      <c r="H1415">
        <v>21.55</v>
      </c>
      <c r="I1415" t="str">
        <f t="shared" si="21"/>
        <v>Light Industrial/Warehouse Shell Buildings|DPOLE|Cheap</v>
      </c>
      <c r="J1415" t="s">
        <v>605</v>
      </c>
    </row>
    <row r="1416" spans="2:10">
      <c r="B1416" t="s">
        <v>603</v>
      </c>
      <c r="C1416" t="s">
        <v>604</v>
      </c>
      <c r="D1416" t="s">
        <v>248</v>
      </c>
      <c r="E1416" t="s">
        <v>501</v>
      </c>
      <c r="F1416" t="s">
        <v>219</v>
      </c>
      <c r="G1416" t="s">
        <v>229</v>
      </c>
      <c r="H1416">
        <v>64.5</v>
      </c>
      <c r="I1416" t="str">
        <f t="shared" si="21"/>
        <v>Light Industrial/Warehouse Shell Buildings|S|Good</v>
      </c>
      <c r="J1416" t="s">
        <v>605</v>
      </c>
    </row>
    <row r="1417" spans="2:10">
      <c r="B1417" t="s">
        <v>603</v>
      </c>
      <c r="C1417" t="s">
        <v>604</v>
      </c>
      <c r="D1417" t="s">
        <v>248</v>
      </c>
      <c r="E1417" t="s">
        <v>501</v>
      </c>
      <c r="F1417" t="s">
        <v>219</v>
      </c>
      <c r="G1417" t="s">
        <v>44</v>
      </c>
      <c r="H1417">
        <v>45.75</v>
      </c>
      <c r="I1417" t="str">
        <f t="shared" si="21"/>
        <v>Light Industrial/Warehouse Shell Buildings|S|Average</v>
      </c>
      <c r="J1417" t="s">
        <v>605</v>
      </c>
    </row>
    <row r="1418" spans="2:10">
      <c r="B1418" t="s">
        <v>603</v>
      </c>
      <c r="C1418" t="s">
        <v>604</v>
      </c>
      <c r="D1418" t="s">
        <v>248</v>
      </c>
      <c r="E1418" t="s">
        <v>501</v>
      </c>
      <c r="F1418" t="s">
        <v>219</v>
      </c>
      <c r="G1418" t="s">
        <v>226</v>
      </c>
      <c r="H1418">
        <v>32.5</v>
      </c>
      <c r="I1418" t="str">
        <f t="shared" si="21"/>
        <v>Light Industrial/Warehouse Shell Buildings|S|Low Cost</v>
      </c>
      <c r="J1418" t="s">
        <v>605</v>
      </c>
    </row>
    <row r="1419" spans="2:10">
      <c r="B1419" t="s">
        <v>603</v>
      </c>
      <c r="C1419" t="s">
        <v>604</v>
      </c>
      <c r="D1419" t="s">
        <v>248</v>
      </c>
      <c r="E1419" t="s">
        <v>501</v>
      </c>
      <c r="F1419" t="s">
        <v>219</v>
      </c>
      <c r="G1419" t="s">
        <v>314</v>
      </c>
      <c r="H1419">
        <v>24.65</v>
      </c>
      <c r="I1419" t="str">
        <f t="shared" si="21"/>
        <v>Light Industrial/Warehouse Shell Buildings|S|Cheap</v>
      </c>
      <c r="J1419" t="s">
        <v>605</v>
      </c>
    </row>
    <row r="1420" spans="2:10">
      <c r="B1420" t="s">
        <v>606</v>
      </c>
      <c r="C1420" t="s">
        <v>607</v>
      </c>
      <c r="D1420" t="s">
        <v>253</v>
      </c>
      <c r="E1420" t="s">
        <v>260</v>
      </c>
      <c r="F1420" t="s">
        <v>202</v>
      </c>
      <c r="G1420" t="s">
        <v>231</v>
      </c>
      <c r="H1420">
        <v>404</v>
      </c>
      <c r="I1420" t="str">
        <f t="shared" si="21"/>
        <v>Office Buildings|A|Excellent</v>
      </c>
      <c r="J1420" t="s">
        <v>608</v>
      </c>
    </row>
    <row r="1421" spans="2:10">
      <c r="B1421" t="s">
        <v>606</v>
      </c>
      <c r="C1421" t="s">
        <v>607</v>
      </c>
      <c r="D1421" t="s">
        <v>253</v>
      </c>
      <c r="E1421" t="s">
        <v>260</v>
      </c>
      <c r="F1421" t="s">
        <v>202</v>
      </c>
      <c r="G1421" t="s">
        <v>229</v>
      </c>
      <c r="H1421">
        <v>320</v>
      </c>
      <c r="I1421" t="str">
        <f t="shared" si="21"/>
        <v>Office Buildings|A|Good</v>
      </c>
      <c r="J1421" t="s">
        <v>608</v>
      </c>
    </row>
    <row r="1422" spans="2:10">
      <c r="B1422" t="s">
        <v>606</v>
      </c>
      <c r="C1422" t="s">
        <v>607</v>
      </c>
      <c r="D1422" t="s">
        <v>253</v>
      </c>
      <c r="E1422" t="s">
        <v>260</v>
      </c>
      <c r="F1422" t="s">
        <v>202</v>
      </c>
      <c r="G1422" t="s">
        <v>44</v>
      </c>
      <c r="H1422">
        <v>241</v>
      </c>
      <c r="I1422" t="str">
        <f t="shared" si="21"/>
        <v>Office Buildings|A|Average</v>
      </c>
      <c r="J1422" t="s">
        <v>608</v>
      </c>
    </row>
    <row r="1423" spans="2:10">
      <c r="B1423" t="s">
        <v>606</v>
      </c>
      <c r="C1423" t="s">
        <v>607</v>
      </c>
      <c r="D1423" t="s">
        <v>253</v>
      </c>
      <c r="E1423" t="s">
        <v>260</v>
      </c>
      <c r="F1423" t="s">
        <v>202</v>
      </c>
      <c r="G1423" t="s">
        <v>226</v>
      </c>
      <c r="H1423">
        <v>192</v>
      </c>
      <c r="I1423" t="str">
        <f t="shared" si="21"/>
        <v>Office Buildings|A|Low Cost</v>
      </c>
      <c r="J1423" t="s">
        <v>608</v>
      </c>
    </row>
    <row r="1424" spans="2:10">
      <c r="B1424" t="s">
        <v>606</v>
      </c>
      <c r="C1424" t="s">
        <v>607</v>
      </c>
      <c r="D1424" t="s">
        <v>253</v>
      </c>
      <c r="E1424" t="s">
        <v>260</v>
      </c>
      <c r="F1424" t="s">
        <v>207</v>
      </c>
      <c r="G1424" t="s">
        <v>231</v>
      </c>
      <c r="H1424">
        <v>372</v>
      </c>
      <c r="I1424" t="str">
        <f t="shared" si="21"/>
        <v>Office Buildings|B|Excellent</v>
      </c>
      <c r="J1424" t="s">
        <v>608</v>
      </c>
    </row>
    <row r="1425" spans="2:10">
      <c r="B1425" t="s">
        <v>606</v>
      </c>
      <c r="C1425" t="s">
        <v>607</v>
      </c>
      <c r="D1425" t="s">
        <v>253</v>
      </c>
      <c r="E1425" t="s">
        <v>260</v>
      </c>
      <c r="F1425" t="s">
        <v>207</v>
      </c>
      <c r="G1425" t="s">
        <v>229</v>
      </c>
      <c r="H1425">
        <v>293</v>
      </c>
      <c r="I1425" t="str">
        <f t="shared" si="21"/>
        <v>Office Buildings|B|Good</v>
      </c>
      <c r="J1425" t="s">
        <v>608</v>
      </c>
    </row>
    <row r="1426" spans="2:10">
      <c r="B1426" t="s">
        <v>606</v>
      </c>
      <c r="C1426" t="s">
        <v>607</v>
      </c>
      <c r="D1426" t="s">
        <v>253</v>
      </c>
      <c r="E1426" t="s">
        <v>260</v>
      </c>
      <c r="F1426" t="s">
        <v>207</v>
      </c>
      <c r="G1426" t="s">
        <v>44</v>
      </c>
      <c r="H1426">
        <v>219</v>
      </c>
      <c r="I1426" t="str">
        <f t="shared" si="21"/>
        <v>Office Buildings|B|Average</v>
      </c>
      <c r="J1426" t="s">
        <v>608</v>
      </c>
    </row>
    <row r="1427" spans="2:10">
      <c r="B1427" t="s">
        <v>606</v>
      </c>
      <c r="C1427" t="s">
        <v>607</v>
      </c>
      <c r="D1427" t="s">
        <v>253</v>
      </c>
      <c r="E1427" t="s">
        <v>260</v>
      </c>
      <c r="F1427" t="s">
        <v>207</v>
      </c>
      <c r="G1427" t="s">
        <v>226</v>
      </c>
      <c r="H1427">
        <v>173</v>
      </c>
      <c r="I1427" t="str">
        <f t="shared" si="21"/>
        <v>Office Buildings|B|Low Cost</v>
      </c>
      <c r="J1427" t="s">
        <v>608</v>
      </c>
    </row>
    <row r="1428" spans="2:10">
      <c r="B1428" t="s">
        <v>606</v>
      </c>
      <c r="C1428" t="s">
        <v>607</v>
      </c>
      <c r="D1428" t="s">
        <v>253</v>
      </c>
      <c r="E1428" t="s">
        <v>260</v>
      </c>
      <c r="F1428" t="s">
        <v>209</v>
      </c>
      <c r="G1428" t="s">
        <v>231</v>
      </c>
      <c r="H1428">
        <v>317</v>
      </c>
      <c r="I1428" t="str">
        <f t="shared" si="21"/>
        <v>Office Buildings|C|Excellent</v>
      </c>
      <c r="J1428" t="s">
        <v>608</v>
      </c>
    </row>
    <row r="1429" spans="2:10">
      <c r="B1429" t="s">
        <v>606</v>
      </c>
      <c r="C1429" t="s">
        <v>607</v>
      </c>
      <c r="D1429" t="s">
        <v>253</v>
      </c>
      <c r="E1429" t="s">
        <v>260</v>
      </c>
      <c r="F1429" t="s">
        <v>209</v>
      </c>
      <c r="G1429" t="s">
        <v>229</v>
      </c>
      <c r="H1429">
        <v>221</v>
      </c>
      <c r="I1429" t="str">
        <f t="shared" si="21"/>
        <v>Office Buildings|C|Good</v>
      </c>
      <c r="J1429" t="s">
        <v>608</v>
      </c>
    </row>
    <row r="1430" spans="2:10">
      <c r="B1430" t="s">
        <v>606</v>
      </c>
      <c r="C1430" t="s">
        <v>607</v>
      </c>
      <c r="D1430" t="s">
        <v>253</v>
      </c>
      <c r="E1430" t="s">
        <v>260</v>
      </c>
      <c r="F1430" t="s">
        <v>209</v>
      </c>
      <c r="G1430" t="s">
        <v>44</v>
      </c>
      <c r="H1430">
        <v>157</v>
      </c>
      <c r="I1430" t="str">
        <f t="shared" si="21"/>
        <v>Office Buildings|C|Average</v>
      </c>
      <c r="J1430" t="s">
        <v>608</v>
      </c>
    </row>
    <row r="1431" spans="2:10">
      <c r="B1431" t="s">
        <v>606</v>
      </c>
      <c r="C1431" t="s">
        <v>607</v>
      </c>
      <c r="D1431" t="s">
        <v>253</v>
      </c>
      <c r="E1431" t="s">
        <v>260</v>
      </c>
      <c r="F1431" t="s">
        <v>209</v>
      </c>
      <c r="G1431" t="s">
        <v>226</v>
      </c>
      <c r="H1431">
        <v>106</v>
      </c>
      <c r="I1431" t="str">
        <f t="shared" si="21"/>
        <v>Office Buildings|C|Low Cost</v>
      </c>
      <c r="J1431" t="s">
        <v>608</v>
      </c>
    </row>
    <row r="1432" spans="2:10">
      <c r="B1432" t="s">
        <v>606</v>
      </c>
      <c r="C1432" t="s">
        <v>607</v>
      </c>
      <c r="D1432" t="s">
        <v>253</v>
      </c>
      <c r="E1432" t="s">
        <v>260</v>
      </c>
      <c r="F1432" t="s">
        <v>214</v>
      </c>
      <c r="G1432" t="s">
        <v>231</v>
      </c>
      <c r="H1432">
        <v>302</v>
      </c>
      <c r="I1432" t="str">
        <f t="shared" si="21"/>
        <v>Office Buildings|D|Excellent</v>
      </c>
      <c r="J1432" t="s">
        <v>608</v>
      </c>
    </row>
    <row r="1433" spans="2:10">
      <c r="B1433" t="s">
        <v>606</v>
      </c>
      <c r="C1433" t="s">
        <v>607</v>
      </c>
      <c r="D1433" t="s">
        <v>253</v>
      </c>
      <c r="E1433" t="s">
        <v>260</v>
      </c>
      <c r="F1433" t="s">
        <v>214</v>
      </c>
      <c r="G1433" t="s">
        <v>229</v>
      </c>
      <c r="H1433">
        <v>210</v>
      </c>
      <c r="I1433" t="str">
        <f t="shared" si="21"/>
        <v>Office Buildings|D|Good</v>
      </c>
      <c r="J1433" t="s">
        <v>608</v>
      </c>
    </row>
    <row r="1434" spans="2:10">
      <c r="B1434" t="s">
        <v>606</v>
      </c>
      <c r="C1434" t="s">
        <v>607</v>
      </c>
      <c r="D1434" t="s">
        <v>253</v>
      </c>
      <c r="E1434" t="s">
        <v>260</v>
      </c>
      <c r="F1434" t="s">
        <v>214</v>
      </c>
      <c r="G1434" t="s">
        <v>44</v>
      </c>
      <c r="H1434">
        <v>149</v>
      </c>
      <c r="I1434" t="str">
        <f t="shared" si="21"/>
        <v>Office Buildings|D|Average</v>
      </c>
      <c r="J1434" t="s">
        <v>608</v>
      </c>
    </row>
    <row r="1435" spans="2:10">
      <c r="B1435" t="s">
        <v>606</v>
      </c>
      <c r="C1435" t="s">
        <v>607</v>
      </c>
      <c r="D1435" t="s">
        <v>253</v>
      </c>
      <c r="E1435" t="s">
        <v>260</v>
      </c>
      <c r="F1435" t="s">
        <v>214</v>
      </c>
      <c r="G1435" t="s">
        <v>226</v>
      </c>
      <c r="H1435">
        <v>99.5</v>
      </c>
      <c r="I1435" t="str">
        <f t="shared" si="21"/>
        <v>Office Buildings|D|Low Cost</v>
      </c>
      <c r="J1435" t="s">
        <v>608</v>
      </c>
    </row>
    <row r="1436" spans="2:10">
      <c r="B1436" t="s">
        <v>606</v>
      </c>
      <c r="C1436" t="s">
        <v>607</v>
      </c>
      <c r="D1436" t="s">
        <v>253</v>
      </c>
      <c r="E1436" t="s">
        <v>260</v>
      </c>
      <c r="F1436" t="s">
        <v>313</v>
      </c>
      <c r="G1436" t="s">
        <v>229</v>
      </c>
      <c r="H1436">
        <v>198</v>
      </c>
      <c r="I1436" t="str">
        <f t="shared" si="21"/>
        <v>Office Buildings|DPOLE|Good</v>
      </c>
      <c r="J1436" t="s">
        <v>608</v>
      </c>
    </row>
    <row r="1437" spans="2:10">
      <c r="B1437" t="s">
        <v>606</v>
      </c>
      <c r="C1437" t="s">
        <v>607</v>
      </c>
      <c r="D1437" t="s">
        <v>253</v>
      </c>
      <c r="E1437" t="s">
        <v>260</v>
      </c>
      <c r="F1437" t="s">
        <v>313</v>
      </c>
      <c r="G1437" t="s">
        <v>44</v>
      </c>
      <c r="H1437">
        <v>135</v>
      </c>
      <c r="I1437" t="str">
        <f t="shared" si="21"/>
        <v>Office Buildings|DPOLE|Average</v>
      </c>
      <c r="J1437" t="s">
        <v>608</v>
      </c>
    </row>
    <row r="1438" spans="2:10">
      <c r="B1438" t="s">
        <v>606</v>
      </c>
      <c r="C1438" t="s">
        <v>607</v>
      </c>
      <c r="D1438" t="s">
        <v>253</v>
      </c>
      <c r="E1438" t="s">
        <v>260</v>
      </c>
      <c r="F1438" t="s">
        <v>313</v>
      </c>
      <c r="G1438" t="s">
        <v>226</v>
      </c>
      <c r="H1438">
        <v>91.5</v>
      </c>
      <c r="I1438" t="str">
        <f t="shared" ref="I1438:I1501" si="22">B1438&amp;"|"&amp;F1438&amp;"|"&amp;G1438</f>
        <v>Office Buildings|DPOLE|Low Cost</v>
      </c>
      <c r="J1438" t="s">
        <v>608</v>
      </c>
    </row>
    <row r="1439" spans="2:10">
      <c r="B1439" t="s">
        <v>606</v>
      </c>
      <c r="C1439" t="s">
        <v>607</v>
      </c>
      <c r="D1439" t="s">
        <v>253</v>
      </c>
      <c r="E1439" t="s">
        <v>260</v>
      </c>
      <c r="F1439" t="s">
        <v>219</v>
      </c>
      <c r="G1439" t="s">
        <v>229</v>
      </c>
      <c r="H1439">
        <v>203</v>
      </c>
      <c r="I1439" t="str">
        <f t="shared" si="22"/>
        <v>Office Buildings|S|Good</v>
      </c>
      <c r="J1439" t="s">
        <v>608</v>
      </c>
    </row>
    <row r="1440" spans="2:10">
      <c r="B1440" t="s">
        <v>606</v>
      </c>
      <c r="C1440" t="s">
        <v>607</v>
      </c>
      <c r="D1440" t="s">
        <v>253</v>
      </c>
      <c r="E1440" t="s">
        <v>260</v>
      </c>
      <c r="F1440" t="s">
        <v>219</v>
      </c>
      <c r="G1440" t="s">
        <v>44</v>
      </c>
      <c r="H1440">
        <v>140</v>
      </c>
      <c r="I1440" t="str">
        <f t="shared" si="22"/>
        <v>Office Buildings|S|Average</v>
      </c>
      <c r="J1440" t="s">
        <v>608</v>
      </c>
    </row>
    <row r="1441" spans="2:10">
      <c r="B1441" t="s">
        <v>606</v>
      </c>
      <c r="C1441" t="s">
        <v>607</v>
      </c>
      <c r="D1441" t="s">
        <v>253</v>
      </c>
      <c r="E1441" t="s">
        <v>260</v>
      </c>
      <c r="F1441" t="s">
        <v>219</v>
      </c>
      <c r="G1441" t="s">
        <v>226</v>
      </c>
      <c r="H1441">
        <v>94.5</v>
      </c>
      <c r="I1441" t="str">
        <f t="shared" si="22"/>
        <v>Office Buildings|S|Low Cost</v>
      </c>
      <c r="J1441" t="s">
        <v>608</v>
      </c>
    </row>
    <row r="1442" spans="2:10">
      <c r="B1442" t="s">
        <v>609</v>
      </c>
      <c r="C1442" t="s">
        <v>610</v>
      </c>
      <c r="D1442" t="s">
        <v>253</v>
      </c>
      <c r="E1442" t="s">
        <v>264</v>
      </c>
      <c r="F1442" t="s">
        <v>270</v>
      </c>
      <c r="G1442" t="s">
        <v>231</v>
      </c>
      <c r="H1442">
        <v>715</v>
      </c>
      <c r="I1442" t="str">
        <f t="shared" si="22"/>
        <v>Atriums/Vestibules|A-B|Excellent</v>
      </c>
      <c r="J1442" t="s">
        <v>611</v>
      </c>
    </row>
    <row r="1443" spans="2:10">
      <c r="B1443" t="s">
        <v>609</v>
      </c>
      <c r="C1443" t="s">
        <v>610</v>
      </c>
      <c r="D1443" t="s">
        <v>253</v>
      </c>
      <c r="E1443" t="s">
        <v>264</v>
      </c>
      <c r="F1443" t="s">
        <v>270</v>
      </c>
      <c r="G1443" t="s">
        <v>229</v>
      </c>
      <c r="H1443">
        <v>458</v>
      </c>
      <c r="I1443" t="str">
        <f t="shared" si="22"/>
        <v>Atriums/Vestibules|A-B|Good</v>
      </c>
      <c r="J1443" t="s">
        <v>611</v>
      </c>
    </row>
    <row r="1444" spans="2:10">
      <c r="B1444" t="s">
        <v>609</v>
      </c>
      <c r="C1444" t="s">
        <v>610</v>
      </c>
      <c r="D1444" t="s">
        <v>253</v>
      </c>
      <c r="E1444" t="s">
        <v>264</v>
      </c>
      <c r="F1444" t="s">
        <v>270</v>
      </c>
      <c r="G1444" t="s">
        <v>44</v>
      </c>
      <c r="H1444">
        <v>300</v>
      </c>
      <c r="I1444" t="str">
        <f t="shared" si="22"/>
        <v>Atriums/Vestibules|A-B|Average</v>
      </c>
      <c r="J1444" t="s">
        <v>611</v>
      </c>
    </row>
    <row r="1445" spans="2:10">
      <c r="B1445" t="s">
        <v>609</v>
      </c>
      <c r="C1445" t="s">
        <v>610</v>
      </c>
      <c r="D1445" t="s">
        <v>253</v>
      </c>
      <c r="E1445" t="s">
        <v>264</v>
      </c>
      <c r="F1445" t="s">
        <v>270</v>
      </c>
      <c r="G1445" t="s">
        <v>226</v>
      </c>
      <c r="H1445">
        <v>187</v>
      </c>
      <c r="I1445" t="str">
        <f t="shared" si="22"/>
        <v>Atriums/Vestibules|A-B|Low Cost</v>
      </c>
      <c r="J1445" t="s">
        <v>611</v>
      </c>
    </row>
    <row r="1446" spans="2:10">
      <c r="B1446" t="s">
        <v>609</v>
      </c>
      <c r="C1446" t="s">
        <v>610</v>
      </c>
      <c r="D1446" t="s">
        <v>253</v>
      </c>
      <c r="E1446" t="s">
        <v>264</v>
      </c>
      <c r="F1446" t="s">
        <v>270</v>
      </c>
      <c r="G1446" t="s">
        <v>314</v>
      </c>
      <c r="H1446">
        <v>100</v>
      </c>
      <c r="I1446" t="str">
        <f t="shared" si="22"/>
        <v>Atriums/Vestibules|A-B|Cheap</v>
      </c>
      <c r="J1446" t="s">
        <v>611</v>
      </c>
    </row>
    <row r="1447" spans="2:10">
      <c r="B1447" t="s">
        <v>609</v>
      </c>
      <c r="C1447" t="s">
        <v>610</v>
      </c>
      <c r="D1447" t="s">
        <v>253</v>
      </c>
      <c r="E1447" t="s">
        <v>264</v>
      </c>
      <c r="F1447" t="s">
        <v>551</v>
      </c>
      <c r="G1447" t="s">
        <v>229</v>
      </c>
      <c r="H1447">
        <v>360</v>
      </c>
      <c r="I1447" t="str">
        <f t="shared" si="22"/>
        <v>Atriums/Vestibules|CDS|Good</v>
      </c>
      <c r="J1447" t="s">
        <v>611</v>
      </c>
    </row>
    <row r="1448" spans="2:10">
      <c r="B1448" t="s">
        <v>609</v>
      </c>
      <c r="C1448" t="s">
        <v>610</v>
      </c>
      <c r="D1448" t="s">
        <v>253</v>
      </c>
      <c r="E1448" t="s">
        <v>264</v>
      </c>
      <c r="F1448" t="s">
        <v>551</v>
      </c>
      <c r="G1448" t="s">
        <v>44</v>
      </c>
      <c r="H1448">
        <v>220</v>
      </c>
      <c r="I1448" t="str">
        <f t="shared" si="22"/>
        <v>Atriums/Vestibules|CDS|Average</v>
      </c>
      <c r="J1448" t="s">
        <v>611</v>
      </c>
    </row>
    <row r="1449" spans="2:10">
      <c r="B1449" t="s">
        <v>609</v>
      </c>
      <c r="C1449" t="s">
        <v>610</v>
      </c>
      <c r="D1449" t="s">
        <v>253</v>
      </c>
      <c r="E1449" t="s">
        <v>264</v>
      </c>
      <c r="F1449" t="s">
        <v>551</v>
      </c>
      <c r="G1449" t="s">
        <v>226</v>
      </c>
      <c r="H1449">
        <v>144</v>
      </c>
      <c r="I1449" t="str">
        <f t="shared" si="22"/>
        <v>Atriums/Vestibules|CDS|Low Cost</v>
      </c>
      <c r="J1449" t="s">
        <v>611</v>
      </c>
    </row>
    <row r="1450" spans="2:10">
      <c r="B1450" t="s">
        <v>609</v>
      </c>
      <c r="C1450" t="s">
        <v>610</v>
      </c>
      <c r="D1450" t="s">
        <v>253</v>
      </c>
      <c r="E1450" t="s">
        <v>264</v>
      </c>
      <c r="F1450" t="s">
        <v>551</v>
      </c>
      <c r="G1450" t="s">
        <v>314</v>
      </c>
      <c r="H1450">
        <v>71.5</v>
      </c>
      <c r="I1450" t="str">
        <f t="shared" si="22"/>
        <v>Atriums/Vestibules|CDS|Cheap</v>
      </c>
      <c r="J1450" t="s">
        <v>611</v>
      </c>
    </row>
    <row r="1451" spans="2:10">
      <c r="B1451" t="s">
        <v>612</v>
      </c>
      <c r="C1451" t="s">
        <v>613</v>
      </c>
      <c r="D1451" t="s">
        <v>253</v>
      </c>
      <c r="E1451" t="s">
        <v>264</v>
      </c>
      <c r="F1451" t="s">
        <v>270</v>
      </c>
      <c r="G1451" t="s">
        <v>231</v>
      </c>
      <c r="H1451">
        <v>151</v>
      </c>
      <c r="I1451" t="str">
        <f t="shared" si="22"/>
        <v>Parking Levels (Intermediate/Under Building)|A-B|Excellent</v>
      </c>
      <c r="J1451" t="s">
        <v>611</v>
      </c>
    </row>
    <row r="1452" spans="2:10">
      <c r="B1452" t="s">
        <v>612</v>
      </c>
      <c r="C1452" t="s">
        <v>613</v>
      </c>
      <c r="D1452" t="s">
        <v>253</v>
      </c>
      <c r="E1452" t="s">
        <v>264</v>
      </c>
      <c r="F1452" t="s">
        <v>270</v>
      </c>
      <c r="G1452" t="s">
        <v>229</v>
      </c>
      <c r="H1452">
        <v>118</v>
      </c>
      <c r="I1452" t="str">
        <f t="shared" si="22"/>
        <v>Parking Levels (Intermediate/Under Building)|A-B|Good</v>
      </c>
      <c r="J1452" t="s">
        <v>611</v>
      </c>
    </row>
    <row r="1453" spans="2:10">
      <c r="B1453" t="s">
        <v>612</v>
      </c>
      <c r="C1453" t="s">
        <v>613</v>
      </c>
      <c r="D1453" t="s">
        <v>253</v>
      </c>
      <c r="E1453" t="s">
        <v>264</v>
      </c>
      <c r="F1453" t="s">
        <v>270</v>
      </c>
      <c r="G1453" t="s">
        <v>44</v>
      </c>
      <c r="H1453">
        <v>94</v>
      </c>
      <c r="I1453" t="str">
        <f t="shared" si="22"/>
        <v>Parking Levels (Intermediate/Under Building)|A-B|Average</v>
      </c>
      <c r="J1453" t="s">
        <v>611</v>
      </c>
    </row>
    <row r="1454" spans="2:10">
      <c r="B1454" t="s">
        <v>612</v>
      </c>
      <c r="C1454" t="s">
        <v>613</v>
      </c>
      <c r="D1454" t="s">
        <v>253</v>
      </c>
      <c r="E1454" t="s">
        <v>264</v>
      </c>
      <c r="F1454" t="s">
        <v>270</v>
      </c>
      <c r="G1454" t="s">
        <v>226</v>
      </c>
      <c r="H1454">
        <v>72</v>
      </c>
      <c r="I1454" t="str">
        <f t="shared" si="22"/>
        <v>Parking Levels (Intermediate/Under Building)|A-B|Low Cost</v>
      </c>
      <c r="J1454" t="s">
        <v>611</v>
      </c>
    </row>
    <row r="1455" spans="2:10">
      <c r="B1455" t="s">
        <v>612</v>
      </c>
      <c r="C1455" t="s">
        <v>613</v>
      </c>
      <c r="D1455" t="s">
        <v>253</v>
      </c>
      <c r="E1455" t="s">
        <v>264</v>
      </c>
      <c r="F1455" t="s">
        <v>270</v>
      </c>
      <c r="G1455" t="s">
        <v>314</v>
      </c>
      <c r="H1455">
        <v>46</v>
      </c>
      <c r="I1455" t="str">
        <f t="shared" si="22"/>
        <v>Parking Levels (Intermediate/Under Building)|A-B|Cheap</v>
      </c>
      <c r="J1455" t="s">
        <v>611</v>
      </c>
    </row>
    <row r="1456" spans="2:10">
      <c r="B1456" t="s">
        <v>612</v>
      </c>
      <c r="C1456" t="s">
        <v>613</v>
      </c>
      <c r="D1456" t="s">
        <v>253</v>
      </c>
      <c r="E1456" t="s">
        <v>264</v>
      </c>
      <c r="F1456" t="s">
        <v>551</v>
      </c>
      <c r="G1456" t="s">
        <v>229</v>
      </c>
      <c r="H1456">
        <v>96.5</v>
      </c>
      <c r="I1456" t="str">
        <f t="shared" si="22"/>
        <v>Parking Levels (Intermediate/Under Building)|CDS|Good</v>
      </c>
      <c r="J1456" t="s">
        <v>611</v>
      </c>
    </row>
    <row r="1457" spans="2:10">
      <c r="B1457" t="s">
        <v>612</v>
      </c>
      <c r="C1457" t="s">
        <v>613</v>
      </c>
      <c r="D1457" t="s">
        <v>253</v>
      </c>
      <c r="E1457" t="s">
        <v>264</v>
      </c>
      <c r="F1457" t="s">
        <v>551</v>
      </c>
      <c r="G1457" t="s">
        <v>44</v>
      </c>
      <c r="H1457">
        <v>75.5</v>
      </c>
      <c r="I1457" t="str">
        <f t="shared" si="22"/>
        <v>Parking Levels (Intermediate/Under Building)|CDS|Average</v>
      </c>
      <c r="J1457" t="s">
        <v>611</v>
      </c>
    </row>
    <row r="1458" spans="2:10">
      <c r="B1458" t="s">
        <v>612</v>
      </c>
      <c r="C1458" t="s">
        <v>613</v>
      </c>
      <c r="D1458" t="s">
        <v>253</v>
      </c>
      <c r="E1458" t="s">
        <v>264</v>
      </c>
      <c r="F1458" t="s">
        <v>551</v>
      </c>
      <c r="G1458" t="s">
        <v>226</v>
      </c>
      <c r="H1458">
        <v>56.5</v>
      </c>
      <c r="I1458" t="str">
        <f t="shared" si="22"/>
        <v>Parking Levels (Intermediate/Under Building)|CDS|Low Cost</v>
      </c>
      <c r="J1458" t="s">
        <v>611</v>
      </c>
    </row>
    <row r="1459" spans="2:10">
      <c r="B1459" t="s">
        <v>612</v>
      </c>
      <c r="C1459" t="s">
        <v>613</v>
      </c>
      <c r="D1459" t="s">
        <v>253</v>
      </c>
      <c r="E1459" t="s">
        <v>264</v>
      </c>
      <c r="F1459" t="s">
        <v>551</v>
      </c>
      <c r="G1459" t="s">
        <v>314</v>
      </c>
      <c r="H1459">
        <v>34.5</v>
      </c>
      <c r="I1459" t="str">
        <f t="shared" si="22"/>
        <v>Parking Levels (Intermediate/Under Building)|CDS|Cheap</v>
      </c>
      <c r="J1459" t="s">
        <v>611</v>
      </c>
    </row>
    <row r="1460" spans="2:10">
      <c r="B1460" t="s">
        <v>614</v>
      </c>
      <c r="C1460" t="s">
        <v>615</v>
      </c>
      <c r="D1460" t="s">
        <v>253</v>
      </c>
      <c r="E1460" t="s">
        <v>269</v>
      </c>
      <c r="F1460" t="s">
        <v>270</v>
      </c>
      <c r="G1460" t="s">
        <v>231</v>
      </c>
      <c r="H1460">
        <v>134</v>
      </c>
      <c r="I1460" t="str">
        <f t="shared" si="22"/>
        <v>Mechanical Penthouses|A-B|Excellent</v>
      </c>
      <c r="J1460" t="s">
        <v>616</v>
      </c>
    </row>
    <row r="1461" spans="2:10">
      <c r="B1461" t="s">
        <v>614</v>
      </c>
      <c r="C1461" t="s">
        <v>615</v>
      </c>
      <c r="D1461" t="s">
        <v>253</v>
      </c>
      <c r="E1461" t="s">
        <v>269</v>
      </c>
      <c r="F1461" t="s">
        <v>270</v>
      </c>
      <c r="G1461" t="s">
        <v>229</v>
      </c>
      <c r="H1461">
        <v>121</v>
      </c>
      <c r="I1461" t="str">
        <f t="shared" si="22"/>
        <v>Mechanical Penthouses|A-B|Good</v>
      </c>
      <c r="J1461" t="s">
        <v>616</v>
      </c>
    </row>
    <row r="1462" spans="2:10">
      <c r="B1462" t="s">
        <v>614</v>
      </c>
      <c r="C1462" t="s">
        <v>615</v>
      </c>
      <c r="D1462" t="s">
        <v>253</v>
      </c>
      <c r="E1462" t="s">
        <v>269</v>
      </c>
      <c r="F1462" t="s">
        <v>270</v>
      </c>
      <c r="G1462" t="s">
        <v>44</v>
      </c>
      <c r="H1462">
        <v>85.5</v>
      </c>
      <c r="I1462" t="str">
        <f t="shared" si="22"/>
        <v>Mechanical Penthouses|A-B|Average</v>
      </c>
      <c r="J1462" t="s">
        <v>616</v>
      </c>
    </row>
    <row r="1463" spans="2:10">
      <c r="B1463" t="s">
        <v>614</v>
      </c>
      <c r="C1463" t="s">
        <v>615</v>
      </c>
      <c r="D1463" t="s">
        <v>253</v>
      </c>
      <c r="E1463" t="s">
        <v>269</v>
      </c>
      <c r="F1463" t="s">
        <v>270</v>
      </c>
      <c r="G1463" t="s">
        <v>226</v>
      </c>
      <c r="H1463">
        <v>60.5</v>
      </c>
      <c r="I1463" t="str">
        <f t="shared" si="22"/>
        <v>Mechanical Penthouses|A-B|Low Cost</v>
      </c>
      <c r="J1463" t="s">
        <v>616</v>
      </c>
    </row>
    <row r="1464" spans="2:10">
      <c r="B1464" t="s">
        <v>614</v>
      </c>
      <c r="C1464" t="s">
        <v>615</v>
      </c>
      <c r="D1464" t="s">
        <v>253</v>
      </c>
      <c r="E1464" t="s">
        <v>269</v>
      </c>
      <c r="F1464" t="s">
        <v>551</v>
      </c>
      <c r="G1464" t="s">
        <v>44</v>
      </c>
      <c r="H1464">
        <v>64.5</v>
      </c>
      <c r="I1464" t="str">
        <f t="shared" si="22"/>
        <v>Mechanical Penthouses|CDS|Average</v>
      </c>
      <c r="J1464" t="s">
        <v>616</v>
      </c>
    </row>
    <row r="1465" spans="2:10">
      <c r="B1465" t="s">
        <v>614</v>
      </c>
      <c r="C1465" t="s">
        <v>615</v>
      </c>
      <c r="D1465" t="s">
        <v>253</v>
      </c>
      <c r="E1465" t="s">
        <v>269</v>
      </c>
      <c r="F1465" t="s">
        <v>551</v>
      </c>
      <c r="G1465" t="s">
        <v>226</v>
      </c>
      <c r="H1465">
        <v>45.25</v>
      </c>
      <c r="I1465" t="str">
        <f t="shared" si="22"/>
        <v>Mechanical Penthouses|CDS|Low Cost</v>
      </c>
      <c r="J1465" t="s">
        <v>616</v>
      </c>
    </row>
    <row r="1466" spans="2:10">
      <c r="B1466" t="s">
        <v>617</v>
      </c>
      <c r="C1466" t="s">
        <v>618</v>
      </c>
      <c r="D1466" t="s">
        <v>253</v>
      </c>
      <c r="E1466" t="s">
        <v>274</v>
      </c>
      <c r="F1466" t="s">
        <v>202</v>
      </c>
      <c r="G1466" t="s">
        <v>231</v>
      </c>
      <c r="H1466">
        <v>505</v>
      </c>
      <c r="I1466" t="str">
        <f t="shared" si="22"/>
        <v>Banks – Central Offices|A|Excellent</v>
      </c>
      <c r="J1466" t="s">
        <v>619</v>
      </c>
    </row>
    <row r="1467" spans="2:10">
      <c r="B1467" t="s">
        <v>617</v>
      </c>
      <c r="C1467" t="s">
        <v>618</v>
      </c>
      <c r="D1467" t="s">
        <v>253</v>
      </c>
      <c r="E1467" t="s">
        <v>274</v>
      </c>
      <c r="F1467" t="s">
        <v>202</v>
      </c>
      <c r="G1467" t="s">
        <v>229</v>
      </c>
      <c r="H1467">
        <v>395</v>
      </c>
      <c r="I1467" t="str">
        <f t="shared" si="22"/>
        <v>Banks – Central Offices|A|Good</v>
      </c>
      <c r="J1467" t="s">
        <v>619</v>
      </c>
    </row>
    <row r="1468" spans="2:10">
      <c r="B1468" t="s">
        <v>617</v>
      </c>
      <c r="C1468" t="s">
        <v>618</v>
      </c>
      <c r="D1468" t="s">
        <v>253</v>
      </c>
      <c r="E1468" t="s">
        <v>274</v>
      </c>
      <c r="F1468" t="s">
        <v>202</v>
      </c>
      <c r="G1468" t="s">
        <v>44</v>
      </c>
      <c r="H1468">
        <v>312</v>
      </c>
      <c r="I1468" t="str">
        <f t="shared" si="22"/>
        <v>Banks – Central Offices|A|Average</v>
      </c>
      <c r="J1468" t="s">
        <v>619</v>
      </c>
    </row>
    <row r="1469" spans="2:10">
      <c r="B1469" t="s">
        <v>617</v>
      </c>
      <c r="C1469" t="s">
        <v>618</v>
      </c>
      <c r="D1469" t="s">
        <v>253</v>
      </c>
      <c r="E1469" t="s">
        <v>274</v>
      </c>
      <c r="F1469" t="s">
        <v>207</v>
      </c>
      <c r="G1469" t="s">
        <v>231</v>
      </c>
      <c r="H1469">
        <v>464</v>
      </c>
      <c r="I1469" t="str">
        <f t="shared" si="22"/>
        <v>Banks – Central Offices|B|Excellent</v>
      </c>
      <c r="J1469" t="s">
        <v>619</v>
      </c>
    </row>
    <row r="1470" spans="2:10">
      <c r="B1470" t="s">
        <v>617</v>
      </c>
      <c r="C1470" t="s">
        <v>618</v>
      </c>
      <c r="D1470" t="s">
        <v>253</v>
      </c>
      <c r="E1470" t="s">
        <v>274</v>
      </c>
      <c r="F1470" t="s">
        <v>207</v>
      </c>
      <c r="G1470" t="s">
        <v>229</v>
      </c>
      <c r="H1470">
        <v>362</v>
      </c>
      <c r="I1470" t="str">
        <f t="shared" si="22"/>
        <v>Banks – Central Offices|B|Good</v>
      </c>
      <c r="J1470" t="s">
        <v>619</v>
      </c>
    </row>
    <row r="1471" spans="2:10">
      <c r="B1471" t="s">
        <v>617</v>
      </c>
      <c r="C1471" t="s">
        <v>618</v>
      </c>
      <c r="D1471" t="s">
        <v>253</v>
      </c>
      <c r="E1471" t="s">
        <v>274</v>
      </c>
      <c r="F1471" t="s">
        <v>207</v>
      </c>
      <c r="G1471" t="s">
        <v>44</v>
      </c>
      <c r="H1471">
        <v>285</v>
      </c>
      <c r="I1471" t="str">
        <f t="shared" si="22"/>
        <v>Banks – Central Offices|B|Average</v>
      </c>
      <c r="J1471" t="s">
        <v>619</v>
      </c>
    </row>
    <row r="1472" spans="2:10">
      <c r="B1472" t="s">
        <v>617</v>
      </c>
      <c r="C1472" t="s">
        <v>618</v>
      </c>
      <c r="D1472" t="s">
        <v>253</v>
      </c>
      <c r="E1472" t="s">
        <v>274</v>
      </c>
      <c r="F1472" t="s">
        <v>209</v>
      </c>
      <c r="G1472" t="s">
        <v>231</v>
      </c>
      <c r="H1472">
        <v>409</v>
      </c>
      <c r="I1472" t="str">
        <f t="shared" si="22"/>
        <v>Banks – Central Offices|C|Excellent</v>
      </c>
      <c r="J1472" t="s">
        <v>619</v>
      </c>
    </row>
    <row r="1473" spans="2:10">
      <c r="B1473" t="s">
        <v>617</v>
      </c>
      <c r="C1473" t="s">
        <v>618</v>
      </c>
      <c r="D1473" t="s">
        <v>253</v>
      </c>
      <c r="E1473" t="s">
        <v>274</v>
      </c>
      <c r="F1473" t="s">
        <v>209</v>
      </c>
      <c r="G1473" t="s">
        <v>229</v>
      </c>
      <c r="H1473">
        <v>300</v>
      </c>
      <c r="I1473" t="str">
        <f t="shared" si="22"/>
        <v>Banks – Central Offices|C|Good</v>
      </c>
      <c r="J1473" t="s">
        <v>619</v>
      </c>
    </row>
    <row r="1474" spans="2:10">
      <c r="B1474" t="s">
        <v>617</v>
      </c>
      <c r="C1474" t="s">
        <v>618</v>
      </c>
      <c r="D1474" t="s">
        <v>253</v>
      </c>
      <c r="E1474" t="s">
        <v>274</v>
      </c>
      <c r="F1474" t="s">
        <v>209</v>
      </c>
      <c r="G1474" t="s">
        <v>44</v>
      </c>
      <c r="H1474">
        <v>232</v>
      </c>
      <c r="I1474" t="str">
        <f t="shared" si="22"/>
        <v>Banks – Central Offices|C|Average</v>
      </c>
      <c r="J1474" t="s">
        <v>619</v>
      </c>
    </row>
    <row r="1475" spans="2:10">
      <c r="B1475" t="s">
        <v>617</v>
      </c>
      <c r="C1475" t="s">
        <v>618</v>
      </c>
      <c r="D1475" t="s">
        <v>253</v>
      </c>
      <c r="E1475" t="s">
        <v>274</v>
      </c>
      <c r="F1475" t="s">
        <v>214</v>
      </c>
      <c r="G1475" t="s">
        <v>231</v>
      </c>
      <c r="H1475">
        <v>394</v>
      </c>
      <c r="I1475" t="str">
        <f t="shared" si="22"/>
        <v>Banks – Central Offices|D|Excellent</v>
      </c>
      <c r="J1475" t="s">
        <v>619</v>
      </c>
    </row>
    <row r="1476" spans="2:10">
      <c r="B1476" t="s">
        <v>617</v>
      </c>
      <c r="C1476" t="s">
        <v>618</v>
      </c>
      <c r="D1476" t="s">
        <v>253</v>
      </c>
      <c r="E1476" t="s">
        <v>274</v>
      </c>
      <c r="F1476" t="s">
        <v>214</v>
      </c>
      <c r="G1476" t="s">
        <v>229</v>
      </c>
      <c r="H1476">
        <v>288</v>
      </c>
      <c r="I1476" t="str">
        <f t="shared" si="22"/>
        <v>Banks – Central Offices|D|Good</v>
      </c>
      <c r="J1476" t="s">
        <v>619</v>
      </c>
    </row>
    <row r="1477" spans="2:10">
      <c r="B1477" t="s">
        <v>617</v>
      </c>
      <c r="C1477" t="s">
        <v>618</v>
      </c>
      <c r="D1477" t="s">
        <v>253</v>
      </c>
      <c r="E1477" t="s">
        <v>274</v>
      </c>
      <c r="F1477" t="s">
        <v>214</v>
      </c>
      <c r="G1477" t="s">
        <v>44</v>
      </c>
      <c r="H1477">
        <v>222</v>
      </c>
      <c r="I1477" t="str">
        <f t="shared" si="22"/>
        <v>Banks – Central Offices|D|Average</v>
      </c>
      <c r="J1477" t="s">
        <v>619</v>
      </c>
    </row>
    <row r="1478" spans="2:10">
      <c r="B1478" t="s">
        <v>617</v>
      </c>
      <c r="C1478" t="s">
        <v>618</v>
      </c>
      <c r="D1478" t="s">
        <v>253</v>
      </c>
      <c r="E1478" t="s">
        <v>274</v>
      </c>
      <c r="F1478" t="s">
        <v>219</v>
      </c>
      <c r="G1478" t="s">
        <v>229</v>
      </c>
      <c r="H1478">
        <v>280</v>
      </c>
      <c r="I1478" t="str">
        <f t="shared" si="22"/>
        <v>Banks – Central Offices|S|Good</v>
      </c>
      <c r="J1478" t="s">
        <v>619</v>
      </c>
    </row>
    <row r="1479" spans="2:10">
      <c r="B1479" t="s">
        <v>617</v>
      </c>
      <c r="C1479" t="s">
        <v>618</v>
      </c>
      <c r="D1479" t="s">
        <v>253</v>
      </c>
      <c r="E1479" t="s">
        <v>274</v>
      </c>
      <c r="F1479" t="s">
        <v>219</v>
      </c>
      <c r="G1479" t="s">
        <v>44</v>
      </c>
      <c r="H1479">
        <v>217</v>
      </c>
      <c r="I1479" t="str">
        <f t="shared" si="22"/>
        <v>Banks – Central Offices|S|Average</v>
      </c>
      <c r="J1479" t="s">
        <v>619</v>
      </c>
    </row>
    <row r="1480" spans="2:10">
      <c r="B1480" t="s">
        <v>620</v>
      </c>
      <c r="C1480" t="s">
        <v>621</v>
      </c>
      <c r="D1480" t="s">
        <v>253</v>
      </c>
      <c r="E1480" t="s">
        <v>274</v>
      </c>
      <c r="F1480" t="s">
        <v>270</v>
      </c>
      <c r="G1480" t="s">
        <v>229</v>
      </c>
      <c r="H1480">
        <v>710</v>
      </c>
      <c r="I1480" t="str">
        <f t="shared" si="22"/>
        <v>Mini-Banks (Walk-Up and Drive-Through)|A-B|Good</v>
      </c>
      <c r="J1480" t="s">
        <v>619</v>
      </c>
    </row>
    <row r="1481" spans="2:10">
      <c r="B1481" t="s">
        <v>620</v>
      </c>
      <c r="C1481" t="s">
        <v>621</v>
      </c>
      <c r="D1481" t="s">
        <v>253</v>
      </c>
      <c r="E1481" t="s">
        <v>274</v>
      </c>
      <c r="F1481" t="s">
        <v>270</v>
      </c>
      <c r="G1481" t="s">
        <v>44</v>
      </c>
      <c r="H1481">
        <v>580</v>
      </c>
      <c r="I1481" t="str">
        <f t="shared" si="22"/>
        <v>Mini-Banks (Walk-Up and Drive-Through)|A-B|Average</v>
      </c>
      <c r="J1481" t="s">
        <v>619</v>
      </c>
    </row>
    <row r="1482" spans="2:10">
      <c r="B1482" t="s">
        <v>620</v>
      </c>
      <c r="C1482" t="s">
        <v>621</v>
      </c>
      <c r="D1482" t="s">
        <v>253</v>
      </c>
      <c r="E1482" t="s">
        <v>274</v>
      </c>
      <c r="F1482" t="s">
        <v>209</v>
      </c>
      <c r="G1482" t="s">
        <v>231</v>
      </c>
      <c r="H1482">
        <v>665</v>
      </c>
      <c r="I1482" t="str">
        <f t="shared" si="22"/>
        <v>Mini-Banks (Walk-Up and Drive-Through)|C|Excellent</v>
      </c>
      <c r="J1482" t="s">
        <v>619</v>
      </c>
    </row>
    <row r="1483" spans="2:10">
      <c r="B1483" t="s">
        <v>620</v>
      </c>
      <c r="C1483" t="s">
        <v>621</v>
      </c>
      <c r="D1483" t="s">
        <v>253</v>
      </c>
      <c r="E1483" t="s">
        <v>274</v>
      </c>
      <c r="F1483" t="s">
        <v>209</v>
      </c>
      <c r="G1483" t="s">
        <v>229</v>
      </c>
      <c r="H1483">
        <v>535</v>
      </c>
      <c r="I1483" t="str">
        <f t="shared" si="22"/>
        <v>Mini-Banks (Walk-Up and Drive-Through)|C|Good</v>
      </c>
      <c r="J1483" t="s">
        <v>619</v>
      </c>
    </row>
    <row r="1484" spans="2:10">
      <c r="B1484" t="s">
        <v>620</v>
      </c>
      <c r="C1484" t="s">
        <v>621</v>
      </c>
      <c r="D1484" t="s">
        <v>253</v>
      </c>
      <c r="E1484" t="s">
        <v>274</v>
      </c>
      <c r="F1484" t="s">
        <v>209</v>
      </c>
      <c r="G1484" t="s">
        <v>44</v>
      </c>
      <c r="H1484">
        <v>426</v>
      </c>
      <c r="I1484" t="str">
        <f t="shared" si="22"/>
        <v>Mini-Banks (Walk-Up and Drive-Through)|C|Average</v>
      </c>
      <c r="J1484" t="s">
        <v>619</v>
      </c>
    </row>
    <row r="1485" spans="2:10">
      <c r="B1485" t="s">
        <v>620</v>
      </c>
      <c r="C1485" t="s">
        <v>621</v>
      </c>
      <c r="D1485" t="s">
        <v>253</v>
      </c>
      <c r="E1485" t="s">
        <v>274</v>
      </c>
      <c r="F1485" t="s">
        <v>209</v>
      </c>
      <c r="G1485" t="s">
        <v>226</v>
      </c>
      <c r="H1485">
        <v>345</v>
      </c>
      <c r="I1485" t="str">
        <f t="shared" si="22"/>
        <v>Mini-Banks (Walk-Up and Drive-Through)|C|Low Cost</v>
      </c>
      <c r="J1485" t="s">
        <v>619</v>
      </c>
    </row>
    <row r="1486" spans="2:10">
      <c r="B1486" t="s">
        <v>620</v>
      </c>
      <c r="C1486" t="s">
        <v>621</v>
      </c>
      <c r="D1486" t="s">
        <v>253</v>
      </c>
      <c r="E1486" t="s">
        <v>274</v>
      </c>
      <c r="F1486" t="s">
        <v>214</v>
      </c>
      <c r="G1486" t="s">
        <v>231</v>
      </c>
      <c r="H1486">
        <v>650</v>
      </c>
      <c r="I1486" t="str">
        <f t="shared" si="22"/>
        <v>Mini-Banks (Walk-Up and Drive-Through)|D|Excellent</v>
      </c>
      <c r="J1486" t="s">
        <v>619</v>
      </c>
    </row>
    <row r="1487" spans="2:10">
      <c r="B1487" t="s">
        <v>620</v>
      </c>
      <c r="C1487" t="s">
        <v>621</v>
      </c>
      <c r="D1487" t="s">
        <v>253</v>
      </c>
      <c r="E1487" t="s">
        <v>274</v>
      </c>
      <c r="F1487" t="s">
        <v>214</v>
      </c>
      <c r="G1487" t="s">
        <v>229</v>
      </c>
      <c r="H1487">
        <v>520</v>
      </c>
      <c r="I1487" t="str">
        <f t="shared" si="22"/>
        <v>Mini-Banks (Walk-Up and Drive-Through)|D|Good</v>
      </c>
      <c r="J1487" t="s">
        <v>619</v>
      </c>
    </row>
    <row r="1488" spans="2:10">
      <c r="B1488" t="s">
        <v>620</v>
      </c>
      <c r="C1488" t="s">
        <v>621</v>
      </c>
      <c r="D1488" t="s">
        <v>253</v>
      </c>
      <c r="E1488" t="s">
        <v>274</v>
      </c>
      <c r="F1488" t="s">
        <v>214</v>
      </c>
      <c r="G1488" t="s">
        <v>44</v>
      </c>
      <c r="H1488">
        <v>411</v>
      </c>
      <c r="I1488" t="str">
        <f t="shared" si="22"/>
        <v>Mini-Banks (Walk-Up and Drive-Through)|D|Average</v>
      </c>
      <c r="J1488" t="s">
        <v>619</v>
      </c>
    </row>
    <row r="1489" spans="2:10">
      <c r="B1489" t="s">
        <v>620</v>
      </c>
      <c r="C1489" t="s">
        <v>621</v>
      </c>
      <c r="D1489" t="s">
        <v>253</v>
      </c>
      <c r="E1489" t="s">
        <v>274</v>
      </c>
      <c r="F1489" t="s">
        <v>214</v>
      </c>
      <c r="G1489" t="s">
        <v>226</v>
      </c>
      <c r="H1489">
        <v>332</v>
      </c>
      <c r="I1489" t="str">
        <f t="shared" si="22"/>
        <v>Mini-Banks (Walk-Up and Drive-Through)|D|Low Cost</v>
      </c>
      <c r="J1489" t="s">
        <v>619</v>
      </c>
    </row>
    <row r="1490" spans="2:10">
      <c r="B1490" t="s">
        <v>620</v>
      </c>
      <c r="C1490" t="s">
        <v>621</v>
      </c>
      <c r="D1490" t="s">
        <v>253</v>
      </c>
      <c r="E1490" t="s">
        <v>274</v>
      </c>
      <c r="F1490" t="s">
        <v>219</v>
      </c>
      <c r="G1490" t="s">
        <v>44</v>
      </c>
      <c r="H1490">
        <v>407</v>
      </c>
      <c r="I1490" t="str">
        <f t="shared" si="22"/>
        <v>Mini-Banks (Walk-Up and Drive-Through)|S|Average</v>
      </c>
      <c r="J1490" t="s">
        <v>619</v>
      </c>
    </row>
    <row r="1491" spans="2:10">
      <c r="B1491" t="s">
        <v>622</v>
      </c>
      <c r="C1491" t="s">
        <v>623</v>
      </c>
      <c r="D1491" t="s">
        <v>253</v>
      </c>
      <c r="E1491" t="s">
        <v>276</v>
      </c>
      <c r="F1491" t="s">
        <v>202</v>
      </c>
      <c r="G1491" t="s">
        <v>229</v>
      </c>
      <c r="H1491">
        <v>416</v>
      </c>
      <c r="I1491" t="str">
        <f t="shared" si="22"/>
        <v>Banks, Branch|A|Good</v>
      </c>
      <c r="J1491" t="s">
        <v>624</v>
      </c>
    </row>
    <row r="1492" spans="2:10">
      <c r="B1492" t="s">
        <v>622</v>
      </c>
      <c r="C1492" t="s">
        <v>623</v>
      </c>
      <c r="D1492" t="s">
        <v>253</v>
      </c>
      <c r="E1492" t="s">
        <v>276</v>
      </c>
      <c r="F1492" t="s">
        <v>202</v>
      </c>
      <c r="G1492" t="s">
        <v>44</v>
      </c>
      <c r="H1492">
        <v>327</v>
      </c>
      <c r="I1492" t="str">
        <f t="shared" si="22"/>
        <v>Banks, Branch|A|Average</v>
      </c>
      <c r="J1492" t="s">
        <v>624</v>
      </c>
    </row>
    <row r="1493" spans="2:10">
      <c r="B1493" t="s">
        <v>622</v>
      </c>
      <c r="C1493" t="s">
        <v>623</v>
      </c>
      <c r="D1493" t="s">
        <v>253</v>
      </c>
      <c r="E1493" t="s">
        <v>276</v>
      </c>
      <c r="F1493" t="s">
        <v>202</v>
      </c>
      <c r="G1493" t="s">
        <v>226</v>
      </c>
      <c r="H1493">
        <v>260</v>
      </c>
      <c r="I1493" t="str">
        <f t="shared" si="22"/>
        <v>Banks, Branch|A|Low Cost</v>
      </c>
      <c r="J1493" t="s">
        <v>624</v>
      </c>
    </row>
    <row r="1494" spans="2:10">
      <c r="B1494" t="s">
        <v>622</v>
      </c>
      <c r="C1494" t="s">
        <v>623</v>
      </c>
      <c r="D1494" t="s">
        <v>253</v>
      </c>
      <c r="E1494" t="s">
        <v>276</v>
      </c>
      <c r="F1494" t="s">
        <v>207</v>
      </c>
      <c r="G1494" t="s">
        <v>229</v>
      </c>
      <c r="H1494">
        <v>378</v>
      </c>
      <c r="I1494" t="str">
        <f t="shared" si="22"/>
        <v>Banks, Branch|B|Good</v>
      </c>
      <c r="J1494" t="s">
        <v>624</v>
      </c>
    </row>
    <row r="1495" spans="2:10">
      <c r="B1495" t="s">
        <v>622</v>
      </c>
      <c r="C1495" t="s">
        <v>623</v>
      </c>
      <c r="D1495" t="s">
        <v>253</v>
      </c>
      <c r="E1495" t="s">
        <v>276</v>
      </c>
      <c r="F1495" t="s">
        <v>207</v>
      </c>
      <c r="G1495" t="s">
        <v>44</v>
      </c>
      <c r="H1495">
        <v>296</v>
      </c>
      <c r="I1495" t="str">
        <f t="shared" si="22"/>
        <v>Banks, Branch|B|Average</v>
      </c>
      <c r="J1495" t="s">
        <v>624</v>
      </c>
    </row>
    <row r="1496" spans="2:10">
      <c r="B1496" t="s">
        <v>622</v>
      </c>
      <c r="C1496" t="s">
        <v>623</v>
      </c>
      <c r="D1496" t="s">
        <v>253</v>
      </c>
      <c r="E1496" t="s">
        <v>276</v>
      </c>
      <c r="F1496" t="s">
        <v>207</v>
      </c>
      <c r="G1496" t="s">
        <v>226</v>
      </c>
      <c r="H1496">
        <v>234</v>
      </c>
      <c r="I1496" t="str">
        <f t="shared" si="22"/>
        <v>Banks, Branch|B|Low Cost</v>
      </c>
      <c r="J1496" t="s">
        <v>624</v>
      </c>
    </row>
    <row r="1497" spans="2:10">
      <c r="B1497" t="s">
        <v>622</v>
      </c>
      <c r="C1497" t="s">
        <v>623</v>
      </c>
      <c r="D1497" t="s">
        <v>253</v>
      </c>
      <c r="E1497" t="s">
        <v>276</v>
      </c>
      <c r="F1497" t="s">
        <v>209</v>
      </c>
      <c r="G1497" t="s">
        <v>231</v>
      </c>
      <c r="H1497">
        <v>448</v>
      </c>
      <c r="I1497" t="str">
        <f t="shared" si="22"/>
        <v>Banks, Branch|C|Excellent</v>
      </c>
      <c r="J1497" t="s">
        <v>624</v>
      </c>
    </row>
    <row r="1498" spans="2:10">
      <c r="B1498" t="s">
        <v>622</v>
      </c>
      <c r="C1498" t="s">
        <v>623</v>
      </c>
      <c r="D1498" t="s">
        <v>253</v>
      </c>
      <c r="E1498" t="s">
        <v>276</v>
      </c>
      <c r="F1498" t="s">
        <v>209</v>
      </c>
      <c r="G1498" t="s">
        <v>229</v>
      </c>
      <c r="H1498">
        <v>326</v>
      </c>
      <c r="I1498" t="str">
        <f t="shared" si="22"/>
        <v>Banks, Branch|C|Good</v>
      </c>
      <c r="J1498" t="s">
        <v>624</v>
      </c>
    </row>
    <row r="1499" spans="2:10">
      <c r="B1499" t="s">
        <v>622</v>
      </c>
      <c r="C1499" t="s">
        <v>623</v>
      </c>
      <c r="D1499" t="s">
        <v>253</v>
      </c>
      <c r="E1499" t="s">
        <v>276</v>
      </c>
      <c r="F1499" t="s">
        <v>209</v>
      </c>
      <c r="G1499" t="s">
        <v>44</v>
      </c>
      <c r="H1499">
        <v>236</v>
      </c>
      <c r="I1499" t="str">
        <f t="shared" si="22"/>
        <v>Banks, Branch|C|Average</v>
      </c>
      <c r="J1499" t="s">
        <v>624</v>
      </c>
    </row>
    <row r="1500" spans="2:10">
      <c r="B1500" t="s">
        <v>622</v>
      </c>
      <c r="C1500" t="s">
        <v>623</v>
      </c>
      <c r="D1500" t="s">
        <v>253</v>
      </c>
      <c r="E1500" t="s">
        <v>276</v>
      </c>
      <c r="F1500" t="s">
        <v>209</v>
      </c>
      <c r="G1500" t="s">
        <v>226</v>
      </c>
      <c r="H1500">
        <v>177</v>
      </c>
      <c r="I1500" t="str">
        <f t="shared" si="22"/>
        <v>Banks, Branch|C|Low Cost</v>
      </c>
      <c r="J1500" t="s">
        <v>624</v>
      </c>
    </row>
    <row r="1501" spans="2:10">
      <c r="B1501" t="s">
        <v>622</v>
      </c>
      <c r="C1501" t="s">
        <v>623</v>
      </c>
      <c r="D1501" t="s">
        <v>253</v>
      </c>
      <c r="E1501" t="s">
        <v>276</v>
      </c>
      <c r="F1501" t="s">
        <v>214</v>
      </c>
      <c r="G1501" t="s">
        <v>231</v>
      </c>
      <c r="H1501">
        <v>423</v>
      </c>
      <c r="I1501" t="str">
        <f t="shared" si="22"/>
        <v>Banks, Branch|D|Excellent</v>
      </c>
      <c r="J1501" t="s">
        <v>624</v>
      </c>
    </row>
    <row r="1502" spans="2:10">
      <c r="B1502" t="s">
        <v>622</v>
      </c>
      <c r="C1502" t="s">
        <v>623</v>
      </c>
      <c r="D1502" t="s">
        <v>253</v>
      </c>
      <c r="E1502" t="s">
        <v>276</v>
      </c>
      <c r="F1502" t="s">
        <v>214</v>
      </c>
      <c r="G1502" t="s">
        <v>229</v>
      </c>
      <c r="H1502">
        <v>308</v>
      </c>
      <c r="I1502" t="str">
        <f t="shared" ref="I1502:I1565" si="23">B1502&amp;"|"&amp;F1502&amp;"|"&amp;G1502</f>
        <v>Banks, Branch|D|Good</v>
      </c>
      <c r="J1502" t="s">
        <v>624</v>
      </c>
    </row>
    <row r="1503" spans="2:10">
      <c r="B1503" t="s">
        <v>622</v>
      </c>
      <c r="C1503" t="s">
        <v>623</v>
      </c>
      <c r="D1503" t="s">
        <v>253</v>
      </c>
      <c r="E1503" t="s">
        <v>276</v>
      </c>
      <c r="F1503" t="s">
        <v>214</v>
      </c>
      <c r="G1503" t="s">
        <v>44</v>
      </c>
      <c r="H1503">
        <v>223</v>
      </c>
      <c r="I1503" t="str">
        <f t="shared" si="23"/>
        <v>Banks, Branch|D|Average</v>
      </c>
      <c r="J1503" t="s">
        <v>624</v>
      </c>
    </row>
    <row r="1504" spans="2:10">
      <c r="B1504" t="s">
        <v>622</v>
      </c>
      <c r="C1504" t="s">
        <v>623</v>
      </c>
      <c r="D1504" t="s">
        <v>253</v>
      </c>
      <c r="E1504" t="s">
        <v>276</v>
      </c>
      <c r="F1504" t="s">
        <v>214</v>
      </c>
      <c r="G1504" t="s">
        <v>226</v>
      </c>
      <c r="H1504">
        <v>168</v>
      </c>
      <c r="I1504" t="str">
        <f t="shared" si="23"/>
        <v>Banks, Branch|D|Low Cost</v>
      </c>
      <c r="J1504" t="s">
        <v>624</v>
      </c>
    </row>
    <row r="1505" spans="2:10">
      <c r="B1505" t="s">
        <v>622</v>
      </c>
      <c r="C1505" t="s">
        <v>623</v>
      </c>
      <c r="D1505" t="s">
        <v>253</v>
      </c>
      <c r="E1505" t="s">
        <v>276</v>
      </c>
      <c r="F1505" t="s">
        <v>219</v>
      </c>
      <c r="G1505" t="s">
        <v>229</v>
      </c>
      <c r="H1505">
        <v>288</v>
      </c>
      <c r="I1505" t="str">
        <f t="shared" si="23"/>
        <v>Banks, Branch|S|Good</v>
      </c>
      <c r="J1505" t="s">
        <v>624</v>
      </c>
    </row>
    <row r="1506" spans="2:10">
      <c r="B1506" t="s">
        <v>622</v>
      </c>
      <c r="C1506" t="s">
        <v>623</v>
      </c>
      <c r="D1506" t="s">
        <v>253</v>
      </c>
      <c r="E1506" t="s">
        <v>276</v>
      </c>
      <c r="F1506" t="s">
        <v>219</v>
      </c>
      <c r="G1506" t="s">
        <v>44</v>
      </c>
      <c r="H1506">
        <v>218</v>
      </c>
      <c r="I1506" t="str">
        <f t="shared" si="23"/>
        <v>Banks, Branch|S|Average</v>
      </c>
      <c r="J1506" t="s">
        <v>624</v>
      </c>
    </row>
    <row r="1507" spans="2:10">
      <c r="B1507" t="s">
        <v>622</v>
      </c>
      <c r="C1507" t="s">
        <v>623</v>
      </c>
      <c r="D1507" t="s">
        <v>253</v>
      </c>
      <c r="E1507" t="s">
        <v>276</v>
      </c>
      <c r="F1507" t="s">
        <v>219</v>
      </c>
      <c r="G1507" t="s">
        <v>226</v>
      </c>
      <c r="H1507">
        <v>167</v>
      </c>
      <c r="I1507" t="str">
        <f t="shared" si="23"/>
        <v>Banks, Branch|S|Low Cost</v>
      </c>
      <c r="J1507" t="s">
        <v>624</v>
      </c>
    </row>
    <row r="1508" spans="2:10">
      <c r="B1508" t="s">
        <v>625</v>
      </c>
      <c r="C1508" t="s">
        <v>626</v>
      </c>
      <c r="D1508" t="s">
        <v>253</v>
      </c>
      <c r="E1508" t="s">
        <v>280</v>
      </c>
      <c r="F1508" t="s">
        <v>202</v>
      </c>
      <c r="G1508" t="s">
        <v>231</v>
      </c>
      <c r="H1508">
        <v>438</v>
      </c>
      <c r="I1508" t="str">
        <f t="shared" si="23"/>
        <v>Medical Office Buildings|A|Excellent</v>
      </c>
      <c r="J1508" t="s">
        <v>627</v>
      </c>
    </row>
    <row r="1509" spans="2:10">
      <c r="B1509" t="s">
        <v>625</v>
      </c>
      <c r="C1509" t="s">
        <v>626</v>
      </c>
      <c r="D1509" t="s">
        <v>253</v>
      </c>
      <c r="E1509" t="s">
        <v>280</v>
      </c>
      <c r="F1509" t="s">
        <v>202</v>
      </c>
      <c r="G1509" t="s">
        <v>229</v>
      </c>
      <c r="H1509">
        <v>351</v>
      </c>
      <c r="I1509" t="str">
        <f t="shared" si="23"/>
        <v>Medical Office Buildings|A|Good</v>
      </c>
      <c r="J1509" t="s">
        <v>627</v>
      </c>
    </row>
    <row r="1510" spans="2:10">
      <c r="B1510" t="s">
        <v>625</v>
      </c>
      <c r="C1510" t="s">
        <v>626</v>
      </c>
      <c r="D1510" t="s">
        <v>253</v>
      </c>
      <c r="E1510" t="s">
        <v>280</v>
      </c>
      <c r="F1510" t="s">
        <v>202</v>
      </c>
      <c r="G1510" t="s">
        <v>44</v>
      </c>
      <c r="H1510">
        <v>270</v>
      </c>
      <c r="I1510" t="str">
        <f t="shared" si="23"/>
        <v>Medical Office Buildings|A|Average</v>
      </c>
      <c r="J1510" t="s">
        <v>627</v>
      </c>
    </row>
    <row r="1511" spans="2:10">
      <c r="B1511" t="s">
        <v>625</v>
      </c>
      <c r="C1511" t="s">
        <v>626</v>
      </c>
      <c r="D1511" t="s">
        <v>253</v>
      </c>
      <c r="E1511" t="s">
        <v>280</v>
      </c>
      <c r="F1511" t="s">
        <v>202</v>
      </c>
      <c r="G1511" t="s">
        <v>226</v>
      </c>
      <c r="H1511">
        <v>207</v>
      </c>
      <c r="I1511" t="str">
        <f t="shared" si="23"/>
        <v>Medical Office Buildings|A|Low Cost</v>
      </c>
      <c r="J1511" t="s">
        <v>627</v>
      </c>
    </row>
    <row r="1512" spans="2:10">
      <c r="B1512" t="s">
        <v>625</v>
      </c>
      <c r="C1512" t="s">
        <v>626</v>
      </c>
      <c r="D1512" t="s">
        <v>253</v>
      </c>
      <c r="E1512" t="s">
        <v>280</v>
      </c>
      <c r="F1512" t="s">
        <v>207</v>
      </c>
      <c r="G1512" t="s">
        <v>231</v>
      </c>
      <c r="H1512">
        <v>402</v>
      </c>
      <c r="I1512" t="str">
        <f t="shared" si="23"/>
        <v>Medical Office Buildings|B|Excellent</v>
      </c>
      <c r="J1512" t="s">
        <v>627</v>
      </c>
    </row>
    <row r="1513" spans="2:10">
      <c r="B1513" t="s">
        <v>625</v>
      </c>
      <c r="C1513" t="s">
        <v>626</v>
      </c>
      <c r="D1513" t="s">
        <v>253</v>
      </c>
      <c r="E1513" t="s">
        <v>280</v>
      </c>
      <c r="F1513" t="s">
        <v>207</v>
      </c>
      <c r="G1513" t="s">
        <v>229</v>
      </c>
      <c r="H1513">
        <v>322</v>
      </c>
      <c r="I1513" t="str">
        <f t="shared" si="23"/>
        <v>Medical Office Buildings|B|Good</v>
      </c>
      <c r="J1513" t="s">
        <v>627</v>
      </c>
    </row>
    <row r="1514" spans="2:10">
      <c r="B1514" t="s">
        <v>625</v>
      </c>
      <c r="C1514" t="s">
        <v>626</v>
      </c>
      <c r="D1514" t="s">
        <v>253</v>
      </c>
      <c r="E1514" t="s">
        <v>280</v>
      </c>
      <c r="F1514" t="s">
        <v>207</v>
      </c>
      <c r="G1514" t="s">
        <v>44</v>
      </c>
      <c r="H1514">
        <v>246</v>
      </c>
      <c r="I1514" t="str">
        <f t="shared" si="23"/>
        <v>Medical Office Buildings|B|Average</v>
      </c>
      <c r="J1514" t="s">
        <v>627</v>
      </c>
    </row>
    <row r="1515" spans="2:10">
      <c r="B1515" t="s">
        <v>625</v>
      </c>
      <c r="C1515" t="s">
        <v>626</v>
      </c>
      <c r="D1515" t="s">
        <v>253</v>
      </c>
      <c r="E1515" t="s">
        <v>280</v>
      </c>
      <c r="F1515" t="s">
        <v>207</v>
      </c>
      <c r="G1515" t="s">
        <v>226</v>
      </c>
      <c r="H1515">
        <v>187</v>
      </c>
      <c r="I1515" t="str">
        <f t="shared" si="23"/>
        <v>Medical Office Buildings|B|Low Cost</v>
      </c>
      <c r="J1515" t="s">
        <v>627</v>
      </c>
    </row>
    <row r="1516" spans="2:10">
      <c r="B1516" t="s">
        <v>625</v>
      </c>
      <c r="C1516" t="s">
        <v>626</v>
      </c>
      <c r="D1516" t="s">
        <v>253</v>
      </c>
      <c r="E1516" t="s">
        <v>280</v>
      </c>
      <c r="F1516" t="s">
        <v>209</v>
      </c>
      <c r="G1516" t="s">
        <v>231</v>
      </c>
      <c r="H1516">
        <v>344</v>
      </c>
      <c r="I1516" t="str">
        <f t="shared" si="23"/>
        <v>Medical Office Buildings|C|Excellent</v>
      </c>
      <c r="J1516" t="s">
        <v>627</v>
      </c>
    </row>
    <row r="1517" spans="2:10">
      <c r="B1517" t="s">
        <v>625</v>
      </c>
      <c r="C1517" t="s">
        <v>626</v>
      </c>
      <c r="D1517" t="s">
        <v>253</v>
      </c>
      <c r="E1517" t="s">
        <v>280</v>
      </c>
      <c r="F1517" t="s">
        <v>209</v>
      </c>
      <c r="G1517" t="s">
        <v>229</v>
      </c>
      <c r="H1517">
        <v>261</v>
      </c>
      <c r="I1517" t="str">
        <f t="shared" si="23"/>
        <v>Medical Office Buildings|C|Good</v>
      </c>
      <c r="J1517" t="s">
        <v>627</v>
      </c>
    </row>
    <row r="1518" spans="2:10">
      <c r="B1518" t="s">
        <v>625</v>
      </c>
      <c r="C1518" t="s">
        <v>626</v>
      </c>
      <c r="D1518" t="s">
        <v>253</v>
      </c>
      <c r="E1518" t="s">
        <v>280</v>
      </c>
      <c r="F1518" t="s">
        <v>209</v>
      </c>
      <c r="G1518" t="s">
        <v>44</v>
      </c>
      <c r="H1518">
        <v>198</v>
      </c>
      <c r="I1518" t="str">
        <f t="shared" si="23"/>
        <v>Medical Office Buildings|C|Average</v>
      </c>
      <c r="J1518" t="s">
        <v>627</v>
      </c>
    </row>
    <row r="1519" spans="2:10">
      <c r="B1519" t="s">
        <v>625</v>
      </c>
      <c r="C1519" t="s">
        <v>626</v>
      </c>
      <c r="D1519" t="s">
        <v>253</v>
      </c>
      <c r="E1519" t="s">
        <v>280</v>
      </c>
      <c r="F1519" t="s">
        <v>209</v>
      </c>
      <c r="G1519" t="s">
        <v>226</v>
      </c>
      <c r="H1519">
        <v>150</v>
      </c>
      <c r="I1519" t="str">
        <f t="shared" si="23"/>
        <v>Medical Office Buildings|C|Low Cost</v>
      </c>
      <c r="J1519" t="s">
        <v>627</v>
      </c>
    </row>
    <row r="1520" spans="2:10">
      <c r="B1520" t="s">
        <v>625</v>
      </c>
      <c r="C1520" t="s">
        <v>626</v>
      </c>
      <c r="D1520" t="s">
        <v>253</v>
      </c>
      <c r="E1520" t="s">
        <v>280</v>
      </c>
      <c r="F1520" t="s">
        <v>214</v>
      </c>
      <c r="G1520" t="s">
        <v>231</v>
      </c>
      <c r="H1520">
        <v>314</v>
      </c>
      <c r="I1520" t="str">
        <f t="shared" si="23"/>
        <v>Medical Office Buildings|D|Excellent</v>
      </c>
      <c r="J1520" t="s">
        <v>627</v>
      </c>
    </row>
    <row r="1521" spans="2:10">
      <c r="B1521" t="s">
        <v>625</v>
      </c>
      <c r="C1521" t="s">
        <v>626</v>
      </c>
      <c r="D1521" t="s">
        <v>253</v>
      </c>
      <c r="E1521" t="s">
        <v>280</v>
      </c>
      <c r="F1521" t="s">
        <v>214</v>
      </c>
      <c r="G1521" t="s">
        <v>229</v>
      </c>
      <c r="H1521">
        <v>249</v>
      </c>
      <c r="I1521" t="str">
        <f t="shared" si="23"/>
        <v>Medical Office Buildings|D|Good</v>
      </c>
      <c r="J1521" t="s">
        <v>627</v>
      </c>
    </row>
    <row r="1522" spans="2:10">
      <c r="B1522" t="s">
        <v>625</v>
      </c>
      <c r="C1522" t="s">
        <v>626</v>
      </c>
      <c r="D1522" t="s">
        <v>253</v>
      </c>
      <c r="E1522" t="s">
        <v>280</v>
      </c>
      <c r="F1522" t="s">
        <v>214</v>
      </c>
      <c r="G1522" t="s">
        <v>44</v>
      </c>
      <c r="H1522">
        <v>189</v>
      </c>
      <c r="I1522" t="str">
        <f t="shared" si="23"/>
        <v>Medical Office Buildings|D|Average</v>
      </c>
      <c r="J1522" t="s">
        <v>627</v>
      </c>
    </row>
    <row r="1523" spans="2:10">
      <c r="B1523" t="s">
        <v>625</v>
      </c>
      <c r="C1523" t="s">
        <v>626</v>
      </c>
      <c r="D1523" t="s">
        <v>253</v>
      </c>
      <c r="E1523" t="s">
        <v>280</v>
      </c>
      <c r="F1523" t="s">
        <v>214</v>
      </c>
      <c r="G1523" t="s">
        <v>226</v>
      </c>
      <c r="H1523">
        <v>144</v>
      </c>
      <c r="I1523" t="str">
        <f t="shared" si="23"/>
        <v>Medical Office Buildings|D|Low Cost</v>
      </c>
      <c r="J1523" t="s">
        <v>627</v>
      </c>
    </row>
    <row r="1524" spans="2:10">
      <c r="B1524" t="s">
        <v>625</v>
      </c>
      <c r="C1524" t="s">
        <v>626</v>
      </c>
      <c r="D1524" t="s">
        <v>253</v>
      </c>
      <c r="E1524" t="s">
        <v>280</v>
      </c>
      <c r="F1524" t="s">
        <v>313</v>
      </c>
      <c r="G1524" t="s">
        <v>226</v>
      </c>
      <c r="H1524">
        <v>132</v>
      </c>
      <c r="I1524" t="str">
        <f t="shared" si="23"/>
        <v>Medical Office Buildings|DPOLE|Low Cost</v>
      </c>
      <c r="J1524" t="s">
        <v>627</v>
      </c>
    </row>
    <row r="1525" spans="2:10">
      <c r="B1525" t="s">
        <v>625</v>
      </c>
      <c r="C1525" t="s">
        <v>626</v>
      </c>
      <c r="D1525" t="s">
        <v>253</v>
      </c>
      <c r="E1525" t="s">
        <v>280</v>
      </c>
      <c r="F1525" t="s">
        <v>219</v>
      </c>
      <c r="G1525" t="s">
        <v>229</v>
      </c>
      <c r="H1525">
        <v>242</v>
      </c>
      <c r="I1525" t="str">
        <f t="shared" si="23"/>
        <v>Medical Office Buildings|S|Good</v>
      </c>
      <c r="J1525" t="s">
        <v>627</v>
      </c>
    </row>
    <row r="1526" spans="2:10">
      <c r="B1526" t="s">
        <v>625</v>
      </c>
      <c r="C1526" t="s">
        <v>626</v>
      </c>
      <c r="D1526" t="s">
        <v>253</v>
      </c>
      <c r="E1526" t="s">
        <v>280</v>
      </c>
      <c r="F1526" t="s">
        <v>219</v>
      </c>
      <c r="G1526" t="s">
        <v>44</v>
      </c>
      <c r="H1526">
        <v>177</v>
      </c>
      <c r="I1526" t="str">
        <f t="shared" si="23"/>
        <v>Medical Office Buildings|S|Average</v>
      </c>
      <c r="J1526" t="s">
        <v>627</v>
      </c>
    </row>
    <row r="1527" spans="2:10">
      <c r="B1527" t="s">
        <v>625</v>
      </c>
      <c r="C1527" t="s">
        <v>626</v>
      </c>
      <c r="D1527" t="s">
        <v>253</v>
      </c>
      <c r="E1527" t="s">
        <v>280</v>
      </c>
      <c r="F1527" t="s">
        <v>219</v>
      </c>
      <c r="G1527" t="s">
        <v>226</v>
      </c>
      <c r="H1527">
        <v>135</v>
      </c>
      <c r="I1527" t="str">
        <f t="shared" si="23"/>
        <v>Medical Office Buildings|S|Low Cost</v>
      </c>
      <c r="J1527" t="s">
        <v>627</v>
      </c>
    </row>
    <row r="1528" spans="2:10">
      <c r="B1528" t="s">
        <v>628</v>
      </c>
      <c r="C1528" t="s">
        <v>629</v>
      </c>
      <c r="D1528" t="s">
        <v>253</v>
      </c>
      <c r="E1528" t="s">
        <v>284</v>
      </c>
      <c r="F1528" t="s">
        <v>209</v>
      </c>
      <c r="G1528" t="s">
        <v>231</v>
      </c>
      <c r="H1528">
        <v>346</v>
      </c>
      <c r="I1528" t="str">
        <f t="shared" si="23"/>
        <v>Dental Clinics|C|Excellent</v>
      </c>
      <c r="J1528" t="s">
        <v>630</v>
      </c>
    </row>
    <row r="1529" spans="2:10">
      <c r="B1529" t="s">
        <v>628</v>
      </c>
      <c r="C1529" t="s">
        <v>629</v>
      </c>
      <c r="D1529" t="s">
        <v>253</v>
      </c>
      <c r="E1529" t="s">
        <v>284</v>
      </c>
      <c r="F1529" t="s">
        <v>209</v>
      </c>
      <c r="G1529" t="s">
        <v>229</v>
      </c>
      <c r="H1529">
        <v>265</v>
      </c>
      <c r="I1529" t="str">
        <f t="shared" si="23"/>
        <v>Dental Clinics|C|Good</v>
      </c>
      <c r="J1529" t="s">
        <v>630</v>
      </c>
    </row>
    <row r="1530" spans="2:10">
      <c r="B1530" t="s">
        <v>628</v>
      </c>
      <c r="C1530" t="s">
        <v>629</v>
      </c>
      <c r="D1530" t="s">
        <v>253</v>
      </c>
      <c r="E1530" t="s">
        <v>284</v>
      </c>
      <c r="F1530" t="s">
        <v>209</v>
      </c>
      <c r="G1530" t="s">
        <v>44</v>
      </c>
      <c r="H1530">
        <v>202</v>
      </c>
      <c r="I1530" t="str">
        <f t="shared" si="23"/>
        <v>Dental Clinics|C|Average</v>
      </c>
      <c r="J1530" t="s">
        <v>630</v>
      </c>
    </row>
    <row r="1531" spans="2:10">
      <c r="B1531" t="s">
        <v>628</v>
      </c>
      <c r="C1531" t="s">
        <v>629</v>
      </c>
      <c r="D1531" t="s">
        <v>253</v>
      </c>
      <c r="E1531" t="s">
        <v>284</v>
      </c>
      <c r="F1531" t="s">
        <v>209</v>
      </c>
      <c r="G1531" t="s">
        <v>226</v>
      </c>
      <c r="H1531">
        <v>154</v>
      </c>
      <c r="I1531" t="str">
        <f t="shared" si="23"/>
        <v>Dental Clinics|C|Low Cost</v>
      </c>
      <c r="J1531" t="s">
        <v>630</v>
      </c>
    </row>
    <row r="1532" spans="2:10">
      <c r="B1532" t="s">
        <v>628</v>
      </c>
      <c r="C1532" t="s">
        <v>629</v>
      </c>
      <c r="D1532" t="s">
        <v>253</v>
      </c>
      <c r="E1532" t="s">
        <v>284</v>
      </c>
      <c r="F1532" t="s">
        <v>214</v>
      </c>
      <c r="G1532" t="s">
        <v>231</v>
      </c>
      <c r="H1532">
        <v>332</v>
      </c>
      <c r="I1532" t="str">
        <f t="shared" si="23"/>
        <v>Dental Clinics|D|Excellent</v>
      </c>
      <c r="J1532" t="s">
        <v>630</v>
      </c>
    </row>
    <row r="1533" spans="2:10">
      <c r="B1533" t="s">
        <v>628</v>
      </c>
      <c r="C1533" t="s">
        <v>629</v>
      </c>
      <c r="D1533" t="s">
        <v>253</v>
      </c>
      <c r="E1533" t="s">
        <v>284</v>
      </c>
      <c r="F1533" t="s">
        <v>214</v>
      </c>
      <c r="G1533" t="s">
        <v>229</v>
      </c>
      <c r="H1533">
        <v>254</v>
      </c>
      <c r="I1533" t="str">
        <f t="shared" si="23"/>
        <v>Dental Clinics|D|Good</v>
      </c>
      <c r="J1533" t="s">
        <v>630</v>
      </c>
    </row>
    <row r="1534" spans="2:10">
      <c r="B1534" t="s">
        <v>628</v>
      </c>
      <c r="C1534" t="s">
        <v>629</v>
      </c>
      <c r="D1534" t="s">
        <v>253</v>
      </c>
      <c r="E1534" t="s">
        <v>284</v>
      </c>
      <c r="F1534" t="s">
        <v>214</v>
      </c>
      <c r="G1534" t="s">
        <v>44</v>
      </c>
      <c r="H1534">
        <v>194</v>
      </c>
      <c r="I1534" t="str">
        <f t="shared" si="23"/>
        <v>Dental Clinics|D|Average</v>
      </c>
      <c r="J1534" t="s">
        <v>630</v>
      </c>
    </row>
    <row r="1535" spans="2:10">
      <c r="B1535" t="s">
        <v>628</v>
      </c>
      <c r="C1535" t="s">
        <v>629</v>
      </c>
      <c r="D1535" t="s">
        <v>253</v>
      </c>
      <c r="E1535" t="s">
        <v>284</v>
      </c>
      <c r="F1535" t="s">
        <v>214</v>
      </c>
      <c r="G1535" t="s">
        <v>226</v>
      </c>
      <c r="H1535">
        <v>147</v>
      </c>
      <c r="I1535" t="str">
        <f t="shared" si="23"/>
        <v>Dental Clinics|D|Low Cost</v>
      </c>
      <c r="J1535" t="s">
        <v>630</v>
      </c>
    </row>
    <row r="1536" spans="2:10">
      <c r="B1536" t="s">
        <v>628</v>
      </c>
      <c r="C1536" t="s">
        <v>629</v>
      </c>
      <c r="D1536" t="s">
        <v>253</v>
      </c>
      <c r="E1536" t="s">
        <v>284</v>
      </c>
      <c r="F1536" t="s">
        <v>313</v>
      </c>
      <c r="G1536" t="s">
        <v>44</v>
      </c>
      <c r="H1536">
        <v>181</v>
      </c>
      <c r="I1536" t="str">
        <f t="shared" si="23"/>
        <v>Dental Clinics|DPOLE|Average</v>
      </c>
      <c r="J1536" t="s">
        <v>630</v>
      </c>
    </row>
    <row r="1537" spans="2:10">
      <c r="B1537" t="s">
        <v>628</v>
      </c>
      <c r="C1537" t="s">
        <v>629</v>
      </c>
      <c r="D1537" t="s">
        <v>253</v>
      </c>
      <c r="E1537" t="s">
        <v>284</v>
      </c>
      <c r="F1537" t="s">
        <v>313</v>
      </c>
      <c r="G1537" t="s">
        <v>226</v>
      </c>
      <c r="H1537">
        <v>135</v>
      </c>
      <c r="I1537" t="str">
        <f t="shared" si="23"/>
        <v>Dental Clinics|DPOLE|Low Cost</v>
      </c>
      <c r="J1537" t="s">
        <v>630</v>
      </c>
    </row>
    <row r="1538" spans="2:10">
      <c r="B1538" t="s">
        <v>628</v>
      </c>
      <c r="C1538" t="s">
        <v>629</v>
      </c>
      <c r="D1538" t="s">
        <v>253</v>
      </c>
      <c r="E1538" t="s">
        <v>284</v>
      </c>
      <c r="F1538" t="s">
        <v>219</v>
      </c>
      <c r="G1538" t="s">
        <v>229</v>
      </c>
      <c r="H1538">
        <v>246</v>
      </c>
      <c r="I1538" t="str">
        <f t="shared" si="23"/>
        <v>Dental Clinics|S|Good</v>
      </c>
      <c r="J1538" t="s">
        <v>630</v>
      </c>
    </row>
    <row r="1539" spans="2:10">
      <c r="B1539" t="s">
        <v>628</v>
      </c>
      <c r="C1539" t="s">
        <v>629</v>
      </c>
      <c r="D1539" t="s">
        <v>253</v>
      </c>
      <c r="E1539" t="s">
        <v>284</v>
      </c>
      <c r="F1539" t="s">
        <v>219</v>
      </c>
      <c r="G1539" t="s">
        <v>44</v>
      </c>
      <c r="H1539">
        <v>185</v>
      </c>
      <c r="I1539" t="str">
        <f t="shared" si="23"/>
        <v>Dental Clinics|S|Average</v>
      </c>
      <c r="J1539" t="s">
        <v>630</v>
      </c>
    </row>
    <row r="1540" spans="2:10">
      <c r="B1540" t="s">
        <v>628</v>
      </c>
      <c r="C1540" t="s">
        <v>629</v>
      </c>
      <c r="D1540" t="s">
        <v>253</v>
      </c>
      <c r="E1540" t="s">
        <v>284</v>
      </c>
      <c r="F1540" t="s">
        <v>219</v>
      </c>
      <c r="G1540" t="s">
        <v>226</v>
      </c>
      <c r="H1540">
        <v>139</v>
      </c>
      <c r="I1540" t="str">
        <f t="shared" si="23"/>
        <v>Dental Clinics|S|Low Cost</v>
      </c>
      <c r="J1540" t="s">
        <v>630</v>
      </c>
    </row>
    <row r="1541" spans="2:10">
      <c r="B1541" t="s">
        <v>631</v>
      </c>
      <c r="C1541" t="s">
        <v>632</v>
      </c>
      <c r="D1541" t="s">
        <v>253</v>
      </c>
      <c r="E1541" t="s">
        <v>284</v>
      </c>
      <c r="F1541" t="s">
        <v>270</v>
      </c>
      <c r="G1541" t="s">
        <v>229</v>
      </c>
      <c r="H1541">
        <v>244</v>
      </c>
      <c r="I1541" t="str">
        <f t="shared" si="23"/>
        <v>Urgent Care Clinics|A-B|Good</v>
      </c>
      <c r="J1541" t="s">
        <v>630</v>
      </c>
    </row>
    <row r="1542" spans="2:10">
      <c r="B1542" t="s">
        <v>631</v>
      </c>
      <c r="C1542" t="s">
        <v>632</v>
      </c>
      <c r="D1542" t="s">
        <v>253</v>
      </c>
      <c r="E1542" t="s">
        <v>284</v>
      </c>
      <c r="F1542" t="s">
        <v>270</v>
      </c>
      <c r="G1542" t="s">
        <v>44</v>
      </c>
      <c r="H1542">
        <v>201</v>
      </c>
      <c r="I1542" t="str">
        <f t="shared" si="23"/>
        <v>Urgent Care Clinics|A-B|Average</v>
      </c>
      <c r="J1542" t="s">
        <v>630</v>
      </c>
    </row>
    <row r="1543" spans="2:10">
      <c r="B1543" t="s">
        <v>631</v>
      </c>
      <c r="C1543" t="s">
        <v>632</v>
      </c>
      <c r="D1543" t="s">
        <v>253</v>
      </c>
      <c r="E1543" t="s">
        <v>284</v>
      </c>
      <c r="F1543" t="s">
        <v>209</v>
      </c>
      <c r="G1543" t="s">
        <v>231</v>
      </c>
      <c r="H1543">
        <v>248</v>
      </c>
      <c r="I1543" t="str">
        <f t="shared" si="23"/>
        <v>Urgent Care Clinics|C|Excellent</v>
      </c>
      <c r="J1543" t="s">
        <v>630</v>
      </c>
    </row>
    <row r="1544" spans="2:10">
      <c r="B1544" t="s">
        <v>631</v>
      </c>
      <c r="C1544" t="s">
        <v>632</v>
      </c>
      <c r="D1544" t="s">
        <v>253</v>
      </c>
      <c r="E1544" t="s">
        <v>284</v>
      </c>
      <c r="F1544" t="s">
        <v>209</v>
      </c>
      <c r="G1544" t="s">
        <v>229</v>
      </c>
      <c r="H1544">
        <v>190</v>
      </c>
      <c r="I1544" t="str">
        <f t="shared" si="23"/>
        <v>Urgent Care Clinics|C|Good</v>
      </c>
      <c r="J1544" t="s">
        <v>630</v>
      </c>
    </row>
    <row r="1545" spans="2:10">
      <c r="B1545" t="s">
        <v>631</v>
      </c>
      <c r="C1545" t="s">
        <v>632</v>
      </c>
      <c r="D1545" t="s">
        <v>253</v>
      </c>
      <c r="E1545" t="s">
        <v>284</v>
      </c>
      <c r="F1545" t="s">
        <v>209</v>
      </c>
      <c r="G1545" t="s">
        <v>44</v>
      </c>
      <c r="H1545">
        <v>148</v>
      </c>
      <c r="I1545" t="str">
        <f t="shared" si="23"/>
        <v>Urgent Care Clinics|C|Average</v>
      </c>
      <c r="J1545" t="s">
        <v>630</v>
      </c>
    </row>
    <row r="1546" spans="2:10">
      <c r="B1546" t="s">
        <v>631</v>
      </c>
      <c r="C1546" t="s">
        <v>632</v>
      </c>
      <c r="D1546" t="s">
        <v>253</v>
      </c>
      <c r="E1546" t="s">
        <v>284</v>
      </c>
      <c r="F1546" t="s">
        <v>214</v>
      </c>
      <c r="G1546" t="s">
        <v>231</v>
      </c>
      <c r="H1546">
        <v>236</v>
      </c>
      <c r="I1546" t="str">
        <f t="shared" si="23"/>
        <v>Urgent Care Clinics|D|Excellent</v>
      </c>
      <c r="J1546" t="s">
        <v>630</v>
      </c>
    </row>
    <row r="1547" spans="2:10">
      <c r="B1547" t="s">
        <v>631</v>
      </c>
      <c r="C1547" t="s">
        <v>632</v>
      </c>
      <c r="D1547" t="s">
        <v>253</v>
      </c>
      <c r="E1547" t="s">
        <v>284</v>
      </c>
      <c r="F1547" t="s">
        <v>214</v>
      </c>
      <c r="G1547" t="s">
        <v>229</v>
      </c>
      <c r="H1547">
        <v>180</v>
      </c>
      <c r="I1547" t="str">
        <f t="shared" si="23"/>
        <v>Urgent Care Clinics|D|Good</v>
      </c>
      <c r="J1547" t="s">
        <v>630</v>
      </c>
    </row>
    <row r="1548" spans="2:10">
      <c r="B1548" t="s">
        <v>631</v>
      </c>
      <c r="C1548" t="s">
        <v>632</v>
      </c>
      <c r="D1548" t="s">
        <v>253</v>
      </c>
      <c r="E1548" t="s">
        <v>284</v>
      </c>
      <c r="F1548" t="s">
        <v>214</v>
      </c>
      <c r="G1548" t="s">
        <v>44</v>
      </c>
      <c r="H1548">
        <v>140</v>
      </c>
      <c r="I1548" t="str">
        <f t="shared" si="23"/>
        <v>Urgent Care Clinics|D|Average</v>
      </c>
      <c r="J1548" t="s">
        <v>630</v>
      </c>
    </row>
    <row r="1549" spans="2:10">
      <c r="B1549" t="s">
        <v>631</v>
      </c>
      <c r="C1549" t="s">
        <v>632</v>
      </c>
      <c r="D1549" t="s">
        <v>253</v>
      </c>
      <c r="E1549" t="s">
        <v>284</v>
      </c>
      <c r="F1549" t="s">
        <v>219</v>
      </c>
      <c r="G1549" t="s">
        <v>44</v>
      </c>
      <c r="H1549">
        <v>135</v>
      </c>
      <c r="I1549" t="str">
        <f t="shared" si="23"/>
        <v>Urgent Care Clinics|S|Average</v>
      </c>
      <c r="J1549" t="s">
        <v>630</v>
      </c>
    </row>
    <row r="1550" spans="2:10">
      <c r="B1550" t="s">
        <v>633</v>
      </c>
      <c r="C1550" t="s">
        <v>634</v>
      </c>
      <c r="D1550" t="s">
        <v>253</v>
      </c>
      <c r="E1550" t="s">
        <v>286</v>
      </c>
      <c r="F1550" t="s">
        <v>202</v>
      </c>
      <c r="G1550" t="s">
        <v>231</v>
      </c>
      <c r="H1550">
        <v>735</v>
      </c>
      <c r="I1550" t="str">
        <f t="shared" si="23"/>
        <v>General Hospitals|A|Excellent</v>
      </c>
      <c r="J1550" t="s">
        <v>635</v>
      </c>
    </row>
    <row r="1551" spans="2:10">
      <c r="B1551" t="s">
        <v>633</v>
      </c>
      <c r="C1551" t="s">
        <v>634</v>
      </c>
      <c r="D1551" t="s">
        <v>253</v>
      </c>
      <c r="E1551" t="s">
        <v>286</v>
      </c>
      <c r="F1551" t="s">
        <v>202</v>
      </c>
      <c r="G1551" t="s">
        <v>229</v>
      </c>
      <c r="H1551">
        <v>560</v>
      </c>
      <c r="I1551" t="str">
        <f t="shared" si="23"/>
        <v>General Hospitals|A|Good</v>
      </c>
      <c r="J1551" t="s">
        <v>635</v>
      </c>
    </row>
    <row r="1552" spans="2:10">
      <c r="B1552" t="s">
        <v>633</v>
      </c>
      <c r="C1552" t="s">
        <v>634</v>
      </c>
      <c r="D1552" t="s">
        <v>253</v>
      </c>
      <c r="E1552" t="s">
        <v>286</v>
      </c>
      <c r="F1552" t="s">
        <v>202</v>
      </c>
      <c r="G1552" t="s">
        <v>44</v>
      </c>
      <c r="H1552">
        <v>430</v>
      </c>
      <c r="I1552" t="str">
        <f t="shared" si="23"/>
        <v>General Hospitals|A|Average</v>
      </c>
      <c r="J1552" t="s">
        <v>635</v>
      </c>
    </row>
    <row r="1553" spans="2:10">
      <c r="B1553" t="s">
        <v>633</v>
      </c>
      <c r="C1553" t="s">
        <v>634</v>
      </c>
      <c r="D1553" t="s">
        <v>253</v>
      </c>
      <c r="E1553" t="s">
        <v>286</v>
      </c>
      <c r="F1553" t="s">
        <v>202</v>
      </c>
      <c r="G1553" t="s">
        <v>226</v>
      </c>
      <c r="H1553">
        <v>331</v>
      </c>
      <c r="I1553" t="str">
        <f t="shared" si="23"/>
        <v>General Hospitals|A|Low Cost</v>
      </c>
      <c r="J1553" t="s">
        <v>635</v>
      </c>
    </row>
    <row r="1554" spans="2:10">
      <c r="B1554" t="s">
        <v>633</v>
      </c>
      <c r="C1554" t="s">
        <v>634</v>
      </c>
      <c r="D1554" t="s">
        <v>253</v>
      </c>
      <c r="E1554" t="s">
        <v>286</v>
      </c>
      <c r="F1554" t="s">
        <v>207</v>
      </c>
      <c r="G1554" t="s">
        <v>231</v>
      </c>
      <c r="H1554">
        <v>675</v>
      </c>
      <c r="I1554" t="str">
        <f t="shared" si="23"/>
        <v>General Hospitals|B|Excellent</v>
      </c>
      <c r="J1554" t="s">
        <v>635</v>
      </c>
    </row>
    <row r="1555" spans="2:10">
      <c r="B1555" t="s">
        <v>633</v>
      </c>
      <c r="C1555" t="s">
        <v>634</v>
      </c>
      <c r="D1555" t="s">
        <v>253</v>
      </c>
      <c r="E1555" t="s">
        <v>286</v>
      </c>
      <c r="F1555" t="s">
        <v>207</v>
      </c>
      <c r="G1555" t="s">
        <v>229</v>
      </c>
      <c r="H1555">
        <v>520</v>
      </c>
      <c r="I1555" t="str">
        <f t="shared" si="23"/>
        <v>General Hospitals|B|Good</v>
      </c>
      <c r="J1555" t="s">
        <v>635</v>
      </c>
    </row>
    <row r="1556" spans="2:10">
      <c r="B1556" t="s">
        <v>633</v>
      </c>
      <c r="C1556" t="s">
        <v>634</v>
      </c>
      <c r="D1556" t="s">
        <v>253</v>
      </c>
      <c r="E1556" t="s">
        <v>286</v>
      </c>
      <c r="F1556" t="s">
        <v>207</v>
      </c>
      <c r="G1556" t="s">
        <v>44</v>
      </c>
      <c r="H1556">
        <v>398</v>
      </c>
      <c r="I1556" t="str">
        <f t="shared" si="23"/>
        <v>General Hospitals|B|Average</v>
      </c>
      <c r="J1556" t="s">
        <v>635</v>
      </c>
    </row>
    <row r="1557" spans="2:10">
      <c r="B1557" t="s">
        <v>633</v>
      </c>
      <c r="C1557" t="s">
        <v>634</v>
      </c>
      <c r="D1557" t="s">
        <v>253</v>
      </c>
      <c r="E1557" t="s">
        <v>286</v>
      </c>
      <c r="F1557" t="s">
        <v>207</v>
      </c>
      <c r="G1557" t="s">
        <v>226</v>
      </c>
      <c r="H1557">
        <v>307</v>
      </c>
      <c r="I1557" t="str">
        <f t="shared" si="23"/>
        <v>General Hospitals|B|Low Cost</v>
      </c>
      <c r="J1557" t="s">
        <v>635</v>
      </c>
    </row>
    <row r="1558" spans="2:10">
      <c r="B1558" t="s">
        <v>633</v>
      </c>
      <c r="C1558" t="s">
        <v>634</v>
      </c>
      <c r="D1558" t="s">
        <v>253</v>
      </c>
      <c r="E1558" t="s">
        <v>286</v>
      </c>
      <c r="F1558" t="s">
        <v>209</v>
      </c>
      <c r="G1558" t="s">
        <v>231</v>
      </c>
      <c r="H1558">
        <v>540</v>
      </c>
      <c r="I1558" t="str">
        <f t="shared" si="23"/>
        <v>General Hospitals|C|Excellent</v>
      </c>
      <c r="J1558" t="s">
        <v>635</v>
      </c>
    </row>
    <row r="1559" spans="2:10">
      <c r="B1559" t="s">
        <v>633</v>
      </c>
      <c r="C1559" t="s">
        <v>634</v>
      </c>
      <c r="D1559" t="s">
        <v>253</v>
      </c>
      <c r="E1559" t="s">
        <v>286</v>
      </c>
      <c r="F1559" t="s">
        <v>209</v>
      </c>
      <c r="G1559" t="s">
        <v>229</v>
      </c>
      <c r="H1559">
        <v>403</v>
      </c>
      <c r="I1559" t="str">
        <f t="shared" si="23"/>
        <v>General Hospitals|C|Good</v>
      </c>
      <c r="J1559" t="s">
        <v>635</v>
      </c>
    </row>
    <row r="1560" spans="2:10">
      <c r="B1560" t="s">
        <v>633</v>
      </c>
      <c r="C1560" t="s">
        <v>634</v>
      </c>
      <c r="D1560" t="s">
        <v>253</v>
      </c>
      <c r="E1560" t="s">
        <v>286</v>
      </c>
      <c r="F1560" t="s">
        <v>209</v>
      </c>
      <c r="G1560" t="s">
        <v>44</v>
      </c>
      <c r="H1560">
        <v>303</v>
      </c>
      <c r="I1560" t="str">
        <f t="shared" si="23"/>
        <v>General Hospitals|C|Average</v>
      </c>
      <c r="J1560" t="s">
        <v>635</v>
      </c>
    </row>
    <row r="1561" spans="2:10">
      <c r="B1561" t="s">
        <v>633</v>
      </c>
      <c r="C1561" t="s">
        <v>634</v>
      </c>
      <c r="D1561" t="s">
        <v>253</v>
      </c>
      <c r="E1561" t="s">
        <v>286</v>
      </c>
      <c r="F1561" t="s">
        <v>209</v>
      </c>
      <c r="G1561" t="s">
        <v>226</v>
      </c>
      <c r="H1561">
        <v>225</v>
      </c>
      <c r="I1561" t="str">
        <f t="shared" si="23"/>
        <v>General Hospitals|C|Low Cost</v>
      </c>
      <c r="J1561" t="s">
        <v>635</v>
      </c>
    </row>
    <row r="1562" spans="2:10">
      <c r="B1562" t="s">
        <v>633</v>
      </c>
      <c r="C1562" t="s">
        <v>634</v>
      </c>
      <c r="D1562" t="s">
        <v>253</v>
      </c>
      <c r="E1562" t="s">
        <v>286</v>
      </c>
      <c r="F1562" t="s">
        <v>214</v>
      </c>
      <c r="G1562" t="s">
        <v>229</v>
      </c>
      <c r="H1562">
        <v>382</v>
      </c>
      <c r="I1562" t="str">
        <f t="shared" si="23"/>
        <v>General Hospitals|D|Good</v>
      </c>
      <c r="J1562" t="s">
        <v>635</v>
      </c>
    </row>
    <row r="1563" spans="2:10">
      <c r="B1563" t="s">
        <v>633</v>
      </c>
      <c r="C1563" t="s">
        <v>634</v>
      </c>
      <c r="D1563" t="s">
        <v>253</v>
      </c>
      <c r="E1563" t="s">
        <v>286</v>
      </c>
      <c r="F1563" t="s">
        <v>214</v>
      </c>
      <c r="G1563" t="s">
        <v>44</v>
      </c>
      <c r="H1563">
        <v>289</v>
      </c>
      <c r="I1563" t="str">
        <f t="shared" si="23"/>
        <v>General Hospitals|D|Average</v>
      </c>
      <c r="J1563" t="s">
        <v>635</v>
      </c>
    </row>
    <row r="1564" spans="2:10">
      <c r="B1564" t="s">
        <v>633</v>
      </c>
      <c r="C1564" t="s">
        <v>634</v>
      </c>
      <c r="D1564" t="s">
        <v>253</v>
      </c>
      <c r="E1564" t="s">
        <v>286</v>
      </c>
      <c r="F1564" t="s">
        <v>214</v>
      </c>
      <c r="G1564" t="s">
        <v>226</v>
      </c>
      <c r="H1564">
        <v>218</v>
      </c>
      <c r="I1564" t="str">
        <f t="shared" si="23"/>
        <v>General Hospitals|D|Low Cost</v>
      </c>
      <c r="J1564" t="s">
        <v>635</v>
      </c>
    </row>
    <row r="1565" spans="2:10">
      <c r="B1565" t="s">
        <v>633</v>
      </c>
      <c r="C1565" t="s">
        <v>634</v>
      </c>
      <c r="D1565" t="s">
        <v>253</v>
      </c>
      <c r="E1565" t="s">
        <v>286</v>
      </c>
      <c r="F1565" t="s">
        <v>219</v>
      </c>
      <c r="G1565" t="s">
        <v>226</v>
      </c>
      <c r="H1565">
        <v>215</v>
      </c>
      <c r="I1565" t="str">
        <f t="shared" si="23"/>
        <v>General Hospitals|S|Low Cost</v>
      </c>
      <c r="J1565" t="s">
        <v>635</v>
      </c>
    </row>
    <row r="1566" spans="2:10">
      <c r="B1566" t="s">
        <v>636</v>
      </c>
      <c r="C1566" t="s">
        <v>637</v>
      </c>
      <c r="D1566" t="s">
        <v>253</v>
      </c>
      <c r="E1566" t="s">
        <v>290</v>
      </c>
      <c r="F1566" t="s">
        <v>270</v>
      </c>
      <c r="G1566" t="s">
        <v>229</v>
      </c>
      <c r="H1566">
        <v>550</v>
      </c>
      <c r="I1566" t="str">
        <f t="shared" ref="I1566:I1629" si="24">B1566&amp;"|"&amp;F1566&amp;"|"&amp;G1566</f>
        <v>Outpatient (Surgical) Centers|A-B|Good</v>
      </c>
      <c r="J1566" t="s">
        <v>638</v>
      </c>
    </row>
    <row r="1567" spans="2:10">
      <c r="B1567" t="s">
        <v>636</v>
      </c>
      <c r="C1567" t="s">
        <v>637</v>
      </c>
      <c r="D1567" t="s">
        <v>253</v>
      </c>
      <c r="E1567" t="s">
        <v>290</v>
      </c>
      <c r="F1567" t="s">
        <v>270</v>
      </c>
      <c r="G1567" t="s">
        <v>44</v>
      </c>
      <c r="H1567">
        <v>403</v>
      </c>
      <c r="I1567" t="str">
        <f t="shared" si="24"/>
        <v>Outpatient (Surgical) Centers|A-B|Average</v>
      </c>
      <c r="J1567" t="s">
        <v>638</v>
      </c>
    </row>
    <row r="1568" spans="2:10">
      <c r="B1568" t="s">
        <v>636</v>
      </c>
      <c r="C1568" t="s">
        <v>637</v>
      </c>
      <c r="D1568" t="s">
        <v>253</v>
      </c>
      <c r="E1568" t="s">
        <v>290</v>
      </c>
      <c r="F1568" t="s">
        <v>209</v>
      </c>
      <c r="G1568" t="s">
        <v>231</v>
      </c>
      <c r="H1568">
        <v>620</v>
      </c>
      <c r="I1568" t="str">
        <f t="shared" si="24"/>
        <v>Outpatient (Surgical) Centers|C|Excellent</v>
      </c>
      <c r="J1568" t="s">
        <v>638</v>
      </c>
    </row>
    <row r="1569" spans="2:10">
      <c r="B1569" t="s">
        <v>636</v>
      </c>
      <c r="C1569" t="s">
        <v>637</v>
      </c>
      <c r="D1569" t="s">
        <v>253</v>
      </c>
      <c r="E1569" t="s">
        <v>290</v>
      </c>
      <c r="F1569" t="s">
        <v>209</v>
      </c>
      <c r="G1569" t="s">
        <v>229</v>
      </c>
      <c r="H1569">
        <v>429</v>
      </c>
      <c r="I1569" t="str">
        <f t="shared" si="24"/>
        <v>Outpatient (Surgical) Centers|C|Good</v>
      </c>
      <c r="J1569" t="s">
        <v>638</v>
      </c>
    </row>
    <row r="1570" spans="2:10">
      <c r="B1570" t="s">
        <v>636</v>
      </c>
      <c r="C1570" t="s">
        <v>637</v>
      </c>
      <c r="D1570" t="s">
        <v>253</v>
      </c>
      <c r="E1570" t="s">
        <v>290</v>
      </c>
      <c r="F1570" t="s">
        <v>209</v>
      </c>
      <c r="G1570" t="s">
        <v>44</v>
      </c>
      <c r="H1570">
        <v>298</v>
      </c>
      <c r="I1570" t="str">
        <f t="shared" si="24"/>
        <v>Outpatient (Surgical) Centers|C|Average</v>
      </c>
      <c r="J1570" t="s">
        <v>638</v>
      </c>
    </row>
    <row r="1571" spans="2:10">
      <c r="B1571" t="s">
        <v>636</v>
      </c>
      <c r="C1571" t="s">
        <v>637</v>
      </c>
      <c r="D1571" t="s">
        <v>253</v>
      </c>
      <c r="E1571" t="s">
        <v>290</v>
      </c>
      <c r="F1571" t="s">
        <v>209</v>
      </c>
      <c r="G1571" t="s">
        <v>302</v>
      </c>
      <c r="H1571">
        <v>249</v>
      </c>
      <c r="I1571" t="str">
        <f t="shared" si="24"/>
        <v>Outpatient (Surgical) Centers|C|Fair</v>
      </c>
      <c r="J1571" t="s">
        <v>638</v>
      </c>
    </row>
    <row r="1572" spans="2:10">
      <c r="B1572" t="s">
        <v>636</v>
      </c>
      <c r="C1572" t="s">
        <v>637</v>
      </c>
      <c r="D1572" t="s">
        <v>253</v>
      </c>
      <c r="E1572" t="s">
        <v>290</v>
      </c>
      <c r="F1572" t="s">
        <v>209</v>
      </c>
      <c r="G1572" t="s">
        <v>226</v>
      </c>
      <c r="H1572">
        <v>208</v>
      </c>
      <c r="I1572" t="str">
        <f t="shared" si="24"/>
        <v>Outpatient (Surgical) Centers|C|Low Cost</v>
      </c>
      <c r="J1572" t="s">
        <v>638</v>
      </c>
    </row>
    <row r="1573" spans="2:10">
      <c r="B1573" t="s">
        <v>636</v>
      </c>
      <c r="C1573" t="s">
        <v>637</v>
      </c>
      <c r="D1573" t="s">
        <v>253</v>
      </c>
      <c r="E1573" t="s">
        <v>290</v>
      </c>
      <c r="F1573" t="s">
        <v>214</v>
      </c>
      <c r="G1573" t="s">
        <v>231</v>
      </c>
      <c r="H1573">
        <v>585</v>
      </c>
      <c r="I1573" t="str">
        <f t="shared" si="24"/>
        <v>Outpatient (Surgical) Centers|D|Excellent</v>
      </c>
      <c r="J1573" t="s">
        <v>638</v>
      </c>
    </row>
    <row r="1574" spans="2:10">
      <c r="B1574" t="s">
        <v>636</v>
      </c>
      <c r="C1574" t="s">
        <v>637</v>
      </c>
      <c r="D1574" t="s">
        <v>253</v>
      </c>
      <c r="E1574" t="s">
        <v>290</v>
      </c>
      <c r="F1574" t="s">
        <v>214</v>
      </c>
      <c r="G1574" t="s">
        <v>229</v>
      </c>
      <c r="H1574">
        <v>409</v>
      </c>
      <c r="I1574" t="str">
        <f t="shared" si="24"/>
        <v>Outpatient (Surgical) Centers|D|Good</v>
      </c>
      <c r="J1574" t="s">
        <v>638</v>
      </c>
    </row>
    <row r="1575" spans="2:10">
      <c r="B1575" t="s">
        <v>636</v>
      </c>
      <c r="C1575" t="s">
        <v>637</v>
      </c>
      <c r="D1575" t="s">
        <v>253</v>
      </c>
      <c r="E1575" t="s">
        <v>290</v>
      </c>
      <c r="F1575" t="s">
        <v>214</v>
      </c>
      <c r="G1575" t="s">
        <v>44</v>
      </c>
      <c r="H1575">
        <v>287</v>
      </c>
      <c r="I1575" t="str">
        <f t="shared" si="24"/>
        <v>Outpatient (Surgical) Centers|D|Average</v>
      </c>
      <c r="J1575" t="s">
        <v>638</v>
      </c>
    </row>
    <row r="1576" spans="2:10">
      <c r="B1576" t="s">
        <v>636</v>
      </c>
      <c r="C1576" t="s">
        <v>637</v>
      </c>
      <c r="D1576" t="s">
        <v>253</v>
      </c>
      <c r="E1576" t="s">
        <v>290</v>
      </c>
      <c r="F1576" t="s">
        <v>214</v>
      </c>
      <c r="G1576" t="s">
        <v>302</v>
      </c>
      <c r="H1576">
        <v>240</v>
      </c>
      <c r="I1576" t="str">
        <f t="shared" si="24"/>
        <v>Outpatient (Surgical) Centers|D|Fair</v>
      </c>
      <c r="J1576" t="s">
        <v>638</v>
      </c>
    </row>
    <row r="1577" spans="2:10">
      <c r="B1577" t="s">
        <v>636</v>
      </c>
      <c r="C1577" t="s">
        <v>637</v>
      </c>
      <c r="D1577" t="s">
        <v>253</v>
      </c>
      <c r="E1577" t="s">
        <v>290</v>
      </c>
      <c r="F1577" t="s">
        <v>214</v>
      </c>
      <c r="G1577" t="s">
        <v>226</v>
      </c>
      <c r="H1577">
        <v>201</v>
      </c>
      <c r="I1577" t="str">
        <f t="shared" si="24"/>
        <v>Outpatient (Surgical) Centers|D|Low Cost</v>
      </c>
      <c r="J1577" t="s">
        <v>638</v>
      </c>
    </row>
    <row r="1578" spans="2:10">
      <c r="B1578" t="s">
        <v>636</v>
      </c>
      <c r="C1578" t="s">
        <v>637</v>
      </c>
      <c r="D1578" t="s">
        <v>253</v>
      </c>
      <c r="E1578" t="s">
        <v>290</v>
      </c>
      <c r="F1578" t="s">
        <v>219</v>
      </c>
      <c r="G1578" t="s">
        <v>44</v>
      </c>
      <c r="H1578">
        <v>284</v>
      </c>
      <c r="I1578" t="str">
        <f t="shared" si="24"/>
        <v>Outpatient (Surgical) Centers|S|Average</v>
      </c>
      <c r="J1578" t="s">
        <v>638</v>
      </c>
    </row>
    <row r="1579" spans="2:10">
      <c r="B1579" t="s">
        <v>636</v>
      </c>
      <c r="C1579" t="s">
        <v>637</v>
      </c>
      <c r="D1579" t="s">
        <v>253</v>
      </c>
      <c r="E1579" t="s">
        <v>290</v>
      </c>
      <c r="F1579" t="s">
        <v>219</v>
      </c>
      <c r="G1579" t="s">
        <v>302</v>
      </c>
      <c r="H1579">
        <v>238</v>
      </c>
      <c r="I1579" t="str">
        <f t="shared" si="24"/>
        <v>Outpatient (Surgical) Centers|S|Fair</v>
      </c>
      <c r="J1579" t="s">
        <v>638</v>
      </c>
    </row>
    <row r="1580" spans="2:10">
      <c r="B1580" t="s">
        <v>636</v>
      </c>
      <c r="C1580" t="s">
        <v>637</v>
      </c>
      <c r="D1580" t="s">
        <v>253</v>
      </c>
      <c r="E1580" t="s">
        <v>290</v>
      </c>
      <c r="F1580" t="s">
        <v>219</v>
      </c>
      <c r="G1580" t="s">
        <v>226</v>
      </c>
      <c r="H1580">
        <v>199</v>
      </c>
      <c r="I1580" t="str">
        <f t="shared" si="24"/>
        <v>Outpatient (Surgical) Centers|S|Low Cost</v>
      </c>
      <c r="J1580" t="s">
        <v>638</v>
      </c>
    </row>
    <row r="1581" spans="2:10">
      <c r="B1581" t="s">
        <v>639</v>
      </c>
      <c r="C1581" t="s">
        <v>640</v>
      </c>
      <c r="D1581" t="s">
        <v>253</v>
      </c>
      <c r="E1581" t="s">
        <v>294</v>
      </c>
      <c r="F1581" t="s">
        <v>202</v>
      </c>
      <c r="G1581" t="s">
        <v>229</v>
      </c>
      <c r="H1581">
        <v>393</v>
      </c>
      <c r="I1581" t="str">
        <f t="shared" si="24"/>
        <v>Nursing Homes (Convalescent Hospitals)|A|Good</v>
      </c>
      <c r="J1581" t="s">
        <v>641</v>
      </c>
    </row>
    <row r="1582" spans="2:10">
      <c r="B1582" t="s">
        <v>639</v>
      </c>
      <c r="C1582" t="s">
        <v>640</v>
      </c>
      <c r="D1582" t="s">
        <v>253</v>
      </c>
      <c r="E1582" t="s">
        <v>294</v>
      </c>
      <c r="F1582" t="s">
        <v>202</v>
      </c>
      <c r="G1582" t="s">
        <v>44</v>
      </c>
      <c r="H1582">
        <v>320</v>
      </c>
      <c r="I1582" t="str">
        <f t="shared" si="24"/>
        <v>Nursing Homes (Convalescent Hospitals)|A|Average</v>
      </c>
      <c r="J1582" t="s">
        <v>641</v>
      </c>
    </row>
    <row r="1583" spans="2:10">
      <c r="B1583" t="s">
        <v>639</v>
      </c>
      <c r="C1583" t="s">
        <v>640</v>
      </c>
      <c r="D1583" t="s">
        <v>253</v>
      </c>
      <c r="E1583" t="s">
        <v>294</v>
      </c>
      <c r="F1583" t="s">
        <v>207</v>
      </c>
      <c r="G1583" t="s">
        <v>229</v>
      </c>
      <c r="H1583">
        <v>361</v>
      </c>
      <c r="I1583" t="str">
        <f t="shared" si="24"/>
        <v>Nursing Homes (Convalescent Hospitals)|B|Good</v>
      </c>
      <c r="J1583" t="s">
        <v>641</v>
      </c>
    </row>
    <row r="1584" spans="2:10">
      <c r="B1584" t="s">
        <v>639</v>
      </c>
      <c r="C1584" t="s">
        <v>640</v>
      </c>
      <c r="D1584" t="s">
        <v>253</v>
      </c>
      <c r="E1584" t="s">
        <v>294</v>
      </c>
      <c r="F1584" t="s">
        <v>207</v>
      </c>
      <c r="G1584" t="s">
        <v>44</v>
      </c>
      <c r="H1584">
        <v>296</v>
      </c>
      <c r="I1584" t="str">
        <f t="shared" si="24"/>
        <v>Nursing Homes (Convalescent Hospitals)|B|Average</v>
      </c>
      <c r="J1584" t="s">
        <v>641</v>
      </c>
    </row>
    <row r="1585" spans="2:10">
      <c r="B1585" t="s">
        <v>639</v>
      </c>
      <c r="C1585" t="s">
        <v>640</v>
      </c>
      <c r="D1585" t="s">
        <v>253</v>
      </c>
      <c r="E1585" t="s">
        <v>294</v>
      </c>
      <c r="F1585" t="s">
        <v>209</v>
      </c>
      <c r="G1585" t="s">
        <v>231</v>
      </c>
      <c r="H1585">
        <v>351</v>
      </c>
      <c r="I1585" t="str">
        <f t="shared" si="24"/>
        <v>Nursing Homes (Convalescent Hospitals)|C|Excellent</v>
      </c>
      <c r="J1585" t="s">
        <v>641</v>
      </c>
    </row>
    <row r="1586" spans="2:10">
      <c r="B1586" t="s">
        <v>639</v>
      </c>
      <c r="C1586" t="s">
        <v>640</v>
      </c>
      <c r="D1586" t="s">
        <v>253</v>
      </c>
      <c r="E1586" t="s">
        <v>294</v>
      </c>
      <c r="F1586" t="s">
        <v>209</v>
      </c>
      <c r="G1586" t="s">
        <v>229</v>
      </c>
      <c r="H1586">
        <v>266</v>
      </c>
      <c r="I1586" t="str">
        <f t="shared" si="24"/>
        <v>Nursing Homes (Convalescent Hospitals)|C|Good</v>
      </c>
      <c r="J1586" t="s">
        <v>641</v>
      </c>
    </row>
    <row r="1587" spans="2:10">
      <c r="B1587" t="s">
        <v>639</v>
      </c>
      <c r="C1587" t="s">
        <v>640</v>
      </c>
      <c r="D1587" t="s">
        <v>253</v>
      </c>
      <c r="E1587" t="s">
        <v>294</v>
      </c>
      <c r="F1587" t="s">
        <v>209</v>
      </c>
      <c r="G1587" t="s">
        <v>44</v>
      </c>
      <c r="H1587">
        <v>200</v>
      </c>
      <c r="I1587" t="str">
        <f t="shared" si="24"/>
        <v>Nursing Homes (Convalescent Hospitals)|C|Average</v>
      </c>
      <c r="J1587" t="s">
        <v>641</v>
      </c>
    </row>
    <row r="1588" spans="2:10">
      <c r="B1588" t="s">
        <v>639</v>
      </c>
      <c r="C1588" t="s">
        <v>640</v>
      </c>
      <c r="D1588" t="s">
        <v>253</v>
      </c>
      <c r="E1588" t="s">
        <v>294</v>
      </c>
      <c r="F1588" t="s">
        <v>209</v>
      </c>
      <c r="G1588" t="s">
        <v>226</v>
      </c>
      <c r="H1588">
        <v>154</v>
      </c>
      <c r="I1588" t="str">
        <f t="shared" si="24"/>
        <v>Nursing Homes (Convalescent Hospitals)|C|Low Cost</v>
      </c>
      <c r="J1588" t="s">
        <v>641</v>
      </c>
    </row>
    <row r="1589" spans="2:10">
      <c r="B1589" t="s">
        <v>639</v>
      </c>
      <c r="C1589" t="s">
        <v>640</v>
      </c>
      <c r="D1589" t="s">
        <v>253</v>
      </c>
      <c r="E1589" t="s">
        <v>294</v>
      </c>
      <c r="F1589" t="s">
        <v>214</v>
      </c>
      <c r="G1589" t="s">
        <v>231</v>
      </c>
      <c r="H1589">
        <v>324</v>
      </c>
      <c r="I1589" t="str">
        <f t="shared" si="24"/>
        <v>Nursing Homes (Convalescent Hospitals)|D|Excellent</v>
      </c>
      <c r="J1589" t="s">
        <v>641</v>
      </c>
    </row>
    <row r="1590" spans="2:10">
      <c r="B1590" t="s">
        <v>639</v>
      </c>
      <c r="C1590" t="s">
        <v>640</v>
      </c>
      <c r="D1590" t="s">
        <v>253</v>
      </c>
      <c r="E1590" t="s">
        <v>294</v>
      </c>
      <c r="F1590" t="s">
        <v>214</v>
      </c>
      <c r="G1590" t="s">
        <v>229</v>
      </c>
      <c r="H1590">
        <v>255</v>
      </c>
      <c r="I1590" t="str">
        <f t="shared" si="24"/>
        <v>Nursing Homes (Convalescent Hospitals)|D|Good</v>
      </c>
      <c r="J1590" t="s">
        <v>641</v>
      </c>
    </row>
    <row r="1591" spans="2:10">
      <c r="B1591" t="s">
        <v>639</v>
      </c>
      <c r="C1591" t="s">
        <v>640</v>
      </c>
      <c r="D1591" t="s">
        <v>253</v>
      </c>
      <c r="E1591" t="s">
        <v>294</v>
      </c>
      <c r="F1591" t="s">
        <v>214</v>
      </c>
      <c r="G1591" t="s">
        <v>44</v>
      </c>
      <c r="H1591">
        <v>192</v>
      </c>
      <c r="I1591" t="str">
        <f t="shared" si="24"/>
        <v>Nursing Homes (Convalescent Hospitals)|D|Average</v>
      </c>
      <c r="J1591" t="s">
        <v>641</v>
      </c>
    </row>
    <row r="1592" spans="2:10">
      <c r="B1592" t="s">
        <v>639</v>
      </c>
      <c r="C1592" t="s">
        <v>640</v>
      </c>
      <c r="D1592" t="s">
        <v>253</v>
      </c>
      <c r="E1592" t="s">
        <v>294</v>
      </c>
      <c r="F1592" t="s">
        <v>214</v>
      </c>
      <c r="G1592" t="s">
        <v>226</v>
      </c>
      <c r="H1592">
        <v>147</v>
      </c>
      <c r="I1592" t="str">
        <f t="shared" si="24"/>
        <v>Nursing Homes (Convalescent Hospitals)|D|Low Cost</v>
      </c>
      <c r="J1592" t="s">
        <v>641</v>
      </c>
    </row>
    <row r="1593" spans="2:10">
      <c r="B1593" t="s">
        <v>639</v>
      </c>
      <c r="C1593" t="s">
        <v>640</v>
      </c>
      <c r="D1593" t="s">
        <v>253</v>
      </c>
      <c r="E1593" t="s">
        <v>294</v>
      </c>
      <c r="F1593" t="s">
        <v>313</v>
      </c>
      <c r="G1593" t="s">
        <v>226</v>
      </c>
      <c r="H1593">
        <v>142</v>
      </c>
      <c r="I1593" t="str">
        <f t="shared" si="24"/>
        <v>Nursing Homes (Convalescent Hospitals)|DPOLE|Low Cost</v>
      </c>
      <c r="J1593" t="s">
        <v>641</v>
      </c>
    </row>
    <row r="1594" spans="2:10">
      <c r="B1594" t="s">
        <v>639</v>
      </c>
      <c r="C1594" t="s">
        <v>640</v>
      </c>
      <c r="D1594" t="s">
        <v>253</v>
      </c>
      <c r="E1594" t="s">
        <v>294</v>
      </c>
      <c r="F1594" t="s">
        <v>219</v>
      </c>
      <c r="G1594" t="s">
        <v>44</v>
      </c>
      <c r="H1594">
        <v>189</v>
      </c>
      <c r="I1594" t="str">
        <f t="shared" si="24"/>
        <v>Nursing Homes (Convalescent Hospitals)|S|Average</v>
      </c>
      <c r="J1594" t="s">
        <v>641</v>
      </c>
    </row>
    <row r="1595" spans="2:10">
      <c r="B1595" t="s">
        <v>639</v>
      </c>
      <c r="C1595" t="s">
        <v>640</v>
      </c>
      <c r="D1595" t="s">
        <v>253</v>
      </c>
      <c r="E1595" t="s">
        <v>294</v>
      </c>
      <c r="F1595" t="s">
        <v>219</v>
      </c>
      <c r="G1595" t="s">
        <v>226</v>
      </c>
      <c r="H1595">
        <v>145</v>
      </c>
      <c r="I1595" t="str">
        <f t="shared" si="24"/>
        <v>Nursing Homes (Convalescent Hospitals)|S|Low Cost</v>
      </c>
      <c r="J1595" t="s">
        <v>641</v>
      </c>
    </row>
    <row r="1596" spans="2:10">
      <c r="B1596" t="s">
        <v>642</v>
      </c>
      <c r="C1596" t="s">
        <v>643</v>
      </c>
      <c r="D1596" t="s">
        <v>253</v>
      </c>
      <c r="E1596" t="s">
        <v>296</v>
      </c>
      <c r="F1596" t="s">
        <v>209</v>
      </c>
      <c r="G1596" t="s">
        <v>231</v>
      </c>
      <c r="H1596">
        <v>315</v>
      </c>
      <c r="I1596" t="str">
        <f t="shared" si="24"/>
        <v>Kennels|C|Excellent</v>
      </c>
      <c r="J1596" t="s">
        <v>644</v>
      </c>
    </row>
    <row r="1597" spans="2:10">
      <c r="B1597" t="s">
        <v>642</v>
      </c>
      <c r="C1597" t="s">
        <v>643</v>
      </c>
      <c r="D1597" t="s">
        <v>253</v>
      </c>
      <c r="E1597" t="s">
        <v>296</v>
      </c>
      <c r="F1597" t="s">
        <v>209</v>
      </c>
      <c r="G1597" t="s">
        <v>250</v>
      </c>
      <c r="H1597">
        <v>243</v>
      </c>
      <c r="I1597" t="str">
        <f t="shared" si="24"/>
        <v>Kennels|C|Very Good</v>
      </c>
      <c r="J1597" t="s">
        <v>644</v>
      </c>
    </row>
    <row r="1598" spans="2:10">
      <c r="B1598" t="s">
        <v>642</v>
      </c>
      <c r="C1598" t="s">
        <v>643</v>
      </c>
      <c r="D1598" t="s">
        <v>253</v>
      </c>
      <c r="E1598" t="s">
        <v>296</v>
      </c>
      <c r="F1598" t="s">
        <v>209</v>
      </c>
      <c r="G1598" t="s">
        <v>229</v>
      </c>
      <c r="H1598">
        <v>178</v>
      </c>
      <c r="I1598" t="str">
        <f t="shared" si="24"/>
        <v>Kennels|C|Good</v>
      </c>
      <c r="J1598" t="s">
        <v>644</v>
      </c>
    </row>
    <row r="1599" spans="2:10">
      <c r="B1599" t="s">
        <v>642</v>
      </c>
      <c r="C1599" t="s">
        <v>643</v>
      </c>
      <c r="D1599" t="s">
        <v>253</v>
      </c>
      <c r="E1599" t="s">
        <v>296</v>
      </c>
      <c r="F1599" t="s">
        <v>209</v>
      </c>
      <c r="G1599" t="s">
        <v>44</v>
      </c>
      <c r="H1599">
        <v>133</v>
      </c>
      <c r="I1599" t="str">
        <f t="shared" si="24"/>
        <v>Kennels|C|Average</v>
      </c>
      <c r="J1599" t="s">
        <v>644</v>
      </c>
    </row>
    <row r="1600" spans="2:10">
      <c r="B1600" t="s">
        <v>642</v>
      </c>
      <c r="C1600" t="s">
        <v>643</v>
      </c>
      <c r="D1600" t="s">
        <v>253</v>
      </c>
      <c r="E1600" t="s">
        <v>296</v>
      </c>
      <c r="F1600" t="s">
        <v>209</v>
      </c>
      <c r="G1600" t="s">
        <v>226</v>
      </c>
      <c r="H1600">
        <v>95</v>
      </c>
      <c r="I1600" t="str">
        <f t="shared" si="24"/>
        <v>Kennels|C|Low Cost</v>
      </c>
      <c r="J1600" t="s">
        <v>644</v>
      </c>
    </row>
    <row r="1601" spans="2:10">
      <c r="B1601" t="s">
        <v>642</v>
      </c>
      <c r="C1601" t="s">
        <v>643</v>
      </c>
      <c r="D1601" t="s">
        <v>253</v>
      </c>
      <c r="E1601" t="s">
        <v>296</v>
      </c>
      <c r="F1601" t="s">
        <v>209</v>
      </c>
      <c r="G1601" t="s">
        <v>314</v>
      </c>
      <c r="H1601">
        <v>68</v>
      </c>
      <c r="I1601" t="str">
        <f t="shared" si="24"/>
        <v>Kennels|C|Cheap</v>
      </c>
      <c r="J1601" t="s">
        <v>644</v>
      </c>
    </row>
    <row r="1602" spans="2:10">
      <c r="B1602" t="s">
        <v>642</v>
      </c>
      <c r="C1602" t="s">
        <v>643</v>
      </c>
      <c r="D1602" t="s">
        <v>253</v>
      </c>
      <c r="E1602" t="s">
        <v>296</v>
      </c>
      <c r="F1602" t="s">
        <v>214</v>
      </c>
      <c r="G1602" t="s">
        <v>231</v>
      </c>
      <c r="H1602">
        <v>297</v>
      </c>
      <c r="I1602" t="str">
        <f t="shared" si="24"/>
        <v>Kennels|D|Excellent</v>
      </c>
      <c r="J1602" t="s">
        <v>644</v>
      </c>
    </row>
    <row r="1603" spans="2:10">
      <c r="B1603" t="s">
        <v>642</v>
      </c>
      <c r="C1603" t="s">
        <v>643</v>
      </c>
      <c r="D1603" t="s">
        <v>253</v>
      </c>
      <c r="E1603" t="s">
        <v>296</v>
      </c>
      <c r="F1603" t="s">
        <v>214</v>
      </c>
      <c r="G1603" t="s">
        <v>250</v>
      </c>
      <c r="H1603">
        <v>229</v>
      </c>
      <c r="I1603" t="str">
        <f t="shared" si="24"/>
        <v>Kennels|D|Very Good</v>
      </c>
      <c r="J1603" t="s">
        <v>644</v>
      </c>
    </row>
    <row r="1604" spans="2:10">
      <c r="B1604" t="s">
        <v>642</v>
      </c>
      <c r="C1604" t="s">
        <v>643</v>
      </c>
      <c r="D1604" t="s">
        <v>253</v>
      </c>
      <c r="E1604" t="s">
        <v>296</v>
      </c>
      <c r="F1604" t="s">
        <v>214</v>
      </c>
      <c r="G1604" t="s">
        <v>229</v>
      </c>
      <c r="H1604">
        <v>167</v>
      </c>
      <c r="I1604" t="str">
        <f t="shared" si="24"/>
        <v>Kennels|D|Good</v>
      </c>
      <c r="J1604" t="s">
        <v>644</v>
      </c>
    </row>
    <row r="1605" spans="2:10">
      <c r="B1605" t="s">
        <v>642</v>
      </c>
      <c r="C1605" t="s">
        <v>643</v>
      </c>
      <c r="D1605" t="s">
        <v>253</v>
      </c>
      <c r="E1605" t="s">
        <v>296</v>
      </c>
      <c r="F1605" t="s">
        <v>214</v>
      </c>
      <c r="G1605" t="s">
        <v>44</v>
      </c>
      <c r="H1605">
        <v>125</v>
      </c>
      <c r="I1605" t="str">
        <f t="shared" si="24"/>
        <v>Kennels|D|Average</v>
      </c>
      <c r="J1605" t="s">
        <v>644</v>
      </c>
    </row>
    <row r="1606" spans="2:10">
      <c r="B1606" t="s">
        <v>642</v>
      </c>
      <c r="C1606" t="s">
        <v>643</v>
      </c>
      <c r="D1606" t="s">
        <v>253</v>
      </c>
      <c r="E1606" t="s">
        <v>296</v>
      </c>
      <c r="F1606" t="s">
        <v>214</v>
      </c>
      <c r="G1606" t="s">
        <v>226</v>
      </c>
      <c r="H1606">
        <v>89</v>
      </c>
      <c r="I1606" t="str">
        <f t="shared" si="24"/>
        <v>Kennels|D|Low Cost</v>
      </c>
      <c r="J1606" t="s">
        <v>644</v>
      </c>
    </row>
    <row r="1607" spans="2:10">
      <c r="B1607" t="s">
        <v>642</v>
      </c>
      <c r="C1607" t="s">
        <v>643</v>
      </c>
      <c r="D1607" t="s">
        <v>253</v>
      </c>
      <c r="E1607" t="s">
        <v>296</v>
      </c>
      <c r="F1607" t="s">
        <v>214</v>
      </c>
      <c r="G1607" t="s">
        <v>314</v>
      </c>
      <c r="H1607">
        <v>63.5</v>
      </c>
      <c r="I1607" t="str">
        <f t="shared" si="24"/>
        <v>Kennels|D|Cheap</v>
      </c>
      <c r="J1607" t="s">
        <v>644</v>
      </c>
    </row>
    <row r="1608" spans="2:10">
      <c r="B1608" t="s">
        <v>642</v>
      </c>
      <c r="C1608" t="s">
        <v>643</v>
      </c>
      <c r="D1608" t="s">
        <v>253</v>
      </c>
      <c r="E1608" t="s">
        <v>296</v>
      </c>
      <c r="F1608" t="s">
        <v>313</v>
      </c>
      <c r="G1608" t="s">
        <v>44</v>
      </c>
      <c r="H1608">
        <v>118</v>
      </c>
      <c r="I1608" t="str">
        <f t="shared" si="24"/>
        <v>Kennels|DPOLE|Average</v>
      </c>
      <c r="J1608" t="s">
        <v>644</v>
      </c>
    </row>
    <row r="1609" spans="2:10">
      <c r="B1609" t="s">
        <v>642</v>
      </c>
      <c r="C1609" t="s">
        <v>643</v>
      </c>
      <c r="D1609" t="s">
        <v>253</v>
      </c>
      <c r="E1609" t="s">
        <v>296</v>
      </c>
      <c r="F1609" t="s">
        <v>313</v>
      </c>
      <c r="G1609" t="s">
        <v>226</v>
      </c>
      <c r="H1609">
        <v>82.5</v>
      </c>
      <c r="I1609" t="str">
        <f t="shared" si="24"/>
        <v>Kennels|DPOLE|Low Cost</v>
      </c>
      <c r="J1609" t="s">
        <v>644</v>
      </c>
    </row>
    <row r="1610" spans="2:10">
      <c r="B1610" t="s">
        <v>642</v>
      </c>
      <c r="C1610" t="s">
        <v>643</v>
      </c>
      <c r="D1610" t="s">
        <v>253</v>
      </c>
      <c r="E1610" t="s">
        <v>296</v>
      </c>
      <c r="F1610" t="s">
        <v>313</v>
      </c>
      <c r="G1610" t="s">
        <v>314</v>
      </c>
      <c r="H1610">
        <v>58</v>
      </c>
      <c r="I1610" t="str">
        <f t="shared" si="24"/>
        <v>Kennels|DPOLE|Cheap</v>
      </c>
      <c r="J1610" t="s">
        <v>644</v>
      </c>
    </row>
    <row r="1611" spans="2:10">
      <c r="B1611" t="s">
        <v>642</v>
      </c>
      <c r="C1611" t="s">
        <v>643</v>
      </c>
      <c r="D1611" t="s">
        <v>253</v>
      </c>
      <c r="E1611" t="s">
        <v>296</v>
      </c>
      <c r="F1611" t="s">
        <v>219</v>
      </c>
      <c r="G1611" t="s">
        <v>229</v>
      </c>
      <c r="H1611">
        <v>165</v>
      </c>
      <c r="I1611" t="str">
        <f t="shared" si="24"/>
        <v>Kennels|S|Good</v>
      </c>
      <c r="J1611" t="s">
        <v>644</v>
      </c>
    </row>
    <row r="1612" spans="2:10">
      <c r="B1612" t="s">
        <v>642</v>
      </c>
      <c r="C1612" t="s">
        <v>643</v>
      </c>
      <c r="D1612" t="s">
        <v>253</v>
      </c>
      <c r="E1612" t="s">
        <v>296</v>
      </c>
      <c r="F1612" t="s">
        <v>219</v>
      </c>
      <c r="G1612" t="s">
        <v>44</v>
      </c>
      <c r="H1612">
        <v>121</v>
      </c>
      <c r="I1612" t="str">
        <f t="shared" si="24"/>
        <v>Kennels|S|Average</v>
      </c>
      <c r="J1612" t="s">
        <v>644</v>
      </c>
    </row>
    <row r="1613" spans="2:10">
      <c r="B1613" t="s">
        <v>642</v>
      </c>
      <c r="C1613" t="s">
        <v>643</v>
      </c>
      <c r="D1613" t="s">
        <v>253</v>
      </c>
      <c r="E1613" t="s">
        <v>296</v>
      </c>
      <c r="F1613" t="s">
        <v>219</v>
      </c>
      <c r="G1613" t="s">
        <v>226</v>
      </c>
      <c r="H1613">
        <v>86</v>
      </c>
      <c r="I1613" t="str">
        <f t="shared" si="24"/>
        <v>Kennels|S|Low Cost</v>
      </c>
      <c r="J1613" t="s">
        <v>644</v>
      </c>
    </row>
    <row r="1614" spans="2:10">
      <c r="B1614" t="s">
        <v>642</v>
      </c>
      <c r="C1614" t="s">
        <v>643</v>
      </c>
      <c r="D1614" t="s">
        <v>253</v>
      </c>
      <c r="E1614" t="s">
        <v>296</v>
      </c>
      <c r="F1614" t="s">
        <v>219</v>
      </c>
      <c r="G1614" t="s">
        <v>314</v>
      </c>
      <c r="H1614">
        <v>60.5</v>
      </c>
      <c r="I1614" t="str">
        <f t="shared" si="24"/>
        <v>Kennels|S|Cheap</v>
      </c>
      <c r="J1614" t="s">
        <v>644</v>
      </c>
    </row>
    <row r="1615" spans="2:10">
      <c r="B1615" t="s">
        <v>645</v>
      </c>
      <c r="C1615" t="s">
        <v>646</v>
      </c>
      <c r="D1615" t="s">
        <v>253</v>
      </c>
      <c r="E1615" t="s">
        <v>300</v>
      </c>
      <c r="F1615" t="s">
        <v>270</v>
      </c>
      <c r="G1615" t="s">
        <v>44</v>
      </c>
      <c r="H1615">
        <v>293</v>
      </c>
      <c r="I1615" t="str">
        <f t="shared" si="24"/>
        <v>Veterinary Hospitals|A-B|Average</v>
      </c>
      <c r="J1615" t="s">
        <v>647</v>
      </c>
    </row>
    <row r="1616" spans="2:10">
      <c r="B1616" t="s">
        <v>645</v>
      </c>
      <c r="C1616" t="s">
        <v>646</v>
      </c>
      <c r="D1616" t="s">
        <v>253</v>
      </c>
      <c r="E1616" t="s">
        <v>300</v>
      </c>
      <c r="F1616" t="s">
        <v>209</v>
      </c>
      <c r="G1616" t="s">
        <v>231</v>
      </c>
      <c r="H1616">
        <v>326</v>
      </c>
      <c r="I1616" t="str">
        <f t="shared" si="24"/>
        <v>Veterinary Hospitals|C|Excellent</v>
      </c>
      <c r="J1616" t="s">
        <v>647</v>
      </c>
    </row>
    <row r="1617" spans="2:10">
      <c r="B1617" t="s">
        <v>645</v>
      </c>
      <c r="C1617" t="s">
        <v>646</v>
      </c>
      <c r="D1617" t="s">
        <v>253</v>
      </c>
      <c r="E1617" t="s">
        <v>300</v>
      </c>
      <c r="F1617" t="s">
        <v>209</v>
      </c>
      <c r="G1617" t="s">
        <v>229</v>
      </c>
      <c r="H1617">
        <v>250</v>
      </c>
      <c r="I1617" t="str">
        <f t="shared" si="24"/>
        <v>Veterinary Hospitals|C|Good</v>
      </c>
      <c r="J1617" t="s">
        <v>647</v>
      </c>
    </row>
    <row r="1618" spans="2:10">
      <c r="B1618" t="s">
        <v>645</v>
      </c>
      <c r="C1618" t="s">
        <v>646</v>
      </c>
      <c r="D1618" t="s">
        <v>253</v>
      </c>
      <c r="E1618" t="s">
        <v>300</v>
      </c>
      <c r="F1618" t="s">
        <v>209</v>
      </c>
      <c r="G1618" t="s">
        <v>44</v>
      </c>
      <c r="H1618">
        <v>194</v>
      </c>
      <c r="I1618" t="str">
        <f t="shared" si="24"/>
        <v>Veterinary Hospitals|C|Average</v>
      </c>
      <c r="J1618" t="s">
        <v>647</v>
      </c>
    </row>
    <row r="1619" spans="2:10">
      <c r="B1619" t="s">
        <v>645</v>
      </c>
      <c r="C1619" t="s">
        <v>646</v>
      </c>
      <c r="D1619" t="s">
        <v>253</v>
      </c>
      <c r="E1619" t="s">
        <v>300</v>
      </c>
      <c r="F1619" t="s">
        <v>209</v>
      </c>
      <c r="G1619" t="s">
        <v>226</v>
      </c>
      <c r="H1619">
        <v>146</v>
      </c>
      <c r="I1619" t="str">
        <f t="shared" si="24"/>
        <v>Veterinary Hospitals|C|Low Cost</v>
      </c>
      <c r="J1619" t="s">
        <v>647</v>
      </c>
    </row>
    <row r="1620" spans="2:10">
      <c r="B1620" t="s">
        <v>645</v>
      </c>
      <c r="C1620" t="s">
        <v>646</v>
      </c>
      <c r="D1620" t="s">
        <v>253</v>
      </c>
      <c r="E1620" t="s">
        <v>300</v>
      </c>
      <c r="F1620" t="s">
        <v>214</v>
      </c>
      <c r="G1620" t="s">
        <v>231</v>
      </c>
      <c r="H1620">
        <v>315</v>
      </c>
      <c r="I1620" t="str">
        <f t="shared" si="24"/>
        <v>Veterinary Hospitals|D|Excellent</v>
      </c>
      <c r="J1620" t="s">
        <v>647</v>
      </c>
    </row>
    <row r="1621" spans="2:10">
      <c r="B1621" t="s">
        <v>645</v>
      </c>
      <c r="C1621" t="s">
        <v>646</v>
      </c>
      <c r="D1621" t="s">
        <v>253</v>
      </c>
      <c r="E1621" t="s">
        <v>300</v>
      </c>
      <c r="F1621" t="s">
        <v>214</v>
      </c>
      <c r="G1621" t="s">
        <v>229</v>
      </c>
      <c r="H1621">
        <v>240</v>
      </c>
      <c r="I1621" t="str">
        <f t="shared" si="24"/>
        <v>Veterinary Hospitals|D|Good</v>
      </c>
      <c r="J1621" t="s">
        <v>647</v>
      </c>
    </row>
    <row r="1622" spans="2:10">
      <c r="B1622" t="s">
        <v>645</v>
      </c>
      <c r="C1622" t="s">
        <v>646</v>
      </c>
      <c r="D1622" t="s">
        <v>253</v>
      </c>
      <c r="E1622" t="s">
        <v>300</v>
      </c>
      <c r="F1622" t="s">
        <v>214</v>
      </c>
      <c r="G1622" t="s">
        <v>44</v>
      </c>
      <c r="H1622">
        <v>186</v>
      </c>
      <c r="I1622" t="str">
        <f t="shared" si="24"/>
        <v>Veterinary Hospitals|D|Average</v>
      </c>
      <c r="J1622" t="s">
        <v>647</v>
      </c>
    </row>
    <row r="1623" spans="2:10">
      <c r="B1623" t="s">
        <v>645</v>
      </c>
      <c r="C1623" t="s">
        <v>646</v>
      </c>
      <c r="D1623" t="s">
        <v>253</v>
      </c>
      <c r="E1623" t="s">
        <v>300</v>
      </c>
      <c r="F1623" t="s">
        <v>214</v>
      </c>
      <c r="G1623" t="s">
        <v>226</v>
      </c>
      <c r="H1623">
        <v>140</v>
      </c>
      <c r="I1623" t="str">
        <f t="shared" si="24"/>
        <v>Veterinary Hospitals|D|Low Cost</v>
      </c>
      <c r="J1623" t="s">
        <v>647</v>
      </c>
    </row>
    <row r="1624" spans="2:10">
      <c r="B1624" t="s">
        <v>645</v>
      </c>
      <c r="C1624" t="s">
        <v>646</v>
      </c>
      <c r="D1624" t="s">
        <v>253</v>
      </c>
      <c r="E1624" t="s">
        <v>300</v>
      </c>
      <c r="F1624" t="s">
        <v>313</v>
      </c>
      <c r="G1624" t="s">
        <v>226</v>
      </c>
      <c r="H1624">
        <v>127</v>
      </c>
      <c r="I1624" t="str">
        <f t="shared" si="24"/>
        <v>Veterinary Hospitals|DPOLE|Low Cost</v>
      </c>
      <c r="J1624" t="s">
        <v>647</v>
      </c>
    </row>
    <row r="1625" spans="2:10">
      <c r="B1625" t="s">
        <v>645</v>
      </c>
      <c r="C1625" t="s">
        <v>646</v>
      </c>
      <c r="D1625" t="s">
        <v>253</v>
      </c>
      <c r="E1625" t="s">
        <v>300</v>
      </c>
      <c r="F1625" t="s">
        <v>219</v>
      </c>
      <c r="G1625" t="s">
        <v>44</v>
      </c>
      <c r="H1625">
        <v>177</v>
      </c>
      <c r="I1625" t="str">
        <f t="shared" si="24"/>
        <v>Veterinary Hospitals|S|Average</v>
      </c>
      <c r="J1625" t="s">
        <v>647</v>
      </c>
    </row>
    <row r="1626" spans="2:10">
      <c r="B1626" t="s">
        <v>645</v>
      </c>
      <c r="C1626" t="s">
        <v>646</v>
      </c>
      <c r="D1626" t="s">
        <v>253</v>
      </c>
      <c r="E1626" t="s">
        <v>300</v>
      </c>
      <c r="F1626" t="s">
        <v>219</v>
      </c>
      <c r="G1626" t="s">
        <v>226</v>
      </c>
      <c r="H1626">
        <v>130</v>
      </c>
      <c r="I1626" t="str">
        <f t="shared" si="24"/>
        <v>Veterinary Hospitals|S|Low Cost</v>
      </c>
      <c r="J1626" t="s">
        <v>647</v>
      </c>
    </row>
    <row r="1627" spans="2:10">
      <c r="B1627" t="s">
        <v>648</v>
      </c>
      <c r="C1627" t="s">
        <v>649</v>
      </c>
      <c r="D1627" t="s">
        <v>253</v>
      </c>
      <c r="E1627" t="s">
        <v>300</v>
      </c>
      <c r="F1627" t="s">
        <v>270</v>
      </c>
      <c r="G1627" t="s">
        <v>44</v>
      </c>
      <c r="H1627">
        <v>159</v>
      </c>
      <c r="I1627" t="str">
        <f t="shared" si="24"/>
        <v>Fire Stations – Volunteer|A-B|Average</v>
      </c>
      <c r="J1627" t="s">
        <v>647</v>
      </c>
    </row>
    <row r="1628" spans="2:10">
      <c r="B1628" t="s">
        <v>648</v>
      </c>
      <c r="C1628" t="s">
        <v>649</v>
      </c>
      <c r="D1628" t="s">
        <v>253</v>
      </c>
      <c r="E1628" t="s">
        <v>300</v>
      </c>
      <c r="F1628" t="s">
        <v>270</v>
      </c>
      <c r="G1628" t="s">
        <v>226</v>
      </c>
      <c r="H1628">
        <v>126</v>
      </c>
      <c r="I1628" t="str">
        <f t="shared" si="24"/>
        <v>Fire Stations – Volunteer|A-B|Low Cost</v>
      </c>
      <c r="J1628" t="s">
        <v>647</v>
      </c>
    </row>
    <row r="1629" spans="2:10">
      <c r="B1629" t="s">
        <v>648</v>
      </c>
      <c r="C1629" t="s">
        <v>649</v>
      </c>
      <c r="D1629" t="s">
        <v>253</v>
      </c>
      <c r="E1629" t="s">
        <v>300</v>
      </c>
      <c r="F1629" t="s">
        <v>209</v>
      </c>
      <c r="G1629" t="s">
        <v>229</v>
      </c>
      <c r="H1629">
        <v>137</v>
      </c>
      <c r="I1629" t="str">
        <f t="shared" si="24"/>
        <v>Fire Stations – Volunteer|C|Good</v>
      </c>
      <c r="J1629" t="s">
        <v>647</v>
      </c>
    </row>
    <row r="1630" spans="2:10">
      <c r="B1630" t="s">
        <v>648</v>
      </c>
      <c r="C1630" t="s">
        <v>649</v>
      </c>
      <c r="D1630" t="s">
        <v>253</v>
      </c>
      <c r="E1630" t="s">
        <v>300</v>
      </c>
      <c r="F1630" t="s">
        <v>209</v>
      </c>
      <c r="G1630" t="s">
        <v>44</v>
      </c>
      <c r="H1630">
        <v>97.5</v>
      </c>
      <c r="I1630" t="str">
        <f t="shared" ref="I1630:I1693" si="25">B1630&amp;"|"&amp;F1630&amp;"|"&amp;G1630</f>
        <v>Fire Stations – Volunteer|C|Average</v>
      </c>
      <c r="J1630" t="s">
        <v>647</v>
      </c>
    </row>
    <row r="1631" spans="2:10">
      <c r="B1631" t="s">
        <v>648</v>
      </c>
      <c r="C1631" t="s">
        <v>649</v>
      </c>
      <c r="D1631" t="s">
        <v>253</v>
      </c>
      <c r="E1631" t="s">
        <v>300</v>
      </c>
      <c r="F1631" t="s">
        <v>209</v>
      </c>
      <c r="G1631" t="s">
        <v>226</v>
      </c>
      <c r="H1631">
        <v>74</v>
      </c>
      <c r="I1631" t="str">
        <f t="shared" si="25"/>
        <v>Fire Stations – Volunteer|C|Low Cost</v>
      </c>
      <c r="J1631" t="s">
        <v>647</v>
      </c>
    </row>
    <row r="1632" spans="2:10">
      <c r="B1632" t="s">
        <v>648</v>
      </c>
      <c r="C1632" t="s">
        <v>649</v>
      </c>
      <c r="D1632" t="s">
        <v>253</v>
      </c>
      <c r="E1632" t="s">
        <v>300</v>
      </c>
      <c r="F1632" t="s">
        <v>214</v>
      </c>
      <c r="G1632" t="s">
        <v>229</v>
      </c>
      <c r="H1632">
        <v>126</v>
      </c>
      <c r="I1632" t="str">
        <f t="shared" si="25"/>
        <v>Fire Stations – Volunteer|D|Good</v>
      </c>
      <c r="J1632" t="s">
        <v>647</v>
      </c>
    </row>
    <row r="1633" spans="2:10">
      <c r="B1633" t="s">
        <v>648</v>
      </c>
      <c r="C1633" t="s">
        <v>649</v>
      </c>
      <c r="D1633" t="s">
        <v>253</v>
      </c>
      <c r="E1633" t="s">
        <v>300</v>
      </c>
      <c r="F1633" t="s">
        <v>214</v>
      </c>
      <c r="G1633" t="s">
        <v>44</v>
      </c>
      <c r="H1633">
        <v>88.5</v>
      </c>
      <c r="I1633" t="str">
        <f t="shared" si="25"/>
        <v>Fire Stations – Volunteer|D|Average</v>
      </c>
      <c r="J1633" t="s">
        <v>647</v>
      </c>
    </row>
    <row r="1634" spans="2:10">
      <c r="B1634" t="s">
        <v>648</v>
      </c>
      <c r="C1634" t="s">
        <v>649</v>
      </c>
      <c r="D1634" t="s">
        <v>253</v>
      </c>
      <c r="E1634" t="s">
        <v>300</v>
      </c>
      <c r="F1634" t="s">
        <v>214</v>
      </c>
      <c r="G1634" t="s">
        <v>226</v>
      </c>
      <c r="H1634">
        <v>67</v>
      </c>
      <c r="I1634" t="str">
        <f t="shared" si="25"/>
        <v>Fire Stations – Volunteer|D|Low Cost</v>
      </c>
      <c r="J1634" t="s">
        <v>647</v>
      </c>
    </row>
    <row r="1635" spans="2:10">
      <c r="B1635" t="s">
        <v>648</v>
      </c>
      <c r="C1635" t="s">
        <v>649</v>
      </c>
      <c r="D1635" t="s">
        <v>253</v>
      </c>
      <c r="E1635" t="s">
        <v>300</v>
      </c>
      <c r="F1635" t="s">
        <v>313</v>
      </c>
      <c r="G1635" t="s">
        <v>44</v>
      </c>
      <c r="H1635">
        <v>81</v>
      </c>
      <c r="I1635" t="str">
        <f t="shared" si="25"/>
        <v>Fire Stations – Volunteer|DPOLE|Average</v>
      </c>
      <c r="J1635" t="s">
        <v>647</v>
      </c>
    </row>
    <row r="1636" spans="2:10">
      <c r="B1636" t="s">
        <v>648</v>
      </c>
      <c r="C1636" t="s">
        <v>649</v>
      </c>
      <c r="D1636" t="s">
        <v>253</v>
      </c>
      <c r="E1636" t="s">
        <v>300</v>
      </c>
      <c r="F1636" t="s">
        <v>313</v>
      </c>
      <c r="G1636" t="s">
        <v>226</v>
      </c>
      <c r="H1636">
        <v>59.5</v>
      </c>
      <c r="I1636" t="str">
        <f t="shared" si="25"/>
        <v>Fire Stations – Volunteer|DPOLE|Low Cost</v>
      </c>
      <c r="J1636" t="s">
        <v>647</v>
      </c>
    </row>
    <row r="1637" spans="2:10">
      <c r="B1637" t="s">
        <v>648</v>
      </c>
      <c r="C1637" t="s">
        <v>649</v>
      </c>
      <c r="D1637" t="s">
        <v>253</v>
      </c>
      <c r="E1637" t="s">
        <v>300</v>
      </c>
      <c r="F1637" t="s">
        <v>219</v>
      </c>
      <c r="G1637" t="s">
        <v>229</v>
      </c>
      <c r="H1637">
        <v>122</v>
      </c>
      <c r="I1637" t="str">
        <f t="shared" si="25"/>
        <v>Fire Stations – Volunteer|S|Good</v>
      </c>
      <c r="J1637" t="s">
        <v>647</v>
      </c>
    </row>
    <row r="1638" spans="2:10">
      <c r="B1638" t="s">
        <v>648</v>
      </c>
      <c r="C1638" t="s">
        <v>649</v>
      </c>
      <c r="D1638" t="s">
        <v>253</v>
      </c>
      <c r="E1638" t="s">
        <v>300</v>
      </c>
      <c r="F1638" t="s">
        <v>219</v>
      </c>
      <c r="G1638" t="s">
        <v>44</v>
      </c>
      <c r="H1638">
        <v>85</v>
      </c>
      <c r="I1638" t="str">
        <f t="shared" si="25"/>
        <v>Fire Stations – Volunteer|S|Average</v>
      </c>
      <c r="J1638" t="s">
        <v>647</v>
      </c>
    </row>
    <row r="1639" spans="2:10">
      <c r="B1639" t="s">
        <v>648</v>
      </c>
      <c r="C1639" t="s">
        <v>649</v>
      </c>
      <c r="D1639" t="s">
        <v>253</v>
      </c>
      <c r="E1639" t="s">
        <v>300</v>
      </c>
      <c r="F1639" t="s">
        <v>219</v>
      </c>
      <c r="G1639" t="s">
        <v>226</v>
      </c>
      <c r="H1639">
        <v>63.5</v>
      </c>
      <c r="I1639" t="str">
        <f t="shared" si="25"/>
        <v>Fire Stations – Volunteer|S|Low Cost</v>
      </c>
      <c r="J1639" t="s">
        <v>647</v>
      </c>
    </row>
    <row r="1640" spans="2:10">
      <c r="B1640" t="s">
        <v>650</v>
      </c>
      <c r="C1640" t="s">
        <v>651</v>
      </c>
      <c r="D1640" t="s">
        <v>253</v>
      </c>
      <c r="E1640" t="s">
        <v>309</v>
      </c>
      <c r="F1640" t="s">
        <v>270</v>
      </c>
      <c r="G1640" t="s">
        <v>229</v>
      </c>
      <c r="H1640">
        <v>387</v>
      </c>
      <c r="I1640" t="str">
        <f t="shared" si="25"/>
        <v>Fire Stations – Staffed|A-B|Good</v>
      </c>
      <c r="J1640" t="s">
        <v>652</v>
      </c>
    </row>
    <row r="1641" spans="2:10">
      <c r="B1641" t="s">
        <v>650</v>
      </c>
      <c r="C1641" t="s">
        <v>651</v>
      </c>
      <c r="D1641" t="s">
        <v>253</v>
      </c>
      <c r="E1641" t="s">
        <v>309</v>
      </c>
      <c r="F1641" t="s">
        <v>270</v>
      </c>
      <c r="G1641" t="s">
        <v>44</v>
      </c>
      <c r="H1641">
        <v>279</v>
      </c>
      <c r="I1641" t="str">
        <f t="shared" si="25"/>
        <v>Fire Stations – Staffed|A-B|Average</v>
      </c>
      <c r="J1641" t="s">
        <v>652</v>
      </c>
    </row>
    <row r="1642" spans="2:10">
      <c r="B1642" t="s">
        <v>650</v>
      </c>
      <c r="C1642" t="s">
        <v>651</v>
      </c>
      <c r="D1642" t="s">
        <v>253</v>
      </c>
      <c r="E1642" t="s">
        <v>309</v>
      </c>
      <c r="F1642" t="s">
        <v>209</v>
      </c>
      <c r="G1642" t="s">
        <v>231</v>
      </c>
      <c r="H1642">
        <v>366</v>
      </c>
      <c r="I1642" t="str">
        <f t="shared" si="25"/>
        <v>Fire Stations – Staffed|C|Excellent</v>
      </c>
      <c r="J1642" t="s">
        <v>652</v>
      </c>
    </row>
    <row r="1643" spans="2:10">
      <c r="B1643" t="s">
        <v>650</v>
      </c>
      <c r="C1643" t="s">
        <v>651</v>
      </c>
      <c r="D1643" t="s">
        <v>253</v>
      </c>
      <c r="E1643" t="s">
        <v>309</v>
      </c>
      <c r="F1643" t="s">
        <v>209</v>
      </c>
      <c r="G1643" t="s">
        <v>250</v>
      </c>
      <c r="H1643">
        <v>304</v>
      </c>
      <c r="I1643" t="str">
        <f t="shared" si="25"/>
        <v>Fire Stations – Staffed|C|Very Good</v>
      </c>
      <c r="J1643" t="s">
        <v>652</v>
      </c>
    </row>
    <row r="1644" spans="2:10">
      <c r="B1644" t="s">
        <v>650</v>
      </c>
      <c r="C1644" t="s">
        <v>651</v>
      </c>
      <c r="D1644" t="s">
        <v>253</v>
      </c>
      <c r="E1644" t="s">
        <v>309</v>
      </c>
      <c r="F1644" t="s">
        <v>209</v>
      </c>
      <c r="G1644" t="s">
        <v>229</v>
      </c>
      <c r="H1644">
        <v>252</v>
      </c>
      <c r="I1644" t="str">
        <f t="shared" si="25"/>
        <v>Fire Stations – Staffed|C|Good</v>
      </c>
      <c r="J1644" t="s">
        <v>652</v>
      </c>
    </row>
    <row r="1645" spans="2:10">
      <c r="B1645" t="s">
        <v>650</v>
      </c>
      <c r="C1645" t="s">
        <v>651</v>
      </c>
      <c r="D1645" t="s">
        <v>253</v>
      </c>
      <c r="E1645" t="s">
        <v>309</v>
      </c>
      <c r="F1645" t="s">
        <v>209</v>
      </c>
      <c r="G1645" t="s">
        <v>44</v>
      </c>
      <c r="H1645">
        <v>176</v>
      </c>
      <c r="I1645" t="str">
        <f t="shared" si="25"/>
        <v>Fire Stations – Staffed|C|Average</v>
      </c>
      <c r="J1645" t="s">
        <v>652</v>
      </c>
    </row>
    <row r="1646" spans="2:10">
      <c r="B1646" t="s">
        <v>650</v>
      </c>
      <c r="C1646" t="s">
        <v>651</v>
      </c>
      <c r="D1646" t="s">
        <v>253</v>
      </c>
      <c r="E1646" t="s">
        <v>309</v>
      </c>
      <c r="F1646" t="s">
        <v>209</v>
      </c>
      <c r="G1646" t="s">
        <v>226</v>
      </c>
      <c r="H1646">
        <v>119</v>
      </c>
      <c r="I1646" t="str">
        <f t="shared" si="25"/>
        <v>Fire Stations – Staffed|C|Low Cost</v>
      </c>
      <c r="J1646" t="s">
        <v>652</v>
      </c>
    </row>
    <row r="1647" spans="2:10">
      <c r="B1647" t="s">
        <v>650</v>
      </c>
      <c r="C1647" t="s">
        <v>651</v>
      </c>
      <c r="D1647" t="s">
        <v>253</v>
      </c>
      <c r="E1647" t="s">
        <v>309</v>
      </c>
      <c r="F1647" t="s">
        <v>214</v>
      </c>
      <c r="G1647" t="s">
        <v>231</v>
      </c>
      <c r="H1647">
        <v>352</v>
      </c>
      <c r="I1647" t="str">
        <f t="shared" si="25"/>
        <v>Fire Stations – Staffed|D|Excellent</v>
      </c>
      <c r="J1647" t="s">
        <v>652</v>
      </c>
    </row>
    <row r="1648" spans="2:10">
      <c r="B1648" t="s">
        <v>650</v>
      </c>
      <c r="C1648" t="s">
        <v>651</v>
      </c>
      <c r="D1648" t="s">
        <v>253</v>
      </c>
      <c r="E1648" t="s">
        <v>309</v>
      </c>
      <c r="F1648" t="s">
        <v>214</v>
      </c>
      <c r="G1648" t="s">
        <v>250</v>
      </c>
      <c r="H1648">
        <v>290</v>
      </c>
      <c r="I1648" t="str">
        <f t="shared" si="25"/>
        <v>Fire Stations – Staffed|D|Very Good</v>
      </c>
      <c r="J1648" t="s">
        <v>652</v>
      </c>
    </row>
    <row r="1649" spans="2:10">
      <c r="B1649" t="s">
        <v>650</v>
      </c>
      <c r="C1649" t="s">
        <v>651</v>
      </c>
      <c r="D1649" t="s">
        <v>253</v>
      </c>
      <c r="E1649" t="s">
        <v>309</v>
      </c>
      <c r="F1649" t="s">
        <v>214</v>
      </c>
      <c r="G1649" t="s">
        <v>229</v>
      </c>
      <c r="H1649">
        <v>238</v>
      </c>
      <c r="I1649" t="str">
        <f t="shared" si="25"/>
        <v>Fire Stations – Staffed|D|Good</v>
      </c>
      <c r="J1649" t="s">
        <v>652</v>
      </c>
    </row>
    <row r="1650" spans="2:10">
      <c r="B1650" t="s">
        <v>650</v>
      </c>
      <c r="C1650" t="s">
        <v>651</v>
      </c>
      <c r="D1650" t="s">
        <v>253</v>
      </c>
      <c r="E1650" t="s">
        <v>309</v>
      </c>
      <c r="F1650" t="s">
        <v>214</v>
      </c>
      <c r="G1650" t="s">
        <v>44</v>
      </c>
      <c r="H1650">
        <v>163</v>
      </c>
      <c r="I1650" t="str">
        <f t="shared" si="25"/>
        <v>Fire Stations – Staffed|D|Average</v>
      </c>
      <c r="J1650" t="s">
        <v>652</v>
      </c>
    </row>
    <row r="1651" spans="2:10">
      <c r="B1651" t="s">
        <v>650</v>
      </c>
      <c r="C1651" t="s">
        <v>651</v>
      </c>
      <c r="D1651" t="s">
        <v>253</v>
      </c>
      <c r="E1651" t="s">
        <v>309</v>
      </c>
      <c r="F1651" t="s">
        <v>214</v>
      </c>
      <c r="G1651" t="s">
        <v>226</v>
      </c>
      <c r="H1651">
        <v>108</v>
      </c>
      <c r="I1651" t="str">
        <f t="shared" si="25"/>
        <v>Fire Stations – Staffed|D|Low Cost</v>
      </c>
      <c r="J1651" t="s">
        <v>652</v>
      </c>
    </row>
    <row r="1652" spans="2:10">
      <c r="B1652" t="s">
        <v>650</v>
      </c>
      <c r="C1652" t="s">
        <v>651</v>
      </c>
      <c r="D1652" t="s">
        <v>253</v>
      </c>
      <c r="E1652" t="s">
        <v>309</v>
      </c>
      <c r="F1652" t="s">
        <v>313</v>
      </c>
      <c r="G1652" t="s">
        <v>44</v>
      </c>
      <c r="H1652">
        <v>139</v>
      </c>
      <c r="I1652" t="str">
        <f t="shared" si="25"/>
        <v>Fire Stations – Staffed|DPOLE|Average</v>
      </c>
      <c r="J1652" t="s">
        <v>652</v>
      </c>
    </row>
    <row r="1653" spans="2:10">
      <c r="B1653" t="s">
        <v>650</v>
      </c>
      <c r="C1653" t="s">
        <v>651</v>
      </c>
      <c r="D1653" t="s">
        <v>253</v>
      </c>
      <c r="E1653" t="s">
        <v>309</v>
      </c>
      <c r="F1653" t="s">
        <v>313</v>
      </c>
      <c r="G1653" t="s">
        <v>226</v>
      </c>
      <c r="H1653">
        <v>91.5</v>
      </c>
      <c r="I1653" t="str">
        <f t="shared" si="25"/>
        <v>Fire Stations – Staffed|DPOLE|Low Cost</v>
      </c>
      <c r="J1653" t="s">
        <v>652</v>
      </c>
    </row>
    <row r="1654" spans="2:10">
      <c r="B1654" t="s">
        <v>650</v>
      </c>
      <c r="C1654" t="s">
        <v>651</v>
      </c>
      <c r="D1654" t="s">
        <v>253</v>
      </c>
      <c r="E1654" t="s">
        <v>309</v>
      </c>
      <c r="F1654" t="s">
        <v>219</v>
      </c>
      <c r="G1654" t="s">
        <v>229</v>
      </c>
      <c r="H1654">
        <v>208</v>
      </c>
      <c r="I1654" t="str">
        <f t="shared" si="25"/>
        <v>Fire Stations – Staffed|S|Good</v>
      </c>
      <c r="J1654" t="s">
        <v>652</v>
      </c>
    </row>
    <row r="1655" spans="2:10">
      <c r="B1655" t="s">
        <v>650</v>
      </c>
      <c r="C1655" t="s">
        <v>651</v>
      </c>
      <c r="D1655" t="s">
        <v>253</v>
      </c>
      <c r="E1655" t="s">
        <v>309</v>
      </c>
      <c r="F1655" t="s">
        <v>219</v>
      </c>
      <c r="G1655" t="s">
        <v>44</v>
      </c>
      <c r="H1655">
        <v>144</v>
      </c>
      <c r="I1655" t="str">
        <f t="shared" si="25"/>
        <v>Fire Stations – Staffed|S|Average</v>
      </c>
      <c r="J1655" t="s">
        <v>652</v>
      </c>
    </row>
    <row r="1656" spans="2:10">
      <c r="B1656" t="s">
        <v>650</v>
      </c>
      <c r="C1656" t="s">
        <v>651</v>
      </c>
      <c r="D1656" t="s">
        <v>253</v>
      </c>
      <c r="E1656" t="s">
        <v>309</v>
      </c>
      <c r="F1656" t="s">
        <v>219</v>
      </c>
      <c r="G1656" t="s">
        <v>226</v>
      </c>
      <c r="H1656">
        <v>95.5</v>
      </c>
      <c r="I1656" t="str">
        <f t="shared" si="25"/>
        <v>Fire Stations – Staffed|S|Low Cost</v>
      </c>
      <c r="J1656" t="s">
        <v>652</v>
      </c>
    </row>
    <row r="1657" spans="2:10">
      <c r="B1657" t="s">
        <v>653</v>
      </c>
      <c r="C1657" t="s">
        <v>654</v>
      </c>
      <c r="D1657" t="s">
        <v>253</v>
      </c>
      <c r="E1657" t="s">
        <v>317</v>
      </c>
      <c r="F1657" t="s">
        <v>202</v>
      </c>
      <c r="G1657" t="s">
        <v>231</v>
      </c>
      <c r="H1657">
        <v>493</v>
      </c>
      <c r="I1657" t="str">
        <f t="shared" si="25"/>
        <v>Governmental Buildings|A|Excellent</v>
      </c>
      <c r="J1657" t="s">
        <v>655</v>
      </c>
    </row>
    <row r="1658" spans="2:10">
      <c r="B1658" t="s">
        <v>653</v>
      </c>
      <c r="C1658" t="s">
        <v>654</v>
      </c>
      <c r="D1658" t="s">
        <v>253</v>
      </c>
      <c r="E1658" t="s">
        <v>317</v>
      </c>
      <c r="F1658" t="s">
        <v>202</v>
      </c>
      <c r="G1658" t="s">
        <v>229</v>
      </c>
      <c r="H1658">
        <v>377</v>
      </c>
      <c r="I1658" t="str">
        <f t="shared" si="25"/>
        <v>Governmental Buildings|A|Good</v>
      </c>
      <c r="J1658" t="s">
        <v>655</v>
      </c>
    </row>
    <row r="1659" spans="2:10">
      <c r="B1659" t="s">
        <v>653</v>
      </c>
      <c r="C1659" t="s">
        <v>654</v>
      </c>
      <c r="D1659" t="s">
        <v>253</v>
      </c>
      <c r="E1659" t="s">
        <v>317</v>
      </c>
      <c r="F1659" t="s">
        <v>202</v>
      </c>
      <c r="G1659" t="s">
        <v>44</v>
      </c>
      <c r="H1659">
        <v>277</v>
      </c>
      <c r="I1659" t="str">
        <f t="shared" si="25"/>
        <v>Governmental Buildings|A|Average</v>
      </c>
      <c r="J1659" t="s">
        <v>655</v>
      </c>
    </row>
    <row r="1660" spans="2:10">
      <c r="B1660" t="s">
        <v>653</v>
      </c>
      <c r="C1660" t="s">
        <v>654</v>
      </c>
      <c r="D1660" t="s">
        <v>253</v>
      </c>
      <c r="E1660" t="s">
        <v>317</v>
      </c>
      <c r="F1660" t="s">
        <v>207</v>
      </c>
      <c r="G1660" t="s">
        <v>231</v>
      </c>
      <c r="H1660">
        <v>447</v>
      </c>
      <c r="I1660" t="str">
        <f t="shared" si="25"/>
        <v>Governmental Buildings|B|Excellent</v>
      </c>
      <c r="J1660" t="s">
        <v>655</v>
      </c>
    </row>
    <row r="1661" spans="2:10">
      <c r="B1661" t="s">
        <v>653</v>
      </c>
      <c r="C1661" t="s">
        <v>654</v>
      </c>
      <c r="D1661" t="s">
        <v>253</v>
      </c>
      <c r="E1661" t="s">
        <v>317</v>
      </c>
      <c r="F1661" t="s">
        <v>207</v>
      </c>
      <c r="G1661" t="s">
        <v>229</v>
      </c>
      <c r="H1661">
        <v>344</v>
      </c>
      <c r="I1661" t="str">
        <f t="shared" si="25"/>
        <v>Governmental Buildings|B|Good</v>
      </c>
      <c r="J1661" t="s">
        <v>655</v>
      </c>
    </row>
    <row r="1662" spans="2:10">
      <c r="B1662" t="s">
        <v>653</v>
      </c>
      <c r="C1662" t="s">
        <v>654</v>
      </c>
      <c r="D1662" t="s">
        <v>253</v>
      </c>
      <c r="E1662" t="s">
        <v>317</v>
      </c>
      <c r="F1662" t="s">
        <v>207</v>
      </c>
      <c r="G1662" t="s">
        <v>44</v>
      </c>
      <c r="H1662">
        <v>254</v>
      </c>
      <c r="I1662" t="str">
        <f t="shared" si="25"/>
        <v>Governmental Buildings|B|Average</v>
      </c>
      <c r="J1662" t="s">
        <v>655</v>
      </c>
    </row>
    <row r="1663" spans="2:10">
      <c r="B1663" t="s">
        <v>653</v>
      </c>
      <c r="C1663" t="s">
        <v>654</v>
      </c>
      <c r="D1663" t="s">
        <v>253</v>
      </c>
      <c r="E1663" t="s">
        <v>317</v>
      </c>
      <c r="F1663" t="s">
        <v>207</v>
      </c>
      <c r="G1663" t="s">
        <v>226</v>
      </c>
      <c r="H1663">
        <v>192</v>
      </c>
      <c r="I1663" t="str">
        <f t="shared" si="25"/>
        <v>Governmental Buildings|B|Low Cost</v>
      </c>
      <c r="J1663" t="s">
        <v>655</v>
      </c>
    </row>
    <row r="1664" spans="2:10">
      <c r="B1664" t="s">
        <v>653</v>
      </c>
      <c r="C1664" t="s">
        <v>654</v>
      </c>
      <c r="D1664" t="s">
        <v>253</v>
      </c>
      <c r="E1664" t="s">
        <v>317</v>
      </c>
      <c r="F1664" t="s">
        <v>209</v>
      </c>
      <c r="G1664" t="s">
        <v>231</v>
      </c>
      <c r="H1664">
        <v>380</v>
      </c>
      <c r="I1664" t="str">
        <f t="shared" si="25"/>
        <v>Governmental Buildings|C|Excellent</v>
      </c>
      <c r="J1664" t="s">
        <v>655</v>
      </c>
    </row>
    <row r="1665" spans="2:10">
      <c r="B1665" t="s">
        <v>653</v>
      </c>
      <c r="C1665" t="s">
        <v>654</v>
      </c>
      <c r="D1665" t="s">
        <v>253</v>
      </c>
      <c r="E1665" t="s">
        <v>317</v>
      </c>
      <c r="F1665" t="s">
        <v>209</v>
      </c>
      <c r="G1665" t="s">
        <v>229</v>
      </c>
      <c r="H1665">
        <v>273</v>
      </c>
      <c r="I1665" t="str">
        <f t="shared" si="25"/>
        <v>Governmental Buildings|C|Good</v>
      </c>
      <c r="J1665" t="s">
        <v>655</v>
      </c>
    </row>
    <row r="1666" spans="2:10">
      <c r="B1666" t="s">
        <v>653</v>
      </c>
      <c r="C1666" t="s">
        <v>654</v>
      </c>
      <c r="D1666" t="s">
        <v>253</v>
      </c>
      <c r="E1666" t="s">
        <v>317</v>
      </c>
      <c r="F1666" t="s">
        <v>209</v>
      </c>
      <c r="G1666" t="s">
        <v>44</v>
      </c>
      <c r="H1666">
        <v>206</v>
      </c>
      <c r="I1666" t="str">
        <f t="shared" si="25"/>
        <v>Governmental Buildings|C|Average</v>
      </c>
      <c r="J1666" t="s">
        <v>655</v>
      </c>
    </row>
    <row r="1667" spans="2:10">
      <c r="B1667" t="s">
        <v>653</v>
      </c>
      <c r="C1667" t="s">
        <v>654</v>
      </c>
      <c r="D1667" t="s">
        <v>253</v>
      </c>
      <c r="E1667" t="s">
        <v>317</v>
      </c>
      <c r="F1667" t="s">
        <v>209</v>
      </c>
      <c r="G1667" t="s">
        <v>226</v>
      </c>
      <c r="H1667">
        <v>147</v>
      </c>
      <c r="I1667" t="str">
        <f t="shared" si="25"/>
        <v>Governmental Buildings|C|Low Cost</v>
      </c>
      <c r="J1667" t="s">
        <v>655</v>
      </c>
    </row>
    <row r="1668" spans="2:10">
      <c r="B1668" t="s">
        <v>653</v>
      </c>
      <c r="C1668" t="s">
        <v>654</v>
      </c>
      <c r="D1668" t="s">
        <v>253</v>
      </c>
      <c r="E1668" t="s">
        <v>317</v>
      </c>
      <c r="F1668" t="s">
        <v>214</v>
      </c>
      <c r="G1668" t="s">
        <v>231</v>
      </c>
      <c r="H1668">
        <v>367</v>
      </c>
      <c r="I1668" t="str">
        <f t="shared" si="25"/>
        <v>Governmental Buildings|D|Excellent</v>
      </c>
      <c r="J1668" t="s">
        <v>655</v>
      </c>
    </row>
    <row r="1669" spans="2:10">
      <c r="B1669" t="s">
        <v>653</v>
      </c>
      <c r="C1669" t="s">
        <v>654</v>
      </c>
      <c r="D1669" t="s">
        <v>253</v>
      </c>
      <c r="E1669" t="s">
        <v>317</v>
      </c>
      <c r="F1669" t="s">
        <v>214</v>
      </c>
      <c r="G1669" t="s">
        <v>229</v>
      </c>
      <c r="H1669">
        <v>263</v>
      </c>
      <c r="I1669" t="str">
        <f t="shared" si="25"/>
        <v>Governmental Buildings|D|Good</v>
      </c>
      <c r="J1669" t="s">
        <v>655</v>
      </c>
    </row>
    <row r="1670" spans="2:10">
      <c r="B1670" t="s">
        <v>653</v>
      </c>
      <c r="C1670" t="s">
        <v>654</v>
      </c>
      <c r="D1670" t="s">
        <v>253</v>
      </c>
      <c r="E1670" t="s">
        <v>317</v>
      </c>
      <c r="F1670" t="s">
        <v>214</v>
      </c>
      <c r="G1670" t="s">
        <v>44</v>
      </c>
      <c r="H1670">
        <v>187</v>
      </c>
      <c r="I1670" t="str">
        <f t="shared" si="25"/>
        <v>Governmental Buildings|D|Average</v>
      </c>
      <c r="J1670" t="s">
        <v>655</v>
      </c>
    </row>
    <row r="1671" spans="2:10">
      <c r="B1671" t="s">
        <v>653</v>
      </c>
      <c r="C1671" t="s">
        <v>654</v>
      </c>
      <c r="D1671" t="s">
        <v>253</v>
      </c>
      <c r="E1671" t="s">
        <v>317</v>
      </c>
      <c r="F1671" t="s">
        <v>214</v>
      </c>
      <c r="G1671" t="s">
        <v>226</v>
      </c>
      <c r="H1671">
        <v>135</v>
      </c>
      <c r="I1671" t="str">
        <f t="shared" si="25"/>
        <v>Governmental Buildings|D|Low Cost</v>
      </c>
      <c r="J1671" t="s">
        <v>655</v>
      </c>
    </row>
    <row r="1672" spans="2:10">
      <c r="B1672" t="s">
        <v>653</v>
      </c>
      <c r="C1672" t="s">
        <v>654</v>
      </c>
      <c r="D1672" t="s">
        <v>253</v>
      </c>
      <c r="E1672" t="s">
        <v>317</v>
      </c>
      <c r="F1672" t="s">
        <v>219</v>
      </c>
      <c r="G1672" t="s">
        <v>44</v>
      </c>
      <c r="H1672">
        <v>185</v>
      </c>
      <c r="I1672" t="str">
        <f t="shared" si="25"/>
        <v>Governmental Buildings|S|Average</v>
      </c>
      <c r="J1672" t="s">
        <v>655</v>
      </c>
    </row>
    <row r="1673" spans="2:10">
      <c r="B1673" t="s">
        <v>653</v>
      </c>
      <c r="C1673" t="s">
        <v>654</v>
      </c>
      <c r="D1673" t="s">
        <v>253</v>
      </c>
      <c r="E1673" t="s">
        <v>317</v>
      </c>
      <c r="F1673" t="s">
        <v>219</v>
      </c>
      <c r="G1673" t="s">
        <v>226</v>
      </c>
      <c r="H1673">
        <v>134</v>
      </c>
      <c r="I1673" t="str">
        <f t="shared" si="25"/>
        <v>Governmental Buildings|S|Low Cost</v>
      </c>
      <c r="J1673" t="s">
        <v>655</v>
      </c>
    </row>
    <row r="1674" spans="2:10">
      <c r="B1674" t="s">
        <v>656</v>
      </c>
      <c r="C1674" t="s">
        <v>657</v>
      </c>
      <c r="D1674" t="s">
        <v>253</v>
      </c>
      <c r="E1674" t="s">
        <v>323</v>
      </c>
      <c r="F1674" t="s">
        <v>270</v>
      </c>
      <c r="G1674" t="s">
        <v>44</v>
      </c>
      <c r="H1674">
        <v>221</v>
      </c>
      <c r="I1674" t="str">
        <f t="shared" si="25"/>
        <v>Governmental – Community Service Buildings|A-B|Average</v>
      </c>
      <c r="J1674" t="s">
        <v>658</v>
      </c>
    </row>
    <row r="1675" spans="2:10">
      <c r="B1675" t="s">
        <v>656</v>
      </c>
      <c r="C1675" t="s">
        <v>657</v>
      </c>
      <c r="D1675" t="s">
        <v>253</v>
      </c>
      <c r="E1675" t="s">
        <v>323</v>
      </c>
      <c r="F1675" t="s">
        <v>270</v>
      </c>
      <c r="G1675" t="s">
        <v>226</v>
      </c>
      <c r="H1675">
        <v>168</v>
      </c>
      <c r="I1675" t="str">
        <f t="shared" si="25"/>
        <v>Governmental – Community Service Buildings|A-B|Low Cost</v>
      </c>
      <c r="J1675" t="s">
        <v>658</v>
      </c>
    </row>
    <row r="1676" spans="2:10">
      <c r="B1676" t="s">
        <v>656</v>
      </c>
      <c r="C1676" t="s">
        <v>657</v>
      </c>
      <c r="D1676" t="s">
        <v>253</v>
      </c>
      <c r="E1676" t="s">
        <v>323</v>
      </c>
      <c r="F1676" t="s">
        <v>209</v>
      </c>
      <c r="G1676" t="s">
        <v>231</v>
      </c>
      <c r="H1676">
        <v>311</v>
      </c>
      <c r="I1676" t="str">
        <f t="shared" si="25"/>
        <v>Governmental – Community Service Buildings|C|Excellent</v>
      </c>
      <c r="J1676" t="s">
        <v>658</v>
      </c>
    </row>
    <row r="1677" spans="2:10">
      <c r="B1677" t="s">
        <v>656</v>
      </c>
      <c r="C1677" t="s">
        <v>657</v>
      </c>
      <c r="D1677" t="s">
        <v>253</v>
      </c>
      <c r="E1677" t="s">
        <v>323</v>
      </c>
      <c r="F1677" t="s">
        <v>209</v>
      </c>
      <c r="G1677" t="s">
        <v>229</v>
      </c>
      <c r="H1677">
        <v>230</v>
      </c>
      <c r="I1677" t="str">
        <f t="shared" si="25"/>
        <v>Governmental – Community Service Buildings|C|Good</v>
      </c>
      <c r="J1677" t="s">
        <v>658</v>
      </c>
    </row>
    <row r="1678" spans="2:10">
      <c r="B1678" t="s">
        <v>656</v>
      </c>
      <c r="C1678" t="s">
        <v>657</v>
      </c>
      <c r="D1678" t="s">
        <v>253</v>
      </c>
      <c r="E1678" t="s">
        <v>323</v>
      </c>
      <c r="F1678" t="s">
        <v>209</v>
      </c>
      <c r="G1678" t="s">
        <v>44</v>
      </c>
      <c r="H1678">
        <v>169</v>
      </c>
      <c r="I1678" t="str">
        <f t="shared" si="25"/>
        <v>Governmental – Community Service Buildings|C|Average</v>
      </c>
      <c r="J1678" t="s">
        <v>658</v>
      </c>
    </row>
    <row r="1679" spans="2:10">
      <c r="B1679" t="s">
        <v>656</v>
      </c>
      <c r="C1679" t="s">
        <v>657</v>
      </c>
      <c r="D1679" t="s">
        <v>253</v>
      </c>
      <c r="E1679" t="s">
        <v>323</v>
      </c>
      <c r="F1679" t="s">
        <v>209</v>
      </c>
      <c r="G1679" t="s">
        <v>226</v>
      </c>
      <c r="H1679">
        <v>124</v>
      </c>
      <c r="I1679" t="str">
        <f t="shared" si="25"/>
        <v>Governmental – Community Service Buildings|C|Low Cost</v>
      </c>
      <c r="J1679" t="s">
        <v>658</v>
      </c>
    </row>
    <row r="1680" spans="2:10">
      <c r="B1680" t="s">
        <v>656</v>
      </c>
      <c r="C1680" t="s">
        <v>657</v>
      </c>
      <c r="D1680" t="s">
        <v>253</v>
      </c>
      <c r="E1680" t="s">
        <v>323</v>
      </c>
      <c r="F1680" t="s">
        <v>214</v>
      </c>
      <c r="G1680" t="s">
        <v>231</v>
      </c>
      <c r="H1680">
        <v>301</v>
      </c>
      <c r="I1680" t="str">
        <f t="shared" si="25"/>
        <v>Governmental – Community Service Buildings|D|Excellent</v>
      </c>
      <c r="J1680" t="s">
        <v>658</v>
      </c>
    </row>
    <row r="1681" spans="2:10">
      <c r="B1681" t="s">
        <v>656</v>
      </c>
      <c r="C1681" t="s">
        <v>657</v>
      </c>
      <c r="D1681" t="s">
        <v>253</v>
      </c>
      <c r="E1681" t="s">
        <v>323</v>
      </c>
      <c r="F1681" t="s">
        <v>214</v>
      </c>
      <c r="G1681" t="s">
        <v>229</v>
      </c>
      <c r="H1681">
        <v>221</v>
      </c>
      <c r="I1681" t="str">
        <f t="shared" si="25"/>
        <v>Governmental – Community Service Buildings|D|Good</v>
      </c>
      <c r="J1681" t="s">
        <v>658</v>
      </c>
    </row>
    <row r="1682" spans="2:10">
      <c r="B1682" t="s">
        <v>656</v>
      </c>
      <c r="C1682" t="s">
        <v>657</v>
      </c>
      <c r="D1682" t="s">
        <v>253</v>
      </c>
      <c r="E1682" t="s">
        <v>323</v>
      </c>
      <c r="F1682" t="s">
        <v>214</v>
      </c>
      <c r="G1682" t="s">
        <v>44</v>
      </c>
      <c r="H1682">
        <v>162</v>
      </c>
      <c r="I1682" t="str">
        <f t="shared" si="25"/>
        <v>Governmental – Community Service Buildings|D|Average</v>
      </c>
      <c r="J1682" t="s">
        <v>658</v>
      </c>
    </row>
    <row r="1683" spans="2:10">
      <c r="B1683" t="s">
        <v>656</v>
      </c>
      <c r="C1683" t="s">
        <v>657</v>
      </c>
      <c r="D1683" t="s">
        <v>253</v>
      </c>
      <c r="E1683" t="s">
        <v>323</v>
      </c>
      <c r="F1683" t="s">
        <v>214</v>
      </c>
      <c r="G1683" t="s">
        <v>226</v>
      </c>
      <c r="H1683">
        <v>118</v>
      </c>
      <c r="I1683" t="str">
        <f t="shared" si="25"/>
        <v>Governmental – Community Service Buildings|D|Low Cost</v>
      </c>
      <c r="J1683" t="s">
        <v>658</v>
      </c>
    </row>
    <row r="1684" spans="2:10">
      <c r="B1684" t="s">
        <v>656</v>
      </c>
      <c r="C1684" t="s">
        <v>657</v>
      </c>
      <c r="D1684" t="s">
        <v>253</v>
      </c>
      <c r="E1684" t="s">
        <v>323</v>
      </c>
      <c r="F1684" t="s">
        <v>313</v>
      </c>
      <c r="G1684" t="s">
        <v>44</v>
      </c>
      <c r="H1684">
        <v>154</v>
      </c>
      <c r="I1684" t="str">
        <f t="shared" si="25"/>
        <v>Governmental – Community Service Buildings|DPOLE|Average</v>
      </c>
      <c r="J1684" t="s">
        <v>658</v>
      </c>
    </row>
    <row r="1685" spans="2:10">
      <c r="B1685" t="s">
        <v>656</v>
      </c>
      <c r="C1685" t="s">
        <v>657</v>
      </c>
      <c r="D1685" t="s">
        <v>253</v>
      </c>
      <c r="E1685" t="s">
        <v>323</v>
      </c>
      <c r="F1685" t="s">
        <v>313</v>
      </c>
      <c r="G1685" t="s">
        <v>226</v>
      </c>
      <c r="H1685">
        <v>112</v>
      </c>
      <c r="I1685" t="str">
        <f t="shared" si="25"/>
        <v>Governmental – Community Service Buildings|DPOLE|Low Cost</v>
      </c>
      <c r="J1685" t="s">
        <v>658</v>
      </c>
    </row>
    <row r="1686" spans="2:10">
      <c r="B1686" t="s">
        <v>656</v>
      </c>
      <c r="C1686" t="s">
        <v>657</v>
      </c>
      <c r="D1686" t="s">
        <v>253</v>
      </c>
      <c r="E1686" t="s">
        <v>323</v>
      </c>
      <c r="F1686" t="s">
        <v>219</v>
      </c>
      <c r="G1686" t="s">
        <v>229</v>
      </c>
      <c r="H1686">
        <v>216</v>
      </c>
      <c r="I1686" t="str">
        <f t="shared" si="25"/>
        <v>Governmental – Community Service Buildings|S|Good</v>
      </c>
      <c r="J1686" t="s">
        <v>658</v>
      </c>
    </row>
    <row r="1687" spans="2:10">
      <c r="B1687" t="s">
        <v>656</v>
      </c>
      <c r="C1687" t="s">
        <v>657</v>
      </c>
      <c r="D1687" t="s">
        <v>253</v>
      </c>
      <c r="E1687" t="s">
        <v>323</v>
      </c>
      <c r="F1687" t="s">
        <v>219</v>
      </c>
      <c r="G1687" t="s">
        <v>44</v>
      </c>
      <c r="H1687">
        <v>159</v>
      </c>
      <c r="I1687" t="str">
        <f t="shared" si="25"/>
        <v>Governmental – Community Service Buildings|S|Average</v>
      </c>
      <c r="J1687" t="s">
        <v>658</v>
      </c>
    </row>
    <row r="1688" spans="2:10">
      <c r="B1688" t="s">
        <v>656</v>
      </c>
      <c r="C1688" t="s">
        <v>657</v>
      </c>
      <c r="D1688" t="s">
        <v>253</v>
      </c>
      <c r="E1688" t="s">
        <v>323</v>
      </c>
      <c r="F1688" t="s">
        <v>219</v>
      </c>
      <c r="G1688" t="s">
        <v>226</v>
      </c>
      <c r="H1688">
        <v>116</v>
      </c>
      <c r="I1688" t="str">
        <f t="shared" si="25"/>
        <v>Governmental – Community Service Buildings|S|Low Cost</v>
      </c>
      <c r="J1688" t="s">
        <v>658</v>
      </c>
    </row>
    <row r="1689" spans="2:10">
      <c r="B1689" t="s">
        <v>659</v>
      </c>
      <c r="C1689" t="s">
        <v>660</v>
      </c>
      <c r="D1689" t="s">
        <v>253</v>
      </c>
      <c r="E1689" t="s">
        <v>329</v>
      </c>
      <c r="F1689" t="s">
        <v>202</v>
      </c>
      <c r="G1689" t="s">
        <v>229</v>
      </c>
      <c r="H1689">
        <v>394</v>
      </c>
      <c r="I1689" t="str">
        <f t="shared" si="25"/>
        <v>Public Libraries|A|Good</v>
      </c>
      <c r="J1689" t="s">
        <v>661</v>
      </c>
    </row>
    <row r="1690" spans="2:10">
      <c r="B1690" t="s">
        <v>659</v>
      </c>
      <c r="C1690" t="s">
        <v>660</v>
      </c>
      <c r="D1690" t="s">
        <v>253</v>
      </c>
      <c r="E1690" t="s">
        <v>329</v>
      </c>
      <c r="F1690" t="s">
        <v>202</v>
      </c>
      <c r="G1690" t="s">
        <v>44</v>
      </c>
      <c r="H1690">
        <v>290</v>
      </c>
      <c r="I1690" t="str">
        <f t="shared" si="25"/>
        <v>Public Libraries|A|Average</v>
      </c>
      <c r="J1690" t="s">
        <v>661</v>
      </c>
    </row>
    <row r="1691" spans="2:10">
      <c r="B1691" t="s">
        <v>659</v>
      </c>
      <c r="C1691" t="s">
        <v>660</v>
      </c>
      <c r="D1691" t="s">
        <v>253</v>
      </c>
      <c r="E1691" t="s">
        <v>329</v>
      </c>
      <c r="F1691" t="s">
        <v>207</v>
      </c>
      <c r="G1691" t="s">
        <v>229</v>
      </c>
      <c r="H1691">
        <v>359</v>
      </c>
      <c r="I1691" t="str">
        <f t="shared" si="25"/>
        <v>Public Libraries|B|Good</v>
      </c>
      <c r="J1691" t="s">
        <v>661</v>
      </c>
    </row>
    <row r="1692" spans="2:10">
      <c r="B1692" t="s">
        <v>659</v>
      </c>
      <c r="C1692" t="s">
        <v>660</v>
      </c>
      <c r="D1692" t="s">
        <v>253</v>
      </c>
      <c r="E1692" t="s">
        <v>329</v>
      </c>
      <c r="F1692" t="s">
        <v>207</v>
      </c>
      <c r="G1692" t="s">
        <v>44</v>
      </c>
      <c r="H1692">
        <v>264</v>
      </c>
      <c r="I1692" t="str">
        <f t="shared" si="25"/>
        <v>Public Libraries|B|Average</v>
      </c>
      <c r="J1692" t="s">
        <v>661</v>
      </c>
    </row>
    <row r="1693" spans="2:10">
      <c r="B1693" t="s">
        <v>659</v>
      </c>
      <c r="C1693" t="s">
        <v>660</v>
      </c>
      <c r="D1693" t="s">
        <v>253</v>
      </c>
      <c r="E1693" t="s">
        <v>329</v>
      </c>
      <c r="F1693" t="s">
        <v>209</v>
      </c>
      <c r="G1693" t="s">
        <v>231</v>
      </c>
      <c r="H1693">
        <v>447</v>
      </c>
      <c r="I1693" t="str">
        <f t="shared" si="25"/>
        <v>Public Libraries|C|Excellent</v>
      </c>
      <c r="J1693" t="s">
        <v>661</v>
      </c>
    </row>
    <row r="1694" spans="2:10">
      <c r="B1694" t="s">
        <v>659</v>
      </c>
      <c r="C1694" t="s">
        <v>660</v>
      </c>
      <c r="D1694" t="s">
        <v>253</v>
      </c>
      <c r="E1694" t="s">
        <v>329</v>
      </c>
      <c r="F1694" t="s">
        <v>209</v>
      </c>
      <c r="G1694" t="s">
        <v>250</v>
      </c>
      <c r="H1694">
        <v>350</v>
      </c>
      <c r="I1694" t="str">
        <f t="shared" ref="I1694:I1757" si="26">B1694&amp;"|"&amp;F1694&amp;"|"&amp;G1694</f>
        <v>Public Libraries|C|Very Good</v>
      </c>
      <c r="J1694" t="s">
        <v>661</v>
      </c>
    </row>
    <row r="1695" spans="2:10">
      <c r="B1695" t="s">
        <v>659</v>
      </c>
      <c r="C1695" t="s">
        <v>660</v>
      </c>
      <c r="D1695" t="s">
        <v>253</v>
      </c>
      <c r="E1695" t="s">
        <v>329</v>
      </c>
      <c r="F1695" t="s">
        <v>209</v>
      </c>
      <c r="G1695" t="s">
        <v>229</v>
      </c>
      <c r="H1695">
        <v>262</v>
      </c>
      <c r="I1695" t="str">
        <f t="shared" si="26"/>
        <v>Public Libraries|C|Good</v>
      </c>
      <c r="J1695" t="s">
        <v>661</v>
      </c>
    </row>
    <row r="1696" spans="2:10">
      <c r="B1696" t="s">
        <v>659</v>
      </c>
      <c r="C1696" t="s">
        <v>660</v>
      </c>
      <c r="D1696" t="s">
        <v>253</v>
      </c>
      <c r="E1696" t="s">
        <v>329</v>
      </c>
      <c r="F1696" t="s">
        <v>209</v>
      </c>
      <c r="G1696" t="s">
        <v>44</v>
      </c>
      <c r="H1696">
        <v>195</v>
      </c>
      <c r="I1696" t="str">
        <f t="shared" si="26"/>
        <v>Public Libraries|C|Average</v>
      </c>
      <c r="J1696" t="s">
        <v>661</v>
      </c>
    </row>
    <row r="1697" spans="2:10">
      <c r="B1697" t="s">
        <v>659</v>
      </c>
      <c r="C1697" t="s">
        <v>660</v>
      </c>
      <c r="D1697" t="s">
        <v>253</v>
      </c>
      <c r="E1697" t="s">
        <v>329</v>
      </c>
      <c r="F1697" t="s">
        <v>209</v>
      </c>
      <c r="G1697" t="s">
        <v>226</v>
      </c>
      <c r="H1697">
        <v>148</v>
      </c>
      <c r="I1697" t="str">
        <f t="shared" si="26"/>
        <v>Public Libraries|C|Low Cost</v>
      </c>
      <c r="J1697" t="s">
        <v>661</v>
      </c>
    </row>
    <row r="1698" spans="2:10">
      <c r="B1698" t="s">
        <v>659</v>
      </c>
      <c r="C1698" t="s">
        <v>660</v>
      </c>
      <c r="D1698" t="s">
        <v>253</v>
      </c>
      <c r="E1698" t="s">
        <v>329</v>
      </c>
      <c r="F1698" t="s">
        <v>214</v>
      </c>
      <c r="G1698" t="s">
        <v>231</v>
      </c>
      <c r="H1698">
        <v>417</v>
      </c>
      <c r="I1698" t="str">
        <f t="shared" si="26"/>
        <v>Public Libraries|D|Excellent</v>
      </c>
      <c r="J1698" t="s">
        <v>661</v>
      </c>
    </row>
    <row r="1699" spans="2:10">
      <c r="B1699" t="s">
        <v>659</v>
      </c>
      <c r="C1699" t="s">
        <v>660</v>
      </c>
      <c r="D1699" t="s">
        <v>253</v>
      </c>
      <c r="E1699" t="s">
        <v>329</v>
      </c>
      <c r="F1699" t="s">
        <v>214</v>
      </c>
      <c r="G1699" t="s">
        <v>250</v>
      </c>
      <c r="H1699">
        <v>323</v>
      </c>
      <c r="I1699" t="str">
        <f t="shared" si="26"/>
        <v>Public Libraries|D|Very Good</v>
      </c>
      <c r="J1699" t="s">
        <v>661</v>
      </c>
    </row>
    <row r="1700" spans="2:10">
      <c r="B1700" t="s">
        <v>659</v>
      </c>
      <c r="C1700" t="s">
        <v>660</v>
      </c>
      <c r="D1700" t="s">
        <v>253</v>
      </c>
      <c r="E1700" t="s">
        <v>329</v>
      </c>
      <c r="F1700" t="s">
        <v>214</v>
      </c>
      <c r="G1700" t="s">
        <v>229</v>
      </c>
      <c r="H1700">
        <v>251</v>
      </c>
      <c r="I1700" t="str">
        <f t="shared" si="26"/>
        <v>Public Libraries|D|Good</v>
      </c>
      <c r="J1700" t="s">
        <v>661</v>
      </c>
    </row>
    <row r="1701" spans="2:10">
      <c r="B1701" t="s">
        <v>659</v>
      </c>
      <c r="C1701" t="s">
        <v>660</v>
      </c>
      <c r="D1701" t="s">
        <v>253</v>
      </c>
      <c r="E1701" t="s">
        <v>329</v>
      </c>
      <c r="F1701" t="s">
        <v>214</v>
      </c>
      <c r="G1701" t="s">
        <v>44</v>
      </c>
      <c r="H1701">
        <v>186</v>
      </c>
      <c r="I1701" t="str">
        <f t="shared" si="26"/>
        <v>Public Libraries|D|Average</v>
      </c>
      <c r="J1701" t="s">
        <v>661</v>
      </c>
    </row>
    <row r="1702" spans="2:10">
      <c r="B1702" t="s">
        <v>659</v>
      </c>
      <c r="C1702" t="s">
        <v>660</v>
      </c>
      <c r="D1702" t="s">
        <v>253</v>
      </c>
      <c r="E1702" t="s">
        <v>329</v>
      </c>
      <c r="F1702" t="s">
        <v>214</v>
      </c>
      <c r="G1702" t="s">
        <v>226</v>
      </c>
      <c r="H1702">
        <v>140</v>
      </c>
      <c r="I1702" t="str">
        <f t="shared" si="26"/>
        <v>Public Libraries|D|Low Cost</v>
      </c>
      <c r="J1702" t="s">
        <v>661</v>
      </c>
    </row>
    <row r="1703" spans="2:10">
      <c r="B1703" t="s">
        <v>659</v>
      </c>
      <c r="C1703" t="s">
        <v>660</v>
      </c>
      <c r="D1703" t="s">
        <v>253</v>
      </c>
      <c r="E1703" t="s">
        <v>329</v>
      </c>
      <c r="F1703" t="s">
        <v>313</v>
      </c>
      <c r="G1703" t="s">
        <v>226</v>
      </c>
      <c r="H1703">
        <v>129</v>
      </c>
      <c r="I1703" t="str">
        <f t="shared" si="26"/>
        <v>Public Libraries|DPOLE|Low Cost</v>
      </c>
      <c r="J1703" t="s">
        <v>661</v>
      </c>
    </row>
    <row r="1704" spans="2:10">
      <c r="B1704" t="s">
        <v>659</v>
      </c>
      <c r="C1704" t="s">
        <v>660</v>
      </c>
      <c r="D1704" t="s">
        <v>253</v>
      </c>
      <c r="E1704" t="s">
        <v>329</v>
      </c>
      <c r="F1704" t="s">
        <v>219</v>
      </c>
      <c r="G1704" t="s">
        <v>229</v>
      </c>
      <c r="H1704">
        <v>241</v>
      </c>
      <c r="I1704" t="str">
        <f t="shared" si="26"/>
        <v>Public Libraries|S|Good</v>
      </c>
      <c r="J1704" t="s">
        <v>661</v>
      </c>
    </row>
    <row r="1705" spans="2:10">
      <c r="B1705" t="s">
        <v>659</v>
      </c>
      <c r="C1705" t="s">
        <v>660</v>
      </c>
      <c r="D1705" t="s">
        <v>253</v>
      </c>
      <c r="E1705" t="s">
        <v>329</v>
      </c>
      <c r="F1705" t="s">
        <v>219</v>
      </c>
      <c r="G1705" t="s">
        <v>44</v>
      </c>
      <c r="H1705">
        <v>178</v>
      </c>
      <c r="I1705" t="str">
        <f t="shared" si="26"/>
        <v>Public Libraries|S|Average</v>
      </c>
      <c r="J1705" t="s">
        <v>661</v>
      </c>
    </row>
    <row r="1706" spans="2:10">
      <c r="B1706" t="s">
        <v>659</v>
      </c>
      <c r="C1706" t="s">
        <v>660</v>
      </c>
      <c r="D1706" t="s">
        <v>253</v>
      </c>
      <c r="E1706" t="s">
        <v>329</v>
      </c>
      <c r="F1706" t="s">
        <v>219</v>
      </c>
      <c r="G1706" t="s">
        <v>226</v>
      </c>
      <c r="H1706">
        <v>134</v>
      </c>
      <c r="I1706" t="str">
        <f t="shared" si="26"/>
        <v>Public Libraries|S|Low Cost</v>
      </c>
      <c r="J1706" t="s">
        <v>661</v>
      </c>
    </row>
    <row r="1707" spans="2:10">
      <c r="B1707" t="s">
        <v>662</v>
      </c>
      <c r="C1707" t="s">
        <v>663</v>
      </c>
      <c r="D1707" t="s">
        <v>253</v>
      </c>
      <c r="E1707" t="s">
        <v>333</v>
      </c>
      <c r="F1707" t="s">
        <v>270</v>
      </c>
      <c r="G1707" t="s">
        <v>231</v>
      </c>
      <c r="H1707">
        <v>615</v>
      </c>
      <c r="I1707" t="str">
        <f t="shared" si="26"/>
        <v>Jails – Correctional Facilities|A-B|Excellent</v>
      </c>
      <c r="J1707" t="s">
        <v>664</v>
      </c>
    </row>
    <row r="1708" spans="2:10">
      <c r="B1708" t="s">
        <v>662</v>
      </c>
      <c r="C1708" t="s">
        <v>663</v>
      </c>
      <c r="D1708" t="s">
        <v>253</v>
      </c>
      <c r="E1708" t="s">
        <v>333</v>
      </c>
      <c r="F1708" t="s">
        <v>270</v>
      </c>
      <c r="G1708" t="s">
        <v>229</v>
      </c>
      <c r="H1708">
        <v>450</v>
      </c>
      <c r="I1708" t="str">
        <f t="shared" si="26"/>
        <v>Jails – Correctional Facilities|A-B|Good</v>
      </c>
      <c r="J1708" t="s">
        <v>664</v>
      </c>
    </row>
    <row r="1709" spans="2:10">
      <c r="B1709" t="s">
        <v>662</v>
      </c>
      <c r="C1709" t="s">
        <v>663</v>
      </c>
      <c r="D1709" t="s">
        <v>253</v>
      </c>
      <c r="E1709" t="s">
        <v>333</v>
      </c>
      <c r="F1709" t="s">
        <v>270</v>
      </c>
      <c r="G1709" t="s">
        <v>44</v>
      </c>
      <c r="H1709">
        <v>335</v>
      </c>
      <c r="I1709" t="str">
        <f t="shared" si="26"/>
        <v>Jails – Correctional Facilities|A-B|Average</v>
      </c>
      <c r="J1709" t="s">
        <v>664</v>
      </c>
    </row>
    <row r="1710" spans="2:10">
      <c r="B1710" t="s">
        <v>662</v>
      </c>
      <c r="C1710" t="s">
        <v>663</v>
      </c>
      <c r="D1710" t="s">
        <v>253</v>
      </c>
      <c r="E1710" t="s">
        <v>333</v>
      </c>
      <c r="F1710" t="s">
        <v>209</v>
      </c>
      <c r="G1710" t="s">
        <v>231</v>
      </c>
      <c r="H1710">
        <v>499</v>
      </c>
      <c r="I1710" t="str">
        <f t="shared" si="26"/>
        <v>Jails – Correctional Facilities|C|Excellent</v>
      </c>
      <c r="J1710" t="s">
        <v>664</v>
      </c>
    </row>
    <row r="1711" spans="2:10">
      <c r="B1711" t="s">
        <v>662</v>
      </c>
      <c r="C1711" t="s">
        <v>663</v>
      </c>
      <c r="D1711" t="s">
        <v>253</v>
      </c>
      <c r="E1711" t="s">
        <v>333</v>
      </c>
      <c r="F1711" t="s">
        <v>209</v>
      </c>
      <c r="G1711" t="s">
        <v>229</v>
      </c>
      <c r="H1711">
        <v>366</v>
      </c>
      <c r="I1711" t="str">
        <f t="shared" si="26"/>
        <v>Jails – Correctional Facilities|C|Good</v>
      </c>
      <c r="J1711" t="s">
        <v>664</v>
      </c>
    </row>
    <row r="1712" spans="2:10">
      <c r="B1712" t="s">
        <v>662</v>
      </c>
      <c r="C1712" t="s">
        <v>663</v>
      </c>
      <c r="D1712" t="s">
        <v>253</v>
      </c>
      <c r="E1712" t="s">
        <v>333</v>
      </c>
      <c r="F1712" t="s">
        <v>209</v>
      </c>
      <c r="G1712" t="s">
        <v>44</v>
      </c>
      <c r="H1712">
        <v>273</v>
      </c>
      <c r="I1712" t="str">
        <f t="shared" si="26"/>
        <v>Jails – Correctional Facilities|C|Average</v>
      </c>
      <c r="J1712" t="s">
        <v>664</v>
      </c>
    </row>
    <row r="1713" spans="2:10">
      <c r="B1713" t="s">
        <v>662</v>
      </c>
      <c r="C1713" t="s">
        <v>663</v>
      </c>
      <c r="D1713" t="s">
        <v>253</v>
      </c>
      <c r="E1713" t="s">
        <v>333</v>
      </c>
      <c r="F1713" t="s">
        <v>209</v>
      </c>
      <c r="G1713" t="s">
        <v>226</v>
      </c>
      <c r="H1713">
        <v>204</v>
      </c>
      <c r="I1713" t="str">
        <f t="shared" si="26"/>
        <v>Jails – Correctional Facilities|C|Low Cost</v>
      </c>
      <c r="J1713" t="s">
        <v>664</v>
      </c>
    </row>
    <row r="1714" spans="2:10">
      <c r="B1714" t="s">
        <v>662</v>
      </c>
      <c r="C1714" t="s">
        <v>663</v>
      </c>
      <c r="D1714" t="s">
        <v>253</v>
      </c>
      <c r="E1714" t="s">
        <v>333</v>
      </c>
      <c r="F1714" t="s">
        <v>214</v>
      </c>
      <c r="G1714" t="s">
        <v>231</v>
      </c>
      <c r="H1714">
        <v>469</v>
      </c>
      <c r="I1714" t="str">
        <f t="shared" si="26"/>
        <v>Jails – Correctional Facilities|D|Excellent</v>
      </c>
      <c r="J1714" t="s">
        <v>664</v>
      </c>
    </row>
    <row r="1715" spans="2:10">
      <c r="B1715" t="s">
        <v>662</v>
      </c>
      <c r="C1715" t="s">
        <v>663</v>
      </c>
      <c r="D1715" t="s">
        <v>253</v>
      </c>
      <c r="E1715" t="s">
        <v>333</v>
      </c>
      <c r="F1715" t="s">
        <v>214</v>
      </c>
      <c r="G1715" t="s">
        <v>229</v>
      </c>
      <c r="H1715">
        <v>349</v>
      </c>
      <c r="I1715" t="str">
        <f t="shared" si="26"/>
        <v>Jails – Correctional Facilities|D|Good</v>
      </c>
      <c r="J1715" t="s">
        <v>664</v>
      </c>
    </row>
    <row r="1716" spans="2:10">
      <c r="B1716" t="s">
        <v>662</v>
      </c>
      <c r="C1716" t="s">
        <v>663</v>
      </c>
      <c r="D1716" t="s">
        <v>253</v>
      </c>
      <c r="E1716" t="s">
        <v>333</v>
      </c>
      <c r="F1716" t="s">
        <v>214</v>
      </c>
      <c r="G1716" t="s">
        <v>44</v>
      </c>
      <c r="H1716">
        <v>258</v>
      </c>
      <c r="I1716" t="str">
        <f t="shared" si="26"/>
        <v>Jails – Correctional Facilities|D|Average</v>
      </c>
      <c r="J1716" t="s">
        <v>664</v>
      </c>
    </row>
    <row r="1717" spans="2:10">
      <c r="B1717" t="s">
        <v>662</v>
      </c>
      <c r="C1717" t="s">
        <v>663</v>
      </c>
      <c r="D1717" t="s">
        <v>253</v>
      </c>
      <c r="E1717" t="s">
        <v>333</v>
      </c>
      <c r="F1717" t="s">
        <v>219</v>
      </c>
      <c r="G1717" t="s">
        <v>44</v>
      </c>
      <c r="H1717">
        <v>256</v>
      </c>
      <c r="I1717" t="str">
        <f t="shared" si="26"/>
        <v>Jails – Correctional Facilities|S|Average</v>
      </c>
      <c r="J1717" t="s">
        <v>664</v>
      </c>
    </row>
    <row r="1718" spans="2:10">
      <c r="B1718" t="s">
        <v>665</v>
      </c>
      <c r="C1718" t="s">
        <v>666</v>
      </c>
      <c r="D1718" t="s">
        <v>253</v>
      </c>
      <c r="E1718" t="s">
        <v>333</v>
      </c>
      <c r="F1718" t="s">
        <v>270</v>
      </c>
      <c r="G1718" t="s">
        <v>231</v>
      </c>
      <c r="H1718">
        <v>405</v>
      </c>
      <c r="I1718" t="str">
        <f t="shared" si="26"/>
        <v>Jails – Police Stations|A-B|Excellent</v>
      </c>
      <c r="J1718" t="s">
        <v>664</v>
      </c>
    </row>
    <row r="1719" spans="2:10">
      <c r="B1719" t="s">
        <v>665</v>
      </c>
      <c r="C1719" t="s">
        <v>666</v>
      </c>
      <c r="D1719" t="s">
        <v>253</v>
      </c>
      <c r="E1719" t="s">
        <v>333</v>
      </c>
      <c r="F1719" t="s">
        <v>270</v>
      </c>
      <c r="G1719" t="s">
        <v>229</v>
      </c>
      <c r="H1719">
        <v>305</v>
      </c>
      <c r="I1719" t="str">
        <f t="shared" si="26"/>
        <v>Jails – Police Stations|A-B|Good</v>
      </c>
      <c r="J1719" t="s">
        <v>664</v>
      </c>
    </row>
    <row r="1720" spans="2:10">
      <c r="B1720" t="s">
        <v>665</v>
      </c>
      <c r="C1720" t="s">
        <v>666</v>
      </c>
      <c r="D1720" t="s">
        <v>253</v>
      </c>
      <c r="E1720" t="s">
        <v>333</v>
      </c>
      <c r="F1720" t="s">
        <v>270</v>
      </c>
      <c r="G1720" t="s">
        <v>44</v>
      </c>
      <c r="H1720">
        <v>240</v>
      </c>
      <c r="I1720" t="str">
        <f t="shared" si="26"/>
        <v>Jails – Police Stations|A-B|Average</v>
      </c>
      <c r="J1720" t="s">
        <v>664</v>
      </c>
    </row>
    <row r="1721" spans="2:10">
      <c r="B1721" t="s">
        <v>665</v>
      </c>
      <c r="C1721" t="s">
        <v>666</v>
      </c>
      <c r="D1721" t="s">
        <v>253</v>
      </c>
      <c r="E1721" t="s">
        <v>333</v>
      </c>
      <c r="F1721" t="s">
        <v>270</v>
      </c>
      <c r="G1721" t="s">
        <v>226</v>
      </c>
      <c r="H1721">
        <v>185</v>
      </c>
      <c r="I1721" t="str">
        <f t="shared" si="26"/>
        <v>Jails – Police Stations|A-B|Low Cost</v>
      </c>
      <c r="J1721" t="s">
        <v>664</v>
      </c>
    </row>
    <row r="1722" spans="2:10">
      <c r="B1722" t="s">
        <v>665</v>
      </c>
      <c r="C1722" t="s">
        <v>666</v>
      </c>
      <c r="D1722" t="s">
        <v>253</v>
      </c>
      <c r="E1722" t="s">
        <v>333</v>
      </c>
      <c r="F1722" t="s">
        <v>209</v>
      </c>
      <c r="G1722" t="s">
        <v>231</v>
      </c>
      <c r="H1722">
        <v>345</v>
      </c>
      <c r="I1722" t="str">
        <f t="shared" si="26"/>
        <v>Jails – Police Stations|C|Excellent</v>
      </c>
      <c r="J1722" t="s">
        <v>664</v>
      </c>
    </row>
    <row r="1723" spans="2:10">
      <c r="B1723" t="s">
        <v>665</v>
      </c>
      <c r="C1723" t="s">
        <v>666</v>
      </c>
      <c r="D1723" t="s">
        <v>253</v>
      </c>
      <c r="E1723" t="s">
        <v>333</v>
      </c>
      <c r="F1723" t="s">
        <v>209</v>
      </c>
      <c r="G1723" t="s">
        <v>229</v>
      </c>
      <c r="H1723">
        <v>259</v>
      </c>
      <c r="I1723" t="str">
        <f t="shared" si="26"/>
        <v>Jails – Police Stations|C|Good</v>
      </c>
      <c r="J1723" t="s">
        <v>664</v>
      </c>
    </row>
    <row r="1724" spans="2:10">
      <c r="B1724" t="s">
        <v>665</v>
      </c>
      <c r="C1724" t="s">
        <v>666</v>
      </c>
      <c r="D1724" t="s">
        <v>253</v>
      </c>
      <c r="E1724" t="s">
        <v>333</v>
      </c>
      <c r="F1724" t="s">
        <v>209</v>
      </c>
      <c r="G1724" t="s">
        <v>44</v>
      </c>
      <c r="H1724">
        <v>194</v>
      </c>
      <c r="I1724" t="str">
        <f t="shared" si="26"/>
        <v>Jails – Police Stations|C|Average</v>
      </c>
      <c r="J1724" t="s">
        <v>664</v>
      </c>
    </row>
    <row r="1725" spans="2:10">
      <c r="B1725" t="s">
        <v>665</v>
      </c>
      <c r="C1725" t="s">
        <v>666</v>
      </c>
      <c r="D1725" t="s">
        <v>253</v>
      </c>
      <c r="E1725" t="s">
        <v>333</v>
      </c>
      <c r="F1725" t="s">
        <v>209</v>
      </c>
      <c r="G1725" t="s">
        <v>226</v>
      </c>
      <c r="H1725">
        <v>146</v>
      </c>
      <c r="I1725" t="str">
        <f t="shared" si="26"/>
        <v>Jails – Police Stations|C|Low Cost</v>
      </c>
      <c r="J1725" t="s">
        <v>664</v>
      </c>
    </row>
    <row r="1726" spans="2:10">
      <c r="B1726" t="s">
        <v>665</v>
      </c>
      <c r="C1726" t="s">
        <v>666</v>
      </c>
      <c r="D1726" t="s">
        <v>253</v>
      </c>
      <c r="E1726" t="s">
        <v>333</v>
      </c>
      <c r="F1726" t="s">
        <v>214</v>
      </c>
      <c r="G1726" t="s">
        <v>231</v>
      </c>
      <c r="H1726">
        <v>331</v>
      </c>
      <c r="I1726" t="str">
        <f t="shared" si="26"/>
        <v>Jails – Police Stations|D|Excellent</v>
      </c>
      <c r="J1726" t="s">
        <v>664</v>
      </c>
    </row>
    <row r="1727" spans="2:10">
      <c r="B1727" t="s">
        <v>665</v>
      </c>
      <c r="C1727" t="s">
        <v>666</v>
      </c>
      <c r="D1727" t="s">
        <v>253</v>
      </c>
      <c r="E1727" t="s">
        <v>333</v>
      </c>
      <c r="F1727" t="s">
        <v>214</v>
      </c>
      <c r="G1727" t="s">
        <v>229</v>
      </c>
      <c r="H1727">
        <v>248</v>
      </c>
      <c r="I1727" t="str">
        <f t="shared" si="26"/>
        <v>Jails – Police Stations|D|Good</v>
      </c>
      <c r="J1727" t="s">
        <v>664</v>
      </c>
    </row>
    <row r="1728" spans="2:10">
      <c r="B1728" t="s">
        <v>665</v>
      </c>
      <c r="C1728" t="s">
        <v>666</v>
      </c>
      <c r="D1728" t="s">
        <v>253</v>
      </c>
      <c r="E1728" t="s">
        <v>333</v>
      </c>
      <c r="F1728" t="s">
        <v>214</v>
      </c>
      <c r="G1728" t="s">
        <v>44</v>
      </c>
      <c r="H1728">
        <v>186</v>
      </c>
      <c r="I1728" t="str">
        <f t="shared" si="26"/>
        <v>Jails – Police Stations|D|Average</v>
      </c>
      <c r="J1728" t="s">
        <v>664</v>
      </c>
    </row>
    <row r="1729" spans="2:10">
      <c r="B1729" t="s">
        <v>667</v>
      </c>
      <c r="C1729" t="s">
        <v>668</v>
      </c>
      <c r="D1729" t="s">
        <v>253</v>
      </c>
      <c r="E1729" t="s">
        <v>407</v>
      </c>
      <c r="F1729" t="s">
        <v>202</v>
      </c>
      <c r="G1729" t="s">
        <v>231</v>
      </c>
      <c r="H1729">
        <v>248</v>
      </c>
      <c r="I1729" t="str">
        <f t="shared" si="26"/>
        <v>Shell Office Buildings|A|Excellent</v>
      </c>
      <c r="J1729" t="s">
        <v>669</v>
      </c>
    </row>
    <row r="1730" spans="2:10">
      <c r="B1730" t="s">
        <v>667</v>
      </c>
      <c r="C1730" t="s">
        <v>668</v>
      </c>
      <c r="D1730" t="s">
        <v>253</v>
      </c>
      <c r="E1730" t="s">
        <v>407</v>
      </c>
      <c r="F1730" t="s">
        <v>202</v>
      </c>
      <c r="G1730" t="s">
        <v>229</v>
      </c>
      <c r="H1730">
        <v>193</v>
      </c>
      <c r="I1730" t="str">
        <f t="shared" si="26"/>
        <v>Shell Office Buildings|A|Good</v>
      </c>
      <c r="J1730" t="s">
        <v>669</v>
      </c>
    </row>
    <row r="1731" spans="2:10">
      <c r="B1731" t="s">
        <v>667</v>
      </c>
      <c r="C1731" t="s">
        <v>668</v>
      </c>
      <c r="D1731" t="s">
        <v>253</v>
      </c>
      <c r="E1731" t="s">
        <v>407</v>
      </c>
      <c r="F1731" t="s">
        <v>202</v>
      </c>
      <c r="G1731" t="s">
        <v>44</v>
      </c>
      <c r="H1731">
        <v>151</v>
      </c>
      <c r="I1731" t="str">
        <f t="shared" si="26"/>
        <v>Shell Office Buildings|A|Average</v>
      </c>
      <c r="J1731" t="s">
        <v>669</v>
      </c>
    </row>
    <row r="1732" spans="2:10">
      <c r="B1732" t="s">
        <v>667</v>
      </c>
      <c r="C1732" t="s">
        <v>668</v>
      </c>
      <c r="D1732" t="s">
        <v>253</v>
      </c>
      <c r="E1732" t="s">
        <v>407</v>
      </c>
      <c r="F1732" t="s">
        <v>202</v>
      </c>
      <c r="G1732" t="s">
        <v>226</v>
      </c>
      <c r="H1732">
        <v>118</v>
      </c>
      <c r="I1732" t="str">
        <f t="shared" si="26"/>
        <v>Shell Office Buildings|A|Low Cost</v>
      </c>
      <c r="J1732" t="s">
        <v>669</v>
      </c>
    </row>
    <row r="1733" spans="2:10">
      <c r="B1733" t="s">
        <v>667</v>
      </c>
      <c r="C1733" t="s">
        <v>668</v>
      </c>
      <c r="D1733" t="s">
        <v>253</v>
      </c>
      <c r="E1733" t="s">
        <v>407</v>
      </c>
      <c r="F1733" t="s">
        <v>207</v>
      </c>
      <c r="G1733" t="s">
        <v>231</v>
      </c>
      <c r="H1733">
        <v>224</v>
      </c>
      <c r="I1733" t="str">
        <f t="shared" si="26"/>
        <v>Shell Office Buildings|B|Excellent</v>
      </c>
      <c r="J1733" t="s">
        <v>669</v>
      </c>
    </row>
    <row r="1734" spans="2:10">
      <c r="B1734" t="s">
        <v>667</v>
      </c>
      <c r="C1734" t="s">
        <v>668</v>
      </c>
      <c r="D1734" t="s">
        <v>253</v>
      </c>
      <c r="E1734" t="s">
        <v>407</v>
      </c>
      <c r="F1734" t="s">
        <v>207</v>
      </c>
      <c r="G1734" t="s">
        <v>229</v>
      </c>
      <c r="H1734">
        <v>172</v>
      </c>
      <c r="I1734" t="str">
        <f t="shared" si="26"/>
        <v>Shell Office Buildings|B|Good</v>
      </c>
      <c r="J1734" t="s">
        <v>669</v>
      </c>
    </row>
    <row r="1735" spans="2:10">
      <c r="B1735" t="s">
        <v>667</v>
      </c>
      <c r="C1735" t="s">
        <v>668</v>
      </c>
      <c r="D1735" t="s">
        <v>253</v>
      </c>
      <c r="E1735" t="s">
        <v>407</v>
      </c>
      <c r="F1735" t="s">
        <v>207</v>
      </c>
      <c r="G1735" t="s">
        <v>44</v>
      </c>
      <c r="H1735">
        <v>132</v>
      </c>
      <c r="I1735" t="str">
        <f t="shared" si="26"/>
        <v>Shell Office Buildings|B|Average</v>
      </c>
      <c r="J1735" t="s">
        <v>669</v>
      </c>
    </row>
    <row r="1736" spans="2:10">
      <c r="B1736" t="s">
        <v>667</v>
      </c>
      <c r="C1736" t="s">
        <v>668</v>
      </c>
      <c r="D1736" t="s">
        <v>253</v>
      </c>
      <c r="E1736" t="s">
        <v>407</v>
      </c>
      <c r="F1736" t="s">
        <v>207</v>
      </c>
      <c r="G1736" t="s">
        <v>226</v>
      </c>
      <c r="H1736">
        <v>102</v>
      </c>
      <c r="I1736" t="str">
        <f t="shared" si="26"/>
        <v>Shell Office Buildings|B|Low Cost</v>
      </c>
      <c r="J1736" t="s">
        <v>669</v>
      </c>
    </row>
    <row r="1737" spans="2:10">
      <c r="B1737" t="s">
        <v>667</v>
      </c>
      <c r="C1737" t="s">
        <v>668</v>
      </c>
      <c r="D1737" t="s">
        <v>253</v>
      </c>
      <c r="E1737" t="s">
        <v>501</v>
      </c>
      <c r="F1737" t="s">
        <v>209</v>
      </c>
      <c r="G1737" t="s">
        <v>231</v>
      </c>
      <c r="H1737">
        <v>192</v>
      </c>
      <c r="I1737" t="str">
        <f t="shared" si="26"/>
        <v>Shell Office Buildings|C|Excellent</v>
      </c>
      <c r="J1737" t="s">
        <v>670</v>
      </c>
    </row>
    <row r="1738" spans="2:10">
      <c r="B1738" t="s">
        <v>667</v>
      </c>
      <c r="C1738" t="s">
        <v>668</v>
      </c>
      <c r="D1738" t="s">
        <v>253</v>
      </c>
      <c r="E1738" t="s">
        <v>501</v>
      </c>
      <c r="F1738" t="s">
        <v>209</v>
      </c>
      <c r="G1738" t="s">
        <v>229</v>
      </c>
      <c r="H1738">
        <v>128</v>
      </c>
      <c r="I1738" t="str">
        <f t="shared" si="26"/>
        <v>Shell Office Buildings|C|Good</v>
      </c>
      <c r="J1738" t="s">
        <v>670</v>
      </c>
    </row>
    <row r="1739" spans="2:10">
      <c r="B1739" t="s">
        <v>667</v>
      </c>
      <c r="C1739" t="s">
        <v>668</v>
      </c>
      <c r="D1739" t="s">
        <v>253</v>
      </c>
      <c r="E1739" t="s">
        <v>501</v>
      </c>
      <c r="F1739" t="s">
        <v>209</v>
      </c>
      <c r="G1739" t="s">
        <v>44</v>
      </c>
      <c r="H1739">
        <v>85</v>
      </c>
      <c r="I1739" t="str">
        <f t="shared" si="26"/>
        <v>Shell Office Buildings|C|Average</v>
      </c>
      <c r="J1739" t="s">
        <v>670</v>
      </c>
    </row>
    <row r="1740" spans="2:10">
      <c r="B1740" t="s">
        <v>667</v>
      </c>
      <c r="C1740" t="s">
        <v>668</v>
      </c>
      <c r="D1740" t="s">
        <v>253</v>
      </c>
      <c r="E1740" t="s">
        <v>501</v>
      </c>
      <c r="F1740" t="s">
        <v>209</v>
      </c>
      <c r="G1740" t="s">
        <v>226</v>
      </c>
      <c r="H1740">
        <v>53.5</v>
      </c>
      <c r="I1740" t="str">
        <f t="shared" si="26"/>
        <v>Shell Office Buildings|C|Low Cost</v>
      </c>
      <c r="J1740" t="s">
        <v>670</v>
      </c>
    </row>
    <row r="1741" spans="2:10">
      <c r="B1741" t="s">
        <v>667</v>
      </c>
      <c r="C1741" t="s">
        <v>668</v>
      </c>
      <c r="D1741" t="s">
        <v>253</v>
      </c>
      <c r="E1741" t="s">
        <v>501</v>
      </c>
      <c r="F1741" t="s">
        <v>214</v>
      </c>
      <c r="G1741" t="s">
        <v>231</v>
      </c>
      <c r="H1741">
        <v>178</v>
      </c>
      <c r="I1741" t="str">
        <f t="shared" si="26"/>
        <v>Shell Office Buildings|D|Excellent</v>
      </c>
      <c r="J1741" t="s">
        <v>670</v>
      </c>
    </row>
    <row r="1742" spans="2:10">
      <c r="B1742" t="s">
        <v>667</v>
      </c>
      <c r="C1742" t="s">
        <v>668</v>
      </c>
      <c r="D1742" t="s">
        <v>253</v>
      </c>
      <c r="E1742" t="s">
        <v>501</v>
      </c>
      <c r="F1742" t="s">
        <v>214</v>
      </c>
      <c r="G1742" t="s">
        <v>229</v>
      </c>
      <c r="H1742">
        <v>118</v>
      </c>
      <c r="I1742" t="str">
        <f t="shared" si="26"/>
        <v>Shell Office Buildings|D|Good</v>
      </c>
      <c r="J1742" t="s">
        <v>670</v>
      </c>
    </row>
    <row r="1743" spans="2:10">
      <c r="B1743" t="s">
        <v>667</v>
      </c>
      <c r="C1743" t="s">
        <v>668</v>
      </c>
      <c r="D1743" t="s">
        <v>253</v>
      </c>
      <c r="E1743" t="s">
        <v>501</v>
      </c>
      <c r="F1743" t="s">
        <v>214</v>
      </c>
      <c r="G1743" t="s">
        <v>44</v>
      </c>
      <c r="H1743">
        <v>77</v>
      </c>
      <c r="I1743" t="str">
        <f t="shared" si="26"/>
        <v>Shell Office Buildings|D|Average</v>
      </c>
      <c r="J1743" t="s">
        <v>670</v>
      </c>
    </row>
    <row r="1744" spans="2:10">
      <c r="B1744" t="s">
        <v>667</v>
      </c>
      <c r="C1744" t="s">
        <v>668</v>
      </c>
      <c r="D1744" t="s">
        <v>253</v>
      </c>
      <c r="E1744" t="s">
        <v>501</v>
      </c>
      <c r="F1744" t="s">
        <v>214</v>
      </c>
      <c r="G1744" t="s">
        <v>226</v>
      </c>
      <c r="H1744">
        <v>48</v>
      </c>
      <c r="I1744" t="str">
        <f t="shared" si="26"/>
        <v>Shell Office Buildings|D|Low Cost</v>
      </c>
      <c r="J1744" t="s">
        <v>670</v>
      </c>
    </row>
    <row r="1745" spans="2:10">
      <c r="B1745" t="s">
        <v>667</v>
      </c>
      <c r="C1745" t="s">
        <v>668</v>
      </c>
      <c r="D1745" t="s">
        <v>253</v>
      </c>
      <c r="E1745" t="s">
        <v>501</v>
      </c>
      <c r="F1745" t="s">
        <v>313</v>
      </c>
      <c r="G1745" t="s">
        <v>44</v>
      </c>
      <c r="H1745">
        <v>62.5</v>
      </c>
      <c r="I1745" t="str">
        <f t="shared" si="26"/>
        <v>Shell Office Buildings|DPOLE|Average</v>
      </c>
      <c r="J1745" t="s">
        <v>670</v>
      </c>
    </row>
    <row r="1746" spans="2:10">
      <c r="B1746" t="s">
        <v>667</v>
      </c>
      <c r="C1746" t="s">
        <v>668</v>
      </c>
      <c r="D1746" t="s">
        <v>253</v>
      </c>
      <c r="E1746" t="s">
        <v>501</v>
      </c>
      <c r="F1746" t="s">
        <v>313</v>
      </c>
      <c r="G1746" t="s">
        <v>226</v>
      </c>
      <c r="H1746">
        <v>38.5</v>
      </c>
      <c r="I1746" t="str">
        <f t="shared" si="26"/>
        <v>Shell Office Buildings|DPOLE|Low Cost</v>
      </c>
      <c r="J1746" t="s">
        <v>670</v>
      </c>
    </row>
    <row r="1747" spans="2:10">
      <c r="B1747" t="s">
        <v>667</v>
      </c>
      <c r="C1747" t="s">
        <v>668</v>
      </c>
      <c r="D1747" t="s">
        <v>253</v>
      </c>
      <c r="E1747" t="s">
        <v>501</v>
      </c>
      <c r="F1747" t="s">
        <v>219</v>
      </c>
      <c r="G1747" t="s">
        <v>229</v>
      </c>
      <c r="H1747">
        <v>109</v>
      </c>
      <c r="I1747" t="str">
        <f t="shared" si="26"/>
        <v>Shell Office Buildings|S|Good</v>
      </c>
      <c r="J1747" t="s">
        <v>670</v>
      </c>
    </row>
    <row r="1748" spans="2:10">
      <c r="B1748" t="s">
        <v>667</v>
      </c>
      <c r="C1748" t="s">
        <v>668</v>
      </c>
      <c r="D1748" t="s">
        <v>253</v>
      </c>
      <c r="E1748" t="s">
        <v>501</v>
      </c>
      <c r="F1748" t="s">
        <v>219</v>
      </c>
      <c r="G1748" t="s">
        <v>44</v>
      </c>
      <c r="H1748">
        <v>66.5</v>
      </c>
      <c r="I1748" t="str">
        <f t="shared" si="26"/>
        <v>Shell Office Buildings|S|Average</v>
      </c>
      <c r="J1748" t="s">
        <v>670</v>
      </c>
    </row>
    <row r="1749" spans="2:10">
      <c r="B1749" t="s">
        <v>667</v>
      </c>
      <c r="C1749" t="s">
        <v>668</v>
      </c>
      <c r="D1749" t="s">
        <v>253</v>
      </c>
      <c r="E1749" t="s">
        <v>501</v>
      </c>
      <c r="F1749" t="s">
        <v>219</v>
      </c>
      <c r="G1749" t="s">
        <v>226</v>
      </c>
      <c r="H1749">
        <v>41.75</v>
      </c>
      <c r="I1749" t="str">
        <f t="shared" si="26"/>
        <v>Shell Office Buildings|S|Low Cost</v>
      </c>
      <c r="J1749" t="s">
        <v>670</v>
      </c>
    </row>
    <row r="1750" spans="2:10">
      <c r="B1750" t="s">
        <v>671</v>
      </c>
      <c r="C1750" t="s">
        <v>672</v>
      </c>
      <c r="D1750" t="s">
        <v>258</v>
      </c>
      <c r="E1750" t="s">
        <v>673</v>
      </c>
      <c r="F1750" t="s">
        <v>202</v>
      </c>
      <c r="G1750" t="s">
        <v>229</v>
      </c>
      <c r="H1750">
        <v>358</v>
      </c>
      <c r="I1750" t="str">
        <f t="shared" si="26"/>
        <v>Churches with Sunday Schools|A|Good</v>
      </c>
      <c r="J1750" t="s">
        <v>674</v>
      </c>
    </row>
    <row r="1751" spans="2:10">
      <c r="B1751" t="s">
        <v>671</v>
      </c>
      <c r="C1751" t="s">
        <v>672</v>
      </c>
      <c r="D1751" t="s">
        <v>258</v>
      </c>
      <c r="E1751" t="s">
        <v>673</v>
      </c>
      <c r="F1751" t="s">
        <v>202</v>
      </c>
      <c r="G1751" t="s">
        <v>44</v>
      </c>
      <c r="H1751">
        <v>263</v>
      </c>
      <c r="I1751" t="str">
        <f t="shared" si="26"/>
        <v>Churches with Sunday Schools|A|Average</v>
      </c>
      <c r="J1751" t="s">
        <v>674</v>
      </c>
    </row>
    <row r="1752" spans="2:10">
      <c r="B1752" t="s">
        <v>671</v>
      </c>
      <c r="C1752" t="s">
        <v>672</v>
      </c>
      <c r="D1752" t="s">
        <v>258</v>
      </c>
      <c r="E1752" t="s">
        <v>673</v>
      </c>
      <c r="F1752" t="s">
        <v>207</v>
      </c>
      <c r="G1752" t="s">
        <v>229</v>
      </c>
      <c r="H1752">
        <v>323</v>
      </c>
      <c r="I1752" t="str">
        <f t="shared" si="26"/>
        <v>Churches with Sunday Schools|B|Good</v>
      </c>
      <c r="J1752" t="s">
        <v>674</v>
      </c>
    </row>
    <row r="1753" spans="2:10">
      <c r="B1753" t="s">
        <v>671</v>
      </c>
      <c r="C1753" t="s">
        <v>672</v>
      </c>
      <c r="D1753" t="s">
        <v>258</v>
      </c>
      <c r="E1753" t="s">
        <v>673</v>
      </c>
      <c r="F1753" t="s">
        <v>207</v>
      </c>
      <c r="G1753" t="s">
        <v>44</v>
      </c>
      <c r="H1753">
        <v>238</v>
      </c>
      <c r="I1753" t="str">
        <f t="shared" si="26"/>
        <v>Churches with Sunday Schools|B|Average</v>
      </c>
      <c r="J1753" t="s">
        <v>674</v>
      </c>
    </row>
    <row r="1754" spans="2:10">
      <c r="B1754" t="s">
        <v>671</v>
      </c>
      <c r="C1754" t="s">
        <v>672</v>
      </c>
      <c r="D1754" t="s">
        <v>258</v>
      </c>
      <c r="E1754" t="s">
        <v>673</v>
      </c>
      <c r="F1754" t="s">
        <v>209</v>
      </c>
      <c r="G1754" t="s">
        <v>231</v>
      </c>
      <c r="H1754">
        <v>340</v>
      </c>
      <c r="I1754" t="str">
        <f t="shared" si="26"/>
        <v>Churches with Sunday Schools|C|Excellent</v>
      </c>
      <c r="J1754" t="s">
        <v>674</v>
      </c>
    </row>
    <row r="1755" spans="2:10">
      <c r="B1755" t="s">
        <v>671</v>
      </c>
      <c r="C1755" t="s">
        <v>672</v>
      </c>
      <c r="D1755" t="s">
        <v>258</v>
      </c>
      <c r="E1755" t="s">
        <v>673</v>
      </c>
      <c r="F1755" t="s">
        <v>209</v>
      </c>
      <c r="G1755" t="s">
        <v>229</v>
      </c>
      <c r="H1755">
        <v>254</v>
      </c>
      <c r="I1755" t="str">
        <f t="shared" si="26"/>
        <v>Churches with Sunday Schools|C|Good</v>
      </c>
      <c r="J1755" t="s">
        <v>674</v>
      </c>
    </row>
    <row r="1756" spans="2:10">
      <c r="B1756" t="s">
        <v>671</v>
      </c>
      <c r="C1756" t="s">
        <v>672</v>
      </c>
      <c r="D1756" t="s">
        <v>258</v>
      </c>
      <c r="E1756" t="s">
        <v>673</v>
      </c>
      <c r="F1756" t="s">
        <v>209</v>
      </c>
      <c r="G1756" t="s">
        <v>44</v>
      </c>
      <c r="H1756">
        <v>182</v>
      </c>
      <c r="I1756" t="str">
        <f t="shared" si="26"/>
        <v>Churches with Sunday Schools|C|Average</v>
      </c>
      <c r="J1756" t="s">
        <v>674</v>
      </c>
    </row>
    <row r="1757" spans="2:10">
      <c r="B1757" t="s">
        <v>671</v>
      </c>
      <c r="C1757" t="s">
        <v>672</v>
      </c>
      <c r="D1757" t="s">
        <v>258</v>
      </c>
      <c r="E1757" t="s">
        <v>673</v>
      </c>
      <c r="F1757" t="s">
        <v>214</v>
      </c>
      <c r="G1757" t="s">
        <v>231</v>
      </c>
      <c r="H1757">
        <v>321</v>
      </c>
      <c r="I1757" t="str">
        <f t="shared" si="26"/>
        <v>Churches with Sunday Schools|D|Excellent</v>
      </c>
      <c r="J1757" t="s">
        <v>674</v>
      </c>
    </row>
    <row r="1758" spans="2:10">
      <c r="B1758" t="s">
        <v>671</v>
      </c>
      <c r="C1758" t="s">
        <v>672</v>
      </c>
      <c r="D1758" t="s">
        <v>258</v>
      </c>
      <c r="E1758" t="s">
        <v>673</v>
      </c>
      <c r="F1758" t="s">
        <v>214</v>
      </c>
      <c r="G1758" t="s">
        <v>229</v>
      </c>
      <c r="H1758">
        <v>241</v>
      </c>
      <c r="I1758" t="str">
        <f t="shared" ref="I1758:I1821" si="27">B1758&amp;"|"&amp;F1758&amp;"|"&amp;G1758</f>
        <v>Churches with Sunday Schools|D|Good</v>
      </c>
      <c r="J1758" t="s">
        <v>674</v>
      </c>
    </row>
    <row r="1759" spans="2:10">
      <c r="B1759" t="s">
        <v>671</v>
      </c>
      <c r="C1759" t="s">
        <v>672</v>
      </c>
      <c r="D1759" t="s">
        <v>258</v>
      </c>
      <c r="E1759" t="s">
        <v>673</v>
      </c>
      <c r="F1759" t="s">
        <v>214</v>
      </c>
      <c r="G1759" t="s">
        <v>44</v>
      </c>
      <c r="H1759">
        <v>174</v>
      </c>
      <c r="I1759" t="str">
        <f t="shared" si="27"/>
        <v>Churches with Sunday Schools|D|Average</v>
      </c>
      <c r="J1759" t="s">
        <v>674</v>
      </c>
    </row>
    <row r="1760" spans="2:10">
      <c r="B1760" t="s">
        <v>671</v>
      </c>
      <c r="C1760" t="s">
        <v>672</v>
      </c>
      <c r="D1760" t="s">
        <v>258</v>
      </c>
      <c r="E1760" t="s">
        <v>673</v>
      </c>
      <c r="F1760" t="s">
        <v>313</v>
      </c>
      <c r="G1760" t="s">
        <v>229</v>
      </c>
      <c r="H1760">
        <v>230</v>
      </c>
      <c r="I1760" t="str">
        <f t="shared" si="27"/>
        <v>Churches with Sunday Schools|DPOLE|Good</v>
      </c>
      <c r="J1760" t="s">
        <v>674</v>
      </c>
    </row>
    <row r="1761" spans="2:10">
      <c r="B1761" t="s">
        <v>671</v>
      </c>
      <c r="C1761" t="s">
        <v>672</v>
      </c>
      <c r="D1761" t="s">
        <v>258</v>
      </c>
      <c r="E1761" t="s">
        <v>673</v>
      </c>
      <c r="F1761" t="s">
        <v>219</v>
      </c>
      <c r="G1761" t="s">
        <v>44</v>
      </c>
      <c r="H1761">
        <v>168</v>
      </c>
      <c r="I1761" t="str">
        <f t="shared" si="27"/>
        <v>Churches with Sunday Schools|S|Average</v>
      </c>
      <c r="J1761" t="s">
        <v>674</v>
      </c>
    </row>
    <row r="1762" spans="2:10">
      <c r="B1762" t="s">
        <v>675</v>
      </c>
      <c r="C1762" t="s">
        <v>676</v>
      </c>
      <c r="D1762" t="s">
        <v>258</v>
      </c>
      <c r="E1762" t="s">
        <v>338</v>
      </c>
      <c r="F1762" t="s">
        <v>202</v>
      </c>
      <c r="G1762" t="s">
        <v>231</v>
      </c>
      <c r="H1762">
        <v>520</v>
      </c>
      <c r="I1762" t="str">
        <f t="shared" si="27"/>
        <v>Churches – Sanctuaries (Chapels)|A|Excellent</v>
      </c>
      <c r="J1762" t="s">
        <v>677</v>
      </c>
    </row>
    <row r="1763" spans="2:10">
      <c r="B1763" t="s">
        <v>675</v>
      </c>
      <c r="C1763" t="s">
        <v>676</v>
      </c>
      <c r="D1763" t="s">
        <v>258</v>
      </c>
      <c r="E1763" t="s">
        <v>338</v>
      </c>
      <c r="F1763" t="s">
        <v>202</v>
      </c>
      <c r="G1763" t="s">
        <v>229</v>
      </c>
      <c r="H1763">
        <v>383</v>
      </c>
      <c r="I1763" t="str">
        <f t="shared" si="27"/>
        <v>Churches – Sanctuaries (Chapels)|A|Good</v>
      </c>
      <c r="J1763" t="s">
        <v>677</v>
      </c>
    </row>
    <row r="1764" spans="2:10">
      <c r="B1764" t="s">
        <v>675</v>
      </c>
      <c r="C1764" t="s">
        <v>676</v>
      </c>
      <c r="D1764" t="s">
        <v>258</v>
      </c>
      <c r="E1764" t="s">
        <v>338</v>
      </c>
      <c r="F1764" t="s">
        <v>202</v>
      </c>
      <c r="G1764" t="s">
        <v>44</v>
      </c>
      <c r="H1764">
        <v>275</v>
      </c>
      <c r="I1764" t="str">
        <f t="shared" si="27"/>
        <v>Churches – Sanctuaries (Chapels)|A|Average</v>
      </c>
      <c r="J1764" t="s">
        <v>677</v>
      </c>
    </row>
    <row r="1765" spans="2:10">
      <c r="B1765" t="s">
        <v>675</v>
      </c>
      <c r="C1765" t="s">
        <v>676</v>
      </c>
      <c r="D1765" t="s">
        <v>258</v>
      </c>
      <c r="E1765" t="s">
        <v>338</v>
      </c>
      <c r="F1765" t="s">
        <v>207</v>
      </c>
      <c r="G1765" t="s">
        <v>231</v>
      </c>
      <c r="H1765">
        <v>469</v>
      </c>
      <c r="I1765" t="str">
        <f t="shared" si="27"/>
        <v>Churches – Sanctuaries (Chapels)|B|Excellent</v>
      </c>
      <c r="J1765" t="s">
        <v>677</v>
      </c>
    </row>
    <row r="1766" spans="2:10">
      <c r="B1766" t="s">
        <v>675</v>
      </c>
      <c r="C1766" t="s">
        <v>676</v>
      </c>
      <c r="D1766" t="s">
        <v>258</v>
      </c>
      <c r="E1766" t="s">
        <v>338</v>
      </c>
      <c r="F1766" t="s">
        <v>207</v>
      </c>
      <c r="G1766" t="s">
        <v>229</v>
      </c>
      <c r="H1766">
        <v>346</v>
      </c>
      <c r="I1766" t="str">
        <f t="shared" si="27"/>
        <v>Churches – Sanctuaries (Chapels)|B|Good</v>
      </c>
      <c r="J1766" t="s">
        <v>677</v>
      </c>
    </row>
    <row r="1767" spans="2:10">
      <c r="B1767" t="s">
        <v>675</v>
      </c>
      <c r="C1767" t="s">
        <v>676</v>
      </c>
      <c r="D1767" t="s">
        <v>258</v>
      </c>
      <c r="E1767" t="s">
        <v>338</v>
      </c>
      <c r="F1767" t="s">
        <v>207</v>
      </c>
      <c r="G1767" t="s">
        <v>44</v>
      </c>
      <c r="H1767">
        <v>249</v>
      </c>
      <c r="I1767" t="str">
        <f t="shared" si="27"/>
        <v>Churches – Sanctuaries (Chapels)|B|Average</v>
      </c>
      <c r="J1767" t="s">
        <v>677</v>
      </c>
    </row>
    <row r="1768" spans="2:10">
      <c r="B1768" t="s">
        <v>675</v>
      </c>
      <c r="C1768" t="s">
        <v>676</v>
      </c>
      <c r="D1768" t="s">
        <v>258</v>
      </c>
      <c r="E1768" t="s">
        <v>338</v>
      </c>
      <c r="F1768" t="s">
        <v>209</v>
      </c>
      <c r="G1768" t="s">
        <v>231</v>
      </c>
      <c r="H1768">
        <v>359</v>
      </c>
      <c r="I1768" t="str">
        <f t="shared" si="27"/>
        <v>Churches – Sanctuaries (Chapels)|C|Excellent</v>
      </c>
      <c r="J1768" t="s">
        <v>677</v>
      </c>
    </row>
    <row r="1769" spans="2:10">
      <c r="B1769" t="s">
        <v>675</v>
      </c>
      <c r="C1769" t="s">
        <v>676</v>
      </c>
      <c r="D1769" t="s">
        <v>258</v>
      </c>
      <c r="E1769" t="s">
        <v>338</v>
      </c>
      <c r="F1769" t="s">
        <v>209</v>
      </c>
      <c r="G1769" t="s">
        <v>229</v>
      </c>
      <c r="H1769">
        <v>264</v>
      </c>
      <c r="I1769" t="str">
        <f t="shared" si="27"/>
        <v>Churches – Sanctuaries (Chapels)|C|Good</v>
      </c>
      <c r="J1769" t="s">
        <v>677</v>
      </c>
    </row>
    <row r="1770" spans="2:10">
      <c r="B1770" t="s">
        <v>675</v>
      </c>
      <c r="C1770" t="s">
        <v>676</v>
      </c>
      <c r="D1770" t="s">
        <v>258</v>
      </c>
      <c r="E1770" t="s">
        <v>338</v>
      </c>
      <c r="F1770" t="s">
        <v>209</v>
      </c>
      <c r="G1770" t="s">
        <v>44</v>
      </c>
      <c r="H1770">
        <v>188</v>
      </c>
      <c r="I1770" t="str">
        <f t="shared" si="27"/>
        <v>Churches – Sanctuaries (Chapels)|C|Average</v>
      </c>
      <c r="J1770" t="s">
        <v>677</v>
      </c>
    </row>
    <row r="1771" spans="2:10">
      <c r="B1771" t="s">
        <v>675</v>
      </c>
      <c r="C1771" t="s">
        <v>676</v>
      </c>
      <c r="D1771" t="s">
        <v>258</v>
      </c>
      <c r="E1771" t="s">
        <v>338</v>
      </c>
      <c r="F1771" t="s">
        <v>214</v>
      </c>
      <c r="G1771" t="s">
        <v>231</v>
      </c>
      <c r="H1771">
        <v>345</v>
      </c>
      <c r="I1771" t="str">
        <f t="shared" si="27"/>
        <v>Churches – Sanctuaries (Chapels)|D|Excellent</v>
      </c>
      <c r="J1771" t="s">
        <v>677</v>
      </c>
    </row>
    <row r="1772" spans="2:10">
      <c r="B1772" t="s">
        <v>675</v>
      </c>
      <c r="C1772" t="s">
        <v>676</v>
      </c>
      <c r="D1772" t="s">
        <v>258</v>
      </c>
      <c r="E1772" t="s">
        <v>338</v>
      </c>
      <c r="F1772" t="s">
        <v>214</v>
      </c>
      <c r="G1772" t="s">
        <v>229</v>
      </c>
      <c r="H1772">
        <v>254</v>
      </c>
      <c r="I1772" t="str">
        <f t="shared" si="27"/>
        <v>Churches – Sanctuaries (Chapels)|D|Good</v>
      </c>
      <c r="J1772" t="s">
        <v>677</v>
      </c>
    </row>
    <row r="1773" spans="2:10">
      <c r="B1773" t="s">
        <v>675</v>
      </c>
      <c r="C1773" t="s">
        <v>676</v>
      </c>
      <c r="D1773" t="s">
        <v>258</v>
      </c>
      <c r="E1773" t="s">
        <v>338</v>
      </c>
      <c r="F1773" t="s">
        <v>214</v>
      </c>
      <c r="G1773" t="s">
        <v>44</v>
      </c>
      <c r="H1773">
        <v>181</v>
      </c>
      <c r="I1773" t="str">
        <f t="shared" si="27"/>
        <v>Churches – Sanctuaries (Chapels)|D|Average</v>
      </c>
      <c r="J1773" t="s">
        <v>677</v>
      </c>
    </row>
    <row r="1774" spans="2:10">
      <c r="B1774" t="s">
        <v>675</v>
      </c>
      <c r="C1774" t="s">
        <v>676</v>
      </c>
      <c r="D1774" t="s">
        <v>258</v>
      </c>
      <c r="E1774" t="s">
        <v>338</v>
      </c>
      <c r="F1774" t="s">
        <v>313</v>
      </c>
      <c r="G1774" t="s">
        <v>44</v>
      </c>
      <c r="H1774">
        <v>164</v>
      </c>
      <c r="I1774" t="str">
        <f t="shared" si="27"/>
        <v>Churches – Sanctuaries (Chapels)|DPOLE|Average</v>
      </c>
      <c r="J1774" t="s">
        <v>677</v>
      </c>
    </row>
    <row r="1775" spans="2:10">
      <c r="B1775" t="s">
        <v>675</v>
      </c>
      <c r="C1775" t="s">
        <v>676</v>
      </c>
      <c r="D1775" t="s">
        <v>258</v>
      </c>
      <c r="E1775" t="s">
        <v>338</v>
      </c>
      <c r="F1775" t="s">
        <v>219</v>
      </c>
      <c r="G1775" t="s">
        <v>229</v>
      </c>
      <c r="H1775">
        <v>238</v>
      </c>
      <c r="I1775" t="str">
        <f t="shared" si="27"/>
        <v>Churches – Sanctuaries (Chapels)|S|Good</v>
      </c>
      <c r="J1775" t="s">
        <v>677</v>
      </c>
    </row>
    <row r="1776" spans="2:10">
      <c r="B1776" t="s">
        <v>675</v>
      </c>
      <c r="C1776" t="s">
        <v>676</v>
      </c>
      <c r="D1776" t="s">
        <v>258</v>
      </c>
      <c r="E1776" t="s">
        <v>338</v>
      </c>
      <c r="F1776" t="s">
        <v>219</v>
      </c>
      <c r="G1776" t="s">
        <v>44</v>
      </c>
      <c r="H1776">
        <v>172</v>
      </c>
      <c r="I1776" t="str">
        <f t="shared" si="27"/>
        <v>Churches – Sanctuaries (Chapels)|S|Average</v>
      </c>
      <c r="J1776" t="s">
        <v>677</v>
      </c>
    </row>
    <row r="1777" spans="2:10">
      <c r="B1777" t="s">
        <v>678</v>
      </c>
      <c r="C1777" t="s">
        <v>679</v>
      </c>
      <c r="D1777" t="s">
        <v>258</v>
      </c>
      <c r="E1777" t="s">
        <v>342</v>
      </c>
      <c r="F1777" t="s">
        <v>270</v>
      </c>
      <c r="G1777" t="s">
        <v>229</v>
      </c>
      <c r="H1777">
        <v>282</v>
      </c>
      <c r="I1777" t="str">
        <f t="shared" si="27"/>
        <v>Fellowship Halls|A-B|Good</v>
      </c>
      <c r="J1777" t="s">
        <v>680</v>
      </c>
    </row>
    <row r="1778" spans="2:10">
      <c r="B1778" t="s">
        <v>678</v>
      </c>
      <c r="C1778" t="s">
        <v>679</v>
      </c>
      <c r="D1778" t="s">
        <v>258</v>
      </c>
      <c r="E1778" t="s">
        <v>342</v>
      </c>
      <c r="F1778" t="s">
        <v>270</v>
      </c>
      <c r="G1778" t="s">
        <v>44</v>
      </c>
      <c r="H1778">
        <v>206</v>
      </c>
      <c r="I1778" t="str">
        <f t="shared" si="27"/>
        <v>Fellowship Halls|A-B|Average</v>
      </c>
      <c r="J1778" t="s">
        <v>680</v>
      </c>
    </row>
    <row r="1779" spans="2:10">
      <c r="B1779" t="s">
        <v>678</v>
      </c>
      <c r="C1779" t="s">
        <v>679</v>
      </c>
      <c r="D1779" t="s">
        <v>258</v>
      </c>
      <c r="E1779" t="s">
        <v>342</v>
      </c>
      <c r="F1779" t="s">
        <v>209</v>
      </c>
      <c r="G1779" t="s">
        <v>231</v>
      </c>
      <c r="H1779">
        <v>275</v>
      </c>
      <c r="I1779" t="str">
        <f t="shared" si="27"/>
        <v>Fellowship Halls|C|Excellent</v>
      </c>
      <c r="J1779" t="s">
        <v>680</v>
      </c>
    </row>
    <row r="1780" spans="2:10">
      <c r="B1780" t="s">
        <v>678</v>
      </c>
      <c r="C1780" t="s">
        <v>679</v>
      </c>
      <c r="D1780" t="s">
        <v>258</v>
      </c>
      <c r="E1780" t="s">
        <v>342</v>
      </c>
      <c r="F1780" t="s">
        <v>209</v>
      </c>
      <c r="G1780" t="s">
        <v>229</v>
      </c>
      <c r="H1780">
        <v>199</v>
      </c>
      <c r="I1780" t="str">
        <f t="shared" si="27"/>
        <v>Fellowship Halls|C|Good</v>
      </c>
      <c r="J1780" t="s">
        <v>680</v>
      </c>
    </row>
    <row r="1781" spans="2:10">
      <c r="B1781" t="s">
        <v>678</v>
      </c>
      <c r="C1781" t="s">
        <v>679</v>
      </c>
      <c r="D1781" t="s">
        <v>258</v>
      </c>
      <c r="E1781" t="s">
        <v>342</v>
      </c>
      <c r="F1781" t="s">
        <v>209</v>
      </c>
      <c r="G1781" t="s">
        <v>44</v>
      </c>
      <c r="H1781">
        <v>142</v>
      </c>
      <c r="I1781" t="str">
        <f t="shared" si="27"/>
        <v>Fellowship Halls|C|Average</v>
      </c>
      <c r="J1781" t="s">
        <v>680</v>
      </c>
    </row>
    <row r="1782" spans="2:10">
      <c r="B1782" t="s">
        <v>678</v>
      </c>
      <c r="C1782" t="s">
        <v>679</v>
      </c>
      <c r="D1782" t="s">
        <v>258</v>
      </c>
      <c r="E1782" t="s">
        <v>342</v>
      </c>
      <c r="F1782" t="s">
        <v>214</v>
      </c>
      <c r="G1782" t="s">
        <v>229</v>
      </c>
      <c r="H1782">
        <v>189</v>
      </c>
      <c r="I1782" t="str">
        <f t="shared" si="27"/>
        <v>Fellowship Halls|D|Good</v>
      </c>
      <c r="J1782" t="s">
        <v>680</v>
      </c>
    </row>
    <row r="1783" spans="2:10">
      <c r="B1783" t="s">
        <v>678</v>
      </c>
      <c r="C1783" t="s">
        <v>679</v>
      </c>
      <c r="D1783" t="s">
        <v>258</v>
      </c>
      <c r="E1783" t="s">
        <v>342</v>
      </c>
      <c r="F1783" t="s">
        <v>214</v>
      </c>
      <c r="G1783" t="s">
        <v>44</v>
      </c>
      <c r="H1783">
        <v>135</v>
      </c>
      <c r="I1783" t="str">
        <f t="shared" si="27"/>
        <v>Fellowship Halls|D|Average</v>
      </c>
      <c r="J1783" t="s">
        <v>680</v>
      </c>
    </row>
    <row r="1784" spans="2:10">
      <c r="B1784" t="s">
        <v>678</v>
      </c>
      <c r="C1784" t="s">
        <v>679</v>
      </c>
      <c r="D1784" t="s">
        <v>258</v>
      </c>
      <c r="E1784" t="s">
        <v>342</v>
      </c>
      <c r="F1784" t="s">
        <v>214</v>
      </c>
      <c r="G1784" t="s">
        <v>314</v>
      </c>
      <c r="H1784">
        <v>72.5</v>
      </c>
      <c r="I1784" t="str">
        <f t="shared" si="27"/>
        <v>Fellowship Halls|D|Cheap</v>
      </c>
      <c r="J1784" t="s">
        <v>680</v>
      </c>
    </row>
    <row r="1785" spans="2:10">
      <c r="B1785" t="s">
        <v>678</v>
      </c>
      <c r="C1785" t="s">
        <v>679</v>
      </c>
      <c r="D1785" t="s">
        <v>258</v>
      </c>
      <c r="E1785" t="s">
        <v>342</v>
      </c>
      <c r="F1785" t="s">
        <v>313</v>
      </c>
      <c r="G1785" t="s">
        <v>44</v>
      </c>
      <c r="H1785">
        <v>122</v>
      </c>
      <c r="I1785" t="str">
        <f t="shared" si="27"/>
        <v>Fellowship Halls|DPOLE|Average</v>
      </c>
      <c r="J1785" t="s">
        <v>680</v>
      </c>
    </row>
    <row r="1786" spans="2:10">
      <c r="B1786" t="s">
        <v>678</v>
      </c>
      <c r="C1786" t="s">
        <v>679</v>
      </c>
      <c r="D1786" t="s">
        <v>258</v>
      </c>
      <c r="E1786" t="s">
        <v>342</v>
      </c>
      <c r="F1786" t="s">
        <v>313</v>
      </c>
      <c r="G1786" t="s">
        <v>314</v>
      </c>
      <c r="H1786">
        <v>68.5</v>
      </c>
      <c r="I1786" t="str">
        <f t="shared" si="27"/>
        <v>Fellowship Halls|DPOLE|Cheap</v>
      </c>
      <c r="J1786" t="s">
        <v>680</v>
      </c>
    </row>
    <row r="1787" spans="2:10">
      <c r="B1787" t="s">
        <v>678</v>
      </c>
      <c r="C1787" t="s">
        <v>679</v>
      </c>
      <c r="D1787" t="s">
        <v>258</v>
      </c>
      <c r="E1787" t="s">
        <v>342</v>
      </c>
      <c r="F1787" t="s">
        <v>219</v>
      </c>
      <c r="G1787" t="s">
        <v>229</v>
      </c>
      <c r="H1787">
        <v>182</v>
      </c>
      <c r="I1787" t="str">
        <f t="shared" si="27"/>
        <v>Fellowship Halls|S|Good</v>
      </c>
      <c r="J1787" t="s">
        <v>680</v>
      </c>
    </row>
    <row r="1788" spans="2:10">
      <c r="B1788" t="s">
        <v>678</v>
      </c>
      <c r="C1788" t="s">
        <v>679</v>
      </c>
      <c r="D1788" t="s">
        <v>258</v>
      </c>
      <c r="E1788" t="s">
        <v>342</v>
      </c>
      <c r="F1788" t="s">
        <v>219</v>
      </c>
      <c r="G1788" t="s">
        <v>44</v>
      </c>
      <c r="H1788">
        <v>130</v>
      </c>
      <c r="I1788" t="str">
        <f t="shared" si="27"/>
        <v>Fellowship Halls|S|Average</v>
      </c>
      <c r="J1788" t="s">
        <v>680</v>
      </c>
    </row>
    <row r="1789" spans="2:10">
      <c r="B1789" t="s">
        <v>678</v>
      </c>
      <c r="C1789" t="s">
        <v>679</v>
      </c>
      <c r="D1789" t="s">
        <v>258</v>
      </c>
      <c r="E1789" t="s">
        <v>342</v>
      </c>
      <c r="F1789" t="s">
        <v>219</v>
      </c>
      <c r="G1789" t="s">
        <v>314</v>
      </c>
      <c r="H1789">
        <v>70</v>
      </c>
      <c r="I1789" t="str">
        <f t="shared" si="27"/>
        <v>Fellowship Halls|S|Cheap</v>
      </c>
      <c r="J1789" t="s">
        <v>680</v>
      </c>
    </row>
    <row r="1790" spans="2:10">
      <c r="B1790" t="s">
        <v>681</v>
      </c>
      <c r="C1790" t="s">
        <v>682</v>
      </c>
      <c r="D1790" t="s">
        <v>258</v>
      </c>
      <c r="E1790" t="s">
        <v>342</v>
      </c>
      <c r="F1790" t="s">
        <v>270</v>
      </c>
      <c r="G1790" t="s">
        <v>231</v>
      </c>
      <c r="H1790">
        <v>396</v>
      </c>
      <c r="I1790" t="str">
        <f t="shared" si="27"/>
        <v>Foyers / Narthexes|A-B|Excellent</v>
      </c>
      <c r="J1790" t="s">
        <v>680</v>
      </c>
    </row>
    <row r="1791" spans="2:10">
      <c r="B1791" t="s">
        <v>681</v>
      </c>
      <c r="C1791" t="s">
        <v>682</v>
      </c>
      <c r="D1791" t="s">
        <v>258</v>
      </c>
      <c r="E1791" t="s">
        <v>342</v>
      </c>
      <c r="F1791" t="s">
        <v>270</v>
      </c>
      <c r="G1791" t="s">
        <v>229</v>
      </c>
      <c r="H1791">
        <v>303</v>
      </c>
      <c r="I1791" t="str">
        <f t="shared" si="27"/>
        <v>Foyers / Narthexes|A-B|Good</v>
      </c>
      <c r="J1791" t="s">
        <v>680</v>
      </c>
    </row>
    <row r="1792" spans="2:10">
      <c r="B1792" t="s">
        <v>681</v>
      </c>
      <c r="C1792" t="s">
        <v>682</v>
      </c>
      <c r="D1792" t="s">
        <v>258</v>
      </c>
      <c r="E1792" t="s">
        <v>342</v>
      </c>
      <c r="F1792" t="s">
        <v>270</v>
      </c>
      <c r="G1792" t="s">
        <v>44</v>
      </c>
      <c r="H1792">
        <v>225</v>
      </c>
      <c r="I1792" t="str">
        <f t="shared" si="27"/>
        <v>Foyers / Narthexes|A-B|Average</v>
      </c>
      <c r="J1792" t="s">
        <v>680</v>
      </c>
    </row>
    <row r="1793" spans="2:10">
      <c r="B1793" t="s">
        <v>681</v>
      </c>
      <c r="C1793" t="s">
        <v>682</v>
      </c>
      <c r="D1793" t="s">
        <v>258</v>
      </c>
      <c r="E1793" t="s">
        <v>342</v>
      </c>
      <c r="F1793" t="s">
        <v>551</v>
      </c>
      <c r="G1793" t="s">
        <v>231</v>
      </c>
      <c r="H1793">
        <v>314</v>
      </c>
      <c r="I1793" t="str">
        <f t="shared" si="27"/>
        <v>Foyers / Narthexes|CDS|Excellent</v>
      </c>
      <c r="J1793" t="s">
        <v>680</v>
      </c>
    </row>
    <row r="1794" spans="2:10">
      <c r="B1794" t="s">
        <v>681</v>
      </c>
      <c r="C1794" t="s">
        <v>682</v>
      </c>
      <c r="D1794" t="s">
        <v>258</v>
      </c>
      <c r="E1794" t="s">
        <v>342</v>
      </c>
      <c r="F1794" t="s">
        <v>551</v>
      </c>
      <c r="G1794" t="s">
        <v>229</v>
      </c>
      <c r="H1794">
        <v>236</v>
      </c>
      <c r="I1794" t="str">
        <f t="shared" si="27"/>
        <v>Foyers / Narthexes|CDS|Good</v>
      </c>
      <c r="J1794" t="s">
        <v>680</v>
      </c>
    </row>
    <row r="1795" spans="2:10">
      <c r="B1795" t="s">
        <v>681</v>
      </c>
      <c r="C1795" t="s">
        <v>682</v>
      </c>
      <c r="D1795" t="s">
        <v>258</v>
      </c>
      <c r="E1795" t="s">
        <v>342</v>
      </c>
      <c r="F1795" t="s">
        <v>551</v>
      </c>
      <c r="G1795" t="s">
        <v>44</v>
      </c>
      <c r="H1795">
        <v>171</v>
      </c>
      <c r="I1795" t="str">
        <f t="shared" si="27"/>
        <v>Foyers / Narthexes|CDS|Average</v>
      </c>
      <c r="J1795" t="s">
        <v>680</v>
      </c>
    </row>
    <row r="1796" spans="2:10">
      <c r="B1796" t="s">
        <v>683</v>
      </c>
      <c r="C1796" t="s">
        <v>684</v>
      </c>
      <c r="D1796" t="s">
        <v>258</v>
      </c>
      <c r="E1796" t="s">
        <v>243</v>
      </c>
      <c r="F1796" t="s">
        <v>202</v>
      </c>
      <c r="G1796" t="s">
        <v>229</v>
      </c>
      <c r="H1796">
        <v>238</v>
      </c>
      <c r="I1796" t="str">
        <f t="shared" si="27"/>
        <v>Church Educational Wings|A|Good</v>
      </c>
      <c r="J1796" t="s">
        <v>685</v>
      </c>
    </row>
    <row r="1797" spans="2:10">
      <c r="B1797" t="s">
        <v>683</v>
      </c>
      <c r="C1797" t="s">
        <v>684</v>
      </c>
      <c r="D1797" t="s">
        <v>258</v>
      </c>
      <c r="E1797" t="s">
        <v>243</v>
      </c>
      <c r="F1797" t="s">
        <v>202</v>
      </c>
      <c r="G1797" t="s">
        <v>44</v>
      </c>
      <c r="H1797">
        <v>185</v>
      </c>
      <c r="I1797" t="str">
        <f t="shared" si="27"/>
        <v>Church Educational Wings|A|Average</v>
      </c>
      <c r="J1797" t="s">
        <v>685</v>
      </c>
    </row>
    <row r="1798" spans="2:10">
      <c r="B1798" t="s">
        <v>683</v>
      </c>
      <c r="C1798" t="s">
        <v>684</v>
      </c>
      <c r="D1798" t="s">
        <v>258</v>
      </c>
      <c r="E1798" t="s">
        <v>243</v>
      </c>
      <c r="F1798" t="s">
        <v>207</v>
      </c>
      <c r="G1798" t="s">
        <v>229</v>
      </c>
      <c r="H1798">
        <v>218</v>
      </c>
      <c r="I1798" t="str">
        <f t="shared" si="27"/>
        <v>Church Educational Wings|B|Good</v>
      </c>
      <c r="J1798" t="s">
        <v>685</v>
      </c>
    </row>
    <row r="1799" spans="2:10">
      <c r="B1799" t="s">
        <v>683</v>
      </c>
      <c r="C1799" t="s">
        <v>684</v>
      </c>
      <c r="D1799" t="s">
        <v>258</v>
      </c>
      <c r="E1799" t="s">
        <v>243</v>
      </c>
      <c r="F1799" t="s">
        <v>207</v>
      </c>
      <c r="G1799" t="s">
        <v>44</v>
      </c>
      <c r="H1799">
        <v>169</v>
      </c>
      <c r="I1799" t="str">
        <f t="shared" si="27"/>
        <v>Church Educational Wings|B|Average</v>
      </c>
      <c r="J1799" t="s">
        <v>685</v>
      </c>
    </row>
    <row r="1800" spans="2:10">
      <c r="B1800" t="s">
        <v>683</v>
      </c>
      <c r="C1800" t="s">
        <v>684</v>
      </c>
      <c r="D1800" t="s">
        <v>258</v>
      </c>
      <c r="E1800" t="s">
        <v>243</v>
      </c>
      <c r="F1800" t="s">
        <v>209</v>
      </c>
      <c r="G1800" t="s">
        <v>231</v>
      </c>
      <c r="H1800">
        <v>223</v>
      </c>
      <c r="I1800" t="str">
        <f t="shared" si="27"/>
        <v>Church Educational Wings|C|Excellent</v>
      </c>
      <c r="J1800" t="s">
        <v>685</v>
      </c>
    </row>
    <row r="1801" spans="2:10">
      <c r="B1801" t="s">
        <v>683</v>
      </c>
      <c r="C1801" t="s">
        <v>684</v>
      </c>
      <c r="D1801" t="s">
        <v>258</v>
      </c>
      <c r="E1801" t="s">
        <v>243</v>
      </c>
      <c r="F1801" t="s">
        <v>209</v>
      </c>
      <c r="G1801" t="s">
        <v>229</v>
      </c>
      <c r="H1801">
        <v>173</v>
      </c>
      <c r="I1801" t="str">
        <f t="shared" si="27"/>
        <v>Church Educational Wings|C|Good</v>
      </c>
      <c r="J1801" t="s">
        <v>685</v>
      </c>
    </row>
    <row r="1802" spans="2:10">
      <c r="B1802" t="s">
        <v>683</v>
      </c>
      <c r="C1802" t="s">
        <v>684</v>
      </c>
      <c r="D1802" t="s">
        <v>258</v>
      </c>
      <c r="E1802" t="s">
        <v>243</v>
      </c>
      <c r="F1802" t="s">
        <v>209</v>
      </c>
      <c r="G1802" t="s">
        <v>44</v>
      </c>
      <c r="H1802">
        <v>133</v>
      </c>
      <c r="I1802" t="str">
        <f t="shared" si="27"/>
        <v>Church Educational Wings|C|Average</v>
      </c>
      <c r="J1802" t="s">
        <v>685</v>
      </c>
    </row>
    <row r="1803" spans="2:10">
      <c r="B1803" t="s">
        <v>683</v>
      </c>
      <c r="C1803" t="s">
        <v>684</v>
      </c>
      <c r="D1803" t="s">
        <v>258</v>
      </c>
      <c r="E1803" t="s">
        <v>243</v>
      </c>
      <c r="F1803" t="s">
        <v>214</v>
      </c>
      <c r="G1803" t="s">
        <v>231</v>
      </c>
      <c r="H1803">
        <v>215</v>
      </c>
      <c r="I1803" t="str">
        <f t="shared" si="27"/>
        <v>Church Educational Wings|D|Excellent</v>
      </c>
      <c r="J1803" t="s">
        <v>685</v>
      </c>
    </row>
    <row r="1804" spans="2:10">
      <c r="B1804" t="s">
        <v>683</v>
      </c>
      <c r="C1804" t="s">
        <v>684</v>
      </c>
      <c r="D1804" t="s">
        <v>258</v>
      </c>
      <c r="E1804" t="s">
        <v>243</v>
      </c>
      <c r="F1804" t="s">
        <v>214</v>
      </c>
      <c r="G1804" t="s">
        <v>229</v>
      </c>
      <c r="H1804">
        <v>165</v>
      </c>
      <c r="I1804" t="str">
        <f t="shared" si="27"/>
        <v>Church Educational Wings|D|Good</v>
      </c>
      <c r="J1804" t="s">
        <v>685</v>
      </c>
    </row>
    <row r="1805" spans="2:10">
      <c r="B1805" t="s">
        <v>683</v>
      </c>
      <c r="C1805" t="s">
        <v>684</v>
      </c>
      <c r="D1805" t="s">
        <v>258</v>
      </c>
      <c r="E1805" t="s">
        <v>243</v>
      </c>
      <c r="F1805" t="s">
        <v>214</v>
      </c>
      <c r="G1805" t="s">
        <v>44</v>
      </c>
      <c r="H1805">
        <v>126</v>
      </c>
      <c r="I1805" t="str">
        <f t="shared" si="27"/>
        <v>Church Educational Wings|D|Average</v>
      </c>
      <c r="J1805" t="s">
        <v>685</v>
      </c>
    </row>
    <row r="1806" spans="2:10">
      <c r="B1806" t="s">
        <v>683</v>
      </c>
      <c r="C1806" t="s">
        <v>684</v>
      </c>
      <c r="D1806" t="s">
        <v>258</v>
      </c>
      <c r="E1806" t="s">
        <v>243</v>
      </c>
      <c r="F1806" t="s">
        <v>313</v>
      </c>
      <c r="G1806" t="s">
        <v>44</v>
      </c>
      <c r="H1806">
        <v>118</v>
      </c>
      <c r="I1806" t="str">
        <f t="shared" si="27"/>
        <v>Church Educational Wings|DPOLE|Average</v>
      </c>
      <c r="J1806" t="s">
        <v>685</v>
      </c>
    </row>
    <row r="1807" spans="2:10">
      <c r="B1807" t="s">
        <v>683</v>
      </c>
      <c r="C1807" t="s">
        <v>684</v>
      </c>
      <c r="D1807" t="s">
        <v>258</v>
      </c>
      <c r="E1807" t="s">
        <v>243</v>
      </c>
      <c r="F1807" t="s">
        <v>219</v>
      </c>
      <c r="G1807" t="s">
        <v>229</v>
      </c>
      <c r="H1807">
        <v>163</v>
      </c>
      <c r="I1807" t="str">
        <f t="shared" si="27"/>
        <v>Church Educational Wings|S|Good</v>
      </c>
      <c r="J1807" t="s">
        <v>685</v>
      </c>
    </row>
    <row r="1808" spans="2:10">
      <c r="B1808" t="s">
        <v>683</v>
      </c>
      <c r="C1808" t="s">
        <v>684</v>
      </c>
      <c r="D1808" t="s">
        <v>258</v>
      </c>
      <c r="E1808" t="s">
        <v>243</v>
      </c>
      <c r="F1808" t="s">
        <v>219</v>
      </c>
      <c r="G1808" t="s">
        <v>44</v>
      </c>
      <c r="H1808">
        <v>124</v>
      </c>
      <c r="I1808" t="str">
        <f t="shared" si="27"/>
        <v>Church Educational Wings|S|Average</v>
      </c>
      <c r="J1808" t="s">
        <v>685</v>
      </c>
    </row>
    <row r="1809" spans="2:10">
      <c r="B1809" t="s">
        <v>686</v>
      </c>
      <c r="C1809" t="s">
        <v>687</v>
      </c>
      <c r="D1809" t="s">
        <v>258</v>
      </c>
      <c r="E1809" t="s">
        <v>337</v>
      </c>
      <c r="F1809" t="s">
        <v>202</v>
      </c>
      <c r="G1809" t="s">
        <v>231</v>
      </c>
      <c r="H1809">
        <v>540</v>
      </c>
      <c r="I1809" t="str">
        <f t="shared" si="27"/>
        <v>Theaters: Live-Stage|A|Excellent</v>
      </c>
      <c r="J1809" t="s">
        <v>688</v>
      </c>
    </row>
    <row r="1810" spans="2:10">
      <c r="B1810" t="s">
        <v>686</v>
      </c>
      <c r="C1810" t="s">
        <v>687</v>
      </c>
      <c r="D1810" t="s">
        <v>258</v>
      </c>
      <c r="E1810" t="s">
        <v>337</v>
      </c>
      <c r="F1810" t="s">
        <v>202</v>
      </c>
      <c r="G1810" t="s">
        <v>229</v>
      </c>
      <c r="H1810">
        <v>391</v>
      </c>
      <c r="I1810" t="str">
        <f t="shared" si="27"/>
        <v>Theaters: Live-Stage|A|Good</v>
      </c>
      <c r="J1810" t="s">
        <v>688</v>
      </c>
    </row>
    <row r="1811" spans="2:10">
      <c r="B1811" t="s">
        <v>686</v>
      </c>
      <c r="C1811" t="s">
        <v>687</v>
      </c>
      <c r="D1811" t="s">
        <v>258</v>
      </c>
      <c r="E1811" t="s">
        <v>337</v>
      </c>
      <c r="F1811" t="s">
        <v>202</v>
      </c>
      <c r="G1811" t="s">
        <v>44</v>
      </c>
      <c r="H1811">
        <v>292</v>
      </c>
      <c r="I1811" t="str">
        <f t="shared" si="27"/>
        <v>Theaters: Live-Stage|A|Average</v>
      </c>
      <c r="J1811" t="s">
        <v>688</v>
      </c>
    </row>
    <row r="1812" spans="2:10">
      <c r="B1812" t="s">
        <v>686</v>
      </c>
      <c r="C1812" t="s">
        <v>687</v>
      </c>
      <c r="D1812" t="s">
        <v>258</v>
      </c>
      <c r="E1812" t="s">
        <v>337</v>
      </c>
      <c r="F1812" t="s">
        <v>207</v>
      </c>
      <c r="G1812" t="s">
        <v>231</v>
      </c>
      <c r="H1812">
        <v>483</v>
      </c>
      <c r="I1812" t="str">
        <f t="shared" si="27"/>
        <v>Theaters: Live-Stage|B|Excellent</v>
      </c>
      <c r="J1812" t="s">
        <v>688</v>
      </c>
    </row>
    <row r="1813" spans="2:10">
      <c r="B1813" t="s">
        <v>686</v>
      </c>
      <c r="C1813" t="s">
        <v>687</v>
      </c>
      <c r="D1813" t="s">
        <v>258</v>
      </c>
      <c r="E1813" t="s">
        <v>337</v>
      </c>
      <c r="F1813" t="s">
        <v>207</v>
      </c>
      <c r="G1813" t="s">
        <v>229</v>
      </c>
      <c r="H1813">
        <v>353</v>
      </c>
      <c r="I1813" t="str">
        <f t="shared" si="27"/>
        <v>Theaters: Live-Stage|B|Good</v>
      </c>
      <c r="J1813" t="s">
        <v>688</v>
      </c>
    </row>
    <row r="1814" spans="2:10">
      <c r="B1814" t="s">
        <v>686</v>
      </c>
      <c r="C1814" t="s">
        <v>687</v>
      </c>
      <c r="D1814" t="s">
        <v>258</v>
      </c>
      <c r="E1814" t="s">
        <v>337</v>
      </c>
      <c r="F1814" t="s">
        <v>207</v>
      </c>
      <c r="G1814" t="s">
        <v>44</v>
      </c>
      <c r="H1814">
        <v>266</v>
      </c>
      <c r="I1814" t="str">
        <f t="shared" si="27"/>
        <v>Theaters: Live-Stage|B|Average</v>
      </c>
      <c r="J1814" t="s">
        <v>688</v>
      </c>
    </row>
    <row r="1815" spans="2:10">
      <c r="B1815" t="s">
        <v>686</v>
      </c>
      <c r="C1815" t="s">
        <v>687</v>
      </c>
      <c r="D1815" t="s">
        <v>258</v>
      </c>
      <c r="E1815" t="s">
        <v>337</v>
      </c>
      <c r="F1815" t="s">
        <v>209</v>
      </c>
      <c r="G1815" t="s">
        <v>231</v>
      </c>
      <c r="H1815">
        <v>377</v>
      </c>
      <c r="I1815" t="str">
        <f t="shared" si="27"/>
        <v>Theaters: Live-Stage|C|Excellent</v>
      </c>
      <c r="J1815" t="s">
        <v>688</v>
      </c>
    </row>
    <row r="1816" spans="2:10">
      <c r="B1816" t="s">
        <v>686</v>
      </c>
      <c r="C1816" t="s">
        <v>687</v>
      </c>
      <c r="D1816" t="s">
        <v>258</v>
      </c>
      <c r="E1816" t="s">
        <v>337</v>
      </c>
      <c r="F1816" t="s">
        <v>209</v>
      </c>
      <c r="G1816" t="s">
        <v>229</v>
      </c>
      <c r="H1816">
        <v>261</v>
      </c>
      <c r="I1816" t="str">
        <f t="shared" si="27"/>
        <v>Theaters: Live-Stage|C|Good</v>
      </c>
      <c r="J1816" t="s">
        <v>688</v>
      </c>
    </row>
    <row r="1817" spans="2:10">
      <c r="B1817" t="s">
        <v>686</v>
      </c>
      <c r="C1817" t="s">
        <v>687</v>
      </c>
      <c r="D1817" t="s">
        <v>258</v>
      </c>
      <c r="E1817" t="s">
        <v>337</v>
      </c>
      <c r="F1817" t="s">
        <v>209</v>
      </c>
      <c r="G1817" t="s">
        <v>44</v>
      </c>
      <c r="H1817">
        <v>174</v>
      </c>
      <c r="I1817" t="str">
        <f t="shared" si="27"/>
        <v>Theaters: Live-Stage|C|Average</v>
      </c>
      <c r="J1817" t="s">
        <v>688</v>
      </c>
    </row>
    <row r="1818" spans="2:10">
      <c r="B1818" t="s">
        <v>686</v>
      </c>
      <c r="C1818" t="s">
        <v>687</v>
      </c>
      <c r="D1818" t="s">
        <v>258</v>
      </c>
      <c r="E1818" t="s">
        <v>337</v>
      </c>
      <c r="F1818" t="s">
        <v>214</v>
      </c>
      <c r="G1818" t="s">
        <v>229</v>
      </c>
      <c r="H1818">
        <v>250</v>
      </c>
      <c r="I1818" t="str">
        <f t="shared" si="27"/>
        <v>Theaters: Live-Stage|D|Good</v>
      </c>
      <c r="J1818" t="s">
        <v>688</v>
      </c>
    </row>
    <row r="1819" spans="2:10">
      <c r="B1819" t="s">
        <v>686</v>
      </c>
      <c r="C1819" t="s">
        <v>687</v>
      </c>
      <c r="D1819" t="s">
        <v>258</v>
      </c>
      <c r="E1819" t="s">
        <v>337</v>
      </c>
      <c r="F1819" t="s">
        <v>313</v>
      </c>
      <c r="G1819" t="s">
        <v>44</v>
      </c>
      <c r="H1819">
        <v>166</v>
      </c>
      <c r="I1819" t="str">
        <f t="shared" si="27"/>
        <v>Theaters: Live-Stage|DPOLE|Average</v>
      </c>
      <c r="J1819" t="s">
        <v>688</v>
      </c>
    </row>
    <row r="1820" spans="2:10">
      <c r="B1820" t="s">
        <v>686</v>
      </c>
      <c r="C1820" t="s">
        <v>687</v>
      </c>
      <c r="D1820" t="s">
        <v>258</v>
      </c>
      <c r="E1820" t="s">
        <v>337</v>
      </c>
      <c r="F1820" t="s">
        <v>219</v>
      </c>
      <c r="G1820" t="s">
        <v>44</v>
      </c>
      <c r="H1820">
        <v>162</v>
      </c>
      <c r="I1820" t="str">
        <f t="shared" si="27"/>
        <v>Theaters: Live-Stage|S|Average</v>
      </c>
      <c r="J1820" t="s">
        <v>688</v>
      </c>
    </row>
    <row r="1821" spans="2:10">
      <c r="B1821" t="s">
        <v>689</v>
      </c>
      <c r="C1821" t="s">
        <v>690</v>
      </c>
      <c r="D1821" t="s">
        <v>258</v>
      </c>
      <c r="E1821" t="s">
        <v>244</v>
      </c>
      <c r="F1821" t="s">
        <v>202</v>
      </c>
      <c r="G1821" t="s">
        <v>229</v>
      </c>
      <c r="H1821">
        <v>340</v>
      </c>
      <c r="I1821" t="str">
        <f t="shared" si="27"/>
        <v>Theaters: Cinema|A|Good</v>
      </c>
      <c r="J1821" t="s">
        <v>691</v>
      </c>
    </row>
    <row r="1822" spans="2:10">
      <c r="B1822" t="s">
        <v>689</v>
      </c>
      <c r="C1822" t="s">
        <v>690</v>
      </c>
      <c r="D1822" t="s">
        <v>258</v>
      </c>
      <c r="E1822" t="s">
        <v>244</v>
      </c>
      <c r="F1822" t="s">
        <v>202</v>
      </c>
      <c r="G1822" t="s">
        <v>44</v>
      </c>
      <c r="H1822">
        <v>255</v>
      </c>
      <c r="I1822" t="str">
        <f t="shared" ref="I1822:I1885" si="28">B1822&amp;"|"&amp;F1822&amp;"|"&amp;G1822</f>
        <v>Theaters: Cinema|A|Average</v>
      </c>
      <c r="J1822" t="s">
        <v>691</v>
      </c>
    </row>
    <row r="1823" spans="2:10">
      <c r="B1823" t="s">
        <v>689</v>
      </c>
      <c r="C1823" t="s">
        <v>690</v>
      </c>
      <c r="D1823" t="s">
        <v>258</v>
      </c>
      <c r="E1823" t="s">
        <v>244</v>
      </c>
      <c r="F1823" t="s">
        <v>207</v>
      </c>
      <c r="G1823" t="s">
        <v>229</v>
      </c>
      <c r="H1823">
        <v>306</v>
      </c>
      <c r="I1823" t="str">
        <f t="shared" si="28"/>
        <v>Theaters: Cinema|B|Good</v>
      </c>
      <c r="J1823" t="s">
        <v>691</v>
      </c>
    </row>
    <row r="1824" spans="2:10">
      <c r="B1824" t="s">
        <v>689</v>
      </c>
      <c r="C1824" t="s">
        <v>690</v>
      </c>
      <c r="D1824" t="s">
        <v>258</v>
      </c>
      <c r="E1824" t="s">
        <v>244</v>
      </c>
      <c r="F1824" t="s">
        <v>207</v>
      </c>
      <c r="G1824" t="s">
        <v>44</v>
      </c>
      <c r="H1824">
        <v>233</v>
      </c>
      <c r="I1824" t="str">
        <f t="shared" si="28"/>
        <v>Theaters: Cinema|B|Average</v>
      </c>
      <c r="J1824" t="s">
        <v>691</v>
      </c>
    </row>
    <row r="1825" spans="2:10">
      <c r="B1825" t="s">
        <v>689</v>
      </c>
      <c r="C1825" t="s">
        <v>690</v>
      </c>
      <c r="D1825" t="s">
        <v>258</v>
      </c>
      <c r="E1825" t="s">
        <v>244</v>
      </c>
      <c r="F1825" t="s">
        <v>207</v>
      </c>
      <c r="G1825" t="s">
        <v>231</v>
      </c>
      <c r="H1825">
        <v>306</v>
      </c>
      <c r="I1825" t="str">
        <f t="shared" si="28"/>
        <v>Theaters: Cinema|B|Excellent</v>
      </c>
      <c r="J1825" t="s">
        <v>691</v>
      </c>
    </row>
    <row r="1826" spans="2:10">
      <c r="B1826" t="s">
        <v>689</v>
      </c>
      <c r="C1826" t="s">
        <v>690</v>
      </c>
      <c r="D1826" t="s">
        <v>258</v>
      </c>
      <c r="E1826" t="s">
        <v>244</v>
      </c>
      <c r="F1826" t="s">
        <v>209</v>
      </c>
      <c r="G1826" t="s">
        <v>250</v>
      </c>
      <c r="H1826">
        <v>256</v>
      </c>
      <c r="I1826" t="str">
        <f t="shared" si="28"/>
        <v>Theaters: Cinema|C|Very Good</v>
      </c>
      <c r="J1826" t="s">
        <v>691</v>
      </c>
    </row>
    <row r="1827" spans="2:10">
      <c r="B1827" t="s">
        <v>689</v>
      </c>
      <c r="C1827" t="s">
        <v>690</v>
      </c>
      <c r="D1827" t="s">
        <v>258</v>
      </c>
      <c r="E1827" t="s">
        <v>244</v>
      </c>
      <c r="F1827" t="s">
        <v>209</v>
      </c>
      <c r="G1827" t="s">
        <v>229</v>
      </c>
      <c r="H1827">
        <v>207</v>
      </c>
      <c r="I1827" t="str">
        <f t="shared" si="28"/>
        <v>Theaters: Cinema|C|Good</v>
      </c>
      <c r="J1827" t="s">
        <v>691</v>
      </c>
    </row>
    <row r="1828" spans="2:10">
      <c r="B1828" t="s">
        <v>689</v>
      </c>
      <c r="C1828" t="s">
        <v>690</v>
      </c>
      <c r="D1828" t="s">
        <v>258</v>
      </c>
      <c r="E1828" t="s">
        <v>244</v>
      </c>
      <c r="F1828" t="s">
        <v>209</v>
      </c>
      <c r="G1828" t="s">
        <v>44</v>
      </c>
      <c r="H1828">
        <v>146</v>
      </c>
      <c r="I1828" t="str">
        <f t="shared" si="28"/>
        <v>Theaters: Cinema|C|Average</v>
      </c>
      <c r="J1828" t="s">
        <v>691</v>
      </c>
    </row>
    <row r="1829" spans="2:10">
      <c r="B1829" t="s">
        <v>689</v>
      </c>
      <c r="C1829" t="s">
        <v>690</v>
      </c>
      <c r="D1829" t="s">
        <v>258</v>
      </c>
      <c r="E1829" t="s">
        <v>244</v>
      </c>
      <c r="F1829" t="s">
        <v>209</v>
      </c>
      <c r="G1829" t="s">
        <v>302</v>
      </c>
      <c r="H1829">
        <v>123</v>
      </c>
      <c r="I1829" t="str">
        <f t="shared" si="28"/>
        <v>Theaters: Cinema|C|Fair</v>
      </c>
      <c r="J1829" t="s">
        <v>691</v>
      </c>
    </row>
    <row r="1830" spans="2:10">
      <c r="B1830" t="s">
        <v>689</v>
      </c>
      <c r="C1830" t="s">
        <v>690</v>
      </c>
      <c r="D1830" t="s">
        <v>258</v>
      </c>
      <c r="E1830" t="s">
        <v>244</v>
      </c>
      <c r="F1830" t="s">
        <v>214</v>
      </c>
      <c r="G1830" t="s">
        <v>250</v>
      </c>
      <c r="H1830">
        <v>245</v>
      </c>
      <c r="I1830" t="str">
        <f t="shared" si="28"/>
        <v>Theaters: Cinema|D|Very Good</v>
      </c>
      <c r="J1830" t="s">
        <v>691</v>
      </c>
    </row>
    <row r="1831" spans="2:10">
      <c r="B1831" t="s">
        <v>689</v>
      </c>
      <c r="C1831" t="s">
        <v>690</v>
      </c>
      <c r="D1831" t="s">
        <v>258</v>
      </c>
      <c r="E1831" t="s">
        <v>244</v>
      </c>
      <c r="F1831" t="s">
        <v>214</v>
      </c>
      <c r="G1831" t="s">
        <v>229</v>
      </c>
      <c r="H1831">
        <v>197</v>
      </c>
      <c r="I1831" t="str">
        <f t="shared" si="28"/>
        <v>Theaters: Cinema|D|Good</v>
      </c>
      <c r="J1831" t="s">
        <v>691</v>
      </c>
    </row>
    <row r="1832" spans="2:10">
      <c r="B1832" t="s">
        <v>689</v>
      </c>
      <c r="C1832" t="s">
        <v>690</v>
      </c>
      <c r="D1832" t="s">
        <v>258</v>
      </c>
      <c r="E1832" t="s">
        <v>244</v>
      </c>
      <c r="F1832" t="s">
        <v>214</v>
      </c>
      <c r="G1832" t="s">
        <v>44</v>
      </c>
      <c r="H1832">
        <v>138</v>
      </c>
      <c r="I1832" t="str">
        <f t="shared" si="28"/>
        <v>Theaters: Cinema|D|Average</v>
      </c>
      <c r="J1832" t="s">
        <v>691</v>
      </c>
    </row>
    <row r="1833" spans="2:10">
      <c r="B1833" t="s">
        <v>689</v>
      </c>
      <c r="C1833" t="s">
        <v>690</v>
      </c>
      <c r="D1833" t="s">
        <v>258</v>
      </c>
      <c r="E1833" t="s">
        <v>244</v>
      </c>
      <c r="F1833" t="s">
        <v>214</v>
      </c>
      <c r="G1833" t="s">
        <v>302</v>
      </c>
      <c r="H1833">
        <v>117</v>
      </c>
      <c r="I1833" t="str">
        <f t="shared" si="28"/>
        <v>Theaters: Cinema|D|Fair</v>
      </c>
      <c r="J1833" t="s">
        <v>691</v>
      </c>
    </row>
    <row r="1834" spans="2:10">
      <c r="B1834" t="s">
        <v>689</v>
      </c>
      <c r="C1834" t="s">
        <v>690</v>
      </c>
      <c r="D1834" t="s">
        <v>258</v>
      </c>
      <c r="E1834" t="s">
        <v>244</v>
      </c>
      <c r="F1834" t="s">
        <v>313</v>
      </c>
      <c r="G1834" t="s">
        <v>229</v>
      </c>
      <c r="H1834">
        <v>196</v>
      </c>
      <c r="I1834" t="str">
        <f t="shared" si="28"/>
        <v>Theaters: Cinema|DPOLE|Good</v>
      </c>
      <c r="J1834" t="s">
        <v>691</v>
      </c>
    </row>
    <row r="1835" spans="2:10">
      <c r="B1835" t="s">
        <v>689</v>
      </c>
      <c r="C1835" t="s">
        <v>690</v>
      </c>
      <c r="D1835" t="s">
        <v>258</v>
      </c>
      <c r="E1835" t="s">
        <v>244</v>
      </c>
      <c r="F1835" t="s">
        <v>219</v>
      </c>
      <c r="G1835" t="s">
        <v>44</v>
      </c>
      <c r="H1835">
        <v>137</v>
      </c>
      <c r="I1835" t="str">
        <f t="shared" si="28"/>
        <v>Theaters: Cinema|S|Average</v>
      </c>
      <c r="J1835" t="s">
        <v>691</v>
      </c>
    </row>
    <row r="1836" spans="2:10">
      <c r="B1836" t="s">
        <v>689</v>
      </c>
      <c r="C1836" t="s">
        <v>690</v>
      </c>
      <c r="D1836" t="s">
        <v>258</v>
      </c>
      <c r="E1836" t="s">
        <v>244</v>
      </c>
      <c r="F1836" t="s">
        <v>219</v>
      </c>
      <c r="G1836" t="s">
        <v>302</v>
      </c>
      <c r="H1836">
        <v>115</v>
      </c>
      <c r="I1836" t="str">
        <f t="shared" si="28"/>
        <v>Theaters: Cinema|S|Fair</v>
      </c>
      <c r="J1836" t="s">
        <v>691</v>
      </c>
    </row>
    <row r="1837" spans="2:10">
      <c r="B1837" t="s">
        <v>692</v>
      </c>
      <c r="C1837" t="s">
        <v>693</v>
      </c>
      <c r="D1837" t="s">
        <v>258</v>
      </c>
      <c r="E1837" t="s">
        <v>248</v>
      </c>
      <c r="F1837" t="s">
        <v>202</v>
      </c>
      <c r="G1837" t="s">
        <v>231</v>
      </c>
      <c r="H1837">
        <v>525</v>
      </c>
      <c r="I1837" t="str">
        <f t="shared" si="28"/>
        <v>Auditoriums|A|Excellent</v>
      </c>
      <c r="J1837" t="s">
        <v>694</v>
      </c>
    </row>
    <row r="1838" spans="2:10">
      <c r="B1838" t="s">
        <v>692</v>
      </c>
      <c r="C1838" t="s">
        <v>693</v>
      </c>
      <c r="D1838" t="s">
        <v>258</v>
      </c>
      <c r="E1838" t="s">
        <v>248</v>
      </c>
      <c r="F1838" t="s">
        <v>202</v>
      </c>
      <c r="G1838" t="s">
        <v>229</v>
      </c>
      <c r="H1838">
        <v>369</v>
      </c>
      <c r="I1838" t="str">
        <f t="shared" si="28"/>
        <v>Auditoriums|A|Good</v>
      </c>
      <c r="J1838" t="s">
        <v>694</v>
      </c>
    </row>
    <row r="1839" spans="2:10">
      <c r="B1839" t="s">
        <v>692</v>
      </c>
      <c r="C1839" t="s">
        <v>693</v>
      </c>
      <c r="D1839" t="s">
        <v>258</v>
      </c>
      <c r="E1839" t="s">
        <v>248</v>
      </c>
      <c r="F1839" t="s">
        <v>202</v>
      </c>
      <c r="G1839" t="s">
        <v>44</v>
      </c>
      <c r="H1839">
        <v>267</v>
      </c>
      <c r="I1839" t="str">
        <f t="shared" si="28"/>
        <v>Auditoriums|A|Average</v>
      </c>
      <c r="J1839" t="s">
        <v>694</v>
      </c>
    </row>
    <row r="1840" spans="2:10">
      <c r="B1840" t="s">
        <v>692</v>
      </c>
      <c r="C1840" t="s">
        <v>693</v>
      </c>
      <c r="D1840" t="s">
        <v>258</v>
      </c>
      <c r="E1840" t="s">
        <v>248</v>
      </c>
      <c r="F1840" t="s">
        <v>207</v>
      </c>
      <c r="G1840" t="s">
        <v>231</v>
      </c>
      <c r="H1840">
        <v>472</v>
      </c>
      <c r="I1840" t="str">
        <f t="shared" si="28"/>
        <v>Auditoriums|B|Excellent</v>
      </c>
      <c r="J1840" t="s">
        <v>694</v>
      </c>
    </row>
    <row r="1841" spans="2:10">
      <c r="B1841" t="s">
        <v>692</v>
      </c>
      <c r="C1841" t="s">
        <v>693</v>
      </c>
      <c r="D1841" t="s">
        <v>258</v>
      </c>
      <c r="E1841" t="s">
        <v>248</v>
      </c>
      <c r="F1841" t="s">
        <v>207</v>
      </c>
      <c r="G1841" t="s">
        <v>229</v>
      </c>
      <c r="H1841">
        <v>332</v>
      </c>
      <c r="I1841" t="str">
        <f t="shared" si="28"/>
        <v>Auditoriums|B|Good</v>
      </c>
      <c r="J1841" t="s">
        <v>694</v>
      </c>
    </row>
    <row r="1842" spans="2:10">
      <c r="B1842" t="s">
        <v>692</v>
      </c>
      <c r="C1842" t="s">
        <v>693</v>
      </c>
      <c r="D1842" t="s">
        <v>258</v>
      </c>
      <c r="E1842" t="s">
        <v>248</v>
      </c>
      <c r="F1842" t="s">
        <v>207</v>
      </c>
      <c r="G1842" t="s">
        <v>44</v>
      </c>
      <c r="H1842">
        <v>242</v>
      </c>
      <c r="I1842" t="str">
        <f t="shared" si="28"/>
        <v>Auditoriums|B|Average</v>
      </c>
      <c r="J1842" t="s">
        <v>694</v>
      </c>
    </row>
    <row r="1843" spans="2:10">
      <c r="B1843" t="s">
        <v>692</v>
      </c>
      <c r="C1843" t="s">
        <v>693</v>
      </c>
      <c r="D1843" t="s">
        <v>258</v>
      </c>
      <c r="E1843" t="s">
        <v>248</v>
      </c>
      <c r="F1843" t="s">
        <v>209</v>
      </c>
      <c r="G1843" t="s">
        <v>231</v>
      </c>
      <c r="H1843">
        <v>344</v>
      </c>
      <c r="I1843" t="str">
        <f t="shared" si="28"/>
        <v>Auditoriums|C|Excellent</v>
      </c>
      <c r="J1843" t="s">
        <v>694</v>
      </c>
    </row>
    <row r="1844" spans="2:10">
      <c r="B1844" t="s">
        <v>692</v>
      </c>
      <c r="C1844" t="s">
        <v>693</v>
      </c>
      <c r="D1844" t="s">
        <v>258</v>
      </c>
      <c r="E1844" t="s">
        <v>248</v>
      </c>
      <c r="F1844" t="s">
        <v>209</v>
      </c>
      <c r="G1844" t="s">
        <v>229</v>
      </c>
      <c r="H1844">
        <v>249</v>
      </c>
      <c r="I1844" t="str">
        <f t="shared" si="28"/>
        <v>Auditoriums|C|Good</v>
      </c>
      <c r="J1844" t="s">
        <v>694</v>
      </c>
    </row>
    <row r="1845" spans="2:10">
      <c r="B1845" t="s">
        <v>692</v>
      </c>
      <c r="C1845" t="s">
        <v>693</v>
      </c>
      <c r="D1845" t="s">
        <v>258</v>
      </c>
      <c r="E1845" t="s">
        <v>248</v>
      </c>
      <c r="F1845" t="s">
        <v>209</v>
      </c>
      <c r="G1845" t="s">
        <v>44</v>
      </c>
      <c r="H1845">
        <v>174</v>
      </c>
      <c r="I1845" t="str">
        <f t="shared" si="28"/>
        <v>Auditoriums|C|Average</v>
      </c>
      <c r="J1845" t="s">
        <v>694</v>
      </c>
    </row>
    <row r="1846" spans="2:10">
      <c r="B1846" t="s">
        <v>692</v>
      </c>
      <c r="C1846" t="s">
        <v>693</v>
      </c>
      <c r="D1846" t="s">
        <v>258</v>
      </c>
      <c r="E1846" t="s">
        <v>248</v>
      </c>
      <c r="F1846" t="s">
        <v>214</v>
      </c>
      <c r="G1846" t="s">
        <v>229</v>
      </c>
      <c r="H1846">
        <v>238</v>
      </c>
      <c r="I1846" t="str">
        <f t="shared" si="28"/>
        <v>Auditoriums|D|Good</v>
      </c>
      <c r="J1846" t="s">
        <v>694</v>
      </c>
    </row>
    <row r="1847" spans="2:10">
      <c r="B1847" t="s">
        <v>692</v>
      </c>
      <c r="C1847" t="s">
        <v>693</v>
      </c>
      <c r="D1847" t="s">
        <v>258</v>
      </c>
      <c r="E1847" t="s">
        <v>248</v>
      </c>
      <c r="F1847" t="s">
        <v>313</v>
      </c>
      <c r="G1847" t="s">
        <v>44</v>
      </c>
      <c r="H1847">
        <v>165</v>
      </c>
      <c r="I1847" t="str">
        <f t="shared" si="28"/>
        <v>Auditoriums|DPOLE|Average</v>
      </c>
      <c r="J1847" t="s">
        <v>694</v>
      </c>
    </row>
    <row r="1848" spans="2:10">
      <c r="B1848" t="s">
        <v>692</v>
      </c>
      <c r="C1848" t="s">
        <v>693</v>
      </c>
      <c r="D1848" t="s">
        <v>258</v>
      </c>
      <c r="E1848" t="s">
        <v>248</v>
      </c>
      <c r="F1848" t="s">
        <v>219</v>
      </c>
      <c r="G1848" t="s">
        <v>44</v>
      </c>
      <c r="H1848">
        <v>162</v>
      </c>
      <c r="I1848" t="str">
        <f t="shared" si="28"/>
        <v>Auditoriums|S|Average</v>
      </c>
      <c r="J1848" t="s">
        <v>694</v>
      </c>
    </row>
    <row r="1849" spans="2:10">
      <c r="B1849" t="s">
        <v>695</v>
      </c>
      <c r="C1849" t="s">
        <v>696</v>
      </c>
      <c r="D1849" t="s">
        <v>258</v>
      </c>
      <c r="E1849" t="s">
        <v>253</v>
      </c>
      <c r="F1849" t="s">
        <v>202</v>
      </c>
      <c r="G1849" t="s">
        <v>44</v>
      </c>
      <c r="H1849">
        <v>261</v>
      </c>
      <c r="I1849" t="str">
        <f t="shared" si="28"/>
        <v>Fraternal Buildings|A|Average</v>
      </c>
      <c r="J1849" t="s">
        <v>697</v>
      </c>
    </row>
    <row r="1850" spans="2:10">
      <c r="B1850" t="s">
        <v>695</v>
      </c>
      <c r="C1850" t="s">
        <v>696</v>
      </c>
      <c r="D1850" t="s">
        <v>258</v>
      </c>
      <c r="E1850" t="s">
        <v>253</v>
      </c>
      <c r="F1850" t="s">
        <v>207</v>
      </c>
      <c r="G1850" t="s">
        <v>44</v>
      </c>
      <c r="H1850">
        <v>236</v>
      </c>
      <c r="I1850" t="str">
        <f t="shared" si="28"/>
        <v>Fraternal Buildings|B|Average</v>
      </c>
      <c r="J1850" t="s">
        <v>697</v>
      </c>
    </row>
    <row r="1851" spans="2:10">
      <c r="B1851" t="s">
        <v>695</v>
      </c>
      <c r="C1851" t="s">
        <v>696</v>
      </c>
      <c r="D1851" t="s">
        <v>258</v>
      </c>
      <c r="E1851" t="s">
        <v>253</v>
      </c>
      <c r="F1851" t="s">
        <v>209</v>
      </c>
      <c r="G1851" t="s">
        <v>231</v>
      </c>
      <c r="H1851">
        <v>315</v>
      </c>
      <c r="I1851" t="str">
        <f t="shared" si="28"/>
        <v>Fraternal Buildings|C|Excellent</v>
      </c>
      <c r="J1851" t="s">
        <v>697</v>
      </c>
    </row>
    <row r="1852" spans="2:10">
      <c r="B1852" t="s">
        <v>695</v>
      </c>
      <c r="C1852" t="s">
        <v>696</v>
      </c>
      <c r="D1852" t="s">
        <v>258</v>
      </c>
      <c r="E1852" t="s">
        <v>253</v>
      </c>
      <c r="F1852" t="s">
        <v>209</v>
      </c>
      <c r="G1852" t="s">
        <v>229</v>
      </c>
      <c r="H1852">
        <v>237</v>
      </c>
      <c r="I1852" t="str">
        <f t="shared" si="28"/>
        <v>Fraternal Buildings|C|Good</v>
      </c>
      <c r="J1852" t="s">
        <v>697</v>
      </c>
    </row>
    <row r="1853" spans="2:10">
      <c r="B1853" t="s">
        <v>695</v>
      </c>
      <c r="C1853" t="s">
        <v>696</v>
      </c>
      <c r="D1853" t="s">
        <v>258</v>
      </c>
      <c r="E1853" t="s">
        <v>253</v>
      </c>
      <c r="F1853" t="s">
        <v>209</v>
      </c>
      <c r="G1853" t="s">
        <v>44</v>
      </c>
      <c r="H1853">
        <v>171</v>
      </c>
      <c r="I1853" t="str">
        <f t="shared" si="28"/>
        <v>Fraternal Buildings|C|Average</v>
      </c>
      <c r="J1853" t="s">
        <v>697</v>
      </c>
    </row>
    <row r="1854" spans="2:10">
      <c r="B1854" t="s">
        <v>695</v>
      </c>
      <c r="C1854" t="s">
        <v>696</v>
      </c>
      <c r="D1854" t="s">
        <v>258</v>
      </c>
      <c r="E1854" t="s">
        <v>253</v>
      </c>
      <c r="F1854" t="s">
        <v>214</v>
      </c>
      <c r="G1854" t="s">
        <v>229</v>
      </c>
      <c r="H1854">
        <v>228</v>
      </c>
      <c r="I1854" t="str">
        <f t="shared" si="28"/>
        <v>Fraternal Buildings|D|Good</v>
      </c>
      <c r="J1854" t="s">
        <v>697</v>
      </c>
    </row>
    <row r="1855" spans="2:10">
      <c r="B1855" t="s">
        <v>695</v>
      </c>
      <c r="C1855" t="s">
        <v>696</v>
      </c>
      <c r="D1855" t="s">
        <v>258</v>
      </c>
      <c r="E1855" t="s">
        <v>253</v>
      </c>
      <c r="F1855" t="s">
        <v>313</v>
      </c>
      <c r="G1855" t="s">
        <v>44</v>
      </c>
      <c r="H1855">
        <v>163</v>
      </c>
      <c r="I1855" t="str">
        <f t="shared" si="28"/>
        <v>Fraternal Buildings|DPOLE|Average</v>
      </c>
      <c r="J1855" t="s">
        <v>697</v>
      </c>
    </row>
    <row r="1856" spans="2:10">
      <c r="B1856" t="s">
        <v>695</v>
      </c>
      <c r="C1856" t="s">
        <v>696</v>
      </c>
      <c r="D1856" t="s">
        <v>258</v>
      </c>
      <c r="E1856" t="s">
        <v>253</v>
      </c>
      <c r="F1856" t="s">
        <v>219</v>
      </c>
      <c r="G1856" t="s">
        <v>44</v>
      </c>
      <c r="H1856">
        <v>159</v>
      </c>
      <c r="I1856" t="str">
        <f t="shared" si="28"/>
        <v>Fraternal Buildings|S|Average</v>
      </c>
      <c r="J1856" t="s">
        <v>697</v>
      </c>
    </row>
    <row r="1857" spans="2:10">
      <c r="B1857" t="s">
        <v>698</v>
      </c>
      <c r="C1857" t="s">
        <v>699</v>
      </c>
      <c r="D1857" t="s">
        <v>258</v>
      </c>
      <c r="E1857" t="s">
        <v>253</v>
      </c>
      <c r="F1857" t="s">
        <v>270</v>
      </c>
      <c r="G1857" t="s">
        <v>229</v>
      </c>
      <c r="H1857">
        <v>334</v>
      </c>
      <c r="I1857" t="str">
        <f t="shared" si="28"/>
        <v>Visitor Centers|A-B|Good</v>
      </c>
      <c r="J1857" t="s">
        <v>697</v>
      </c>
    </row>
    <row r="1858" spans="2:10">
      <c r="B1858" t="s">
        <v>698</v>
      </c>
      <c r="C1858" t="s">
        <v>699</v>
      </c>
      <c r="D1858" t="s">
        <v>258</v>
      </c>
      <c r="E1858" t="s">
        <v>253</v>
      </c>
      <c r="F1858" t="s">
        <v>270</v>
      </c>
      <c r="G1858" t="s">
        <v>44</v>
      </c>
      <c r="H1858">
        <v>241</v>
      </c>
      <c r="I1858" t="str">
        <f t="shared" si="28"/>
        <v>Visitor Centers|A-B|Average</v>
      </c>
      <c r="J1858" t="s">
        <v>697</v>
      </c>
    </row>
    <row r="1859" spans="2:10">
      <c r="B1859" t="s">
        <v>698</v>
      </c>
      <c r="C1859" t="s">
        <v>699</v>
      </c>
      <c r="D1859" t="s">
        <v>258</v>
      </c>
      <c r="E1859" t="s">
        <v>253</v>
      </c>
      <c r="F1859" t="s">
        <v>209</v>
      </c>
      <c r="G1859" t="s">
        <v>231</v>
      </c>
      <c r="H1859">
        <v>309</v>
      </c>
      <c r="I1859" t="str">
        <f t="shared" si="28"/>
        <v>Visitor Centers|C|Excellent</v>
      </c>
      <c r="J1859" t="s">
        <v>697</v>
      </c>
    </row>
    <row r="1860" spans="2:10">
      <c r="B1860" t="s">
        <v>698</v>
      </c>
      <c r="C1860" t="s">
        <v>699</v>
      </c>
      <c r="D1860" t="s">
        <v>258</v>
      </c>
      <c r="E1860" t="s">
        <v>253</v>
      </c>
      <c r="F1860" t="s">
        <v>209</v>
      </c>
      <c r="G1860" t="s">
        <v>229</v>
      </c>
      <c r="H1860">
        <v>230</v>
      </c>
      <c r="I1860" t="str">
        <f t="shared" si="28"/>
        <v>Visitor Centers|C|Good</v>
      </c>
      <c r="J1860" t="s">
        <v>697</v>
      </c>
    </row>
    <row r="1861" spans="2:10">
      <c r="B1861" t="s">
        <v>698</v>
      </c>
      <c r="C1861" t="s">
        <v>699</v>
      </c>
      <c r="D1861" t="s">
        <v>258</v>
      </c>
      <c r="E1861" t="s">
        <v>253</v>
      </c>
      <c r="F1861" t="s">
        <v>209</v>
      </c>
      <c r="G1861" t="s">
        <v>44</v>
      </c>
      <c r="H1861">
        <v>166</v>
      </c>
      <c r="I1861" t="str">
        <f t="shared" si="28"/>
        <v>Visitor Centers|C|Average</v>
      </c>
      <c r="J1861" t="s">
        <v>697</v>
      </c>
    </row>
    <row r="1862" spans="2:10">
      <c r="B1862" t="s">
        <v>698</v>
      </c>
      <c r="C1862" t="s">
        <v>699</v>
      </c>
      <c r="D1862" t="s">
        <v>258</v>
      </c>
      <c r="E1862" t="s">
        <v>253</v>
      </c>
      <c r="F1862" t="s">
        <v>214</v>
      </c>
      <c r="G1862" t="s">
        <v>231</v>
      </c>
      <c r="H1862">
        <v>297</v>
      </c>
      <c r="I1862" t="str">
        <f t="shared" si="28"/>
        <v>Visitor Centers|D|Excellent</v>
      </c>
      <c r="J1862" t="s">
        <v>697</v>
      </c>
    </row>
    <row r="1863" spans="2:10">
      <c r="B1863" t="s">
        <v>698</v>
      </c>
      <c r="C1863" t="s">
        <v>699</v>
      </c>
      <c r="D1863" t="s">
        <v>258</v>
      </c>
      <c r="E1863" t="s">
        <v>253</v>
      </c>
      <c r="F1863" t="s">
        <v>214</v>
      </c>
      <c r="G1863" t="s">
        <v>229</v>
      </c>
      <c r="H1863">
        <v>220</v>
      </c>
      <c r="I1863" t="str">
        <f t="shared" si="28"/>
        <v>Visitor Centers|D|Good</v>
      </c>
      <c r="J1863" t="s">
        <v>697</v>
      </c>
    </row>
    <row r="1864" spans="2:10">
      <c r="B1864" t="s">
        <v>698</v>
      </c>
      <c r="C1864" t="s">
        <v>699</v>
      </c>
      <c r="D1864" t="s">
        <v>258</v>
      </c>
      <c r="E1864" t="s">
        <v>253</v>
      </c>
      <c r="F1864" t="s">
        <v>214</v>
      </c>
      <c r="G1864" t="s">
        <v>44</v>
      </c>
      <c r="H1864">
        <v>159</v>
      </c>
      <c r="I1864" t="str">
        <f t="shared" si="28"/>
        <v>Visitor Centers|D|Average</v>
      </c>
      <c r="J1864" t="s">
        <v>697</v>
      </c>
    </row>
    <row r="1865" spans="2:10">
      <c r="B1865" t="s">
        <v>698</v>
      </c>
      <c r="C1865" t="s">
        <v>699</v>
      </c>
      <c r="D1865" t="s">
        <v>258</v>
      </c>
      <c r="E1865" t="s">
        <v>253</v>
      </c>
      <c r="F1865" t="s">
        <v>313</v>
      </c>
      <c r="G1865" t="s">
        <v>44</v>
      </c>
      <c r="H1865">
        <v>150</v>
      </c>
      <c r="I1865" t="str">
        <f t="shared" si="28"/>
        <v>Visitor Centers|DPOLE|Average</v>
      </c>
      <c r="J1865" t="s">
        <v>697</v>
      </c>
    </row>
    <row r="1866" spans="2:10">
      <c r="B1866" t="s">
        <v>700</v>
      </c>
      <c r="C1866" t="s">
        <v>701</v>
      </c>
      <c r="D1866" t="s">
        <v>258</v>
      </c>
      <c r="E1866" t="s">
        <v>258</v>
      </c>
      <c r="F1866" t="s">
        <v>202</v>
      </c>
      <c r="G1866" t="s">
        <v>229</v>
      </c>
      <c r="H1866">
        <v>369</v>
      </c>
      <c r="I1866" t="str">
        <f t="shared" si="28"/>
        <v>Convention Centers|A|Good</v>
      </c>
      <c r="J1866" t="s">
        <v>702</v>
      </c>
    </row>
    <row r="1867" spans="2:10">
      <c r="B1867" t="s">
        <v>700</v>
      </c>
      <c r="C1867" t="s">
        <v>701</v>
      </c>
      <c r="D1867" t="s">
        <v>258</v>
      </c>
      <c r="E1867" t="s">
        <v>258</v>
      </c>
      <c r="F1867" t="s">
        <v>202</v>
      </c>
      <c r="G1867" t="s">
        <v>44</v>
      </c>
      <c r="H1867">
        <v>265</v>
      </c>
      <c r="I1867" t="str">
        <f t="shared" si="28"/>
        <v>Convention Centers|A|Average</v>
      </c>
      <c r="J1867" t="s">
        <v>702</v>
      </c>
    </row>
    <row r="1868" spans="2:10">
      <c r="B1868" t="s">
        <v>700</v>
      </c>
      <c r="C1868" t="s">
        <v>701</v>
      </c>
      <c r="D1868" t="s">
        <v>258</v>
      </c>
      <c r="E1868" t="s">
        <v>258</v>
      </c>
      <c r="F1868" t="s">
        <v>207</v>
      </c>
      <c r="G1868" t="s">
        <v>229</v>
      </c>
      <c r="H1868">
        <v>333</v>
      </c>
      <c r="I1868" t="str">
        <f t="shared" si="28"/>
        <v>Convention Centers|B|Good</v>
      </c>
      <c r="J1868" t="s">
        <v>702</v>
      </c>
    </row>
    <row r="1869" spans="2:10">
      <c r="B1869" t="s">
        <v>700</v>
      </c>
      <c r="C1869" t="s">
        <v>701</v>
      </c>
      <c r="D1869" t="s">
        <v>258</v>
      </c>
      <c r="E1869" t="s">
        <v>258</v>
      </c>
      <c r="F1869" t="s">
        <v>207</v>
      </c>
      <c r="G1869" t="s">
        <v>44</v>
      </c>
      <c r="H1869">
        <v>241</v>
      </c>
      <c r="I1869" t="str">
        <f t="shared" si="28"/>
        <v>Convention Centers|B|Average</v>
      </c>
      <c r="J1869" t="s">
        <v>702</v>
      </c>
    </row>
    <row r="1870" spans="2:10">
      <c r="B1870" t="s">
        <v>700</v>
      </c>
      <c r="C1870" t="s">
        <v>701</v>
      </c>
      <c r="D1870" t="s">
        <v>258</v>
      </c>
      <c r="E1870" t="s">
        <v>258</v>
      </c>
      <c r="F1870" t="s">
        <v>209</v>
      </c>
      <c r="G1870" t="s">
        <v>231</v>
      </c>
      <c r="H1870">
        <v>298</v>
      </c>
      <c r="I1870" t="str">
        <f t="shared" si="28"/>
        <v>Convention Centers|C|Excellent</v>
      </c>
      <c r="J1870" t="s">
        <v>702</v>
      </c>
    </row>
    <row r="1871" spans="2:10">
      <c r="B1871" t="s">
        <v>700</v>
      </c>
      <c r="C1871" t="s">
        <v>701</v>
      </c>
      <c r="D1871" t="s">
        <v>258</v>
      </c>
      <c r="E1871" t="s">
        <v>258</v>
      </c>
      <c r="F1871" t="s">
        <v>209</v>
      </c>
      <c r="G1871" t="s">
        <v>229</v>
      </c>
      <c r="H1871">
        <v>236</v>
      </c>
      <c r="I1871" t="str">
        <f t="shared" si="28"/>
        <v>Convention Centers|C|Good</v>
      </c>
      <c r="J1871" t="s">
        <v>702</v>
      </c>
    </row>
    <row r="1872" spans="2:10">
      <c r="B1872" t="s">
        <v>700</v>
      </c>
      <c r="C1872" t="s">
        <v>701</v>
      </c>
      <c r="D1872" t="s">
        <v>258</v>
      </c>
      <c r="E1872" t="s">
        <v>258</v>
      </c>
      <c r="F1872" t="s">
        <v>209</v>
      </c>
      <c r="G1872" t="s">
        <v>44</v>
      </c>
      <c r="H1872">
        <v>179</v>
      </c>
      <c r="I1872" t="str">
        <f t="shared" si="28"/>
        <v>Convention Centers|C|Average</v>
      </c>
      <c r="J1872" t="s">
        <v>702</v>
      </c>
    </row>
    <row r="1873" spans="2:10">
      <c r="B1873" t="s">
        <v>700</v>
      </c>
      <c r="C1873" t="s">
        <v>701</v>
      </c>
      <c r="D1873" t="s">
        <v>258</v>
      </c>
      <c r="E1873" t="s">
        <v>258</v>
      </c>
      <c r="F1873" t="s">
        <v>214</v>
      </c>
      <c r="G1873" t="s">
        <v>231</v>
      </c>
      <c r="H1873">
        <v>285</v>
      </c>
      <c r="I1873" t="str">
        <f t="shared" si="28"/>
        <v>Convention Centers|D|Excellent</v>
      </c>
      <c r="J1873" t="s">
        <v>702</v>
      </c>
    </row>
    <row r="1874" spans="2:10">
      <c r="B1874" t="s">
        <v>700</v>
      </c>
      <c r="C1874" t="s">
        <v>701</v>
      </c>
      <c r="D1874" t="s">
        <v>258</v>
      </c>
      <c r="E1874" t="s">
        <v>258</v>
      </c>
      <c r="F1874" t="s">
        <v>214</v>
      </c>
      <c r="G1874" t="s">
        <v>229</v>
      </c>
      <c r="H1874">
        <v>226</v>
      </c>
      <c r="I1874" t="str">
        <f t="shared" si="28"/>
        <v>Convention Centers|D|Good</v>
      </c>
      <c r="J1874" t="s">
        <v>702</v>
      </c>
    </row>
    <row r="1875" spans="2:10">
      <c r="B1875" t="s">
        <v>700</v>
      </c>
      <c r="C1875" t="s">
        <v>701</v>
      </c>
      <c r="D1875" t="s">
        <v>258</v>
      </c>
      <c r="E1875" t="s">
        <v>258</v>
      </c>
      <c r="F1875" t="s">
        <v>214</v>
      </c>
      <c r="G1875" t="s">
        <v>44</v>
      </c>
      <c r="H1875">
        <v>172</v>
      </c>
      <c r="I1875" t="str">
        <f t="shared" si="28"/>
        <v>Convention Centers|D|Average</v>
      </c>
      <c r="J1875" t="s">
        <v>702</v>
      </c>
    </row>
    <row r="1876" spans="2:10">
      <c r="B1876" t="s">
        <v>703</v>
      </c>
      <c r="C1876" t="s">
        <v>704</v>
      </c>
      <c r="D1876" t="s">
        <v>258</v>
      </c>
      <c r="E1876" t="s">
        <v>260</v>
      </c>
      <c r="F1876" t="s">
        <v>209</v>
      </c>
      <c r="G1876" t="s">
        <v>231</v>
      </c>
      <c r="H1876">
        <v>361</v>
      </c>
      <c r="I1876" t="str">
        <f t="shared" si="28"/>
        <v>Casinos|C|Excellent</v>
      </c>
      <c r="J1876" t="s">
        <v>705</v>
      </c>
    </row>
    <row r="1877" spans="2:10">
      <c r="B1877" t="s">
        <v>703</v>
      </c>
      <c r="C1877" t="s">
        <v>704</v>
      </c>
      <c r="D1877" t="s">
        <v>258</v>
      </c>
      <c r="E1877" t="s">
        <v>260</v>
      </c>
      <c r="F1877" t="s">
        <v>209</v>
      </c>
      <c r="G1877" t="s">
        <v>250</v>
      </c>
      <c r="H1877">
        <v>310</v>
      </c>
      <c r="I1877" t="str">
        <f t="shared" si="28"/>
        <v>Casinos|C|Very Good</v>
      </c>
      <c r="J1877" t="s">
        <v>705</v>
      </c>
    </row>
    <row r="1878" spans="2:10">
      <c r="B1878" t="s">
        <v>703</v>
      </c>
      <c r="C1878" t="s">
        <v>704</v>
      </c>
      <c r="D1878" t="s">
        <v>258</v>
      </c>
      <c r="E1878" t="s">
        <v>260</v>
      </c>
      <c r="F1878" t="s">
        <v>209</v>
      </c>
      <c r="G1878" t="s">
        <v>229</v>
      </c>
      <c r="H1878">
        <v>254</v>
      </c>
      <c r="I1878" t="str">
        <f t="shared" si="28"/>
        <v>Casinos|C|Good</v>
      </c>
      <c r="J1878" t="s">
        <v>705</v>
      </c>
    </row>
    <row r="1879" spans="2:10">
      <c r="B1879" t="s">
        <v>703</v>
      </c>
      <c r="C1879" t="s">
        <v>704</v>
      </c>
      <c r="D1879" t="s">
        <v>258</v>
      </c>
      <c r="E1879" t="s">
        <v>260</v>
      </c>
      <c r="F1879" t="s">
        <v>209</v>
      </c>
      <c r="G1879" t="s">
        <v>44</v>
      </c>
      <c r="H1879">
        <v>188</v>
      </c>
      <c r="I1879" t="str">
        <f t="shared" si="28"/>
        <v>Casinos|C|Average</v>
      </c>
      <c r="J1879" t="s">
        <v>705</v>
      </c>
    </row>
    <row r="1880" spans="2:10">
      <c r="B1880" t="s">
        <v>703</v>
      </c>
      <c r="C1880" t="s">
        <v>704</v>
      </c>
      <c r="D1880" t="s">
        <v>258</v>
      </c>
      <c r="E1880" t="s">
        <v>260</v>
      </c>
      <c r="F1880" t="s">
        <v>214</v>
      </c>
      <c r="G1880" t="s">
        <v>231</v>
      </c>
      <c r="H1880">
        <v>350</v>
      </c>
      <c r="I1880" t="str">
        <f t="shared" si="28"/>
        <v>Casinos|D|Excellent</v>
      </c>
      <c r="J1880" t="s">
        <v>705</v>
      </c>
    </row>
    <row r="1881" spans="2:10">
      <c r="B1881" t="s">
        <v>703</v>
      </c>
      <c r="C1881" t="s">
        <v>704</v>
      </c>
      <c r="D1881" t="s">
        <v>258</v>
      </c>
      <c r="E1881" t="s">
        <v>260</v>
      </c>
      <c r="F1881" t="s">
        <v>214</v>
      </c>
      <c r="G1881" t="s">
        <v>250</v>
      </c>
      <c r="H1881">
        <v>300</v>
      </c>
      <c r="I1881" t="str">
        <f t="shared" si="28"/>
        <v>Casinos|D|Very Good</v>
      </c>
      <c r="J1881" t="s">
        <v>705</v>
      </c>
    </row>
    <row r="1882" spans="2:10">
      <c r="B1882" t="s">
        <v>703</v>
      </c>
      <c r="C1882" t="s">
        <v>704</v>
      </c>
      <c r="D1882" t="s">
        <v>258</v>
      </c>
      <c r="E1882" t="s">
        <v>260</v>
      </c>
      <c r="F1882" t="s">
        <v>214</v>
      </c>
      <c r="G1882" t="s">
        <v>229</v>
      </c>
      <c r="H1882">
        <v>245</v>
      </c>
      <c r="I1882" t="str">
        <f t="shared" si="28"/>
        <v>Casinos|D|Good</v>
      </c>
      <c r="J1882" t="s">
        <v>705</v>
      </c>
    </row>
    <row r="1883" spans="2:10">
      <c r="B1883" t="s">
        <v>703</v>
      </c>
      <c r="C1883" t="s">
        <v>704</v>
      </c>
      <c r="D1883" t="s">
        <v>258</v>
      </c>
      <c r="E1883" t="s">
        <v>260</v>
      </c>
      <c r="F1883" t="s">
        <v>214</v>
      </c>
      <c r="G1883" t="s">
        <v>44</v>
      </c>
      <c r="H1883">
        <v>180</v>
      </c>
      <c r="I1883" t="str">
        <f t="shared" si="28"/>
        <v>Casinos|D|Average</v>
      </c>
      <c r="J1883" t="s">
        <v>705</v>
      </c>
    </row>
    <row r="1884" spans="2:10">
      <c r="B1884" t="s">
        <v>703</v>
      </c>
      <c r="C1884" t="s">
        <v>704</v>
      </c>
      <c r="D1884" t="s">
        <v>258</v>
      </c>
      <c r="E1884" t="s">
        <v>260</v>
      </c>
      <c r="F1884" t="s">
        <v>219</v>
      </c>
      <c r="G1884" t="s">
        <v>44</v>
      </c>
      <c r="H1884">
        <v>178</v>
      </c>
      <c r="I1884" t="str">
        <f t="shared" si="28"/>
        <v>Casinos|S|Average</v>
      </c>
      <c r="J1884" t="s">
        <v>705</v>
      </c>
    </row>
    <row r="1885" spans="2:10">
      <c r="B1885" t="s">
        <v>706</v>
      </c>
      <c r="C1885" t="s">
        <v>707</v>
      </c>
      <c r="D1885" t="s">
        <v>258</v>
      </c>
      <c r="E1885" t="s">
        <v>264</v>
      </c>
      <c r="F1885" t="s">
        <v>270</v>
      </c>
      <c r="G1885" t="s">
        <v>229</v>
      </c>
      <c r="H1885">
        <v>314</v>
      </c>
      <c r="I1885" t="str">
        <f t="shared" si="28"/>
        <v>Community Recreation Centers|A-B|Good</v>
      </c>
      <c r="J1885" t="s">
        <v>708</v>
      </c>
    </row>
    <row r="1886" spans="2:10">
      <c r="B1886" t="s">
        <v>706</v>
      </c>
      <c r="C1886" t="s">
        <v>707</v>
      </c>
      <c r="D1886" t="s">
        <v>258</v>
      </c>
      <c r="E1886" t="s">
        <v>264</v>
      </c>
      <c r="F1886" t="s">
        <v>270</v>
      </c>
      <c r="G1886" t="s">
        <v>44</v>
      </c>
      <c r="H1886">
        <v>242</v>
      </c>
      <c r="I1886" t="str">
        <f t="shared" ref="I1886:I1949" si="29">B1886&amp;"|"&amp;F1886&amp;"|"&amp;G1886</f>
        <v>Community Recreation Centers|A-B|Average</v>
      </c>
      <c r="J1886" t="s">
        <v>708</v>
      </c>
    </row>
    <row r="1887" spans="2:10">
      <c r="B1887" t="s">
        <v>706</v>
      </c>
      <c r="C1887" t="s">
        <v>707</v>
      </c>
      <c r="D1887" t="s">
        <v>258</v>
      </c>
      <c r="E1887" t="s">
        <v>264</v>
      </c>
      <c r="F1887" t="s">
        <v>209</v>
      </c>
      <c r="G1887" t="s">
        <v>231</v>
      </c>
      <c r="H1887">
        <v>312</v>
      </c>
      <c r="I1887" t="str">
        <f t="shared" si="29"/>
        <v>Community Recreation Centers|C|Excellent</v>
      </c>
      <c r="J1887" t="s">
        <v>708</v>
      </c>
    </row>
    <row r="1888" spans="2:10">
      <c r="B1888" t="s">
        <v>706</v>
      </c>
      <c r="C1888" t="s">
        <v>707</v>
      </c>
      <c r="D1888" t="s">
        <v>258</v>
      </c>
      <c r="E1888" t="s">
        <v>264</v>
      </c>
      <c r="F1888" t="s">
        <v>209</v>
      </c>
      <c r="G1888" t="s">
        <v>229</v>
      </c>
      <c r="H1888">
        <v>236</v>
      </c>
      <c r="I1888" t="str">
        <f t="shared" si="29"/>
        <v>Community Recreation Centers|C|Good</v>
      </c>
      <c r="J1888" t="s">
        <v>708</v>
      </c>
    </row>
    <row r="1889" spans="2:10">
      <c r="B1889" t="s">
        <v>706</v>
      </c>
      <c r="C1889" t="s">
        <v>707</v>
      </c>
      <c r="D1889" t="s">
        <v>258</v>
      </c>
      <c r="E1889" t="s">
        <v>264</v>
      </c>
      <c r="F1889" t="s">
        <v>209</v>
      </c>
      <c r="G1889" t="s">
        <v>44</v>
      </c>
      <c r="H1889">
        <v>180</v>
      </c>
      <c r="I1889" t="str">
        <f t="shared" si="29"/>
        <v>Community Recreation Centers|C|Average</v>
      </c>
      <c r="J1889" t="s">
        <v>708</v>
      </c>
    </row>
    <row r="1890" spans="2:10">
      <c r="B1890" t="s">
        <v>706</v>
      </c>
      <c r="C1890" t="s">
        <v>707</v>
      </c>
      <c r="D1890" t="s">
        <v>258</v>
      </c>
      <c r="E1890" t="s">
        <v>264</v>
      </c>
      <c r="F1890" t="s">
        <v>214</v>
      </c>
      <c r="G1890" t="s">
        <v>231</v>
      </c>
      <c r="H1890">
        <v>303</v>
      </c>
      <c r="I1890" t="str">
        <f t="shared" si="29"/>
        <v>Community Recreation Centers|D|Excellent</v>
      </c>
      <c r="J1890" t="s">
        <v>708</v>
      </c>
    </row>
    <row r="1891" spans="2:10">
      <c r="B1891" t="s">
        <v>706</v>
      </c>
      <c r="C1891" t="s">
        <v>707</v>
      </c>
      <c r="D1891" t="s">
        <v>258</v>
      </c>
      <c r="E1891" t="s">
        <v>264</v>
      </c>
      <c r="F1891" t="s">
        <v>214</v>
      </c>
      <c r="G1891" t="s">
        <v>229</v>
      </c>
      <c r="H1891">
        <v>229</v>
      </c>
      <c r="I1891" t="str">
        <f t="shared" si="29"/>
        <v>Community Recreation Centers|D|Good</v>
      </c>
      <c r="J1891" t="s">
        <v>708</v>
      </c>
    </row>
    <row r="1892" spans="2:10">
      <c r="B1892" t="s">
        <v>706</v>
      </c>
      <c r="C1892" t="s">
        <v>707</v>
      </c>
      <c r="D1892" t="s">
        <v>258</v>
      </c>
      <c r="E1892" t="s">
        <v>264</v>
      </c>
      <c r="F1892" t="s">
        <v>214</v>
      </c>
      <c r="G1892" t="s">
        <v>44</v>
      </c>
      <c r="H1892">
        <v>174</v>
      </c>
      <c r="I1892" t="str">
        <f t="shared" si="29"/>
        <v>Community Recreation Centers|D|Average</v>
      </c>
      <c r="J1892" t="s">
        <v>708</v>
      </c>
    </row>
    <row r="1893" spans="2:10">
      <c r="B1893" t="s">
        <v>706</v>
      </c>
      <c r="C1893" t="s">
        <v>707</v>
      </c>
      <c r="D1893" t="s">
        <v>258</v>
      </c>
      <c r="E1893" t="s">
        <v>264</v>
      </c>
      <c r="F1893" t="s">
        <v>219</v>
      </c>
      <c r="G1893" t="s">
        <v>229</v>
      </c>
      <c r="H1893">
        <v>227</v>
      </c>
      <c r="I1893" t="str">
        <f t="shared" si="29"/>
        <v>Community Recreation Centers|S|Good</v>
      </c>
      <c r="J1893" t="s">
        <v>708</v>
      </c>
    </row>
    <row r="1894" spans="2:10">
      <c r="B1894" t="s">
        <v>706</v>
      </c>
      <c r="C1894" t="s">
        <v>707</v>
      </c>
      <c r="D1894" t="s">
        <v>258</v>
      </c>
      <c r="E1894" t="s">
        <v>264</v>
      </c>
      <c r="F1894" t="s">
        <v>219</v>
      </c>
      <c r="G1894" t="s">
        <v>44</v>
      </c>
      <c r="H1894">
        <v>172</v>
      </c>
      <c r="I1894" t="str">
        <f t="shared" si="29"/>
        <v>Community Recreation Centers|S|Average</v>
      </c>
      <c r="J1894" t="s">
        <v>708</v>
      </c>
    </row>
    <row r="1895" spans="2:10">
      <c r="B1895" t="s">
        <v>709</v>
      </c>
      <c r="C1895" t="s">
        <v>710</v>
      </c>
      <c r="D1895" t="s">
        <v>258</v>
      </c>
      <c r="E1895" t="s">
        <v>264</v>
      </c>
      <c r="F1895" t="s">
        <v>209</v>
      </c>
      <c r="G1895" t="s">
        <v>231</v>
      </c>
      <c r="H1895">
        <v>208</v>
      </c>
      <c r="I1895" t="str">
        <f t="shared" si="29"/>
        <v>Arcade Buildings|C|Excellent</v>
      </c>
      <c r="J1895" t="s">
        <v>708</v>
      </c>
    </row>
    <row r="1896" spans="2:10">
      <c r="B1896" t="s">
        <v>709</v>
      </c>
      <c r="C1896" t="s">
        <v>710</v>
      </c>
      <c r="D1896" t="s">
        <v>258</v>
      </c>
      <c r="E1896" t="s">
        <v>264</v>
      </c>
      <c r="F1896" t="s">
        <v>209</v>
      </c>
      <c r="G1896" t="s">
        <v>229</v>
      </c>
      <c r="H1896">
        <v>153</v>
      </c>
      <c r="I1896" t="str">
        <f t="shared" si="29"/>
        <v>Arcade Buildings|C|Good</v>
      </c>
      <c r="J1896" t="s">
        <v>708</v>
      </c>
    </row>
    <row r="1897" spans="2:10">
      <c r="B1897" t="s">
        <v>709</v>
      </c>
      <c r="C1897" t="s">
        <v>710</v>
      </c>
      <c r="D1897" t="s">
        <v>258</v>
      </c>
      <c r="E1897" t="s">
        <v>264</v>
      </c>
      <c r="F1897" t="s">
        <v>209</v>
      </c>
      <c r="G1897" t="s">
        <v>44</v>
      </c>
      <c r="H1897">
        <v>113</v>
      </c>
      <c r="I1897" t="str">
        <f t="shared" si="29"/>
        <v>Arcade Buildings|C|Average</v>
      </c>
      <c r="J1897" t="s">
        <v>708</v>
      </c>
    </row>
    <row r="1898" spans="2:10">
      <c r="B1898" t="s">
        <v>709</v>
      </c>
      <c r="C1898" t="s">
        <v>710</v>
      </c>
      <c r="D1898" t="s">
        <v>258</v>
      </c>
      <c r="E1898" t="s">
        <v>264</v>
      </c>
      <c r="F1898" t="s">
        <v>214</v>
      </c>
      <c r="G1898" t="s">
        <v>229</v>
      </c>
      <c r="H1898">
        <v>146</v>
      </c>
      <c r="I1898" t="str">
        <f t="shared" si="29"/>
        <v>Arcade Buildings|D|Good</v>
      </c>
      <c r="J1898" t="s">
        <v>708</v>
      </c>
    </row>
    <row r="1899" spans="2:10">
      <c r="B1899" t="s">
        <v>709</v>
      </c>
      <c r="C1899" t="s">
        <v>710</v>
      </c>
      <c r="D1899" t="s">
        <v>258</v>
      </c>
      <c r="E1899" t="s">
        <v>264</v>
      </c>
      <c r="F1899" t="s">
        <v>214</v>
      </c>
      <c r="G1899" t="s">
        <v>44</v>
      </c>
      <c r="H1899">
        <v>108</v>
      </c>
      <c r="I1899" t="str">
        <f t="shared" si="29"/>
        <v>Arcade Buildings|D|Average</v>
      </c>
      <c r="J1899" t="s">
        <v>708</v>
      </c>
    </row>
    <row r="1900" spans="2:10">
      <c r="B1900" t="s">
        <v>709</v>
      </c>
      <c r="C1900" t="s">
        <v>710</v>
      </c>
      <c r="D1900" t="s">
        <v>258</v>
      </c>
      <c r="E1900" t="s">
        <v>264</v>
      </c>
      <c r="F1900" t="s">
        <v>313</v>
      </c>
      <c r="G1900" t="s">
        <v>44</v>
      </c>
      <c r="H1900">
        <v>100</v>
      </c>
      <c r="I1900" t="str">
        <f t="shared" si="29"/>
        <v>Arcade Buildings|DPOLE|Average</v>
      </c>
      <c r="J1900" t="s">
        <v>708</v>
      </c>
    </row>
    <row r="1901" spans="2:10">
      <c r="B1901" t="s">
        <v>709</v>
      </c>
      <c r="C1901" t="s">
        <v>710</v>
      </c>
      <c r="D1901" t="s">
        <v>258</v>
      </c>
      <c r="E1901" t="s">
        <v>264</v>
      </c>
      <c r="F1901" t="s">
        <v>219</v>
      </c>
      <c r="G1901" t="s">
        <v>44</v>
      </c>
      <c r="H1901">
        <v>106</v>
      </c>
      <c r="I1901" t="str">
        <f t="shared" si="29"/>
        <v>Arcade Buildings|S|Average</v>
      </c>
      <c r="J1901" t="s">
        <v>708</v>
      </c>
    </row>
    <row r="1902" spans="2:10">
      <c r="B1902" t="s">
        <v>711</v>
      </c>
      <c r="C1902" t="s">
        <v>712</v>
      </c>
      <c r="D1902" t="s">
        <v>258</v>
      </c>
      <c r="E1902" t="s">
        <v>269</v>
      </c>
      <c r="F1902" t="s">
        <v>270</v>
      </c>
      <c r="G1902" t="s">
        <v>229</v>
      </c>
      <c r="H1902">
        <v>394</v>
      </c>
      <c r="I1902" t="str">
        <f t="shared" si="29"/>
        <v>Museums|A-B|Good</v>
      </c>
      <c r="J1902" t="s">
        <v>713</v>
      </c>
    </row>
    <row r="1903" spans="2:10">
      <c r="B1903" t="s">
        <v>711</v>
      </c>
      <c r="C1903" t="s">
        <v>712</v>
      </c>
      <c r="D1903" t="s">
        <v>258</v>
      </c>
      <c r="E1903" t="s">
        <v>269</v>
      </c>
      <c r="F1903" t="s">
        <v>270</v>
      </c>
      <c r="G1903" t="s">
        <v>44</v>
      </c>
      <c r="H1903">
        <v>278</v>
      </c>
      <c r="I1903" t="str">
        <f t="shared" si="29"/>
        <v>Museums|A-B|Average</v>
      </c>
      <c r="J1903" t="s">
        <v>713</v>
      </c>
    </row>
    <row r="1904" spans="2:10">
      <c r="B1904" t="s">
        <v>711</v>
      </c>
      <c r="C1904" t="s">
        <v>712</v>
      </c>
      <c r="D1904" t="s">
        <v>258</v>
      </c>
      <c r="E1904" t="s">
        <v>269</v>
      </c>
      <c r="F1904" t="s">
        <v>209</v>
      </c>
      <c r="G1904" t="s">
        <v>231</v>
      </c>
      <c r="H1904">
        <v>369</v>
      </c>
      <c r="I1904" t="str">
        <f t="shared" si="29"/>
        <v>Museums|C|Excellent</v>
      </c>
      <c r="J1904" t="s">
        <v>713</v>
      </c>
    </row>
    <row r="1905" spans="2:10">
      <c r="B1905" t="s">
        <v>711</v>
      </c>
      <c r="C1905" t="s">
        <v>712</v>
      </c>
      <c r="D1905" t="s">
        <v>258</v>
      </c>
      <c r="E1905" t="s">
        <v>269</v>
      </c>
      <c r="F1905" t="s">
        <v>209</v>
      </c>
      <c r="G1905" t="s">
        <v>229</v>
      </c>
      <c r="H1905">
        <v>270</v>
      </c>
      <c r="I1905" t="str">
        <f t="shared" si="29"/>
        <v>Museums|C|Good</v>
      </c>
      <c r="J1905" t="s">
        <v>713</v>
      </c>
    </row>
    <row r="1906" spans="2:10">
      <c r="B1906" t="s">
        <v>711</v>
      </c>
      <c r="C1906" t="s">
        <v>712</v>
      </c>
      <c r="D1906" t="s">
        <v>258</v>
      </c>
      <c r="E1906" t="s">
        <v>269</v>
      </c>
      <c r="F1906" t="s">
        <v>209</v>
      </c>
      <c r="G1906" t="s">
        <v>44</v>
      </c>
      <c r="H1906">
        <v>197</v>
      </c>
      <c r="I1906" t="str">
        <f t="shared" si="29"/>
        <v>Museums|C|Average</v>
      </c>
      <c r="J1906" t="s">
        <v>713</v>
      </c>
    </row>
    <row r="1907" spans="2:10">
      <c r="B1907" t="s">
        <v>711</v>
      </c>
      <c r="C1907" t="s">
        <v>712</v>
      </c>
      <c r="D1907" t="s">
        <v>258</v>
      </c>
      <c r="E1907" t="s">
        <v>269</v>
      </c>
      <c r="F1907" t="s">
        <v>214</v>
      </c>
      <c r="G1907" t="s">
        <v>231</v>
      </c>
      <c r="H1907">
        <v>341</v>
      </c>
      <c r="I1907" t="str">
        <f t="shared" si="29"/>
        <v>Museums|D|Excellent</v>
      </c>
      <c r="J1907" t="s">
        <v>713</v>
      </c>
    </row>
    <row r="1908" spans="2:10">
      <c r="B1908" t="s">
        <v>711</v>
      </c>
      <c r="C1908" t="s">
        <v>712</v>
      </c>
      <c r="D1908" t="s">
        <v>258</v>
      </c>
      <c r="E1908" t="s">
        <v>269</v>
      </c>
      <c r="F1908" t="s">
        <v>214</v>
      </c>
      <c r="G1908" t="s">
        <v>229</v>
      </c>
      <c r="H1908">
        <v>250</v>
      </c>
      <c r="I1908" t="str">
        <f t="shared" si="29"/>
        <v>Museums|D|Good</v>
      </c>
      <c r="J1908" t="s">
        <v>713</v>
      </c>
    </row>
    <row r="1909" spans="2:10">
      <c r="B1909" t="s">
        <v>711</v>
      </c>
      <c r="C1909" t="s">
        <v>712</v>
      </c>
      <c r="D1909" t="s">
        <v>258</v>
      </c>
      <c r="E1909" t="s">
        <v>269</v>
      </c>
      <c r="F1909" t="s">
        <v>214</v>
      </c>
      <c r="G1909" t="s">
        <v>44</v>
      </c>
      <c r="H1909">
        <v>189</v>
      </c>
      <c r="I1909" t="str">
        <f t="shared" si="29"/>
        <v>Museums|D|Average</v>
      </c>
      <c r="J1909" t="s">
        <v>713</v>
      </c>
    </row>
    <row r="1910" spans="2:10">
      <c r="B1910" t="s">
        <v>714</v>
      </c>
      <c r="C1910" t="s">
        <v>715</v>
      </c>
      <c r="D1910" t="s">
        <v>258</v>
      </c>
      <c r="E1910" t="s">
        <v>274</v>
      </c>
      <c r="F1910" t="s">
        <v>270</v>
      </c>
      <c r="G1910" t="s">
        <v>229</v>
      </c>
      <c r="H1910">
        <v>277</v>
      </c>
      <c r="I1910" t="str">
        <f t="shared" si="29"/>
        <v>Ice Skating Rinks|A-B|Good</v>
      </c>
      <c r="J1910" t="s">
        <v>716</v>
      </c>
    </row>
    <row r="1911" spans="2:10">
      <c r="B1911" t="s">
        <v>714</v>
      </c>
      <c r="C1911" t="s">
        <v>715</v>
      </c>
      <c r="D1911" t="s">
        <v>258</v>
      </c>
      <c r="E1911" t="s">
        <v>274</v>
      </c>
      <c r="F1911" t="s">
        <v>270</v>
      </c>
      <c r="G1911" t="s">
        <v>44</v>
      </c>
      <c r="H1911">
        <v>195</v>
      </c>
      <c r="I1911" t="str">
        <f t="shared" si="29"/>
        <v>Ice Skating Rinks|A-B|Average</v>
      </c>
      <c r="J1911" t="s">
        <v>716</v>
      </c>
    </row>
    <row r="1912" spans="2:10">
      <c r="B1912" t="s">
        <v>714</v>
      </c>
      <c r="C1912" t="s">
        <v>715</v>
      </c>
      <c r="D1912" t="s">
        <v>258</v>
      </c>
      <c r="E1912" t="s">
        <v>274</v>
      </c>
      <c r="F1912" t="s">
        <v>209</v>
      </c>
      <c r="G1912" t="s">
        <v>231</v>
      </c>
      <c r="H1912">
        <v>264</v>
      </c>
      <c r="I1912" t="str">
        <f t="shared" si="29"/>
        <v>Ice Skating Rinks|C|Excellent</v>
      </c>
      <c r="J1912" t="s">
        <v>716</v>
      </c>
    </row>
    <row r="1913" spans="2:10">
      <c r="B1913" t="s">
        <v>714</v>
      </c>
      <c r="C1913" t="s">
        <v>715</v>
      </c>
      <c r="D1913" t="s">
        <v>258</v>
      </c>
      <c r="E1913" t="s">
        <v>274</v>
      </c>
      <c r="F1913" t="s">
        <v>209</v>
      </c>
      <c r="G1913" t="s">
        <v>229</v>
      </c>
      <c r="H1913">
        <v>183</v>
      </c>
      <c r="I1913" t="str">
        <f t="shared" si="29"/>
        <v>Ice Skating Rinks|C|Good</v>
      </c>
      <c r="J1913" t="s">
        <v>716</v>
      </c>
    </row>
    <row r="1914" spans="2:10">
      <c r="B1914" t="s">
        <v>714</v>
      </c>
      <c r="C1914" t="s">
        <v>715</v>
      </c>
      <c r="D1914" t="s">
        <v>258</v>
      </c>
      <c r="E1914" t="s">
        <v>274</v>
      </c>
      <c r="F1914" t="s">
        <v>209</v>
      </c>
      <c r="G1914" t="s">
        <v>44</v>
      </c>
      <c r="H1914">
        <v>133</v>
      </c>
      <c r="I1914" t="str">
        <f t="shared" si="29"/>
        <v>Ice Skating Rinks|C|Average</v>
      </c>
      <c r="J1914" t="s">
        <v>716</v>
      </c>
    </row>
    <row r="1915" spans="2:10">
      <c r="B1915" t="s">
        <v>714</v>
      </c>
      <c r="C1915" t="s">
        <v>715</v>
      </c>
      <c r="D1915" t="s">
        <v>258</v>
      </c>
      <c r="E1915" t="s">
        <v>274</v>
      </c>
      <c r="F1915" t="s">
        <v>214</v>
      </c>
      <c r="G1915" t="s">
        <v>231</v>
      </c>
      <c r="H1915">
        <v>257</v>
      </c>
      <c r="I1915" t="str">
        <f t="shared" si="29"/>
        <v>Ice Skating Rinks|D|Excellent</v>
      </c>
      <c r="J1915" t="s">
        <v>716</v>
      </c>
    </row>
    <row r="1916" spans="2:10">
      <c r="B1916" t="s">
        <v>714</v>
      </c>
      <c r="C1916" t="s">
        <v>715</v>
      </c>
      <c r="D1916" t="s">
        <v>258</v>
      </c>
      <c r="E1916" t="s">
        <v>274</v>
      </c>
      <c r="F1916" t="s">
        <v>214</v>
      </c>
      <c r="G1916" t="s">
        <v>229</v>
      </c>
      <c r="H1916">
        <v>176</v>
      </c>
      <c r="I1916" t="str">
        <f t="shared" si="29"/>
        <v>Ice Skating Rinks|D|Good</v>
      </c>
      <c r="J1916" t="s">
        <v>716</v>
      </c>
    </row>
    <row r="1917" spans="2:10">
      <c r="B1917" t="s">
        <v>714</v>
      </c>
      <c r="C1917" t="s">
        <v>715</v>
      </c>
      <c r="D1917" t="s">
        <v>258</v>
      </c>
      <c r="E1917" t="s">
        <v>274</v>
      </c>
      <c r="F1917" t="s">
        <v>214</v>
      </c>
      <c r="G1917" t="s">
        <v>44</v>
      </c>
      <c r="H1917">
        <v>126</v>
      </c>
      <c r="I1917" t="str">
        <f t="shared" si="29"/>
        <v>Ice Skating Rinks|D|Average</v>
      </c>
      <c r="J1917" t="s">
        <v>716</v>
      </c>
    </row>
    <row r="1918" spans="2:10">
      <c r="B1918" t="s">
        <v>714</v>
      </c>
      <c r="C1918" t="s">
        <v>715</v>
      </c>
      <c r="D1918" t="s">
        <v>258</v>
      </c>
      <c r="E1918" t="s">
        <v>274</v>
      </c>
      <c r="F1918" t="s">
        <v>313</v>
      </c>
      <c r="G1918" t="s">
        <v>231</v>
      </c>
      <c r="H1918">
        <v>258</v>
      </c>
      <c r="I1918" t="str">
        <f t="shared" si="29"/>
        <v>Ice Skating Rinks|DPOLE|Excellent</v>
      </c>
      <c r="J1918" t="s">
        <v>716</v>
      </c>
    </row>
    <row r="1919" spans="2:10">
      <c r="B1919" t="s">
        <v>714</v>
      </c>
      <c r="C1919" t="s">
        <v>715</v>
      </c>
      <c r="D1919" t="s">
        <v>258</v>
      </c>
      <c r="E1919" t="s">
        <v>274</v>
      </c>
      <c r="F1919" t="s">
        <v>219</v>
      </c>
      <c r="G1919" t="s">
        <v>229</v>
      </c>
      <c r="H1919">
        <v>174</v>
      </c>
      <c r="I1919" t="str">
        <f t="shared" si="29"/>
        <v>Ice Skating Rinks|S|Good</v>
      </c>
      <c r="J1919" t="s">
        <v>716</v>
      </c>
    </row>
    <row r="1920" spans="2:10">
      <c r="B1920" t="s">
        <v>714</v>
      </c>
      <c r="C1920" t="s">
        <v>715</v>
      </c>
      <c r="D1920" t="s">
        <v>258</v>
      </c>
      <c r="E1920" t="s">
        <v>274</v>
      </c>
      <c r="F1920" t="s">
        <v>219</v>
      </c>
      <c r="G1920" t="s">
        <v>44</v>
      </c>
      <c r="H1920">
        <v>124</v>
      </c>
      <c r="I1920" t="str">
        <f t="shared" si="29"/>
        <v>Ice Skating Rinks|S|Average</v>
      </c>
      <c r="J1920" t="s">
        <v>716</v>
      </c>
    </row>
    <row r="1921" spans="2:10">
      <c r="B1921" t="s">
        <v>717</v>
      </c>
      <c r="C1921" t="s">
        <v>718</v>
      </c>
      <c r="D1921" t="s">
        <v>258</v>
      </c>
      <c r="E1921" t="s">
        <v>276</v>
      </c>
      <c r="F1921" t="s">
        <v>209</v>
      </c>
      <c r="G1921" t="s">
        <v>229</v>
      </c>
      <c r="H1921">
        <v>169</v>
      </c>
      <c r="I1921" t="str">
        <f t="shared" si="29"/>
        <v>Roller Skating Rinks|C|Good</v>
      </c>
      <c r="J1921" t="s">
        <v>719</v>
      </c>
    </row>
    <row r="1922" spans="2:10">
      <c r="B1922" t="s">
        <v>717</v>
      </c>
      <c r="C1922" t="s">
        <v>718</v>
      </c>
      <c r="D1922" t="s">
        <v>258</v>
      </c>
      <c r="E1922" t="s">
        <v>276</v>
      </c>
      <c r="F1922" t="s">
        <v>209</v>
      </c>
      <c r="G1922" t="s">
        <v>44</v>
      </c>
      <c r="H1922">
        <v>125</v>
      </c>
      <c r="I1922" t="str">
        <f t="shared" si="29"/>
        <v>Roller Skating Rinks|C|Average</v>
      </c>
      <c r="J1922" t="s">
        <v>719</v>
      </c>
    </row>
    <row r="1923" spans="2:10">
      <c r="B1923" t="s">
        <v>717</v>
      </c>
      <c r="C1923" t="s">
        <v>718</v>
      </c>
      <c r="D1923" t="s">
        <v>258</v>
      </c>
      <c r="E1923" t="s">
        <v>276</v>
      </c>
      <c r="F1923" t="s">
        <v>214</v>
      </c>
      <c r="G1923" t="s">
        <v>229</v>
      </c>
      <c r="H1923">
        <v>162</v>
      </c>
      <c r="I1923" t="str">
        <f t="shared" si="29"/>
        <v>Roller Skating Rinks|D|Good</v>
      </c>
      <c r="J1923" t="s">
        <v>719</v>
      </c>
    </row>
    <row r="1924" spans="2:10">
      <c r="B1924" t="s">
        <v>717</v>
      </c>
      <c r="C1924" t="s">
        <v>718</v>
      </c>
      <c r="D1924" t="s">
        <v>258</v>
      </c>
      <c r="E1924" t="s">
        <v>276</v>
      </c>
      <c r="F1924" t="s">
        <v>214</v>
      </c>
      <c r="G1924" t="s">
        <v>44</v>
      </c>
      <c r="H1924">
        <v>118</v>
      </c>
      <c r="I1924" t="str">
        <f t="shared" si="29"/>
        <v>Roller Skating Rinks|D|Average</v>
      </c>
      <c r="J1924" t="s">
        <v>719</v>
      </c>
    </row>
    <row r="1925" spans="2:10">
      <c r="B1925" t="s">
        <v>717</v>
      </c>
      <c r="C1925" t="s">
        <v>718</v>
      </c>
      <c r="D1925" t="s">
        <v>258</v>
      </c>
      <c r="E1925" t="s">
        <v>276</v>
      </c>
      <c r="F1925" t="s">
        <v>313</v>
      </c>
      <c r="G1925" t="s">
        <v>229</v>
      </c>
      <c r="H1925">
        <v>160</v>
      </c>
      <c r="I1925" t="str">
        <f t="shared" si="29"/>
        <v>Roller Skating Rinks|DPOLE|Good</v>
      </c>
      <c r="J1925" t="s">
        <v>719</v>
      </c>
    </row>
    <row r="1926" spans="2:10">
      <c r="B1926" t="s">
        <v>717</v>
      </c>
      <c r="C1926" t="s">
        <v>718</v>
      </c>
      <c r="D1926" t="s">
        <v>258</v>
      </c>
      <c r="E1926" t="s">
        <v>276</v>
      </c>
      <c r="F1926" t="s">
        <v>219</v>
      </c>
      <c r="G1926" t="s">
        <v>44</v>
      </c>
      <c r="H1926">
        <v>115</v>
      </c>
      <c r="I1926" t="str">
        <f t="shared" si="29"/>
        <v>Roller Skating Rinks|S|Average</v>
      </c>
      <c r="J1926" t="s">
        <v>719</v>
      </c>
    </row>
    <row r="1927" spans="2:10">
      <c r="B1927" t="s">
        <v>720</v>
      </c>
      <c r="C1927" t="s">
        <v>721</v>
      </c>
      <c r="D1927" t="s">
        <v>258</v>
      </c>
      <c r="E1927" t="s">
        <v>276</v>
      </c>
      <c r="F1927" t="s">
        <v>209</v>
      </c>
      <c r="G1927" t="s">
        <v>229</v>
      </c>
      <c r="H1927">
        <v>200</v>
      </c>
      <c r="I1927" t="str">
        <f t="shared" si="29"/>
        <v>Handball/Racquetball Clubs|C|Good</v>
      </c>
      <c r="J1927" t="s">
        <v>719</v>
      </c>
    </row>
    <row r="1928" spans="2:10">
      <c r="B1928" t="s">
        <v>720</v>
      </c>
      <c r="C1928" t="s">
        <v>721</v>
      </c>
      <c r="D1928" t="s">
        <v>258</v>
      </c>
      <c r="E1928" t="s">
        <v>276</v>
      </c>
      <c r="F1928" t="s">
        <v>209</v>
      </c>
      <c r="G1928" t="s">
        <v>44</v>
      </c>
      <c r="H1928">
        <v>136</v>
      </c>
      <c r="I1928" t="str">
        <f t="shared" si="29"/>
        <v>Handball/Racquetball Clubs|C|Average</v>
      </c>
      <c r="J1928" t="s">
        <v>719</v>
      </c>
    </row>
    <row r="1929" spans="2:10">
      <c r="B1929" t="s">
        <v>720</v>
      </c>
      <c r="C1929" t="s">
        <v>721</v>
      </c>
      <c r="D1929" t="s">
        <v>258</v>
      </c>
      <c r="E1929" t="s">
        <v>276</v>
      </c>
      <c r="F1929" t="s">
        <v>214</v>
      </c>
      <c r="G1929" t="s">
        <v>229</v>
      </c>
      <c r="H1929">
        <v>190</v>
      </c>
      <c r="I1929" t="str">
        <f t="shared" si="29"/>
        <v>Handball/Racquetball Clubs|D|Good</v>
      </c>
      <c r="J1929" t="s">
        <v>719</v>
      </c>
    </row>
    <row r="1930" spans="2:10">
      <c r="B1930" t="s">
        <v>720</v>
      </c>
      <c r="C1930" t="s">
        <v>721</v>
      </c>
      <c r="D1930" t="s">
        <v>258</v>
      </c>
      <c r="E1930" t="s">
        <v>276</v>
      </c>
      <c r="F1930" t="s">
        <v>214</v>
      </c>
      <c r="G1930" t="s">
        <v>44</v>
      </c>
      <c r="H1930">
        <v>128</v>
      </c>
      <c r="I1930" t="str">
        <f t="shared" si="29"/>
        <v>Handball/Racquetball Clubs|D|Average</v>
      </c>
      <c r="J1930" t="s">
        <v>719</v>
      </c>
    </row>
    <row r="1931" spans="2:10">
      <c r="B1931" t="s">
        <v>720</v>
      </c>
      <c r="C1931" t="s">
        <v>721</v>
      </c>
      <c r="D1931" t="s">
        <v>258</v>
      </c>
      <c r="E1931" t="s">
        <v>276</v>
      </c>
      <c r="F1931" t="s">
        <v>219</v>
      </c>
      <c r="G1931" t="s">
        <v>229</v>
      </c>
      <c r="H1931">
        <v>191</v>
      </c>
      <c r="I1931" t="str">
        <f t="shared" si="29"/>
        <v>Handball/Racquetball Clubs|S|Good</v>
      </c>
      <c r="J1931" t="s">
        <v>719</v>
      </c>
    </row>
    <row r="1932" spans="2:10">
      <c r="B1932" t="s">
        <v>720</v>
      </c>
      <c r="C1932" t="s">
        <v>721</v>
      </c>
      <c r="D1932" t="s">
        <v>258</v>
      </c>
      <c r="E1932" t="s">
        <v>276</v>
      </c>
      <c r="F1932" t="s">
        <v>219</v>
      </c>
      <c r="G1932" t="s">
        <v>44</v>
      </c>
      <c r="H1932">
        <v>126</v>
      </c>
      <c r="I1932" t="str">
        <f t="shared" si="29"/>
        <v>Handball/Racquetball Clubs|S|Average</v>
      </c>
      <c r="J1932" t="s">
        <v>719</v>
      </c>
    </row>
    <row r="1933" spans="2:10">
      <c r="B1933" t="s">
        <v>722</v>
      </c>
      <c r="C1933" t="s">
        <v>723</v>
      </c>
      <c r="D1933" t="s">
        <v>258</v>
      </c>
      <c r="E1933" t="s">
        <v>276</v>
      </c>
      <c r="F1933" t="s">
        <v>270</v>
      </c>
      <c r="G1933" t="s">
        <v>229</v>
      </c>
      <c r="H1933">
        <v>289</v>
      </c>
      <c r="I1933" t="str">
        <f t="shared" si="29"/>
        <v>Fitness Centers|A-B|Good</v>
      </c>
      <c r="J1933" t="s">
        <v>719</v>
      </c>
    </row>
    <row r="1934" spans="2:10">
      <c r="B1934" t="s">
        <v>722</v>
      </c>
      <c r="C1934" t="s">
        <v>723</v>
      </c>
      <c r="D1934" t="s">
        <v>258</v>
      </c>
      <c r="E1934" t="s">
        <v>276</v>
      </c>
      <c r="F1934" t="s">
        <v>270</v>
      </c>
      <c r="G1934" t="s">
        <v>44</v>
      </c>
      <c r="H1934">
        <v>209</v>
      </c>
      <c r="I1934" t="str">
        <f t="shared" si="29"/>
        <v>Fitness Centers|A-B|Average</v>
      </c>
      <c r="J1934" t="s">
        <v>719</v>
      </c>
    </row>
    <row r="1935" spans="2:10">
      <c r="B1935" t="s">
        <v>722</v>
      </c>
      <c r="C1935" t="s">
        <v>723</v>
      </c>
      <c r="D1935" t="s">
        <v>258</v>
      </c>
      <c r="E1935" t="s">
        <v>276</v>
      </c>
      <c r="F1935" t="s">
        <v>209</v>
      </c>
      <c r="G1935" t="s">
        <v>231</v>
      </c>
      <c r="H1935">
        <v>280</v>
      </c>
      <c r="I1935" t="str">
        <f t="shared" si="29"/>
        <v>Fitness Centers|C|Excellent</v>
      </c>
      <c r="J1935" t="s">
        <v>719</v>
      </c>
    </row>
    <row r="1936" spans="2:10">
      <c r="B1936" t="s">
        <v>722</v>
      </c>
      <c r="C1936" t="s">
        <v>723</v>
      </c>
      <c r="D1936" t="s">
        <v>258</v>
      </c>
      <c r="E1936" t="s">
        <v>276</v>
      </c>
      <c r="F1936" t="s">
        <v>209</v>
      </c>
      <c r="G1936" t="s">
        <v>229</v>
      </c>
      <c r="H1936">
        <v>199</v>
      </c>
      <c r="I1936" t="str">
        <f t="shared" si="29"/>
        <v>Fitness Centers|C|Good</v>
      </c>
      <c r="J1936" t="s">
        <v>719</v>
      </c>
    </row>
    <row r="1937" spans="2:10">
      <c r="B1937" t="s">
        <v>722</v>
      </c>
      <c r="C1937" t="s">
        <v>723</v>
      </c>
      <c r="D1937" t="s">
        <v>258</v>
      </c>
      <c r="E1937" t="s">
        <v>276</v>
      </c>
      <c r="F1937" t="s">
        <v>209</v>
      </c>
      <c r="G1937" t="s">
        <v>44</v>
      </c>
      <c r="H1937">
        <v>141</v>
      </c>
      <c r="I1937" t="str">
        <f t="shared" si="29"/>
        <v>Fitness Centers|C|Average</v>
      </c>
      <c r="J1937" t="s">
        <v>719</v>
      </c>
    </row>
    <row r="1938" spans="2:10">
      <c r="B1938" t="s">
        <v>722</v>
      </c>
      <c r="C1938" t="s">
        <v>723</v>
      </c>
      <c r="D1938" t="s">
        <v>258</v>
      </c>
      <c r="E1938" t="s">
        <v>276</v>
      </c>
      <c r="F1938" t="s">
        <v>214</v>
      </c>
      <c r="G1938" t="s">
        <v>229</v>
      </c>
      <c r="H1938">
        <v>191</v>
      </c>
      <c r="I1938" t="str">
        <f t="shared" si="29"/>
        <v>Fitness Centers|D|Good</v>
      </c>
      <c r="J1938" t="s">
        <v>719</v>
      </c>
    </row>
    <row r="1939" spans="2:10">
      <c r="B1939" t="s">
        <v>722</v>
      </c>
      <c r="C1939" t="s">
        <v>723</v>
      </c>
      <c r="D1939" t="s">
        <v>258</v>
      </c>
      <c r="E1939" t="s">
        <v>276</v>
      </c>
      <c r="F1939" t="s">
        <v>214</v>
      </c>
      <c r="G1939" t="s">
        <v>44</v>
      </c>
      <c r="H1939">
        <v>135</v>
      </c>
      <c r="I1939" t="str">
        <f t="shared" si="29"/>
        <v>Fitness Centers|D|Average</v>
      </c>
      <c r="J1939" t="s">
        <v>719</v>
      </c>
    </row>
    <row r="1940" spans="2:10">
      <c r="B1940" t="s">
        <v>722</v>
      </c>
      <c r="C1940" t="s">
        <v>723</v>
      </c>
      <c r="D1940" t="s">
        <v>258</v>
      </c>
      <c r="E1940" t="s">
        <v>276</v>
      </c>
      <c r="F1940" t="s">
        <v>219</v>
      </c>
      <c r="G1940" t="s">
        <v>229</v>
      </c>
      <c r="H1940">
        <v>192</v>
      </c>
      <c r="I1940" t="str">
        <f t="shared" si="29"/>
        <v>Fitness Centers|S|Good</v>
      </c>
      <c r="J1940" t="s">
        <v>719</v>
      </c>
    </row>
    <row r="1941" spans="2:10">
      <c r="B1941" t="s">
        <v>722</v>
      </c>
      <c r="C1941" t="s">
        <v>723</v>
      </c>
      <c r="D1941" t="s">
        <v>258</v>
      </c>
      <c r="E1941" t="s">
        <v>276</v>
      </c>
      <c r="F1941" t="s">
        <v>219</v>
      </c>
      <c r="G1941" t="s">
        <v>44</v>
      </c>
      <c r="H1941">
        <v>133</v>
      </c>
      <c r="I1941" t="str">
        <f t="shared" si="29"/>
        <v>Fitness Centers|S|Average</v>
      </c>
      <c r="J1941" t="s">
        <v>719</v>
      </c>
    </row>
    <row r="1942" spans="2:10">
      <c r="B1942" t="s">
        <v>724</v>
      </c>
      <c r="C1942" t="s">
        <v>725</v>
      </c>
      <c r="D1942" t="s">
        <v>258</v>
      </c>
      <c r="E1942" t="s">
        <v>280</v>
      </c>
      <c r="F1942" t="s">
        <v>209</v>
      </c>
      <c r="G1942" t="s">
        <v>231</v>
      </c>
      <c r="H1942">
        <v>176</v>
      </c>
      <c r="I1942" t="str">
        <f t="shared" si="29"/>
        <v>Bowling Centers|C|Excellent</v>
      </c>
      <c r="J1942" t="s">
        <v>726</v>
      </c>
    </row>
    <row r="1943" spans="2:10">
      <c r="B1943" t="s">
        <v>724</v>
      </c>
      <c r="C1943" t="s">
        <v>725</v>
      </c>
      <c r="D1943" t="s">
        <v>258</v>
      </c>
      <c r="E1943" t="s">
        <v>280</v>
      </c>
      <c r="F1943" t="s">
        <v>209</v>
      </c>
      <c r="G1943" t="s">
        <v>229</v>
      </c>
      <c r="H1943">
        <v>144</v>
      </c>
      <c r="I1943" t="str">
        <f t="shared" si="29"/>
        <v>Bowling Centers|C|Good</v>
      </c>
      <c r="J1943" t="s">
        <v>726</v>
      </c>
    </row>
    <row r="1944" spans="2:10">
      <c r="B1944" t="s">
        <v>724</v>
      </c>
      <c r="C1944" t="s">
        <v>725</v>
      </c>
      <c r="D1944" t="s">
        <v>258</v>
      </c>
      <c r="E1944" t="s">
        <v>280</v>
      </c>
      <c r="F1944" t="s">
        <v>209</v>
      </c>
      <c r="G1944" t="s">
        <v>44</v>
      </c>
      <c r="H1944">
        <v>111</v>
      </c>
      <c r="I1944" t="str">
        <f t="shared" si="29"/>
        <v>Bowling Centers|C|Average</v>
      </c>
      <c r="J1944" t="s">
        <v>726</v>
      </c>
    </row>
    <row r="1945" spans="2:10">
      <c r="B1945" t="s">
        <v>724</v>
      </c>
      <c r="C1945" t="s">
        <v>725</v>
      </c>
      <c r="D1945" t="s">
        <v>258</v>
      </c>
      <c r="E1945" t="s">
        <v>280</v>
      </c>
      <c r="F1945" t="s">
        <v>214</v>
      </c>
      <c r="G1945" t="s">
        <v>231</v>
      </c>
      <c r="H1945">
        <v>167</v>
      </c>
      <c r="I1945" t="str">
        <f t="shared" si="29"/>
        <v>Bowling Centers|D|Excellent</v>
      </c>
      <c r="J1945" t="s">
        <v>726</v>
      </c>
    </row>
    <row r="1946" spans="2:10">
      <c r="B1946" t="s">
        <v>724</v>
      </c>
      <c r="C1946" t="s">
        <v>725</v>
      </c>
      <c r="D1946" t="s">
        <v>258</v>
      </c>
      <c r="E1946" t="s">
        <v>280</v>
      </c>
      <c r="F1946" t="s">
        <v>214</v>
      </c>
      <c r="G1946" t="s">
        <v>229</v>
      </c>
      <c r="H1946">
        <v>136</v>
      </c>
      <c r="I1946" t="str">
        <f t="shared" si="29"/>
        <v>Bowling Centers|D|Good</v>
      </c>
      <c r="J1946" t="s">
        <v>726</v>
      </c>
    </row>
    <row r="1947" spans="2:10">
      <c r="B1947" t="s">
        <v>724</v>
      </c>
      <c r="C1947" t="s">
        <v>725</v>
      </c>
      <c r="D1947" t="s">
        <v>258</v>
      </c>
      <c r="E1947" t="s">
        <v>280</v>
      </c>
      <c r="F1947" t="s">
        <v>214</v>
      </c>
      <c r="G1947" t="s">
        <v>44</v>
      </c>
      <c r="H1947">
        <v>103</v>
      </c>
      <c r="I1947" t="str">
        <f t="shared" si="29"/>
        <v>Bowling Centers|D|Average</v>
      </c>
      <c r="J1947" t="s">
        <v>726</v>
      </c>
    </row>
    <row r="1948" spans="2:10">
      <c r="B1948" t="s">
        <v>724</v>
      </c>
      <c r="C1948" t="s">
        <v>725</v>
      </c>
      <c r="D1948" t="s">
        <v>258</v>
      </c>
      <c r="E1948" t="s">
        <v>280</v>
      </c>
      <c r="F1948" t="s">
        <v>313</v>
      </c>
      <c r="G1948" t="s">
        <v>229</v>
      </c>
      <c r="H1948">
        <v>131</v>
      </c>
      <c r="I1948" t="str">
        <f t="shared" si="29"/>
        <v>Bowling Centers|DPOLE|Good</v>
      </c>
      <c r="J1948" t="s">
        <v>726</v>
      </c>
    </row>
    <row r="1949" spans="2:10">
      <c r="B1949" t="s">
        <v>724</v>
      </c>
      <c r="C1949" t="s">
        <v>725</v>
      </c>
      <c r="D1949" t="s">
        <v>258</v>
      </c>
      <c r="E1949" t="s">
        <v>280</v>
      </c>
      <c r="F1949" t="s">
        <v>219</v>
      </c>
      <c r="G1949" t="s">
        <v>44</v>
      </c>
      <c r="H1949">
        <v>99.5</v>
      </c>
      <c r="I1949" t="str">
        <f t="shared" si="29"/>
        <v>Bowling Centers|S|Average</v>
      </c>
      <c r="J1949" t="s">
        <v>726</v>
      </c>
    </row>
    <row r="1950" spans="2:10">
      <c r="B1950" t="s">
        <v>727</v>
      </c>
      <c r="C1950" t="s">
        <v>728</v>
      </c>
      <c r="D1950" t="s">
        <v>258</v>
      </c>
      <c r="E1950" t="s">
        <v>280</v>
      </c>
      <c r="F1950" t="s">
        <v>209</v>
      </c>
      <c r="G1950" t="s">
        <v>229</v>
      </c>
      <c r="H1950">
        <v>125</v>
      </c>
      <c r="I1950" t="str">
        <f t="shared" ref="I1950:I2013" si="30">B1950&amp;"|"&amp;F1950&amp;"|"&amp;G1950</f>
        <v>Indoor Tennis Clubs|C|Good</v>
      </c>
      <c r="J1950" t="s">
        <v>726</v>
      </c>
    </row>
    <row r="1951" spans="2:10">
      <c r="B1951" t="s">
        <v>727</v>
      </c>
      <c r="C1951" t="s">
        <v>728</v>
      </c>
      <c r="D1951" t="s">
        <v>258</v>
      </c>
      <c r="E1951" t="s">
        <v>280</v>
      </c>
      <c r="F1951" t="s">
        <v>209</v>
      </c>
      <c r="G1951" t="s">
        <v>44</v>
      </c>
      <c r="H1951">
        <v>92.5</v>
      </c>
      <c r="I1951" t="str">
        <f t="shared" si="30"/>
        <v>Indoor Tennis Clubs|C|Average</v>
      </c>
      <c r="J1951" t="s">
        <v>726</v>
      </c>
    </row>
    <row r="1952" spans="2:10">
      <c r="B1952" t="s">
        <v>727</v>
      </c>
      <c r="C1952" t="s">
        <v>728</v>
      </c>
      <c r="D1952" t="s">
        <v>258</v>
      </c>
      <c r="E1952" t="s">
        <v>280</v>
      </c>
      <c r="F1952" t="s">
        <v>214</v>
      </c>
      <c r="G1952" t="s">
        <v>229</v>
      </c>
      <c r="H1952">
        <v>115</v>
      </c>
      <c r="I1952" t="str">
        <f t="shared" si="30"/>
        <v>Indoor Tennis Clubs|D|Good</v>
      </c>
      <c r="J1952" t="s">
        <v>726</v>
      </c>
    </row>
    <row r="1953" spans="2:10">
      <c r="B1953" t="s">
        <v>727</v>
      </c>
      <c r="C1953" t="s">
        <v>728</v>
      </c>
      <c r="D1953" t="s">
        <v>258</v>
      </c>
      <c r="E1953" t="s">
        <v>280</v>
      </c>
      <c r="F1953" t="s">
        <v>214</v>
      </c>
      <c r="G1953" t="s">
        <v>44</v>
      </c>
      <c r="H1953">
        <v>84</v>
      </c>
      <c r="I1953" t="str">
        <f t="shared" si="30"/>
        <v>Indoor Tennis Clubs|D|Average</v>
      </c>
      <c r="J1953" t="s">
        <v>726</v>
      </c>
    </row>
    <row r="1954" spans="2:10">
      <c r="B1954" t="s">
        <v>727</v>
      </c>
      <c r="C1954" t="s">
        <v>728</v>
      </c>
      <c r="D1954" t="s">
        <v>258</v>
      </c>
      <c r="E1954" t="s">
        <v>280</v>
      </c>
      <c r="F1954" t="s">
        <v>313</v>
      </c>
      <c r="G1954" t="s">
        <v>229</v>
      </c>
      <c r="H1954">
        <v>114</v>
      </c>
      <c r="I1954" t="str">
        <f t="shared" si="30"/>
        <v>Indoor Tennis Clubs|DPOLE|Good</v>
      </c>
      <c r="J1954" t="s">
        <v>726</v>
      </c>
    </row>
    <row r="1955" spans="2:10">
      <c r="B1955" t="s">
        <v>727</v>
      </c>
      <c r="C1955" t="s">
        <v>728</v>
      </c>
      <c r="D1955" t="s">
        <v>258</v>
      </c>
      <c r="E1955" t="s">
        <v>280</v>
      </c>
      <c r="F1955" t="s">
        <v>219</v>
      </c>
      <c r="G1955" t="s">
        <v>44</v>
      </c>
      <c r="H1955">
        <v>82</v>
      </c>
      <c r="I1955" t="str">
        <f t="shared" si="30"/>
        <v>Indoor Tennis Clubs|S|Average</v>
      </c>
      <c r="J1955" t="s">
        <v>726</v>
      </c>
    </row>
    <row r="1956" spans="2:10">
      <c r="B1956" t="s">
        <v>729</v>
      </c>
      <c r="C1956" t="s">
        <v>730</v>
      </c>
      <c r="D1956" t="s">
        <v>258</v>
      </c>
      <c r="E1956" t="s">
        <v>284</v>
      </c>
      <c r="F1956" t="s">
        <v>209</v>
      </c>
      <c r="G1956" t="s">
        <v>231</v>
      </c>
      <c r="H1956">
        <v>342</v>
      </c>
      <c r="I1956" t="str">
        <f t="shared" si="30"/>
        <v>Pavilions|C|Excellent</v>
      </c>
      <c r="J1956" t="s">
        <v>731</v>
      </c>
    </row>
    <row r="1957" spans="2:10">
      <c r="B1957" t="s">
        <v>729</v>
      </c>
      <c r="C1957" t="s">
        <v>730</v>
      </c>
      <c r="D1957" t="s">
        <v>258</v>
      </c>
      <c r="E1957" t="s">
        <v>284</v>
      </c>
      <c r="F1957" t="s">
        <v>209</v>
      </c>
      <c r="G1957" t="s">
        <v>250</v>
      </c>
      <c r="H1957">
        <v>265</v>
      </c>
      <c r="I1957" t="str">
        <f t="shared" si="30"/>
        <v>Pavilions|C|Very Good</v>
      </c>
      <c r="J1957" t="s">
        <v>731</v>
      </c>
    </row>
    <row r="1958" spans="2:10">
      <c r="B1958" t="s">
        <v>729</v>
      </c>
      <c r="C1958" t="s">
        <v>730</v>
      </c>
      <c r="D1958" t="s">
        <v>258</v>
      </c>
      <c r="E1958" t="s">
        <v>284</v>
      </c>
      <c r="F1958" t="s">
        <v>209</v>
      </c>
      <c r="G1958" t="s">
        <v>229</v>
      </c>
      <c r="H1958">
        <v>205</v>
      </c>
      <c r="I1958" t="str">
        <f t="shared" si="30"/>
        <v>Pavilions|C|Good</v>
      </c>
      <c r="J1958" t="s">
        <v>731</v>
      </c>
    </row>
    <row r="1959" spans="2:10">
      <c r="B1959" t="s">
        <v>729</v>
      </c>
      <c r="C1959" t="s">
        <v>730</v>
      </c>
      <c r="D1959" t="s">
        <v>258</v>
      </c>
      <c r="E1959" t="s">
        <v>284</v>
      </c>
      <c r="F1959" t="s">
        <v>209</v>
      </c>
      <c r="G1959" t="s">
        <v>44</v>
      </c>
      <c r="H1959">
        <v>124</v>
      </c>
      <c r="I1959" t="str">
        <f t="shared" si="30"/>
        <v>Pavilions|C|Average</v>
      </c>
      <c r="J1959" t="s">
        <v>731</v>
      </c>
    </row>
    <row r="1960" spans="2:10">
      <c r="B1960" t="s">
        <v>729</v>
      </c>
      <c r="C1960" t="s">
        <v>730</v>
      </c>
      <c r="D1960" t="s">
        <v>258</v>
      </c>
      <c r="E1960" t="s">
        <v>284</v>
      </c>
      <c r="F1960" t="s">
        <v>209</v>
      </c>
      <c r="G1960" t="s">
        <v>302</v>
      </c>
      <c r="H1960">
        <v>96.5</v>
      </c>
      <c r="I1960" t="str">
        <f t="shared" si="30"/>
        <v>Pavilions|C|Fair</v>
      </c>
      <c r="J1960" t="s">
        <v>731</v>
      </c>
    </row>
    <row r="1961" spans="2:10">
      <c r="B1961" t="s">
        <v>729</v>
      </c>
      <c r="C1961" t="s">
        <v>730</v>
      </c>
      <c r="D1961" t="s">
        <v>258</v>
      </c>
      <c r="E1961" t="s">
        <v>284</v>
      </c>
      <c r="F1961" t="s">
        <v>209</v>
      </c>
      <c r="G1961" t="s">
        <v>314</v>
      </c>
      <c r="H1961">
        <v>58</v>
      </c>
      <c r="I1961" t="str">
        <f t="shared" si="30"/>
        <v>Pavilions|C|Cheap</v>
      </c>
      <c r="J1961" t="s">
        <v>731</v>
      </c>
    </row>
    <row r="1962" spans="2:10">
      <c r="B1962" t="s">
        <v>729</v>
      </c>
      <c r="C1962" t="s">
        <v>730</v>
      </c>
      <c r="D1962" t="s">
        <v>258</v>
      </c>
      <c r="E1962" t="s">
        <v>284</v>
      </c>
      <c r="F1962" t="s">
        <v>214</v>
      </c>
      <c r="G1962" t="s">
        <v>231</v>
      </c>
      <c r="H1962">
        <v>329</v>
      </c>
      <c r="I1962" t="str">
        <f t="shared" si="30"/>
        <v>Pavilions|D|Excellent</v>
      </c>
      <c r="J1962" t="s">
        <v>731</v>
      </c>
    </row>
    <row r="1963" spans="2:10">
      <c r="B1963" t="s">
        <v>729</v>
      </c>
      <c r="C1963" t="s">
        <v>730</v>
      </c>
      <c r="D1963" t="s">
        <v>258</v>
      </c>
      <c r="E1963" t="s">
        <v>284</v>
      </c>
      <c r="F1963" t="s">
        <v>214</v>
      </c>
      <c r="G1963" t="s">
        <v>250</v>
      </c>
      <c r="H1963">
        <v>254</v>
      </c>
      <c r="I1963" t="str">
        <f t="shared" si="30"/>
        <v>Pavilions|D|Very Good</v>
      </c>
      <c r="J1963" t="s">
        <v>731</v>
      </c>
    </row>
    <row r="1964" spans="2:10">
      <c r="B1964" t="s">
        <v>729</v>
      </c>
      <c r="C1964" t="s">
        <v>730</v>
      </c>
      <c r="D1964" t="s">
        <v>258</v>
      </c>
      <c r="E1964" t="s">
        <v>284</v>
      </c>
      <c r="F1964" t="s">
        <v>214</v>
      </c>
      <c r="G1964" t="s">
        <v>229</v>
      </c>
      <c r="H1964">
        <v>195</v>
      </c>
      <c r="I1964" t="str">
        <f t="shared" si="30"/>
        <v>Pavilions|D|Good</v>
      </c>
      <c r="J1964" t="s">
        <v>731</v>
      </c>
    </row>
    <row r="1965" spans="2:10">
      <c r="B1965" t="s">
        <v>729</v>
      </c>
      <c r="C1965" t="s">
        <v>730</v>
      </c>
      <c r="D1965" t="s">
        <v>258</v>
      </c>
      <c r="E1965" t="s">
        <v>284</v>
      </c>
      <c r="F1965" t="s">
        <v>214</v>
      </c>
      <c r="G1965" t="s">
        <v>44</v>
      </c>
      <c r="H1965">
        <v>116</v>
      </c>
      <c r="I1965" t="str">
        <f t="shared" si="30"/>
        <v>Pavilions|D|Average</v>
      </c>
      <c r="J1965" t="s">
        <v>731</v>
      </c>
    </row>
    <row r="1966" spans="2:10">
      <c r="B1966" t="s">
        <v>729</v>
      </c>
      <c r="C1966" t="s">
        <v>730</v>
      </c>
      <c r="D1966" t="s">
        <v>258</v>
      </c>
      <c r="E1966" t="s">
        <v>284</v>
      </c>
      <c r="F1966" t="s">
        <v>214</v>
      </c>
      <c r="G1966" t="s">
        <v>302</v>
      </c>
      <c r="H1966">
        <v>90</v>
      </c>
      <c r="I1966" t="str">
        <f t="shared" si="30"/>
        <v>Pavilions|D|Fair</v>
      </c>
      <c r="J1966" t="s">
        <v>731</v>
      </c>
    </row>
    <row r="1967" spans="2:10">
      <c r="B1967" t="s">
        <v>729</v>
      </c>
      <c r="C1967" t="s">
        <v>730</v>
      </c>
      <c r="D1967" t="s">
        <v>258</v>
      </c>
      <c r="E1967" t="s">
        <v>284</v>
      </c>
      <c r="F1967" t="s">
        <v>214</v>
      </c>
      <c r="G1967" t="s">
        <v>314</v>
      </c>
      <c r="H1967">
        <v>53.5</v>
      </c>
      <c r="I1967" t="str">
        <f t="shared" si="30"/>
        <v>Pavilions|D|Cheap</v>
      </c>
      <c r="J1967" t="s">
        <v>731</v>
      </c>
    </row>
    <row r="1968" spans="2:10">
      <c r="B1968" t="s">
        <v>729</v>
      </c>
      <c r="C1968" t="s">
        <v>730</v>
      </c>
      <c r="D1968" t="s">
        <v>258</v>
      </c>
      <c r="E1968" t="s">
        <v>284</v>
      </c>
      <c r="F1968" t="s">
        <v>313</v>
      </c>
      <c r="G1968" t="s">
        <v>302</v>
      </c>
      <c r="H1968">
        <v>83</v>
      </c>
      <c r="I1968" t="str">
        <f t="shared" si="30"/>
        <v>Pavilions|DPOLE|Fair</v>
      </c>
      <c r="J1968" t="s">
        <v>731</v>
      </c>
    </row>
    <row r="1969" spans="2:10">
      <c r="B1969" t="s">
        <v>729</v>
      </c>
      <c r="C1969" t="s">
        <v>730</v>
      </c>
      <c r="D1969" t="s">
        <v>258</v>
      </c>
      <c r="E1969" t="s">
        <v>284</v>
      </c>
      <c r="F1969" t="s">
        <v>219</v>
      </c>
      <c r="G1969" t="s">
        <v>44</v>
      </c>
      <c r="H1969">
        <v>114</v>
      </c>
      <c r="I1969" t="str">
        <f t="shared" si="30"/>
        <v>Pavilions|S|Average</v>
      </c>
      <c r="J1969" t="s">
        <v>731</v>
      </c>
    </row>
    <row r="1970" spans="2:10">
      <c r="B1970" t="s">
        <v>729</v>
      </c>
      <c r="C1970" t="s">
        <v>730</v>
      </c>
      <c r="D1970" t="s">
        <v>258</v>
      </c>
      <c r="E1970" t="s">
        <v>284</v>
      </c>
      <c r="F1970" t="s">
        <v>219</v>
      </c>
      <c r="G1970" t="s">
        <v>314</v>
      </c>
      <c r="H1970">
        <v>53</v>
      </c>
      <c r="I1970" t="str">
        <f t="shared" si="30"/>
        <v>Pavilions|S|Cheap</v>
      </c>
      <c r="J1970" t="s">
        <v>731</v>
      </c>
    </row>
    <row r="1971" spans="2:10">
      <c r="B1971" t="s">
        <v>732</v>
      </c>
      <c r="C1971" t="s">
        <v>733</v>
      </c>
      <c r="D1971" t="s">
        <v>260</v>
      </c>
      <c r="E1971" t="s">
        <v>243</v>
      </c>
      <c r="F1971" t="s">
        <v>209</v>
      </c>
      <c r="G1971" t="s">
        <v>229</v>
      </c>
      <c r="H1971">
        <v>52.5</v>
      </c>
      <c r="I1971" t="str">
        <f t="shared" si="30"/>
        <v>Light Commercial – Commodity Warehouse|C|Good</v>
      </c>
      <c r="J1971" t="s">
        <v>734</v>
      </c>
    </row>
    <row r="1972" spans="2:10">
      <c r="B1972" t="s">
        <v>732</v>
      </c>
      <c r="C1972" t="s">
        <v>733</v>
      </c>
      <c r="D1972" t="s">
        <v>260</v>
      </c>
      <c r="E1972" t="s">
        <v>243</v>
      </c>
      <c r="F1972" t="s">
        <v>209</v>
      </c>
      <c r="G1972" t="s">
        <v>44</v>
      </c>
      <c r="H1972">
        <v>39.5</v>
      </c>
      <c r="I1972" t="str">
        <f t="shared" si="30"/>
        <v>Light Commercial – Commodity Warehouse|C|Average</v>
      </c>
      <c r="J1972" t="s">
        <v>734</v>
      </c>
    </row>
    <row r="1973" spans="2:10">
      <c r="B1973" t="s">
        <v>732</v>
      </c>
      <c r="C1973" t="s">
        <v>733</v>
      </c>
      <c r="D1973" t="s">
        <v>260</v>
      </c>
      <c r="E1973" t="s">
        <v>243</v>
      </c>
      <c r="F1973" t="s">
        <v>214</v>
      </c>
      <c r="G1973" t="s">
        <v>229</v>
      </c>
      <c r="H1973">
        <v>43.25</v>
      </c>
      <c r="I1973" t="str">
        <f t="shared" si="30"/>
        <v>Light Commercial – Commodity Warehouse|D|Good</v>
      </c>
      <c r="J1973" t="s">
        <v>734</v>
      </c>
    </row>
    <row r="1974" spans="2:10">
      <c r="B1974" t="s">
        <v>732</v>
      </c>
      <c r="C1974" t="s">
        <v>733</v>
      </c>
      <c r="D1974" t="s">
        <v>260</v>
      </c>
      <c r="E1974" t="s">
        <v>243</v>
      </c>
      <c r="F1974" t="s">
        <v>214</v>
      </c>
      <c r="G1974" t="s">
        <v>44</v>
      </c>
      <c r="H1974">
        <v>31</v>
      </c>
      <c r="I1974" t="str">
        <f t="shared" si="30"/>
        <v>Light Commercial – Commodity Warehouse|D|Average</v>
      </c>
      <c r="J1974" t="s">
        <v>734</v>
      </c>
    </row>
    <row r="1975" spans="2:10">
      <c r="B1975" t="s">
        <v>732</v>
      </c>
      <c r="C1975" t="s">
        <v>733</v>
      </c>
      <c r="D1975" t="s">
        <v>260</v>
      </c>
      <c r="E1975" t="s">
        <v>243</v>
      </c>
      <c r="F1975" t="s">
        <v>214</v>
      </c>
      <c r="G1975" t="s">
        <v>226</v>
      </c>
      <c r="H1975">
        <v>20.350000000000001</v>
      </c>
      <c r="I1975" t="str">
        <f t="shared" si="30"/>
        <v>Light Commercial – Commodity Warehouse|D|Low Cost</v>
      </c>
      <c r="J1975" t="s">
        <v>734</v>
      </c>
    </row>
    <row r="1976" spans="2:10">
      <c r="B1976" t="s">
        <v>732</v>
      </c>
      <c r="C1976" t="s">
        <v>733</v>
      </c>
      <c r="D1976" t="s">
        <v>260</v>
      </c>
      <c r="E1976" t="s">
        <v>243</v>
      </c>
      <c r="F1976" t="s">
        <v>313</v>
      </c>
      <c r="G1976" t="s">
        <v>229</v>
      </c>
      <c r="H1976">
        <v>37.5</v>
      </c>
      <c r="I1976" t="str">
        <f t="shared" si="30"/>
        <v>Light Commercial – Commodity Warehouse|DPOLE|Good</v>
      </c>
      <c r="J1976" t="s">
        <v>734</v>
      </c>
    </row>
    <row r="1977" spans="2:10">
      <c r="B1977" t="s">
        <v>732</v>
      </c>
      <c r="C1977" t="s">
        <v>733</v>
      </c>
      <c r="D1977" t="s">
        <v>260</v>
      </c>
      <c r="E1977" t="s">
        <v>243</v>
      </c>
      <c r="F1977" t="s">
        <v>313</v>
      </c>
      <c r="G1977" t="s">
        <v>44</v>
      </c>
      <c r="H1977">
        <v>27</v>
      </c>
      <c r="I1977" t="str">
        <f t="shared" si="30"/>
        <v>Light Commercial – Commodity Warehouse|DPOLE|Average</v>
      </c>
      <c r="J1977" t="s">
        <v>734</v>
      </c>
    </row>
    <row r="1978" spans="2:10">
      <c r="B1978" t="s">
        <v>732</v>
      </c>
      <c r="C1978" t="s">
        <v>733</v>
      </c>
      <c r="D1978" t="s">
        <v>260</v>
      </c>
      <c r="E1978" t="s">
        <v>243</v>
      </c>
      <c r="F1978" t="s">
        <v>313</v>
      </c>
      <c r="G1978" t="s">
        <v>226</v>
      </c>
      <c r="H1978">
        <v>17.55</v>
      </c>
      <c r="I1978" t="str">
        <f t="shared" si="30"/>
        <v>Light Commercial – Commodity Warehouse|DPOLE|Low Cost</v>
      </c>
      <c r="J1978" t="s">
        <v>734</v>
      </c>
    </row>
    <row r="1979" spans="2:10">
      <c r="B1979" t="s">
        <v>732</v>
      </c>
      <c r="C1979" t="s">
        <v>733</v>
      </c>
      <c r="D1979" t="s">
        <v>260</v>
      </c>
      <c r="E1979" t="s">
        <v>243</v>
      </c>
      <c r="F1979" t="s">
        <v>219</v>
      </c>
      <c r="G1979" t="s">
        <v>229</v>
      </c>
      <c r="H1979">
        <v>41.75</v>
      </c>
      <c r="I1979" t="str">
        <f t="shared" si="30"/>
        <v>Light Commercial – Commodity Warehouse|S|Good</v>
      </c>
      <c r="J1979" t="s">
        <v>734</v>
      </c>
    </row>
    <row r="1980" spans="2:10">
      <c r="B1980" t="s">
        <v>732</v>
      </c>
      <c r="C1980" t="s">
        <v>733</v>
      </c>
      <c r="D1980" t="s">
        <v>260</v>
      </c>
      <c r="E1980" t="s">
        <v>243</v>
      </c>
      <c r="F1980" t="s">
        <v>219</v>
      </c>
      <c r="G1980" t="s">
        <v>44</v>
      </c>
      <c r="H1980">
        <v>30.5</v>
      </c>
      <c r="I1980" t="str">
        <f t="shared" si="30"/>
        <v>Light Commercial – Commodity Warehouse|S|Average</v>
      </c>
      <c r="J1980" t="s">
        <v>734</v>
      </c>
    </row>
    <row r="1981" spans="2:10">
      <c r="B1981" t="s">
        <v>732</v>
      </c>
      <c r="C1981" t="s">
        <v>733</v>
      </c>
      <c r="D1981" t="s">
        <v>260</v>
      </c>
      <c r="E1981" t="s">
        <v>243</v>
      </c>
      <c r="F1981" t="s">
        <v>219</v>
      </c>
      <c r="G1981" t="s">
        <v>226</v>
      </c>
      <c r="H1981">
        <v>20.350000000000001</v>
      </c>
      <c r="I1981" t="str">
        <f t="shared" si="30"/>
        <v>Light Commercial – Commodity Warehouse|S|Low Cost</v>
      </c>
      <c r="J1981" t="s">
        <v>734</v>
      </c>
    </row>
    <row r="1982" spans="2:10">
      <c r="B1982" t="s">
        <v>732</v>
      </c>
      <c r="C1982" t="s">
        <v>733</v>
      </c>
      <c r="D1982" t="s">
        <v>260</v>
      </c>
      <c r="E1982" t="s">
        <v>243</v>
      </c>
      <c r="F1982" t="s">
        <v>735</v>
      </c>
      <c r="G1982" t="s">
        <v>229</v>
      </c>
      <c r="H1982">
        <v>38.5</v>
      </c>
      <c r="I1982" t="str">
        <f t="shared" si="30"/>
        <v>Light Commercial – Commodity Warehouse|SSLANT|Good</v>
      </c>
      <c r="J1982" t="s">
        <v>734</v>
      </c>
    </row>
    <row r="1983" spans="2:10">
      <c r="B1983" t="s">
        <v>732</v>
      </c>
      <c r="C1983" t="s">
        <v>733</v>
      </c>
      <c r="D1983" t="s">
        <v>260</v>
      </c>
      <c r="E1983" t="s">
        <v>243</v>
      </c>
      <c r="F1983" t="s">
        <v>735</v>
      </c>
      <c r="G1983" t="s">
        <v>44</v>
      </c>
      <c r="H1983">
        <v>28.25</v>
      </c>
      <c r="I1983" t="str">
        <f t="shared" si="30"/>
        <v>Light Commercial – Commodity Warehouse|SSLANT|Average</v>
      </c>
      <c r="J1983" t="s">
        <v>734</v>
      </c>
    </row>
    <row r="1984" spans="2:10">
      <c r="B1984" t="s">
        <v>732</v>
      </c>
      <c r="C1984" t="s">
        <v>733</v>
      </c>
      <c r="D1984" t="s">
        <v>260</v>
      </c>
      <c r="E1984" t="s">
        <v>243</v>
      </c>
      <c r="F1984" t="s">
        <v>735</v>
      </c>
      <c r="G1984" t="s">
        <v>226</v>
      </c>
      <c r="H1984">
        <v>18.8</v>
      </c>
      <c r="I1984" t="str">
        <f t="shared" si="30"/>
        <v>Light Commercial – Commodity Warehouse|SSLANT|Low Cost</v>
      </c>
      <c r="J1984" t="s">
        <v>734</v>
      </c>
    </row>
    <row r="1985" spans="2:10">
      <c r="B1985" t="s">
        <v>736</v>
      </c>
      <c r="C1985" t="s">
        <v>737</v>
      </c>
      <c r="D1985" t="s">
        <v>260</v>
      </c>
      <c r="E1985" t="s">
        <v>243</v>
      </c>
      <c r="F1985" t="s">
        <v>313</v>
      </c>
      <c r="G1985" t="s">
        <v>229</v>
      </c>
      <c r="H1985">
        <v>43.25</v>
      </c>
      <c r="I1985" t="str">
        <f t="shared" si="30"/>
        <v>Light Commercial – Manufacturing Utility Buildings|DPOLE|Good</v>
      </c>
      <c r="J1985" t="s">
        <v>734</v>
      </c>
    </row>
    <row r="1986" spans="2:10">
      <c r="B1986" t="s">
        <v>736</v>
      </c>
      <c r="C1986" t="s">
        <v>737</v>
      </c>
      <c r="D1986" t="s">
        <v>260</v>
      </c>
      <c r="E1986" t="s">
        <v>243</v>
      </c>
      <c r="F1986" t="s">
        <v>313</v>
      </c>
      <c r="G1986" t="s">
        <v>44</v>
      </c>
      <c r="H1986">
        <v>33.25</v>
      </c>
      <c r="I1986" t="str">
        <f t="shared" si="30"/>
        <v>Light Commercial – Manufacturing Utility Buildings|DPOLE|Average</v>
      </c>
      <c r="J1986" t="s">
        <v>734</v>
      </c>
    </row>
    <row r="1987" spans="2:10">
      <c r="B1987" t="s">
        <v>736</v>
      </c>
      <c r="C1987" t="s">
        <v>737</v>
      </c>
      <c r="D1987" t="s">
        <v>260</v>
      </c>
      <c r="E1987" t="s">
        <v>243</v>
      </c>
      <c r="F1987" t="s">
        <v>313</v>
      </c>
      <c r="G1987" t="s">
        <v>226</v>
      </c>
      <c r="H1987">
        <v>25.75</v>
      </c>
      <c r="I1987" t="str">
        <f t="shared" si="30"/>
        <v>Light Commercial – Manufacturing Utility Buildings|DPOLE|Low Cost</v>
      </c>
      <c r="J1987" t="s">
        <v>734</v>
      </c>
    </row>
    <row r="1988" spans="2:10">
      <c r="B1988" t="s">
        <v>736</v>
      </c>
      <c r="C1988" t="s">
        <v>737</v>
      </c>
      <c r="D1988" t="s">
        <v>260</v>
      </c>
      <c r="E1988" t="s">
        <v>243</v>
      </c>
      <c r="F1988" t="s">
        <v>219</v>
      </c>
      <c r="G1988" t="s">
        <v>229</v>
      </c>
      <c r="H1988">
        <v>47.75</v>
      </c>
      <c r="I1988" t="str">
        <f t="shared" si="30"/>
        <v>Light Commercial – Manufacturing Utility Buildings|S|Good</v>
      </c>
      <c r="J1988" t="s">
        <v>734</v>
      </c>
    </row>
    <row r="1989" spans="2:10">
      <c r="B1989" t="s">
        <v>736</v>
      </c>
      <c r="C1989" t="s">
        <v>737</v>
      </c>
      <c r="D1989" t="s">
        <v>260</v>
      </c>
      <c r="E1989" t="s">
        <v>243</v>
      </c>
      <c r="F1989" t="s">
        <v>219</v>
      </c>
      <c r="G1989" t="s">
        <v>44</v>
      </c>
      <c r="H1989">
        <v>37</v>
      </c>
      <c r="I1989" t="str">
        <f t="shared" si="30"/>
        <v>Light Commercial – Manufacturing Utility Buildings|S|Average</v>
      </c>
      <c r="J1989" t="s">
        <v>734</v>
      </c>
    </row>
    <row r="1990" spans="2:10">
      <c r="B1990" t="s">
        <v>736</v>
      </c>
      <c r="C1990" t="s">
        <v>737</v>
      </c>
      <c r="D1990" t="s">
        <v>260</v>
      </c>
      <c r="E1990" t="s">
        <v>243</v>
      </c>
      <c r="F1990" t="s">
        <v>219</v>
      </c>
      <c r="G1990" t="s">
        <v>226</v>
      </c>
      <c r="H1990">
        <v>29</v>
      </c>
      <c r="I1990" t="str">
        <f t="shared" si="30"/>
        <v>Light Commercial – Manufacturing Utility Buildings|S|Low Cost</v>
      </c>
      <c r="J1990" t="s">
        <v>734</v>
      </c>
    </row>
    <row r="1991" spans="2:10">
      <c r="B1991" t="s">
        <v>738</v>
      </c>
      <c r="C1991" t="s">
        <v>739</v>
      </c>
      <c r="D1991" t="s">
        <v>260</v>
      </c>
      <c r="E1991" t="s">
        <v>243</v>
      </c>
      <c r="F1991" t="s">
        <v>214</v>
      </c>
      <c r="G1991" t="s">
        <v>229</v>
      </c>
      <c r="H1991">
        <v>18.52</v>
      </c>
      <c r="I1991" t="str">
        <f t="shared" si="30"/>
        <v>Material – Commodity Shelters|D|Good</v>
      </c>
      <c r="J1991" t="s">
        <v>740</v>
      </c>
    </row>
    <row r="1992" spans="2:10">
      <c r="B1992" t="s">
        <v>738</v>
      </c>
      <c r="C1992" t="s">
        <v>739</v>
      </c>
      <c r="D1992" t="s">
        <v>260</v>
      </c>
      <c r="E1992" t="s">
        <v>243</v>
      </c>
      <c r="F1992" t="s">
        <v>214</v>
      </c>
      <c r="G1992" t="s">
        <v>226</v>
      </c>
      <c r="H1992">
        <v>9.31</v>
      </c>
      <c r="I1992" t="str">
        <f t="shared" si="30"/>
        <v>Material – Commodity Shelters|D|Low Cost</v>
      </c>
      <c r="J1992" t="s">
        <v>741</v>
      </c>
    </row>
    <row r="1993" spans="2:10">
      <c r="B1993" t="s">
        <v>738</v>
      </c>
      <c r="C1993" t="s">
        <v>739</v>
      </c>
      <c r="D1993" t="s">
        <v>260</v>
      </c>
      <c r="E1993" t="s">
        <v>243</v>
      </c>
      <c r="F1993" t="s">
        <v>219</v>
      </c>
      <c r="G1993" t="s">
        <v>250</v>
      </c>
      <c r="H1993">
        <v>23.4</v>
      </c>
      <c r="I1993" t="str">
        <f t="shared" si="30"/>
        <v>Material – Commodity Shelters|S|Very Good</v>
      </c>
      <c r="J1993" t="s">
        <v>742</v>
      </c>
    </row>
    <row r="1994" spans="2:10">
      <c r="B1994" t="s">
        <v>738</v>
      </c>
      <c r="C1994" t="s">
        <v>739</v>
      </c>
      <c r="D1994" t="s">
        <v>260</v>
      </c>
      <c r="E1994" t="s">
        <v>243</v>
      </c>
      <c r="F1994" t="s">
        <v>219</v>
      </c>
      <c r="G1994" t="s">
        <v>229</v>
      </c>
      <c r="H1994">
        <v>19.73</v>
      </c>
      <c r="I1994" t="str">
        <f t="shared" si="30"/>
        <v>Material – Commodity Shelters|S|Good</v>
      </c>
      <c r="J1994" t="s">
        <v>743</v>
      </c>
    </row>
    <row r="1995" spans="2:10">
      <c r="B1995" t="s">
        <v>738</v>
      </c>
      <c r="C1995" t="s">
        <v>739</v>
      </c>
      <c r="D1995" t="s">
        <v>260</v>
      </c>
      <c r="E1995" t="s">
        <v>243</v>
      </c>
      <c r="F1995" t="s">
        <v>219</v>
      </c>
      <c r="G1995" t="s">
        <v>44</v>
      </c>
      <c r="H1995">
        <v>13.98</v>
      </c>
      <c r="I1995" t="str">
        <f t="shared" si="30"/>
        <v>Material – Commodity Shelters|S|Average</v>
      </c>
      <c r="J1995" t="s">
        <v>744</v>
      </c>
    </row>
    <row r="1996" spans="2:10">
      <c r="B1996" t="s">
        <v>738</v>
      </c>
      <c r="C1996" t="s">
        <v>739</v>
      </c>
      <c r="D1996" t="s">
        <v>260</v>
      </c>
      <c r="E1996" t="s">
        <v>243</v>
      </c>
      <c r="F1996" t="s">
        <v>219</v>
      </c>
      <c r="G1996" t="s">
        <v>226</v>
      </c>
      <c r="H1996">
        <v>9.91</v>
      </c>
      <c r="I1996" t="str">
        <f t="shared" si="30"/>
        <v>Material – Commodity Shelters|S|Low Cost</v>
      </c>
      <c r="J1996" t="s">
        <v>745</v>
      </c>
    </row>
    <row r="1997" spans="2:10">
      <c r="B1997" t="s">
        <v>746</v>
      </c>
      <c r="C1997" t="s">
        <v>747</v>
      </c>
      <c r="D1997" t="s">
        <v>260</v>
      </c>
      <c r="E1997" t="s">
        <v>337</v>
      </c>
      <c r="F1997" t="s">
        <v>209</v>
      </c>
      <c r="G1997" t="s">
        <v>229</v>
      </c>
      <c r="H1997">
        <v>51</v>
      </c>
      <c r="I1997" t="str">
        <f t="shared" si="30"/>
        <v>Light Commercial Utility Buildings|C|Good</v>
      </c>
      <c r="J1997" t="s">
        <v>748</v>
      </c>
    </row>
    <row r="1998" spans="2:10">
      <c r="B1998" t="s">
        <v>746</v>
      </c>
      <c r="C1998" t="s">
        <v>747</v>
      </c>
      <c r="D1998" t="s">
        <v>260</v>
      </c>
      <c r="E1998" t="s">
        <v>337</v>
      </c>
      <c r="F1998" t="s">
        <v>209</v>
      </c>
      <c r="G1998" t="s">
        <v>44</v>
      </c>
      <c r="H1998">
        <v>36.5</v>
      </c>
      <c r="I1998" t="str">
        <f t="shared" si="30"/>
        <v>Light Commercial Utility Buildings|C|Average</v>
      </c>
      <c r="J1998" t="s">
        <v>748</v>
      </c>
    </row>
    <row r="1999" spans="2:10">
      <c r="B1999" t="s">
        <v>746</v>
      </c>
      <c r="C1999" t="s">
        <v>747</v>
      </c>
      <c r="D1999" t="s">
        <v>260</v>
      </c>
      <c r="E1999" t="s">
        <v>337</v>
      </c>
      <c r="F1999" t="s">
        <v>214</v>
      </c>
      <c r="G1999" t="s">
        <v>229</v>
      </c>
      <c r="H1999">
        <v>42</v>
      </c>
      <c r="I1999" t="str">
        <f t="shared" si="30"/>
        <v>Light Commercial Utility Buildings|D|Good</v>
      </c>
      <c r="J1999" t="s">
        <v>748</v>
      </c>
    </row>
    <row r="2000" spans="2:10">
      <c r="B2000" t="s">
        <v>746</v>
      </c>
      <c r="C2000" t="s">
        <v>747</v>
      </c>
      <c r="D2000" t="s">
        <v>260</v>
      </c>
      <c r="E2000" t="s">
        <v>337</v>
      </c>
      <c r="F2000" t="s">
        <v>214</v>
      </c>
      <c r="G2000" t="s">
        <v>44</v>
      </c>
      <c r="H2000">
        <v>28</v>
      </c>
      <c r="I2000" t="str">
        <f t="shared" si="30"/>
        <v>Light Commercial Utility Buildings|D|Average</v>
      </c>
      <c r="J2000" t="s">
        <v>748</v>
      </c>
    </row>
    <row r="2001" spans="2:10">
      <c r="B2001" t="s">
        <v>746</v>
      </c>
      <c r="C2001" t="s">
        <v>747</v>
      </c>
      <c r="D2001" t="s">
        <v>260</v>
      </c>
      <c r="E2001" t="s">
        <v>337</v>
      </c>
      <c r="F2001" t="s">
        <v>214</v>
      </c>
      <c r="G2001" t="s">
        <v>226</v>
      </c>
      <c r="H2001">
        <v>19.899999999999999</v>
      </c>
      <c r="I2001" t="str">
        <f t="shared" si="30"/>
        <v>Light Commercial Utility Buildings|D|Low Cost</v>
      </c>
      <c r="J2001" t="s">
        <v>748</v>
      </c>
    </row>
    <row r="2002" spans="2:10">
      <c r="B2002" t="s">
        <v>746</v>
      </c>
      <c r="C2002" t="s">
        <v>747</v>
      </c>
      <c r="D2002" t="s">
        <v>260</v>
      </c>
      <c r="E2002" t="s">
        <v>337</v>
      </c>
      <c r="F2002" t="s">
        <v>313</v>
      </c>
      <c r="G2002" t="s">
        <v>229</v>
      </c>
      <c r="H2002">
        <v>36.5</v>
      </c>
      <c r="I2002" t="str">
        <f t="shared" si="30"/>
        <v>Light Commercial Utility Buildings|DPOLE|Good</v>
      </c>
      <c r="J2002" t="s">
        <v>748</v>
      </c>
    </row>
    <row r="2003" spans="2:10">
      <c r="B2003" t="s">
        <v>746</v>
      </c>
      <c r="C2003" t="s">
        <v>747</v>
      </c>
      <c r="D2003" t="s">
        <v>260</v>
      </c>
      <c r="E2003" t="s">
        <v>337</v>
      </c>
      <c r="F2003" t="s">
        <v>313</v>
      </c>
      <c r="G2003" t="s">
        <v>44</v>
      </c>
      <c r="H2003">
        <v>24.25</v>
      </c>
      <c r="I2003" t="str">
        <f t="shared" si="30"/>
        <v>Light Commercial Utility Buildings|DPOLE|Average</v>
      </c>
      <c r="J2003" t="s">
        <v>748</v>
      </c>
    </row>
    <row r="2004" spans="2:10">
      <c r="B2004" t="s">
        <v>746</v>
      </c>
      <c r="C2004" t="s">
        <v>747</v>
      </c>
      <c r="D2004" t="s">
        <v>260</v>
      </c>
      <c r="E2004" t="s">
        <v>337</v>
      </c>
      <c r="F2004" t="s">
        <v>313</v>
      </c>
      <c r="G2004" t="s">
        <v>226</v>
      </c>
      <c r="H2004">
        <v>17.149999999999999</v>
      </c>
      <c r="I2004" t="str">
        <f t="shared" si="30"/>
        <v>Light Commercial Utility Buildings|DPOLE|Low Cost</v>
      </c>
      <c r="J2004" t="s">
        <v>748</v>
      </c>
    </row>
    <row r="2005" spans="2:10">
      <c r="B2005" t="s">
        <v>746</v>
      </c>
      <c r="C2005" t="s">
        <v>747</v>
      </c>
      <c r="D2005" t="s">
        <v>260</v>
      </c>
      <c r="E2005" t="s">
        <v>337</v>
      </c>
      <c r="F2005" t="s">
        <v>219</v>
      </c>
      <c r="G2005" t="s">
        <v>229</v>
      </c>
      <c r="H2005">
        <v>40.5</v>
      </c>
      <c r="I2005" t="str">
        <f t="shared" si="30"/>
        <v>Light Commercial Utility Buildings|S|Good</v>
      </c>
      <c r="J2005" t="s">
        <v>748</v>
      </c>
    </row>
    <row r="2006" spans="2:10">
      <c r="B2006" t="s">
        <v>746</v>
      </c>
      <c r="C2006" t="s">
        <v>747</v>
      </c>
      <c r="D2006" t="s">
        <v>260</v>
      </c>
      <c r="E2006" t="s">
        <v>337</v>
      </c>
      <c r="F2006" t="s">
        <v>219</v>
      </c>
      <c r="G2006" t="s">
        <v>44</v>
      </c>
      <c r="H2006">
        <v>27.5</v>
      </c>
      <c r="I2006" t="str">
        <f t="shared" si="30"/>
        <v>Light Commercial Utility Buildings|S|Average</v>
      </c>
      <c r="J2006" t="s">
        <v>748</v>
      </c>
    </row>
    <row r="2007" spans="2:10">
      <c r="B2007" t="s">
        <v>746</v>
      </c>
      <c r="C2007" t="s">
        <v>747</v>
      </c>
      <c r="D2007" t="s">
        <v>260</v>
      </c>
      <c r="E2007" t="s">
        <v>337</v>
      </c>
      <c r="F2007" t="s">
        <v>219</v>
      </c>
      <c r="G2007" t="s">
        <v>226</v>
      </c>
      <c r="H2007">
        <v>19.899999999999999</v>
      </c>
      <c r="I2007" t="str">
        <f t="shared" si="30"/>
        <v>Light Commercial Utility Buildings|S|Low Cost</v>
      </c>
      <c r="J2007" t="s">
        <v>748</v>
      </c>
    </row>
    <row r="2008" spans="2:10">
      <c r="B2008" t="s">
        <v>746</v>
      </c>
      <c r="C2008" t="s">
        <v>747</v>
      </c>
      <c r="D2008" t="s">
        <v>260</v>
      </c>
      <c r="E2008" t="s">
        <v>337</v>
      </c>
      <c r="F2008" t="s">
        <v>735</v>
      </c>
      <c r="G2008" t="s">
        <v>229</v>
      </c>
      <c r="H2008">
        <v>37.5</v>
      </c>
      <c r="I2008" t="str">
        <f t="shared" si="30"/>
        <v>Light Commercial Utility Buildings|SSLANT|Good</v>
      </c>
      <c r="J2008" t="s">
        <v>748</v>
      </c>
    </row>
    <row r="2009" spans="2:10">
      <c r="B2009" t="s">
        <v>746</v>
      </c>
      <c r="C2009" t="s">
        <v>747</v>
      </c>
      <c r="D2009" t="s">
        <v>260</v>
      </c>
      <c r="E2009" t="s">
        <v>337</v>
      </c>
      <c r="F2009" t="s">
        <v>735</v>
      </c>
      <c r="G2009" t="s">
        <v>44</v>
      </c>
      <c r="H2009">
        <v>25.5</v>
      </c>
      <c r="I2009" t="str">
        <f t="shared" si="30"/>
        <v>Light Commercial Utility Buildings|SSLANT|Average</v>
      </c>
      <c r="J2009" t="s">
        <v>748</v>
      </c>
    </row>
    <row r="2010" spans="2:10">
      <c r="B2010" t="s">
        <v>746</v>
      </c>
      <c r="C2010" t="s">
        <v>747</v>
      </c>
      <c r="D2010" t="s">
        <v>260</v>
      </c>
      <c r="E2010" t="s">
        <v>337</v>
      </c>
      <c r="F2010" t="s">
        <v>735</v>
      </c>
      <c r="G2010" t="s">
        <v>226</v>
      </c>
      <c r="H2010">
        <v>18.399999999999999</v>
      </c>
      <c r="I2010" t="str">
        <f t="shared" si="30"/>
        <v>Light Commercial Utility Buildings|SSLANT|Low Cost</v>
      </c>
      <c r="J2010" t="s">
        <v>748</v>
      </c>
    </row>
    <row r="2011" spans="2:10">
      <c r="B2011" t="s">
        <v>749</v>
      </c>
      <c r="C2011" t="s">
        <v>750</v>
      </c>
      <c r="D2011" t="s">
        <v>260</v>
      </c>
      <c r="E2011" t="s">
        <v>337</v>
      </c>
      <c r="F2011" t="s">
        <v>209</v>
      </c>
      <c r="G2011" t="s">
        <v>229</v>
      </c>
      <c r="H2011">
        <v>35.5</v>
      </c>
      <c r="I2011" t="str">
        <f t="shared" si="30"/>
        <v>Toolshed Buildings|C|Good</v>
      </c>
      <c r="J2011" t="s">
        <v>748</v>
      </c>
    </row>
    <row r="2012" spans="2:10">
      <c r="B2012" t="s">
        <v>749</v>
      </c>
      <c r="C2012" t="s">
        <v>750</v>
      </c>
      <c r="D2012" t="s">
        <v>260</v>
      </c>
      <c r="E2012" t="s">
        <v>337</v>
      </c>
      <c r="F2012" t="s">
        <v>214</v>
      </c>
      <c r="G2012" t="s">
        <v>229</v>
      </c>
      <c r="H2012">
        <v>29.75</v>
      </c>
      <c r="I2012" t="str">
        <f t="shared" si="30"/>
        <v>Toolshed Buildings|D|Good</v>
      </c>
      <c r="J2012" t="s">
        <v>748</v>
      </c>
    </row>
    <row r="2013" spans="2:10">
      <c r="B2013" t="s">
        <v>749</v>
      </c>
      <c r="C2013" t="s">
        <v>750</v>
      </c>
      <c r="D2013" t="s">
        <v>260</v>
      </c>
      <c r="E2013" t="s">
        <v>337</v>
      </c>
      <c r="F2013" t="s">
        <v>214</v>
      </c>
      <c r="G2013" t="s">
        <v>44</v>
      </c>
      <c r="H2013">
        <v>18.350000000000001</v>
      </c>
      <c r="I2013" t="str">
        <f t="shared" si="30"/>
        <v>Toolshed Buildings|D|Average</v>
      </c>
      <c r="J2013" t="s">
        <v>748</v>
      </c>
    </row>
    <row r="2014" spans="2:10">
      <c r="B2014" t="s">
        <v>749</v>
      </c>
      <c r="C2014" t="s">
        <v>750</v>
      </c>
      <c r="D2014" t="s">
        <v>260</v>
      </c>
      <c r="E2014" t="s">
        <v>337</v>
      </c>
      <c r="F2014" t="s">
        <v>214</v>
      </c>
      <c r="G2014" t="s">
        <v>226</v>
      </c>
      <c r="H2014">
        <v>11.3</v>
      </c>
      <c r="I2014" t="str">
        <f t="shared" ref="I2014:I2077" si="31">B2014&amp;"|"&amp;F2014&amp;"|"&amp;G2014</f>
        <v>Toolshed Buildings|D|Low Cost</v>
      </c>
      <c r="J2014" t="s">
        <v>748</v>
      </c>
    </row>
    <row r="2015" spans="2:10">
      <c r="B2015" t="s">
        <v>751</v>
      </c>
      <c r="C2015" t="s">
        <v>752</v>
      </c>
      <c r="D2015" t="s">
        <v>260</v>
      </c>
      <c r="E2015" t="s">
        <v>244</v>
      </c>
      <c r="F2015" t="s">
        <v>214</v>
      </c>
      <c r="G2015" t="s">
        <v>229</v>
      </c>
      <c r="H2015">
        <v>44</v>
      </c>
      <c r="I2015" t="str">
        <f t="shared" si="31"/>
        <v>Light Commercial Arch-Rib (Quonset) Buildings|D|Good</v>
      </c>
      <c r="J2015" t="s">
        <v>753</v>
      </c>
    </row>
    <row r="2016" spans="2:10">
      <c r="B2016" t="s">
        <v>751</v>
      </c>
      <c r="C2016" t="s">
        <v>752</v>
      </c>
      <c r="D2016" t="s">
        <v>260</v>
      </c>
      <c r="E2016" t="s">
        <v>244</v>
      </c>
      <c r="F2016" t="s">
        <v>214</v>
      </c>
      <c r="G2016" t="s">
        <v>44</v>
      </c>
      <c r="H2016">
        <v>31</v>
      </c>
      <c r="I2016" t="str">
        <f t="shared" si="31"/>
        <v>Light Commercial Arch-Rib (Quonset) Buildings|D|Average</v>
      </c>
      <c r="J2016" t="s">
        <v>753</v>
      </c>
    </row>
    <row r="2017" spans="2:10">
      <c r="B2017" t="s">
        <v>751</v>
      </c>
      <c r="C2017" t="s">
        <v>752</v>
      </c>
      <c r="D2017" t="s">
        <v>260</v>
      </c>
      <c r="E2017" t="s">
        <v>244</v>
      </c>
      <c r="F2017" t="s">
        <v>214</v>
      </c>
      <c r="G2017" t="s">
        <v>226</v>
      </c>
      <c r="H2017">
        <v>23.2</v>
      </c>
      <c r="I2017" t="str">
        <f t="shared" si="31"/>
        <v>Light Commercial Arch-Rib (Quonset) Buildings|D|Low Cost</v>
      </c>
      <c r="J2017" t="s">
        <v>753</v>
      </c>
    </row>
    <row r="2018" spans="2:10">
      <c r="B2018" t="s">
        <v>751</v>
      </c>
      <c r="C2018" t="s">
        <v>752</v>
      </c>
      <c r="D2018" t="s">
        <v>260</v>
      </c>
      <c r="E2018" t="s">
        <v>244</v>
      </c>
      <c r="F2018" t="s">
        <v>313</v>
      </c>
      <c r="G2018" t="s">
        <v>229</v>
      </c>
      <c r="H2018">
        <v>42.25</v>
      </c>
      <c r="I2018" t="str">
        <f t="shared" si="31"/>
        <v>Light Commercial Arch-Rib (Quonset) Buildings|DPOLE|Good</v>
      </c>
      <c r="J2018" t="s">
        <v>753</v>
      </c>
    </row>
    <row r="2019" spans="2:10">
      <c r="B2019" t="s">
        <v>751</v>
      </c>
      <c r="C2019" t="s">
        <v>752</v>
      </c>
      <c r="D2019" t="s">
        <v>260</v>
      </c>
      <c r="E2019" t="s">
        <v>244</v>
      </c>
      <c r="F2019" t="s">
        <v>313</v>
      </c>
      <c r="G2019" t="s">
        <v>44</v>
      </c>
      <c r="H2019">
        <v>29.75</v>
      </c>
      <c r="I2019" t="str">
        <f t="shared" si="31"/>
        <v>Light Commercial Arch-Rib (Quonset) Buildings|DPOLE|Average</v>
      </c>
      <c r="J2019" t="s">
        <v>753</v>
      </c>
    </row>
    <row r="2020" spans="2:10">
      <c r="B2020" t="s">
        <v>751</v>
      </c>
      <c r="C2020" t="s">
        <v>752</v>
      </c>
      <c r="D2020" t="s">
        <v>260</v>
      </c>
      <c r="E2020" t="s">
        <v>244</v>
      </c>
      <c r="F2020" t="s">
        <v>313</v>
      </c>
      <c r="G2020" t="s">
        <v>226</v>
      </c>
      <c r="H2020">
        <v>22.1</v>
      </c>
      <c r="I2020" t="str">
        <f t="shared" si="31"/>
        <v>Light Commercial Arch-Rib (Quonset) Buildings|DPOLE|Low Cost</v>
      </c>
      <c r="J2020" t="s">
        <v>753</v>
      </c>
    </row>
    <row r="2021" spans="2:10">
      <c r="B2021" t="s">
        <v>751</v>
      </c>
      <c r="C2021" t="s">
        <v>752</v>
      </c>
      <c r="D2021" t="s">
        <v>260</v>
      </c>
      <c r="E2021" t="s">
        <v>244</v>
      </c>
      <c r="F2021" t="s">
        <v>219</v>
      </c>
      <c r="G2021" t="s">
        <v>229</v>
      </c>
      <c r="H2021">
        <v>42.75</v>
      </c>
      <c r="I2021" t="str">
        <f t="shared" si="31"/>
        <v>Light Commercial Arch-Rib (Quonset) Buildings|S|Good</v>
      </c>
      <c r="J2021" t="s">
        <v>753</v>
      </c>
    </row>
    <row r="2022" spans="2:10">
      <c r="B2022" t="s">
        <v>751</v>
      </c>
      <c r="C2022" t="s">
        <v>752</v>
      </c>
      <c r="D2022" t="s">
        <v>260</v>
      </c>
      <c r="E2022" t="s">
        <v>244</v>
      </c>
      <c r="F2022" t="s">
        <v>361</v>
      </c>
      <c r="G2022" t="s">
        <v>226</v>
      </c>
      <c r="H2022">
        <v>22.85</v>
      </c>
      <c r="I2022" t="str">
        <f t="shared" si="31"/>
        <v>Light Commercial Arch-Rib (Quonset) Buildings|WALL|Low Cost</v>
      </c>
      <c r="J2022" t="s">
        <v>753</v>
      </c>
    </row>
    <row r="2023" spans="2:10">
      <c r="B2023" t="s">
        <v>754</v>
      </c>
      <c r="C2023" t="s">
        <v>755</v>
      </c>
      <c r="D2023" t="s">
        <v>260</v>
      </c>
      <c r="E2023" t="s">
        <v>244</v>
      </c>
      <c r="F2023" t="s">
        <v>209</v>
      </c>
      <c r="G2023" t="s">
        <v>229</v>
      </c>
      <c r="H2023">
        <v>57</v>
      </c>
      <c r="I2023" t="str">
        <f t="shared" si="31"/>
        <v>Light Commercial Equipment (Shop) Buildings|C|Good</v>
      </c>
      <c r="J2023" t="s">
        <v>753</v>
      </c>
    </row>
    <row r="2024" spans="2:10">
      <c r="B2024" t="s">
        <v>754</v>
      </c>
      <c r="C2024" t="s">
        <v>755</v>
      </c>
      <c r="D2024" t="s">
        <v>260</v>
      </c>
      <c r="E2024" t="s">
        <v>244</v>
      </c>
      <c r="F2024" t="s">
        <v>209</v>
      </c>
      <c r="G2024" t="s">
        <v>44</v>
      </c>
      <c r="H2024">
        <v>42.75</v>
      </c>
      <c r="I2024" t="str">
        <f t="shared" si="31"/>
        <v>Light Commercial Equipment (Shop) Buildings|C|Average</v>
      </c>
      <c r="J2024" t="s">
        <v>753</v>
      </c>
    </row>
    <row r="2025" spans="2:10">
      <c r="B2025" t="s">
        <v>754</v>
      </c>
      <c r="C2025" t="s">
        <v>755</v>
      </c>
      <c r="D2025" t="s">
        <v>260</v>
      </c>
      <c r="E2025" t="s">
        <v>244</v>
      </c>
      <c r="F2025" t="s">
        <v>214</v>
      </c>
      <c r="G2025" t="s">
        <v>229</v>
      </c>
      <c r="H2025">
        <v>47.75</v>
      </c>
      <c r="I2025" t="str">
        <f t="shared" si="31"/>
        <v>Light Commercial Equipment (Shop) Buildings|D|Good</v>
      </c>
      <c r="J2025" t="s">
        <v>753</v>
      </c>
    </row>
    <row r="2026" spans="2:10">
      <c r="B2026" t="s">
        <v>754</v>
      </c>
      <c r="C2026" t="s">
        <v>755</v>
      </c>
      <c r="D2026" t="s">
        <v>260</v>
      </c>
      <c r="E2026" t="s">
        <v>244</v>
      </c>
      <c r="F2026" t="s">
        <v>214</v>
      </c>
      <c r="G2026" t="s">
        <v>44</v>
      </c>
      <c r="H2026">
        <v>33.5</v>
      </c>
      <c r="I2026" t="str">
        <f t="shared" si="31"/>
        <v>Light Commercial Equipment (Shop) Buildings|D|Average</v>
      </c>
      <c r="J2026" t="s">
        <v>753</v>
      </c>
    </row>
    <row r="2027" spans="2:10">
      <c r="B2027" t="s">
        <v>754</v>
      </c>
      <c r="C2027" t="s">
        <v>755</v>
      </c>
      <c r="D2027" t="s">
        <v>260</v>
      </c>
      <c r="E2027" t="s">
        <v>244</v>
      </c>
      <c r="F2027" t="s">
        <v>313</v>
      </c>
      <c r="G2027" t="s">
        <v>229</v>
      </c>
      <c r="H2027">
        <v>41.75</v>
      </c>
      <c r="I2027" t="str">
        <f t="shared" si="31"/>
        <v>Light Commercial Equipment (Shop) Buildings|DPOLE|Good</v>
      </c>
      <c r="J2027" t="s">
        <v>753</v>
      </c>
    </row>
    <row r="2028" spans="2:10">
      <c r="B2028" t="s">
        <v>754</v>
      </c>
      <c r="C2028" t="s">
        <v>755</v>
      </c>
      <c r="D2028" t="s">
        <v>260</v>
      </c>
      <c r="E2028" t="s">
        <v>244</v>
      </c>
      <c r="F2028" t="s">
        <v>313</v>
      </c>
      <c r="G2028" t="s">
        <v>44</v>
      </c>
      <c r="H2028">
        <v>29.75</v>
      </c>
      <c r="I2028" t="str">
        <f t="shared" si="31"/>
        <v>Light Commercial Equipment (Shop) Buildings|DPOLE|Average</v>
      </c>
      <c r="J2028" t="s">
        <v>753</v>
      </c>
    </row>
    <row r="2029" spans="2:10">
      <c r="B2029" t="s">
        <v>754</v>
      </c>
      <c r="C2029" t="s">
        <v>755</v>
      </c>
      <c r="D2029" t="s">
        <v>260</v>
      </c>
      <c r="E2029" t="s">
        <v>244</v>
      </c>
      <c r="F2029" t="s">
        <v>219</v>
      </c>
      <c r="G2029" t="s">
        <v>229</v>
      </c>
      <c r="H2029">
        <v>45.75</v>
      </c>
      <c r="I2029" t="str">
        <f t="shared" si="31"/>
        <v>Light Commercial Equipment (Shop) Buildings|S|Good</v>
      </c>
      <c r="J2029" t="s">
        <v>753</v>
      </c>
    </row>
    <row r="2030" spans="2:10">
      <c r="B2030" t="s">
        <v>754</v>
      </c>
      <c r="C2030" t="s">
        <v>755</v>
      </c>
      <c r="D2030" t="s">
        <v>260</v>
      </c>
      <c r="E2030" t="s">
        <v>244</v>
      </c>
      <c r="F2030" t="s">
        <v>219</v>
      </c>
      <c r="G2030" t="s">
        <v>44</v>
      </c>
      <c r="H2030">
        <v>33.25</v>
      </c>
      <c r="I2030" t="str">
        <f t="shared" si="31"/>
        <v>Light Commercial Equipment (Shop) Buildings|S|Average</v>
      </c>
      <c r="J2030" t="s">
        <v>753</v>
      </c>
    </row>
    <row r="2031" spans="2:10">
      <c r="B2031" t="s">
        <v>754</v>
      </c>
      <c r="C2031" t="s">
        <v>755</v>
      </c>
      <c r="D2031" t="s">
        <v>260</v>
      </c>
      <c r="E2031" t="s">
        <v>244</v>
      </c>
      <c r="F2031" t="s">
        <v>735</v>
      </c>
      <c r="G2031" t="s">
        <v>229</v>
      </c>
      <c r="H2031">
        <v>42.5</v>
      </c>
      <c r="I2031" t="str">
        <f t="shared" si="31"/>
        <v>Light Commercial Equipment (Shop) Buildings|SSLANT|Good</v>
      </c>
      <c r="J2031" t="s">
        <v>753</v>
      </c>
    </row>
    <row r="2032" spans="2:10">
      <c r="B2032" t="s">
        <v>754</v>
      </c>
      <c r="C2032" t="s">
        <v>755</v>
      </c>
      <c r="D2032" t="s">
        <v>260</v>
      </c>
      <c r="E2032" t="s">
        <v>244</v>
      </c>
      <c r="F2032" t="s">
        <v>551</v>
      </c>
      <c r="G2032" t="s">
        <v>44</v>
      </c>
      <c r="H2032">
        <v>30.75</v>
      </c>
      <c r="I2032" t="str">
        <f t="shared" si="31"/>
        <v>Light Commercial Equipment (Shop) Buildings|CDS|Average</v>
      </c>
      <c r="J2032" t="s">
        <v>753</v>
      </c>
    </row>
    <row r="2033" spans="2:10">
      <c r="B2033" t="s">
        <v>756</v>
      </c>
      <c r="C2033" t="s">
        <v>757</v>
      </c>
      <c r="D2033" t="s">
        <v>260</v>
      </c>
      <c r="E2033" t="s">
        <v>248</v>
      </c>
      <c r="F2033" t="s">
        <v>209</v>
      </c>
      <c r="G2033" t="s">
        <v>229</v>
      </c>
      <c r="H2033">
        <v>46.25</v>
      </c>
      <c r="I2033" t="str">
        <f t="shared" si="31"/>
        <v>Light Commercial Equipment Sheds|C|Good</v>
      </c>
      <c r="J2033" t="s">
        <v>758</v>
      </c>
    </row>
    <row r="2034" spans="2:10">
      <c r="B2034" t="s">
        <v>756</v>
      </c>
      <c r="C2034" t="s">
        <v>757</v>
      </c>
      <c r="D2034" t="s">
        <v>260</v>
      </c>
      <c r="E2034" t="s">
        <v>248</v>
      </c>
      <c r="F2034" t="s">
        <v>209</v>
      </c>
      <c r="G2034" t="s">
        <v>44</v>
      </c>
      <c r="H2034">
        <v>34.75</v>
      </c>
      <c r="I2034" t="str">
        <f t="shared" si="31"/>
        <v>Light Commercial Equipment Sheds|C|Average</v>
      </c>
      <c r="J2034" t="s">
        <v>758</v>
      </c>
    </row>
    <row r="2035" spans="2:10">
      <c r="B2035" t="s">
        <v>756</v>
      </c>
      <c r="C2035" t="s">
        <v>757</v>
      </c>
      <c r="D2035" t="s">
        <v>260</v>
      </c>
      <c r="E2035" t="s">
        <v>248</v>
      </c>
      <c r="F2035" t="s">
        <v>214</v>
      </c>
      <c r="G2035" t="s">
        <v>229</v>
      </c>
      <c r="H2035">
        <v>43</v>
      </c>
      <c r="I2035" t="str">
        <f t="shared" si="31"/>
        <v>Light Commercial Equipment Sheds|D|Good</v>
      </c>
      <c r="J2035" t="s">
        <v>758</v>
      </c>
    </row>
    <row r="2036" spans="2:10">
      <c r="B2036" t="s">
        <v>756</v>
      </c>
      <c r="C2036" t="s">
        <v>757</v>
      </c>
      <c r="D2036" t="s">
        <v>260</v>
      </c>
      <c r="E2036" t="s">
        <v>248</v>
      </c>
      <c r="F2036" t="s">
        <v>214</v>
      </c>
      <c r="G2036" t="s">
        <v>44</v>
      </c>
      <c r="H2036">
        <v>31.75</v>
      </c>
      <c r="I2036" t="str">
        <f t="shared" si="31"/>
        <v>Light Commercial Equipment Sheds|D|Average</v>
      </c>
      <c r="J2036" t="s">
        <v>758</v>
      </c>
    </row>
    <row r="2037" spans="2:10">
      <c r="B2037" t="s">
        <v>756</v>
      </c>
      <c r="C2037" t="s">
        <v>757</v>
      </c>
      <c r="D2037" t="s">
        <v>260</v>
      </c>
      <c r="E2037" t="s">
        <v>248</v>
      </c>
      <c r="F2037" t="s">
        <v>313</v>
      </c>
      <c r="G2037" t="s">
        <v>229</v>
      </c>
      <c r="H2037">
        <v>37.25</v>
      </c>
      <c r="I2037" t="str">
        <f t="shared" si="31"/>
        <v>Light Commercial Equipment Sheds|DPOLE|Good</v>
      </c>
      <c r="J2037" t="s">
        <v>758</v>
      </c>
    </row>
    <row r="2038" spans="2:10">
      <c r="B2038" t="s">
        <v>756</v>
      </c>
      <c r="C2038" t="s">
        <v>757</v>
      </c>
      <c r="D2038" t="s">
        <v>260</v>
      </c>
      <c r="E2038" t="s">
        <v>248</v>
      </c>
      <c r="F2038" t="s">
        <v>313</v>
      </c>
      <c r="G2038" t="s">
        <v>44</v>
      </c>
      <c r="H2038">
        <v>28</v>
      </c>
      <c r="I2038" t="str">
        <f t="shared" si="31"/>
        <v>Light Commercial Equipment Sheds|DPOLE|Average</v>
      </c>
      <c r="J2038" t="s">
        <v>758</v>
      </c>
    </row>
    <row r="2039" spans="2:10">
      <c r="B2039" t="s">
        <v>756</v>
      </c>
      <c r="C2039" t="s">
        <v>757</v>
      </c>
      <c r="D2039" t="s">
        <v>260</v>
      </c>
      <c r="E2039" t="s">
        <v>248</v>
      </c>
      <c r="F2039" t="s">
        <v>219</v>
      </c>
      <c r="G2039" t="s">
        <v>229</v>
      </c>
      <c r="H2039">
        <v>40.75</v>
      </c>
      <c r="I2039" t="str">
        <f t="shared" si="31"/>
        <v>Light Commercial Equipment Sheds|S|Good</v>
      </c>
      <c r="J2039" t="s">
        <v>758</v>
      </c>
    </row>
    <row r="2040" spans="2:10">
      <c r="B2040" t="s">
        <v>756</v>
      </c>
      <c r="C2040" t="s">
        <v>757</v>
      </c>
      <c r="D2040" t="s">
        <v>260</v>
      </c>
      <c r="E2040" t="s">
        <v>248</v>
      </c>
      <c r="F2040" t="s">
        <v>219</v>
      </c>
      <c r="G2040" t="s">
        <v>44</v>
      </c>
      <c r="H2040">
        <v>31</v>
      </c>
      <c r="I2040" t="str">
        <f t="shared" si="31"/>
        <v>Light Commercial Equipment Sheds|S|Average</v>
      </c>
      <c r="J2040" t="s">
        <v>758</v>
      </c>
    </row>
    <row r="2041" spans="2:10">
      <c r="B2041" t="s">
        <v>756</v>
      </c>
      <c r="C2041" t="s">
        <v>757</v>
      </c>
      <c r="D2041" t="s">
        <v>260</v>
      </c>
      <c r="E2041" t="s">
        <v>248</v>
      </c>
      <c r="F2041" t="s">
        <v>735</v>
      </c>
      <c r="G2041" t="s">
        <v>229</v>
      </c>
      <c r="H2041">
        <v>37.75</v>
      </c>
      <c r="I2041" t="str">
        <f t="shared" si="31"/>
        <v>Light Commercial Equipment Sheds|SSLANT|Good</v>
      </c>
      <c r="J2041" t="s">
        <v>758</v>
      </c>
    </row>
    <row r="2042" spans="2:10">
      <c r="B2042" t="s">
        <v>756</v>
      </c>
      <c r="C2042" t="s">
        <v>757</v>
      </c>
      <c r="D2042" t="s">
        <v>260</v>
      </c>
      <c r="E2042" t="s">
        <v>248</v>
      </c>
      <c r="F2042" t="s">
        <v>735</v>
      </c>
      <c r="G2042" t="s">
        <v>44</v>
      </c>
      <c r="H2042">
        <v>29</v>
      </c>
      <c r="I2042" t="str">
        <f t="shared" si="31"/>
        <v>Light Commercial Equipment Sheds|SSLANT|Average</v>
      </c>
      <c r="J2042" t="s">
        <v>758</v>
      </c>
    </row>
    <row r="2043" spans="2:10">
      <c r="B2043" t="s">
        <v>759</v>
      </c>
      <c r="C2043" t="s">
        <v>760</v>
      </c>
      <c r="D2043" t="s">
        <v>260</v>
      </c>
      <c r="E2043" t="s">
        <v>248</v>
      </c>
      <c r="F2043" t="s">
        <v>209</v>
      </c>
      <c r="G2043" t="s">
        <v>229</v>
      </c>
      <c r="H2043">
        <v>114</v>
      </c>
      <c r="I2043" t="str">
        <f t="shared" si="31"/>
        <v>Shed Office Structures|C|Good</v>
      </c>
      <c r="J2043" t="s">
        <v>758</v>
      </c>
    </row>
    <row r="2044" spans="2:10">
      <c r="B2044" t="s">
        <v>759</v>
      </c>
      <c r="C2044" t="s">
        <v>760</v>
      </c>
      <c r="D2044" t="s">
        <v>260</v>
      </c>
      <c r="E2044" t="s">
        <v>248</v>
      </c>
      <c r="F2044" t="s">
        <v>209</v>
      </c>
      <c r="G2044" t="s">
        <v>44</v>
      </c>
      <c r="H2044">
        <v>83.5</v>
      </c>
      <c r="I2044" t="str">
        <f t="shared" si="31"/>
        <v>Shed Office Structures|C|Average</v>
      </c>
      <c r="J2044" t="s">
        <v>758</v>
      </c>
    </row>
    <row r="2045" spans="2:10">
      <c r="B2045" t="s">
        <v>759</v>
      </c>
      <c r="C2045" t="s">
        <v>760</v>
      </c>
      <c r="D2045" t="s">
        <v>260</v>
      </c>
      <c r="E2045" t="s">
        <v>248</v>
      </c>
      <c r="F2045" t="s">
        <v>214</v>
      </c>
      <c r="G2045" t="s">
        <v>229</v>
      </c>
      <c r="H2045">
        <v>111</v>
      </c>
      <c r="I2045" t="str">
        <f t="shared" si="31"/>
        <v>Shed Office Structures|D|Good</v>
      </c>
      <c r="J2045" t="s">
        <v>758</v>
      </c>
    </row>
    <row r="2046" spans="2:10">
      <c r="B2046" t="s">
        <v>759</v>
      </c>
      <c r="C2046" t="s">
        <v>760</v>
      </c>
      <c r="D2046" t="s">
        <v>260</v>
      </c>
      <c r="E2046" t="s">
        <v>248</v>
      </c>
      <c r="F2046" t="s">
        <v>214</v>
      </c>
      <c r="G2046" t="s">
        <v>44</v>
      </c>
      <c r="H2046">
        <v>80</v>
      </c>
      <c r="I2046" t="str">
        <f t="shared" si="31"/>
        <v>Shed Office Structures|D|Average</v>
      </c>
      <c r="J2046" t="s">
        <v>758</v>
      </c>
    </row>
    <row r="2047" spans="2:10">
      <c r="B2047" t="s">
        <v>759</v>
      </c>
      <c r="C2047" t="s">
        <v>760</v>
      </c>
      <c r="D2047" t="s">
        <v>260</v>
      </c>
      <c r="E2047" t="s">
        <v>248</v>
      </c>
      <c r="F2047" t="s">
        <v>214</v>
      </c>
      <c r="G2047" t="s">
        <v>226</v>
      </c>
      <c r="H2047">
        <v>56</v>
      </c>
      <c r="I2047" t="str">
        <f t="shared" si="31"/>
        <v>Shed Office Structures|D|Low Cost</v>
      </c>
      <c r="J2047" t="s">
        <v>758</v>
      </c>
    </row>
    <row r="2048" spans="2:10">
      <c r="B2048" t="s">
        <v>759</v>
      </c>
      <c r="C2048" t="s">
        <v>760</v>
      </c>
      <c r="D2048" t="s">
        <v>260</v>
      </c>
      <c r="E2048" t="s">
        <v>248</v>
      </c>
      <c r="F2048" t="s">
        <v>313</v>
      </c>
      <c r="G2048" t="s">
        <v>44</v>
      </c>
      <c r="H2048">
        <v>77.5</v>
      </c>
      <c r="I2048" t="str">
        <f t="shared" si="31"/>
        <v>Shed Office Structures|DPOLE|Average</v>
      </c>
      <c r="J2048" t="s">
        <v>758</v>
      </c>
    </row>
    <row r="2049" spans="2:10">
      <c r="B2049" t="s">
        <v>759</v>
      </c>
      <c r="C2049" t="s">
        <v>760</v>
      </c>
      <c r="D2049" t="s">
        <v>260</v>
      </c>
      <c r="E2049" t="s">
        <v>248</v>
      </c>
      <c r="F2049" t="s">
        <v>313</v>
      </c>
      <c r="G2049" t="s">
        <v>226</v>
      </c>
      <c r="H2049">
        <v>54.5</v>
      </c>
      <c r="I2049" t="str">
        <f t="shared" si="31"/>
        <v>Shed Office Structures|DPOLE|Low Cost</v>
      </c>
      <c r="J2049" t="s">
        <v>758</v>
      </c>
    </row>
    <row r="2050" spans="2:10">
      <c r="B2050" t="s">
        <v>759</v>
      </c>
      <c r="C2050" t="s">
        <v>760</v>
      </c>
      <c r="D2050" t="s">
        <v>260</v>
      </c>
      <c r="E2050" t="s">
        <v>248</v>
      </c>
      <c r="F2050" t="s">
        <v>219</v>
      </c>
      <c r="G2050" t="s">
        <v>44</v>
      </c>
      <c r="H2050">
        <v>79</v>
      </c>
      <c r="I2050" t="str">
        <f t="shared" si="31"/>
        <v>Shed Office Structures|S|Average</v>
      </c>
      <c r="J2050" t="s">
        <v>758</v>
      </c>
    </row>
    <row r="2051" spans="2:10">
      <c r="B2051" t="s">
        <v>759</v>
      </c>
      <c r="C2051" t="s">
        <v>760</v>
      </c>
      <c r="D2051" t="s">
        <v>260</v>
      </c>
      <c r="E2051" t="s">
        <v>248</v>
      </c>
      <c r="F2051" t="s">
        <v>219</v>
      </c>
      <c r="G2051" t="s">
        <v>226</v>
      </c>
      <c r="H2051">
        <v>56</v>
      </c>
      <c r="I2051" t="str">
        <f t="shared" si="31"/>
        <v>Shed Office Structures|S|Low Cost</v>
      </c>
      <c r="J2051" t="s">
        <v>758</v>
      </c>
    </row>
    <row r="2052" spans="2:10">
      <c r="B2052" t="s">
        <v>761</v>
      </c>
      <c r="C2052" t="s">
        <v>762</v>
      </c>
      <c r="D2052" t="s">
        <v>260</v>
      </c>
      <c r="E2052" t="s">
        <v>253</v>
      </c>
      <c r="F2052" t="s">
        <v>209</v>
      </c>
      <c r="G2052" t="s">
        <v>231</v>
      </c>
      <c r="H2052">
        <v>114</v>
      </c>
      <c r="I2052" t="str">
        <f t="shared" si="31"/>
        <v>Golf Cart Storage Buildings|C|Excellent</v>
      </c>
      <c r="J2052" t="s">
        <v>763</v>
      </c>
    </row>
    <row r="2053" spans="2:10">
      <c r="B2053" t="s">
        <v>761</v>
      </c>
      <c r="C2053" t="s">
        <v>762</v>
      </c>
      <c r="D2053" t="s">
        <v>260</v>
      </c>
      <c r="E2053" t="s">
        <v>253</v>
      </c>
      <c r="F2053" t="s">
        <v>209</v>
      </c>
      <c r="G2053" t="s">
        <v>229</v>
      </c>
      <c r="H2053">
        <v>88</v>
      </c>
      <c r="I2053" t="str">
        <f t="shared" si="31"/>
        <v>Golf Cart Storage Buildings|C|Good</v>
      </c>
      <c r="J2053" t="s">
        <v>763</v>
      </c>
    </row>
    <row r="2054" spans="2:10">
      <c r="B2054" t="s">
        <v>761</v>
      </c>
      <c r="C2054" t="s">
        <v>762</v>
      </c>
      <c r="D2054" t="s">
        <v>260</v>
      </c>
      <c r="E2054" t="s">
        <v>253</v>
      </c>
      <c r="F2054" t="s">
        <v>214</v>
      </c>
      <c r="G2054" t="s">
        <v>231</v>
      </c>
      <c r="H2054">
        <v>110</v>
      </c>
      <c r="I2054" t="str">
        <f t="shared" si="31"/>
        <v>Golf Cart Storage Buildings|D|Excellent</v>
      </c>
      <c r="J2054" t="s">
        <v>763</v>
      </c>
    </row>
    <row r="2055" spans="2:10">
      <c r="B2055" t="s">
        <v>761</v>
      </c>
      <c r="C2055" t="s">
        <v>762</v>
      </c>
      <c r="D2055" t="s">
        <v>260</v>
      </c>
      <c r="E2055" t="s">
        <v>253</v>
      </c>
      <c r="F2055" t="s">
        <v>214</v>
      </c>
      <c r="G2055" t="s">
        <v>229</v>
      </c>
      <c r="H2055">
        <v>84.5</v>
      </c>
      <c r="I2055" t="str">
        <f t="shared" si="31"/>
        <v>Golf Cart Storage Buildings|D|Good</v>
      </c>
      <c r="J2055" t="s">
        <v>763</v>
      </c>
    </row>
    <row r="2056" spans="2:10">
      <c r="B2056" t="s">
        <v>761</v>
      </c>
      <c r="C2056" t="s">
        <v>762</v>
      </c>
      <c r="D2056" t="s">
        <v>260</v>
      </c>
      <c r="E2056" t="s">
        <v>253</v>
      </c>
      <c r="F2056" t="s">
        <v>214</v>
      </c>
      <c r="G2056" t="s">
        <v>44</v>
      </c>
      <c r="H2056">
        <v>65</v>
      </c>
      <c r="I2056" t="str">
        <f t="shared" si="31"/>
        <v>Golf Cart Storage Buildings|D|Average</v>
      </c>
      <c r="J2056" t="s">
        <v>763</v>
      </c>
    </row>
    <row r="2057" spans="2:10">
      <c r="B2057" t="s">
        <v>761</v>
      </c>
      <c r="C2057" t="s">
        <v>762</v>
      </c>
      <c r="D2057" t="s">
        <v>260</v>
      </c>
      <c r="E2057" t="s">
        <v>253</v>
      </c>
      <c r="F2057" t="s">
        <v>313</v>
      </c>
      <c r="G2057" t="s">
        <v>229</v>
      </c>
      <c r="H2057">
        <v>71</v>
      </c>
      <c r="I2057" t="str">
        <f t="shared" si="31"/>
        <v>Golf Cart Storage Buildings|DPOLE|Good</v>
      </c>
      <c r="J2057" t="s">
        <v>763</v>
      </c>
    </row>
    <row r="2058" spans="2:10">
      <c r="B2058" t="s">
        <v>761</v>
      </c>
      <c r="C2058" t="s">
        <v>762</v>
      </c>
      <c r="D2058" t="s">
        <v>260</v>
      </c>
      <c r="E2058" t="s">
        <v>253</v>
      </c>
      <c r="F2058" t="s">
        <v>313</v>
      </c>
      <c r="G2058" t="s">
        <v>44</v>
      </c>
      <c r="H2058">
        <v>56</v>
      </c>
      <c r="I2058" t="str">
        <f t="shared" si="31"/>
        <v>Golf Cart Storage Buildings|DPOLE|Average</v>
      </c>
      <c r="J2058" t="s">
        <v>763</v>
      </c>
    </row>
    <row r="2059" spans="2:10">
      <c r="B2059" t="s">
        <v>761</v>
      </c>
      <c r="C2059" t="s">
        <v>762</v>
      </c>
      <c r="D2059" t="s">
        <v>260</v>
      </c>
      <c r="E2059" t="s">
        <v>253</v>
      </c>
      <c r="F2059" t="s">
        <v>219</v>
      </c>
      <c r="G2059" t="s">
        <v>229</v>
      </c>
      <c r="H2059">
        <v>77</v>
      </c>
      <c r="I2059" t="str">
        <f t="shared" si="31"/>
        <v>Golf Cart Storage Buildings|S|Good</v>
      </c>
      <c r="J2059" t="s">
        <v>763</v>
      </c>
    </row>
    <row r="2060" spans="2:10">
      <c r="B2060" t="s">
        <v>761</v>
      </c>
      <c r="C2060" t="s">
        <v>762</v>
      </c>
      <c r="D2060" t="s">
        <v>260</v>
      </c>
      <c r="E2060" t="s">
        <v>253</v>
      </c>
      <c r="F2060" t="s">
        <v>219</v>
      </c>
      <c r="G2060" t="s">
        <v>44</v>
      </c>
      <c r="H2060">
        <v>60.5</v>
      </c>
      <c r="I2060" t="str">
        <f t="shared" si="31"/>
        <v>Golf Cart Storage Buildings|S|Average</v>
      </c>
      <c r="J2060" t="s">
        <v>763</v>
      </c>
    </row>
    <row r="2061" spans="2:10">
      <c r="B2061" t="s">
        <v>761</v>
      </c>
      <c r="C2061" t="s">
        <v>762</v>
      </c>
      <c r="D2061" t="s">
        <v>260</v>
      </c>
      <c r="E2061" t="s">
        <v>253</v>
      </c>
      <c r="F2061" t="s">
        <v>735</v>
      </c>
      <c r="G2061" t="s">
        <v>44</v>
      </c>
      <c r="H2061">
        <v>57.5</v>
      </c>
      <c r="I2061" t="str">
        <f t="shared" si="31"/>
        <v>Golf Cart Storage Buildings|SSLANT|Average</v>
      </c>
      <c r="J2061" t="s">
        <v>763</v>
      </c>
    </row>
    <row r="2062" spans="2:10">
      <c r="B2062" t="s">
        <v>764</v>
      </c>
      <c r="C2062" t="s">
        <v>765</v>
      </c>
      <c r="D2062" t="s">
        <v>260</v>
      </c>
      <c r="E2062" t="s">
        <v>253</v>
      </c>
      <c r="F2062" t="s">
        <v>209</v>
      </c>
      <c r="G2062" t="s">
        <v>231</v>
      </c>
      <c r="H2062">
        <v>208</v>
      </c>
      <c r="I2062" t="str">
        <f t="shared" si="31"/>
        <v>Golf Starter (Guard House) Booths|C|Excellent</v>
      </c>
      <c r="J2062" t="s">
        <v>763</v>
      </c>
    </row>
    <row r="2063" spans="2:10">
      <c r="B2063" t="s">
        <v>764</v>
      </c>
      <c r="C2063" t="s">
        <v>765</v>
      </c>
      <c r="D2063" t="s">
        <v>260</v>
      </c>
      <c r="E2063" t="s">
        <v>253</v>
      </c>
      <c r="F2063" t="s">
        <v>209</v>
      </c>
      <c r="G2063" t="s">
        <v>229</v>
      </c>
      <c r="H2063">
        <v>152</v>
      </c>
      <c r="I2063" t="str">
        <f t="shared" si="31"/>
        <v>Golf Starter (Guard House) Booths|C|Good</v>
      </c>
      <c r="J2063" t="s">
        <v>763</v>
      </c>
    </row>
    <row r="2064" spans="2:10">
      <c r="B2064" t="s">
        <v>764</v>
      </c>
      <c r="C2064" t="s">
        <v>765</v>
      </c>
      <c r="D2064" t="s">
        <v>260</v>
      </c>
      <c r="E2064" t="s">
        <v>253</v>
      </c>
      <c r="F2064" t="s">
        <v>209</v>
      </c>
      <c r="G2064" t="s">
        <v>44</v>
      </c>
      <c r="H2064">
        <v>108</v>
      </c>
      <c r="I2064" t="str">
        <f t="shared" si="31"/>
        <v>Golf Starter (Guard House) Booths|C|Average</v>
      </c>
      <c r="J2064" t="s">
        <v>763</v>
      </c>
    </row>
    <row r="2065" spans="2:10">
      <c r="B2065" t="s">
        <v>764</v>
      </c>
      <c r="C2065" t="s">
        <v>765</v>
      </c>
      <c r="D2065" t="s">
        <v>260</v>
      </c>
      <c r="E2065" t="s">
        <v>253</v>
      </c>
      <c r="F2065" t="s">
        <v>214</v>
      </c>
      <c r="G2065" t="s">
        <v>231</v>
      </c>
      <c r="H2065">
        <v>203</v>
      </c>
      <c r="I2065" t="str">
        <f t="shared" si="31"/>
        <v>Golf Starter (Guard House) Booths|D|Excellent</v>
      </c>
      <c r="J2065" t="s">
        <v>763</v>
      </c>
    </row>
    <row r="2066" spans="2:10">
      <c r="B2066" t="s">
        <v>764</v>
      </c>
      <c r="C2066" t="s">
        <v>765</v>
      </c>
      <c r="D2066" t="s">
        <v>260</v>
      </c>
      <c r="E2066" t="s">
        <v>253</v>
      </c>
      <c r="F2066" t="s">
        <v>214</v>
      </c>
      <c r="G2066" t="s">
        <v>229</v>
      </c>
      <c r="H2066">
        <v>147</v>
      </c>
      <c r="I2066" t="str">
        <f t="shared" si="31"/>
        <v>Golf Starter (Guard House) Booths|D|Good</v>
      </c>
      <c r="J2066" t="s">
        <v>763</v>
      </c>
    </row>
    <row r="2067" spans="2:10">
      <c r="B2067" t="s">
        <v>764</v>
      </c>
      <c r="C2067" t="s">
        <v>765</v>
      </c>
      <c r="D2067" t="s">
        <v>260</v>
      </c>
      <c r="E2067" t="s">
        <v>253</v>
      </c>
      <c r="F2067" t="s">
        <v>214</v>
      </c>
      <c r="G2067" t="s">
        <v>44</v>
      </c>
      <c r="H2067">
        <v>103</v>
      </c>
      <c r="I2067" t="str">
        <f t="shared" si="31"/>
        <v>Golf Starter (Guard House) Booths|D|Average</v>
      </c>
      <c r="J2067" t="s">
        <v>763</v>
      </c>
    </row>
    <row r="2068" spans="2:10">
      <c r="B2068" t="s">
        <v>764</v>
      </c>
      <c r="C2068" t="s">
        <v>765</v>
      </c>
      <c r="D2068" t="s">
        <v>260</v>
      </c>
      <c r="E2068" t="s">
        <v>253</v>
      </c>
      <c r="F2068" t="s">
        <v>214</v>
      </c>
      <c r="G2068" t="s">
        <v>226</v>
      </c>
      <c r="H2068">
        <v>74.5</v>
      </c>
      <c r="I2068" t="str">
        <f t="shared" si="31"/>
        <v>Golf Starter (Guard House) Booths|D|Low Cost</v>
      </c>
      <c r="J2068" t="s">
        <v>763</v>
      </c>
    </row>
    <row r="2069" spans="2:10">
      <c r="B2069" t="s">
        <v>764</v>
      </c>
      <c r="C2069" t="s">
        <v>765</v>
      </c>
      <c r="D2069" t="s">
        <v>260</v>
      </c>
      <c r="E2069" t="s">
        <v>253</v>
      </c>
      <c r="F2069" t="s">
        <v>313</v>
      </c>
      <c r="G2069" t="s">
        <v>44</v>
      </c>
      <c r="H2069">
        <v>99</v>
      </c>
      <c r="I2069" t="str">
        <f t="shared" si="31"/>
        <v>Golf Starter (Guard House) Booths|DPOLE|Average</v>
      </c>
      <c r="J2069" t="s">
        <v>763</v>
      </c>
    </row>
    <row r="2070" spans="2:10">
      <c r="B2070" t="s">
        <v>764</v>
      </c>
      <c r="C2070" t="s">
        <v>765</v>
      </c>
      <c r="D2070" t="s">
        <v>260</v>
      </c>
      <c r="E2070" t="s">
        <v>253</v>
      </c>
      <c r="F2070" t="s">
        <v>313</v>
      </c>
      <c r="G2070" t="s">
        <v>226</v>
      </c>
      <c r="H2070">
        <v>72.5</v>
      </c>
      <c r="I2070" t="str">
        <f t="shared" si="31"/>
        <v>Golf Starter (Guard House) Booths|DPOLE|Low Cost</v>
      </c>
      <c r="J2070" t="s">
        <v>763</v>
      </c>
    </row>
    <row r="2071" spans="2:10">
      <c r="B2071" t="s">
        <v>764</v>
      </c>
      <c r="C2071" t="s">
        <v>765</v>
      </c>
      <c r="D2071" t="s">
        <v>260</v>
      </c>
      <c r="E2071" t="s">
        <v>253</v>
      </c>
      <c r="F2071" t="s">
        <v>219</v>
      </c>
      <c r="G2071" t="s">
        <v>229</v>
      </c>
      <c r="H2071">
        <v>144</v>
      </c>
      <c r="I2071" t="str">
        <f t="shared" si="31"/>
        <v>Golf Starter (Guard House) Booths|S|Good</v>
      </c>
      <c r="J2071" t="s">
        <v>763</v>
      </c>
    </row>
    <row r="2072" spans="2:10">
      <c r="B2072" t="s">
        <v>764</v>
      </c>
      <c r="C2072" t="s">
        <v>765</v>
      </c>
      <c r="D2072" t="s">
        <v>260</v>
      </c>
      <c r="E2072" t="s">
        <v>253</v>
      </c>
      <c r="F2072" t="s">
        <v>219</v>
      </c>
      <c r="G2072" t="s">
        <v>44</v>
      </c>
      <c r="H2072">
        <v>102</v>
      </c>
      <c r="I2072" t="str">
        <f t="shared" si="31"/>
        <v>Golf Starter (Guard House) Booths|S|Average</v>
      </c>
      <c r="J2072" t="s">
        <v>763</v>
      </c>
    </row>
    <row r="2073" spans="2:10">
      <c r="B2073" t="s">
        <v>764</v>
      </c>
      <c r="C2073" t="s">
        <v>765</v>
      </c>
      <c r="D2073" t="s">
        <v>260</v>
      </c>
      <c r="E2073" t="s">
        <v>253</v>
      </c>
      <c r="F2073" t="s">
        <v>219</v>
      </c>
      <c r="G2073" t="s">
        <v>226</v>
      </c>
      <c r="H2073">
        <v>74</v>
      </c>
      <c r="I2073" t="str">
        <f t="shared" si="31"/>
        <v>Golf Starter (Guard House) Booths|S|Low Cost</v>
      </c>
      <c r="J2073" t="s">
        <v>763</v>
      </c>
    </row>
    <row r="2074" spans="2:10">
      <c r="B2074" t="s">
        <v>766</v>
      </c>
      <c r="C2074" t="s">
        <v>767</v>
      </c>
      <c r="D2074" t="s">
        <v>260</v>
      </c>
      <c r="E2074" t="s">
        <v>258</v>
      </c>
      <c r="F2074" t="s">
        <v>209</v>
      </c>
      <c r="G2074" t="s">
        <v>250</v>
      </c>
      <c r="H2074">
        <v>62</v>
      </c>
      <c r="I2074" t="str">
        <f t="shared" si="31"/>
        <v>Material Storage Buildings|C|Very Good</v>
      </c>
      <c r="J2074" t="s">
        <v>768</v>
      </c>
    </row>
    <row r="2075" spans="2:10">
      <c r="B2075" t="s">
        <v>766</v>
      </c>
      <c r="C2075" t="s">
        <v>767</v>
      </c>
      <c r="D2075" t="s">
        <v>260</v>
      </c>
      <c r="E2075" t="s">
        <v>258</v>
      </c>
      <c r="F2075" t="s">
        <v>209</v>
      </c>
      <c r="G2075" t="s">
        <v>229</v>
      </c>
      <c r="H2075">
        <v>54</v>
      </c>
      <c r="I2075" t="str">
        <f t="shared" si="31"/>
        <v>Material Storage Buildings|C|Good</v>
      </c>
      <c r="J2075" t="s">
        <v>768</v>
      </c>
    </row>
    <row r="2076" spans="2:10">
      <c r="B2076" t="s">
        <v>766</v>
      </c>
      <c r="C2076" t="s">
        <v>767</v>
      </c>
      <c r="D2076" t="s">
        <v>260</v>
      </c>
      <c r="E2076" t="s">
        <v>258</v>
      </c>
      <c r="F2076" t="s">
        <v>209</v>
      </c>
      <c r="G2076" t="s">
        <v>44</v>
      </c>
      <c r="H2076">
        <v>41.5</v>
      </c>
      <c r="I2076" t="str">
        <f t="shared" si="31"/>
        <v>Material Storage Buildings|C|Average</v>
      </c>
      <c r="J2076" t="s">
        <v>768</v>
      </c>
    </row>
    <row r="2077" spans="2:10">
      <c r="B2077" t="s">
        <v>766</v>
      </c>
      <c r="C2077" t="s">
        <v>767</v>
      </c>
      <c r="D2077" t="s">
        <v>260</v>
      </c>
      <c r="E2077" t="s">
        <v>258</v>
      </c>
      <c r="F2077" t="s">
        <v>214</v>
      </c>
      <c r="G2077" t="s">
        <v>250</v>
      </c>
      <c r="H2077">
        <v>57</v>
      </c>
      <c r="I2077" t="str">
        <f t="shared" si="31"/>
        <v>Material Storage Buildings|D|Very Good</v>
      </c>
      <c r="J2077" t="s">
        <v>768</v>
      </c>
    </row>
    <row r="2078" spans="2:10">
      <c r="B2078" t="s">
        <v>766</v>
      </c>
      <c r="C2078" t="s">
        <v>767</v>
      </c>
      <c r="D2078" t="s">
        <v>260</v>
      </c>
      <c r="E2078" t="s">
        <v>258</v>
      </c>
      <c r="F2078" t="s">
        <v>214</v>
      </c>
      <c r="G2078" t="s">
        <v>229</v>
      </c>
      <c r="H2078">
        <v>47.25</v>
      </c>
      <c r="I2078" t="str">
        <f t="shared" ref="I2078:I2141" si="32">B2078&amp;"|"&amp;F2078&amp;"|"&amp;G2078</f>
        <v>Material Storage Buildings|D|Good</v>
      </c>
      <c r="J2078" t="s">
        <v>768</v>
      </c>
    </row>
    <row r="2079" spans="2:10">
      <c r="B2079" t="s">
        <v>766</v>
      </c>
      <c r="C2079" t="s">
        <v>767</v>
      </c>
      <c r="D2079" t="s">
        <v>260</v>
      </c>
      <c r="E2079" t="s">
        <v>258</v>
      </c>
      <c r="F2079" t="s">
        <v>214</v>
      </c>
      <c r="G2079" t="s">
        <v>44</v>
      </c>
      <c r="H2079">
        <v>32.5</v>
      </c>
      <c r="I2079" t="str">
        <f t="shared" si="32"/>
        <v>Material Storage Buildings|D|Average</v>
      </c>
      <c r="J2079" t="s">
        <v>768</v>
      </c>
    </row>
    <row r="2080" spans="2:10">
      <c r="B2080" t="s">
        <v>766</v>
      </c>
      <c r="C2080" t="s">
        <v>767</v>
      </c>
      <c r="D2080" t="s">
        <v>260</v>
      </c>
      <c r="E2080" t="s">
        <v>258</v>
      </c>
      <c r="F2080" t="s">
        <v>313</v>
      </c>
      <c r="G2080" t="s">
        <v>44</v>
      </c>
      <c r="H2080">
        <v>29</v>
      </c>
      <c r="I2080" t="str">
        <f t="shared" si="32"/>
        <v>Material Storage Buildings|DPOLE|Average</v>
      </c>
      <c r="J2080" t="s">
        <v>768</v>
      </c>
    </row>
    <row r="2081" spans="2:10">
      <c r="B2081" t="s">
        <v>766</v>
      </c>
      <c r="C2081" t="s">
        <v>767</v>
      </c>
      <c r="D2081" t="s">
        <v>260</v>
      </c>
      <c r="E2081" t="s">
        <v>258</v>
      </c>
      <c r="F2081" t="s">
        <v>219</v>
      </c>
      <c r="G2081" t="s">
        <v>250</v>
      </c>
      <c r="H2081">
        <v>56.5</v>
      </c>
      <c r="I2081" t="str">
        <f t="shared" si="32"/>
        <v>Material Storage Buildings|S|Very Good</v>
      </c>
      <c r="J2081" t="s">
        <v>768</v>
      </c>
    </row>
    <row r="2082" spans="2:10">
      <c r="B2082" t="s">
        <v>766</v>
      </c>
      <c r="C2082" t="s">
        <v>767</v>
      </c>
      <c r="D2082" t="s">
        <v>260</v>
      </c>
      <c r="E2082" t="s">
        <v>258</v>
      </c>
      <c r="F2082" t="s">
        <v>219</v>
      </c>
      <c r="G2082" t="s">
        <v>229</v>
      </c>
      <c r="H2082">
        <v>47.25</v>
      </c>
      <c r="I2082" t="str">
        <f t="shared" si="32"/>
        <v>Material Storage Buildings|S|Good</v>
      </c>
      <c r="J2082" t="s">
        <v>768</v>
      </c>
    </row>
    <row r="2083" spans="2:10">
      <c r="B2083" t="s">
        <v>766</v>
      </c>
      <c r="C2083" t="s">
        <v>767</v>
      </c>
      <c r="D2083" t="s">
        <v>260</v>
      </c>
      <c r="E2083" t="s">
        <v>258</v>
      </c>
      <c r="F2083" t="s">
        <v>219</v>
      </c>
      <c r="G2083" t="s">
        <v>44</v>
      </c>
      <c r="H2083">
        <v>32.75</v>
      </c>
      <c r="I2083" t="str">
        <f t="shared" si="32"/>
        <v>Material Storage Buildings|S|Average</v>
      </c>
      <c r="J2083" t="s">
        <v>768</v>
      </c>
    </row>
    <row r="2084" spans="2:10">
      <c r="B2084" t="s">
        <v>766</v>
      </c>
      <c r="C2084" t="s">
        <v>767</v>
      </c>
      <c r="D2084" t="s">
        <v>260</v>
      </c>
      <c r="E2084" t="s">
        <v>258</v>
      </c>
      <c r="F2084" t="s">
        <v>735</v>
      </c>
      <c r="G2084" t="s">
        <v>44</v>
      </c>
      <c r="H2084">
        <v>30</v>
      </c>
      <c r="I2084" t="str">
        <f t="shared" si="32"/>
        <v>Material Storage Buildings|SSLANT|Average</v>
      </c>
      <c r="J2084" t="s">
        <v>768</v>
      </c>
    </row>
    <row r="2085" spans="2:10">
      <c r="B2085" t="s">
        <v>769</v>
      </c>
      <c r="C2085" t="s">
        <v>770</v>
      </c>
      <c r="D2085" t="s">
        <v>260</v>
      </c>
      <c r="E2085" t="s">
        <v>258</v>
      </c>
      <c r="F2085" t="s">
        <v>209</v>
      </c>
      <c r="G2085" t="s">
        <v>44</v>
      </c>
      <c r="H2085">
        <v>28.75</v>
      </c>
      <c r="I2085" t="str">
        <f t="shared" si="32"/>
        <v>Material Storage Sheds|C|Average</v>
      </c>
      <c r="J2085" t="s">
        <v>768</v>
      </c>
    </row>
    <row r="2086" spans="2:10">
      <c r="B2086" t="s">
        <v>769</v>
      </c>
      <c r="C2086" t="s">
        <v>770</v>
      </c>
      <c r="D2086" t="s">
        <v>260</v>
      </c>
      <c r="E2086" t="s">
        <v>258</v>
      </c>
      <c r="F2086" t="s">
        <v>209</v>
      </c>
      <c r="G2086" t="s">
        <v>226</v>
      </c>
      <c r="H2086">
        <v>21.8</v>
      </c>
      <c r="I2086" t="str">
        <f t="shared" si="32"/>
        <v>Material Storage Sheds|C|Low Cost</v>
      </c>
      <c r="J2086" t="s">
        <v>768</v>
      </c>
    </row>
    <row r="2087" spans="2:10">
      <c r="B2087" t="s">
        <v>769</v>
      </c>
      <c r="C2087" t="s">
        <v>770</v>
      </c>
      <c r="D2087" t="s">
        <v>260</v>
      </c>
      <c r="E2087" t="s">
        <v>258</v>
      </c>
      <c r="F2087" t="s">
        <v>214</v>
      </c>
      <c r="G2087" t="s">
        <v>44</v>
      </c>
      <c r="H2087">
        <v>22.8</v>
      </c>
      <c r="I2087" t="str">
        <f t="shared" si="32"/>
        <v>Material Storage Sheds|D|Average</v>
      </c>
      <c r="J2087" t="s">
        <v>768</v>
      </c>
    </row>
    <row r="2088" spans="2:10">
      <c r="B2088" t="s">
        <v>769</v>
      </c>
      <c r="C2088" t="s">
        <v>770</v>
      </c>
      <c r="D2088" t="s">
        <v>260</v>
      </c>
      <c r="E2088" t="s">
        <v>258</v>
      </c>
      <c r="F2088" t="s">
        <v>214</v>
      </c>
      <c r="G2088" t="s">
        <v>226</v>
      </c>
      <c r="H2088">
        <v>16.05</v>
      </c>
      <c r="I2088" t="str">
        <f t="shared" si="32"/>
        <v>Material Storage Sheds|D|Low Cost</v>
      </c>
      <c r="J2088" t="s">
        <v>768</v>
      </c>
    </row>
    <row r="2089" spans="2:10">
      <c r="B2089" t="s">
        <v>769</v>
      </c>
      <c r="C2089" t="s">
        <v>770</v>
      </c>
      <c r="D2089" t="s">
        <v>260</v>
      </c>
      <c r="E2089" t="s">
        <v>258</v>
      </c>
      <c r="F2089" t="s">
        <v>313</v>
      </c>
      <c r="G2089" t="s">
        <v>44</v>
      </c>
      <c r="H2089">
        <v>18.600000000000001</v>
      </c>
      <c r="I2089" t="str">
        <f t="shared" si="32"/>
        <v>Material Storage Sheds|DPOLE|Average</v>
      </c>
      <c r="J2089" t="s">
        <v>768</v>
      </c>
    </row>
    <row r="2090" spans="2:10">
      <c r="B2090" t="s">
        <v>769</v>
      </c>
      <c r="C2090" t="s">
        <v>770</v>
      </c>
      <c r="D2090" t="s">
        <v>260</v>
      </c>
      <c r="E2090" t="s">
        <v>258</v>
      </c>
      <c r="F2090" t="s">
        <v>313</v>
      </c>
      <c r="G2090" t="s">
        <v>226</v>
      </c>
      <c r="H2090">
        <v>12.95</v>
      </c>
      <c r="I2090" t="str">
        <f t="shared" si="32"/>
        <v>Material Storage Sheds|DPOLE|Low Cost</v>
      </c>
      <c r="J2090" t="s">
        <v>768</v>
      </c>
    </row>
    <row r="2091" spans="2:10">
      <c r="B2091" t="s">
        <v>769</v>
      </c>
      <c r="C2091" t="s">
        <v>770</v>
      </c>
      <c r="D2091" t="s">
        <v>260</v>
      </c>
      <c r="E2091" t="s">
        <v>258</v>
      </c>
      <c r="F2091" t="s">
        <v>219</v>
      </c>
      <c r="G2091" t="s">
        <v>44</v>
      </c>
      <c r="H2091">
        <v>21.55</v>
      </c>
      <c r="I2091" t="str">
        <f t="shared" si="32"/>
        <v>Material Storage Sheds|S|Average</v>
      </c>
      <c r="J2091" t="s">
        <v>768</v>
      </c>
    </row>
    <row r="2092" spans="2:10">
      <c r="B2092" t="s">
        <v>769</v>
      </c>
      <c r="C2092" t="s">
        <v>770</v>
      </c>
      <c r="D2092" t="s">
        <v>260</v>
      </c>
      <c r="E2092" t="s">
        <v>258</v>
      </c>
      <c r="F2092" t="s">
        <v>219</v>
      </c>
      <c r="G2092" t="s">
        <v>226</v>
      </c>
      <c r="H2092">
        <v>15.5</v>
      </c>
      <c r="I2092" t="str">
        <f t="shared" si="32"/>
        <v>Material Storage Sheds|S|Low Cost</v>
      </c>
      <c r="J2092" t="s">
        <v>768</v>
      </c>
    </row>
    <row r="2093" spans="2:10">
      <c r="B2093" t="s">
        <v>769</v>
      </c>
      <c r="C2093" t="s">
        <v>770</v>
      </c>
      <c r="D2093" t="s">
        <v>260</v>
      </c>
      <c r="E2093" t="s">
        <v>258</v>
      </c>
      <c r="F2093" t="s">
        <v>735</v>
      </c>
      <c r="G2093" t="s">
        <v>44</v>
      </c>
      <c r="H2093">
        <v>20.05</v>
      </c>
      <c r="I2093" t="str">
        <f t="shared" si="32"/>
        <v>Material Storage Sheds|SSLANT|Average</v>
      </c>
      <c r="J2093" t="s">
        <v>768</v>
      </c>
    </row>
    <row r="2094" spans="2:10">
      <c r="B2094" t="s">
        <v>769</v>
      </c>
      <c r="C2094" t="s">
        <v>770</v>
      </c>
      <c r="D2094" t="s">
        <v>260</v>
      </c>
      <c r="E2094" t="s">
        <v>258</v>
      </c>
      <c r="F2094" t="s">
        <v>735</v>
      </c>
      <c r="G2094" t="s">
        <v>226</v>
      </c>
      <c r="H2094">
        <v>14.35</v>
      </c>
      <c r="I2094" t="str">
        <f t="shared" si="32"/>
        <v>Material Storage Sheds|SSLANT|Low Cost</v>
      </c>
      <c r="J2094" t="s">
        <v>768</v>
      </c>
    </row>
    <row r="2095" spans="2:10">
      <c r="B2095" t="s">
        <v>771</v>
      </c>
      <c r="C2095" t="s">
        <v>772</v>
      </c>
      <c r="D2095" t="s">
        <v>260</v>
      </c>
      <c r="E2095" t="s">
        <v>258</v>
      </c>
      <c r="F2095" t="s">
        <v>214</v>
      </c>
      <c r="G2095" t="s">
        <v>44</v>
      </c>
      <c r="H2095">
        <v>45.5</v>
      </c>
      <c r="I2095" t="str">
        <f t="shared" si="32"/>
        <v>Bulk Oil Storage|D|Average</v>
      </c>
      <c r="J2095" t="s">
        <v>768</v>
      </c>
    </row>
    <row r="2096" spans="2:10">
      <c r="B2096" t="s">
        <v>771</v>
      </c>
      <c r="C2096" t="s">
        <v>772</v>
      </c>
      <c r="D2096" t="s">
        <v>260</v>
      </c>
      <c r="E2096" t="s">
        <v>258</v>
      </c>
      <c r="F2096" t="s">
        <v>313</v>
      </c>
      <c r="G2096" t="s">
        <v>44</v>
      </c>
      <c r="H2096">
        <v>42.75</v>
      </c>
      <c r="I2096" t="str">
        <f t="shared" si="32"/>
        <v>Bulk Oil Storage|DPOLE|Average</v>
      </c>
      <c r="J2096" t="s">
        <v>768</v>
      </c>
    </row>
    <row r="2097" spans="2:10">
      <c r="B2097" t="s">
        <v>771</v>
      </c>
      <c r="C2097" t="s">
        <v>772</v>
      </c>
      <c r="D2097" t="s">
        <v>260</v>
      </c>
      <c r="E2097" t="s">
        <v>258</v>
      </c>
      <c r="F2097" t="s">
        <v>219</v>
      </c>
      <c r="G2097" t="s">
        <v>44</v>
      </c>
      <c r="H2097">
        <v>44.25</v>
      </c>
      <c r="I2097" t="str">
        <f t="shared" si="32"/>
        <v>Bulk Oil Storage|S|Average</v>
      </c>
      <c r="J2097" t="s">
        <v>768</v>
      </c>
    </row>
    <row r="2098" spans="2:10">
      <c r="B2098" t="s">
        <v>773</v>
      </c>
      <c r="C2098" t="s">
        <v>774</v>
      </c>
      <c r="D2098" t="s">
        <v>260</v>
      </c>
      <c r="E2098" t="s">
        <v>260</v>
      </c>
      <c r="F2098" t="s">
        <v>214</v>
      </c>
      <c r="G2098" t="s">
        <v>229</v>
      </c>
      <c r="H2098">
        <v>47.75</v>
      </c>
      <c r="I2098" t="str">
        <f t="shared" si="32"/>
        <v>Lumber Storage Buildings|D|Good</v>
      </c>
      <c r="J2098" t="s">
        <v>775</v>
      </c>
    </row>
    <row r="2099" spans="2:10">
      <c r="B2099" t="s">
        <v>773</v>
      </c>
      <c r="C2099" t="s">
        <v>774</v>
      </c>
      <c r="D2099" t="s">
        <v>260</v>
      </c>
      <c r="E2099" t="s">
        <v>260</v>
      </c>
      <c r="F2099" t="s">
        <v>214</v>
      </c>
      <c r="G2099" t="s">
        <v>44</v>
      </c>
      <c r="H2099">
        <v>33.5</v>
      </c>
      <c r="I2099" t="str">
        <f t="shared" si="32"/>
        <v>Lumber Storage Buildings|D|Average</v>
      </c>
      <c r="J2099" t="s">
        <v>775</v>
      </c>
    </row>
    <row r="2100" spans="2:10">
      <c r="B2100" t="s">
        <v>773</v>
      </c>
      <c r="C2100" t="s">
        <v>774</v>
      </c>
      <c r="D2100" t="s">
        <v>260</v>
      </c>
      <c r="E2100" t="s">
        <v>260</v>
      </c>
      <c r="F2100" t="s">
        <v>214</v>
      </c>
      <c r="G2100" t="s">
        <v>226</v>
      </c>
      <c r="H2100">
        <v>23.65</v>
      </c>
      <c r="I2100" t="str">
        <f t="shared" si="32"/>
        <v>Lumber Storage Buildings|D|Low Cost</v>
      </c>
      <c r="J2100" t="s">
        <v>775</v>
      </c>
    </row>
    <row r="2101" spans="2:10">
      <c r="B2101" t="s">
        <v>773</v>
      </c>
      <c r="C2101" t="s">
        <v>774</v>
      </c>
      <c r="D2101" t="s">
        <v>260</v>
      </c>
      <c r="E2101" t="s">
        <v>260</v>
      </c>
      <c r="F2101" t="s">
        <v>313</v>
      </c>
      <c r="G2101" t="s">
        <v>229</v>
      </c>
      <c r="H2101">
        <v>43</v>
      </c>
      <c r="I2101" t="str">
        <f t="shared" si="32"/>
        <v>Lumber Storage Buildings|DPOLE|Good</v>
      </c>
      <c r="J2101" t="s">
        <v>775</v>
      </c>
    </row>
    <row r="2102" spans="2:10">
      <c r="B2102" t="s">
        <v>773</v>
      </c>
      <c r="C2102" t="s">
        <v>774</v>
      </c>
      <c r="D2102" t="s">
        <v>260</v>
      </c>
      <c r="E2102" t="s">
        <v>260</v>
      </c>
      <c r="F2102" t="s">
        <v>313</v>
      </c>
      <c r="G2102" t="s">
        <v>44</v>
      </c>
      <c r="H2102">
        <v>30</v>
      </c>
      <c r="I2102" t="str">
        <f t="shared" si="32"/>
        <v>Lumber Storage Buildings|DPOLE|Average</v>
      </c>
      <c r="J2102" t="s">
        <v>775</v>
      </c>
    </row>
    <row r="2103" spans="2:10">
      <c r="B2103" t="s">
        <v>773</v>
      </c>
      <c r="C2103" t="s">
        <v>774</v>
      </c>
      <c r="D2103" t="s">
        <v>260</v>
      </c>
      <c r="E2103" t="s">
        <v>260</v>
      </c>
      <c r="F2103" t="s">
        <v>313</v>
      </c>
      <c r="G2103" t="s">
        <v>226</v>
      </c>
      <c r="H2103">
        <v>20.9</v>
      </c>
      <c r="I2103" t="str">
        <f t="shared" si="32"/>
        <v>Lumber Storage Buildings|DPOLE|Low Cost</v>
      </c>
      <c r="J2103" t="s">
        <v>775</v>
      </c>
    </row>
    <row r="2104" spans="2:10">
      <c r="B2104" t="s">
        <v>773</v>
      </c>
      <c r="C2104" t="s">
        <v>774</v>
      </c>
      <c r="D2104" t="s">
        <v>260</v>
      </c>
      <c r="E2104" t="s">
        <v>260</v>
      </c>
      <c r="F2104" t="s">
        <v>219</v>
      </c>
      <c r="G2104" t="s">
        <v>229</v>
      </c>
      <c r="H2104">
        <v>47.5</v>
      </c>
      <c r="I2104" t="str">
        <f t="shared" si="32"/>
        <v>Lumber Storage Buildings|S|Good</v>
      </c>
      <c r="J2104" t="s">
        <v>775</v>
      </c>
    </row>
    <row r="2105" spans="2:10">
      <c r="B2105" t="s">
        <v>773</v>
      </c>
      <c r="C2105" t="s">
        <v>774</v>
      </c>
      <c r="D2105" t="s">
        <v>260</v>
      </c>
      <c r="E2105" t="s">
        <v>260</v>
      </c>
      <c r="F2105" t="s">
        <v>219</v>
      </c>
      <c r="G2105" t="s">
        <v>44</v>
      </c>
      <c r="H2105">
        <v>33.5</v>
      </c>
      <c r="I2105" t="str">
        <f t="shared" si="32"/>
        <v>Lumber Storage Buildings|S|Average</v>
      </c>
      <c r="J2105" t="s">
        <v>775</v>
      </c>
    </row>
    <row r="2106" spans="2:10">
      <c r="B2106" t="s">
        <v>773</v>
      </c>
      <c r="C2106" t="s">
        <v>774</v>
      </c>
      <c r="D2106" t="s">
        <v>260</v>
      </c>
      <c r="E2106" t="s">
        <v>260</v>
      </c>
      <c r="F2106" t="s">
        <v>219</v>
      </c>
      <c r="G2106" t="s">
        <v>226</v>
      </c>
      <c r="H2106">
        <v>23.75</v>
      </c>
      <c r="I2106" t="str">
        <f t="shared" si="32"/>
        <v>Lumber Storage Buildings|S|Low Cost</v>
      </c>
      <c r="J2106" t="s">
        <v>775</v>
      </c>
    </row>
    <row r="2107" spans="2:10">
      <c r="B2107" t="s">
        <v>776</v>
      </c>
      <c r="C2107" t="s">
        <v>777</v>
      </c>
      <c r="D2107" t="s">
        <v>260</v>
      </c>
      <c r="E2107" t="s">
        <v>260</v>
      </c>
      <c r="F2107" t="s">
        <v>214</v>
      </c>
      <c r="G2107" t="s">
        <v>229</v>
      </c>
      <c r="H2107">
        <v>40</v>
      </c>
      <c r="I2107" t="str">
        <f t="shared" si="32"/>
        <v>Lumber Storage Sheds|D|Good</v>
      </c>
      <c r="J2107" t="s">
        <v>775</v>
      </c>
    </row>
    <row r="2108" spans="2:10">
      <c r="B2108" t="s">
        <v>776</v>
      </c>
      <c r="C2108" t="s">
        <v>777</v>
      </c>
      <c r="D2108" t="s">
        <v>260</v>
      </c>
      <c r="E2108" t="s">
        <v>260</v>
      </c>
      <c r="F2108" t="s">
        <v>214</v>
      </c>
      <c r="G2108" t="s">
        <v>44</v>
      </c>
      <c r="H2108">
        <v>27.25</v>
      </c>
      <c r="I2108" t="str">
        <f t="shared" si="32"/>
        <v>Lumber Storage Sheds|D|Average</v>
      </c>
      <c r="J2108" t="s">
        <v>775</v>
      </c>
    </row>
    <row r="2109" spans="2:10">
      <c r="B2109" t="s">
        <v>776</v>
      </c>
      <c r="C2109" t="s">
        <v>777</v>
      </c>
      <c r="D2109" t="s">
        <v>260</v>
      </c>
      <c r="E2109" t="s">
        <v>260</v>
      </c>
      <c r="F2109" t="s">
        <v>214</v>
      </c>
      <c r="G2109" t="s">
        <v>226</v>
      </c>
      <c r="H2109">
        <v>18.55</v>
      </c>
      <c r="I2109" t="str">
        <f t="shared" si="32"/>
        <v>Lumber Storage Sheds|D|Low Cost</v>
      </c>
      <c r="J2109" t="s">
        <v>775</v>
      </c>
    </row>
    <row r="2110" spans="2:10">
      <c r="B2110" t="s">
        <v>776</v>
      </c>
      <c r="C2110" t="s">
        <v>777</v>
      </c>
      <c r="D2110" t="s">
        <v>260</v>
      </c>
      <c r="E2110" t="s">
        <v>260</v>
      </c>
      <c r="F2110" t="s">
        <v>313</v>
      </c>
      <c r="G2110" t="s">
        <v>229</v>
      </c>
      <c r="H2110">
        <v>34.5</v>
      </c>
      <c r="I2110" t="str">
        <f t="shared" si="32"/>
        <v>Lumber Storage Sheds|DPOLE|Good</v>
      </c>
      <c r="J2110" t="s">
        <v>775</v>
      </c>
    </row>
    <row r="2111" spans="2:10">
      <c r="B2111" t="s">
        <v>776</v>
      </c>
      <c r="C2111" t="s">
        <v>777</v>
      </c>
      <c r="D2111" t="s">
        <v>260</v>
      </c>
      <c r="E2111" t="s">
        <v>260</v>
      </c>
      <c r="F2111" t="s">
        <v>313</v>
      </c>
      <c r="G2111" t="s">
        <v>44</v>
      </c>
      <c r="H2111">
        <v>23.45</v>
      </c>
      <c r="I2111" t="str">
        <f t="shared" si="32"/>
        <v>Lumber Storage Sheds|DPOLE|Average</v>
      </c>
      <c r="J2111" t="s">
        <v>775</v>
      </c>
    </row>
    <row r="2112" spans="2:10">
      <c r="B2112" t="s">
        <v>776</v>
      </c>
      <c r="C2112" t="s">
        <v>777</v>
      </c>
      <c r="D2112" t="s">
        <v>260</v>
      </c>
      <c r="E2112" t="s">
        <v>260</v>
      </c>
      <c r="F2112" t="s">
        <v>313</v>
      </c>
      <c r="G2112" t="s">
        <v>226</v>
      </c>
      <c r="H2112">
        <v>15.95</v>
      </c>
      <c r="I2112" t="str">
        <f t="shared" si="32"/>
        <v>Lumber Storage Sheds|DPOLE|Low Cost</v>
      </c>
      <c r="J2112" t="s">
        <v>775</v>
      </c>
    </row>
    <row r="2113" spans="2:10">
      <c r="B2113" t="s">
        <v>776</v>
      </c>
      <c r="C2113" t="s">
        <v>777</v>
      </c>
      <c r="D2113" t="s">
        <v>260</v>
      </c>
      <c r="E2113" t="s">
        <v>260</v>
      </c>
      <c r="F2113" t="s">
        <v>219</v>
      </c>
      <c r="G2113" t="s">
        <v>229</v>
      </c>
      <c r="H2113">
        <v>39.75</v>
      </c>
      <c r="I2113" t="str">
        <f t="shared" si="32"/>
        <v>Lumber Storage Sheds|S|Good</v>
      </c>
      <c r="J2113" t="s">
        <v>775</v>
      </c>
    </row>
    <row r="2114" spans="2:10">
      <c r="B2114" t="s">
        <v>776</v>
      </c>
      <c r="C2114" t="s">
        <v>777</v>
      </c>
      <c r="D2114" t="s">
        <v>260</v>
      </c>
      <c r="E2114" t="s">
        <v>260</v>
      </c>
      <c r="F2114" t="s">
        <v>219</v>
      </c>
      <c r="G2114" t="s">
        <v>44</v>
      </c>
      <c r="H2114">
        <v>27</v>
      </c>
      <c r="I2114" t="str">
        <f t="shared" si="32"/>
        <v>Lumber Storage Sheds|S|Average</v>
      </c>
      <c r="J2114" t="s">
        <v>775</v>
      </c>
    </row>
    <row r="2115" spans="2:10">
      <c r="B2115" t="s">
        <v>776</v>
      </c>
      <c r="C2115" t="s">
        <v>777</v>
      </c>
      <c r="D2115" t="s">
        <v>260</v>
      </c>
      <c r="E2115" t="s">
        <v>260</v>
      </c>
      <c r="F2115" t="s">
        <v>219</v>
      </c>
      <c r="G2115" t="s">
        <v>226</v>
      </c>
      <c r="H2115">
        <v>18.399999999999999</v>
      </c>
      <c r="I2115" t="str">
        <f t="shared" si="32"/>
        <v>Lumber Storage Sheds|S|Low Cost</v>
      </c>
      <c r="J2115" t="s">
        <v>775</v>
      </c>
    </row>
    <row r="2116" spans="2:10">
      <c r="B2116" t="s">
        <v>778</v>
      </c>
      <c r="C2116" t="s">
        <v>779</v>
      </c>
      <c r="D2116" t="s">
        <v>260</v>
      </c>
      <c r="E2116" t="s">
        <v>264</v>
      </c>
      <c r="F2116" t="s">
        <v>214</v>
      </c>
      <c r="G2116" t="s">
        <v>44</v>
      </c>
      <c r="H2116">
        <v>43.5</v>
      </c>
      <c r="I2116" t="str">
        <f t="shared" si="32"/>
        <v>Boat Storage Buildings|D|Average</v>
      </c>
      <c r="J2116" t="s">
        <v>780</v>
      </c>
    </row>
    <row r="2117" spans="2:10">
      <c r="B2117" t="s">
        <v>778</v>
      </c>
      <c r="C2117" t="s">
        <v>779</v>
      </c>
      <c r="D2117" t="s">
        <v>260</v>
      </c>
      <c r="E2117" t="s">
        <v>264</v>
      </c>
      <c r="F2117" t="s">
        <v>214</v>
      </c>
      <c r="G2117" t="s">
        <v>226</v>
      </c>
      <c r="H2117">
        <v>32.5</v>
      </c>
      <c r="I2117" t="str">
        <f t="shared" si="32"/>
        <v>Boat Storage Buildings|D|Low Cost</v>
      </c>
      <c r="J2117" t="s">
        <v>780</v>
      </c>
    </row>
    <row r="2118" spans="2:10">
      <c r="B2118" t="s">
        <v>778</v>
      </c>
      <c r="C2118" t="s">
        <v>779</v>
      </c>
      <c r="D2118" t="s">
        <v>260</v>
      </c>
      <c r="E2118" t="s">
        <v>264</v>
      </c>
      <c r="F2118" t="s">
        <v>313</v>
      </c>
      <c r="G2118" t="s">
        <v>44</v>
      </c>
      <c r="H2118">
        <v>40.25</v>
      </c>
      <c r="I2118" t="str">
        <f t="shared" si="32"/>
        <v>Boat Storage Buildings|DPOLE|Average</v>
      </c>
      <c r="J2118" t="s">
        <v>780</v>
      </c>
    </row>
    <row r="2119" spans="2:10">
      <c r="B2119" t="s">
        <v>778</v>
      </c>
      <c r="C2119" t="s">
        <v>779</v>
      </c>
      <c r="D2119" t="s">
        <v>260</v>
      </c>
      <c r="E2119" t="s">
        <v>264</v>
      </c>
      <c r="F2119" t="s">
        <v>313</v>
      </c>
      <c r="G2119" t="s">
        <v>226</v>
      </c>
      <c r="H2119">
        <v>30</v>
      </c>
      <c r="I2119" t="str">
        <f t="shared" si="32"/>
        <v>Boat Storage Buildings|DPOLE|Low Cost</v>
      </c>
      <c r="J2119" t="s">
        <v>780</v>
      </c>
    </row>
    <row r="2120" spans="2:10">
      <c r="B2120" t="s">
        <v>778</v>
      </c>
      <c r="C2120" t="s">
        <v>779</v>
      </c>
      <c r="D2120" t="s">
        <v>260</v>
      </c>
      <c r="E2120" t="s">
        <v>264</v>
      </c>
      <c r="F2120" t="s">
        <v>219</v>
      </c>
      <c r="G2120" t="s">
        <v>229</v>
      </c>
      <c r="H2120">
        <v>58.5</v>
      </c>
      <c r="I2120" t="str">
        <f t="shared" si="32"/>
        <v>Boat Storage Buildings|S|Good</v>
      </c>
      <c r="J2120" t="s">
        <v>780</v>
      </c>
    </row>
    <row r="2121" spans="2:10">
      <c r="B2121" t="s">
        <v>778</v>
      </c>
      <c r="C2121" t="s">
        <v>779</v>
      </c>
      <c r="D2121" t="s">
        <v>260</v>
      </c>
      <c r="E2121" t="s">
        <v>264</v>
      </c>
      <c r="F2121" t="s">
        <v>219</v>
      </c>
      <c r="G2121" t="s">
        <v>44</v>
      </c>
      <c r="H2121">
        <v>43.75</v>
      </c>
      <c r="I2121" t="str">
        <f t="shared" si="32"/>
        <v>Boat Storage Buildings|S|Average</v>
      </c>
      <c r="J2121" t="s">
        <v>780</v>
      </c>
    </row>
    <row r="2122" spans="2:10">
      <c r="B2122" t="s">
        <v>778</v>
      </c>
      <c r="C2122" t="s">
        <v>779</v>
      </c>
      <c r="D2122" t="s">
        <v>260</v>
      </c>
      <c r="E2122" t="s">
        <v>264</v>
      </c>
      <c r="F2122" t="s">
        <v>219</v>
      </c>
      <c r="G2122" t="s">
        <v>226</v>
      </c>
      <c r="H2122">
        <v>32.75</v>
      </c>
      <c r="I2122" t="str">
        <f t="shared" si="32"/>
        <v>Boat Storage Buildings|S|Low Cost</v>
      </c>
      <c r="J2122" t="s">
        <v>780</v>
      </c>
    </row>
    <row r="2123" spans="2:10">
      <c r="B2123" t="s">
        <v>778</v>
      </c>
      <c r="C2123" t="s">
        <v>779</v>
      </c>
      <c r="D2123" t="s">
        <v>260</v>
      </c>
      <c r="E2123" t="s">
        <v>264</v>
      </c>
      <c r="F2123" t="s">
        <v>735</v>
      </c>
      <c r="G2123" t="s">
        <v>229</v>
      </c>
      <c r="H2123">
        <v>56</v>
      </c>
      <c r="I2123" t="str">
        <f t="shared" si="32"/>
        <v>Boat Storage Buildings|SSLANT|Good</v>
      </c>
      <c r="J2123" t="s">
        <v>780</v>
      </c>
    </row>
    <row r="2124" spans="2:10">
      <c r="B2124" t="s">
        <v>778</v>
      </c>
      <c r="C2124" t="s">
        <v>779</v>
      </c>
      <c r="D2124" t="s">
        <v>260</v>
      </c>
      <c r="E2124" t="s">
        <v>264</v>
      </c>
      <c r="F2124" t="s">
        <v>735</v>
      </c>
      <c r="G2124" t="s">
        <v>44</v>
      </c>
      <c r="H2124">
        <v>41.5</v>
      </c>
      <c r="I2124" t="str">
        <f t="shared" si="32"/>
        <v>Boat Storage Buildings|SSLANT|Average</v>
      </c>
      <c r="J2124" t="s">
        <v>780</v>
      </c>
    </row>
    <row r="2125" spans="2:10">
      <c r="B2125" t="s">
        <v>778</v>
      </c>
      <c r="C2125" t="s">
        <v>779</v>
      </c>
      <c r="D2125" t="s">
        <v>260</v>
      </c>
      <c r="E2125" t="s">
        <v>264</v>
      </c>
      <c r="F2125" t="s">
        <v>735</v>
      </c>
      <c r="G2125" t="s">
        <v>226</v>
      </c>
      <c r="H2125">
        <v>31</v>
      </c>
      <c r="I2125" t="str">
        <f t="shared" si="32"/>
        <v>Boat Storage Buildings|SSLANT|Low Cost</v>
      </c>
      <c r="J2125" t="s">
        <v>780</v>
      </c>
    </row>
    <row r="2126" spans="2:10">
      <c r="B2126" t="s">
        <v>781</v>
      </c>
      <c r="C2126" t="s">
        <v>782</v>
      </c>
      <c r="D2126" t="s">
        <v>260</v>
      </c>
      <c r="E2126" t="s">
        <v>264</v>
      </c>
      <c r="F2126" t="s">
        <v>214</v>
      </c>
      <c r="G2126" t="s">
        <v>229</v>
      </c>
      <c r="H2126">
        <v>45.75</v>
      </c>
      <c r="I2126" t="str">
        <f t="shared" si="32"/>
        <v>Boat Storage Sheds|D|Good</v>
      </c>
      <c r="J2126" t="s">
        <v>780</v>
      </c>
    </row>
    <row r="2127" spans="2:10">
      <c r="B2127" t="s">
        <v>781</v>
      </c>
      <c r="C2127" t="s">
        <v>782</v>
      </c>
      <c r="D2127" t="s">
        <v>260</v>
      </c>
      <c r="E2127" t="s">
        <v>264</v>
      </c>
      <c r="F2127" t="s">
        <v>214</v>
      </c>
      <c r="G2127" t="s">
        <v>44</v>
      </c>
      <c r="H2127">
        <v>31</v>
      </c>
      <c r="I2127" t="str">
        <f t="shared" si="32"/>
        <v>Boat Storage Sheds|D|Average</v>
      </c>
      <c r="J2127" t="s">
        <v>780</v>
      </c>
    </row>
    <row r="2128" spans="2:10">
      <c r="B2128" t="s">
        <v>781</v>
      </c>
      <c r="C2128" t="s">
        <v>782</v>
      </c>
      <c r="D2128" t="s">
        <v>260</v>
      </c>
      <c r="E2128" t="s">
        <v>264</v>
      </c>
      <c r="F2128" t="s">
        <v>214</v>
      </c>
      <c r="G2128" t="s">
        <v>226</v>
      </c>
      <c r="H2128">
        <v>21.15</v>
      </c>
      <c r="I2128" t="str">
        <f t="shared" si="32"/>
        <v>Boat Storage Sheds|D|Low Cost</v>
      </c>
      <c r="J2128" t="s">
        <v>780</v>
      </c>
    </row>
    <row r="2129" spans="2:10">
      <c r="B2129" t="s">
        <v>781</v>
      </c>
      <c r="C2129" t="s">
        <v>782</v>
      </c>
      <c r="D2129" t="s">
        <v>260</v>
      </c>
      <c r="E2129" t="s">
        <v>264</v>
      </c>
      <c r="F2129" t="s">
        <v>313</v>
      </c>
      <c r="G2129" t="s">
        <v>229</v>
      </c>
      <c r="H2129">
        <v>43</v>
      </c>
      <c r="I2129" t="str">
        <f t="shared" si="32"/>
        <v>Boat Storage Sheds|DPOLE|Good</v>
      </c>
      <c r="J2129" t="s">
        <v>780</v>
      </c>
    </row>
    <row r="2130" spans="2:10">
      <c r="B2130" t="s">
        <v>781</v>
      </c>
      <c r="C2130" t="s">
        <v>782</v>
      </c>
      <c r="D2130" t="s">
        <v>260</v>
      </c>
      <c r="E2130" t="s">
        <v>264</v>
      </c>
      <c r="F2130" t="s">
        <v>313</v>
      </c>
      <c r="G2130" t="s">
        <v>44</v>
      </c>
      <c r="H2130">
        <v>28.75</v>
      </c>
      <c r="I2130" t="str">
        <f t="shared" si="32"/>
        <v>Boat Storage Sheds|DPOLE|Average</v>
      </c>
      <c r="J2130" t="s">
        <v>780</v>
      </c>
    </row>
    <row r="2131" spans="2:10">
      <c r="B2131" t="s">
        <v>781</v>
      </c>
      <c r="C2131" t="s">
        <v>782</v>
      </c>
      <c r="D2131" t="s">
        <v>260</v>
      </c>
      <c r="E2131" t="s">
        <v>264</v>
      </c>
      <c r="F2131" t="s">
        <v>313</v>
      </c>
      <c r="G2131" t="s">
        <v>226</v>
      </c>
      <c r="H2131">
        <v>19.350000000000001</v>
      </c>
      <c r="I2131" t="str">
        <f t="shared" si="32"/>
        <v>Boat Storage Sheds|DPOLE|Low Cost</v>
      </c>
      <c r="J2131" t="s">
        <v>780</v>
      </c>
    </row>
    <row r="2132" spans="2:10">
      <c r="B2132" t="s">
        <v>781</v>
      </c>
      <c r="C2132" t="s">
        <v>782</v>
      </c>
      <c r="D2132" t="s">
        <v>260</v>
      </c>
      <c r="E2132" t="s">
        <v>264</v>
      </c>
      <c r="F2132" t="s">
        <v>219</v>
      </c>
      <c r="G2132" t="s">
        <v>229</v>
      </c>
      <c r="H2132">
        <v>45.75</v>
      </c>
      <c r="I2132" t="str">
        <f t="shared" si="32"/>
        <v>Boat Storage Sheds|S|Good</v>
      </c>
      <c r="J2132" t="s">
        <v>780</v>
      </c>
    </row>
    <row r="2133" spans="2:10">
      <c r="B2133" t="s">
        <v>781</v>
      </c>
      <c r="C2133" t="s">
        <v>782</v>
      </c>
      <c r="D2133" t="s">
        <v>260</v>
      </c>
      <c r="E2133" t="s">
        <v>264</v>
      </c>
      <c r="F2133" t="s">
        <v>219</v>
      </c>
      <c r="G2133" t="s">
        <v>44</v>
      </c>
      <c r="H2133">
        <v>31</v>
      </c>
      <c r="I2133" t="str">
        <f t="shared" si="32"/>
        <v>Boat Storage Sheds|S|Average</v>
      </c>
      <c r="J2133" t="s">
        <v>780</v>
      </c>
    </row>
    <row r="2134" spans="2:10">
      <c r="B2134" t="s">
        <v>781</v>
      </c>
      <c r="C2134" t="s">
        <v>782</v>
      </c>
      <c r="D2134" t="s">
        <v>260</v>
      </c>
      <c r="E2134" t="s">
        <v>264</v>
      </c>
      <c r="F2134" t="s">
        <v>219</v>
      </c>
      <c r="G2134" t="s">
        <v>226</v>
      </c>
      <c r="H2134">
        <v>21.05</v>
      </c>
      <c r="I2134" t="str">
        <f t="shared" si="32"/>
        <v>Boat Storage Sheds|S|Low Cost</v>
      </c>
      <c r="J2134" t="s">
        <v>780</v>
      </c>
    </row>
    <row r="2135" spans="2:10">
      <c r="B2135" t="s">
        <v>783</v>
      </c>
      <c r="C2135" t="s">
        <v>784</v>
      </c>
      <c r="D2135" t="s">
        <v>260</v>
      </c>
      <c r="E2135" t="s">
        <v>269</v>
      </c>
      <c r="F2135" t="s">
        <v>214</v>
      </c>
      <c r="G2135" t="s">
        <v>44</v>
      </c>
      <c r="H2135">
        <v>49.5</v>
      </c>
      <c r="I2135" t="str">
        <f t="shared" si="32"/>
        <v>Bag Fertilizer Storage|D|Average</v>
      </c>
      <c r="J2135" t="s">
        <v>785</v>
      </c>
    </row>
    <row r="2136" spans="2:10">
      <c r="B2136" t="s">
        <v>783</v>
      </c>
      <c r="C2136" t="s">
        <v>784</v>
      </c>
      <c r="D2136" t="s">
        <v>260</v>
      </c>
      <c r="E2136" t="s">
        <v>269</v>
      </c>
      <c r="F2136" t="s">
        <v>313</v>
      </c>
      <c r="G2136" t="s">
        <v>44</v>
      </c>
      <c r="H2136">
        <v>47.25</v>
      </c>
      <c r="I2136" t="str">
        <f t="shared" si="32"/>
        <v>Bag Fertilizer Storage|DPOLE|Average</v>
      </c>
      <c r="J2136" t="s">
        <v>785</v>
      </c>
    </row>
    <row r="2137" spans="2:10">
      <c r="B2137" t="s">
        <v>783</v>
      </c>
      <c r="C2137" t="s">
        <v>784</v>
      </c>
      <c r="D2137" t="s">
        <v>260</v>
      </c>
      <c r="E2137" t="s">
        <v>269</v>
      </c>
      <c r="F2137" t="s">
        <v>219</v>
      </c>
      <c r="G2137" t="s">
        <v>44</v>
      </c>
      <c r="H2137">
        <v>48.5</v>
      </c>
      <c r="I2137" t="str">
        <f t="shared" si="32"/>
        <v>Bag Fertilizer Storage|S|Average</v>
      </c>
      <c r="J2137" t="s">
        <v>785</v>
      </c>
    </row>
    <row r="2138" spans="2:10">
      <c r="B2138" t="s">
        <v>786</v>
      </c>
      <c r="C2138" t="s">
        <v>787</v>
      </c>
      <c r="D2138" t="s">
        <v>260</v>
      </c>
      <c r="E2138" t="s">
        <v>269</v>
      </c>
      <c r="F2138" t="s">
        <v>209</v>
      </c>
      <c r="G2138" t="s">
        <v>44</v>
      </c>
      <c r="H2138">
        <v>61.5</v>
      </c>
      <c r="I2138" t="str">
        <f t="shared" si="32"/>
        <v>Bulk Fertilizer Storage|C|Average</v>
      </c>
      <c r="J2138" t="s">
        <v>785</v>
      </c>
    </row>
    <row r="2139" spans="2:10">
      <c r="B2139" t="s">
        <v>786</v>
      </c>
      <c r="C2139" t="s">
        <v>787</v>
      </c>
      <c r="D2139" t="s">
        <v>260</v>
      </c>
      <c r="E2139" t="s">
        <v>269</v>
      </c>
      <c r="F2139" t="s">
        <v>214</v>
      </c>
      <c r="G2139" t="s">
        <v>44</v>
      </c>
      <c r="H2139">
        <v>57.5</v>
      </c>
      <c r="I2139" t="str">
        <f t="shared" si="32"/>
        <v>Bulk Fertilizer Storage|D|Average</v>
      </c>
      <c r="J2139" t="s">
        <v>785</v>
      </c>
    </row>
    <row r="2140" spans="2:10">
      <c r="B2140" t="s">
        <v>786</v>
      </c>
      <c r="C2140" t="s">
        <v>787</v>
      </c>
      <c r="D2140" t="s">
        <v>260</v>
      </c>
      <c r="E2140" t="s">
        <v>269</v>
      </c>
      <c r="F2140" t="s">
        <v>313</v>
      </c>
      <c r="G2140" t="s">
        <v>44</v>
      </c>
      <c r="H2140">
        <v>54</v>
      </c>
      <c r="I2140" t="str">
        <f t="shared" si="32"/>
        <v>Bulk Fertilizer Storage|DPOLE|Average</v>
      </c>
      <c r="J2140" t="s">
        <v>785</v>
      </c>
    </row>
    <row r="2141" spans="2:10">
      <c r="B2141" t="s">
        <v>786</v>
      </c>
      <c r="C2141" t="s">
        <v>787</v>
      </c>
      <c r="D2141" t="s">
        <v>260</v>
      </c>
      <c r="E2141" t="s">
        <v>269</v>
      </c>
      <c r="F2141" t="s">
        <v>219</v>
      </c>
      <c r="G2141" t="s">
        <v>44</v>
      </c>
      <c r="H2141">
        <v>57.5</v>
      </c>
      <c r="I2141" t="str">
        <f t="shared" si="32"/>
        <v>Bulk Fertilizer Storage|S|Average</v>
      </c>
      <c r="J2141" t="s">
        <v>785</v>
      </c>
    </row>
    <row r="2142" spans="2:10">
      <c r="B2142" t="s">
        <v>788</v>
      </c>
      <c r="C2142" t="s">
        <v>789</v>
      </c>
      <c r="D2142" t="s">
        <v>260</v>
      </c>
      <c r="E2142" t="s">
        <v>269</v>
      </c>
      <c r="F2142" t="s">
        <v>209</v>
      </c>
      <c r="G2142" t="s">
        <v>44</v>
      </c>
      <c r="H2142">
        <v>43.5</v>
      </c>
      <c r="I2142" t="str">
        <f t="shared" ref="I2142:I2205" si="33">B2142&amp;"|"&amp;F2142&amp;"|"&amp;G2142</f>
        <v>Tobacco Barns – Flue Curing|C|Average</v>
      </c>
      <c r="J2142" t="s">
        <v>785</v>
      </c>
    </row>
    <row r="2143" spans="2:10">
      <c r="B2143" t="s">
        <v>788</v>
      </c>
      <c r="C2143" t="s">
        <v>789</v>
      </c>
      <c r="D2143" t="s">
        <v>260</v>
      </c>
      <c r="E2143" t="s">
        <v>269</v>
      </c>
      <c r="F2143" t="s">
        <v>214</v>
      </c>
      <c r="G2143" t="s">
        <v>44</v>
      </c>
      <c r="H2143">
        <v>38.75</v>
      </c>
      <c r="I2143" t="str">
        <f t="shared" si="33"/>
        <v>Tobacco Barns – Flue Curing|D|Average</v>
      </c>
      <c r="J2143" t="s">
        <v>785</v>
      </c>
    </row>
    <row r="2144" spans="2:10">
      <c r="B2144" t="s">
        <v>788</v>
      </c>
      <c r="C2144" t="s">
        <v>789</v>
      </c>
      <c r="D2144" t="s">
        <v>260</v>
      </c>
      <c r="E2144" t="s">
        <v>269</v>
      </c>
      <c r="F2144" t="s">
        <v>313</v>
      </c>
      <c r="G2144" t="s">
        <v>44</v>
      </c>
      <c r="H2144">
        <v>34.75</v>
      </c>
      <c r="I2144" t="str">
        <f t="shared" si="33"/>
        <v>Tobacco Barns – Flue Curing|DPOLE|Average</v>
      </c>
      <c r="J2144" t="s">
        <v>785</v>
      </c>
    </row>
    <row r="2145" spans="2:10">
      <c r="B2145" t="s">
        <v>788</v>
      </c>
      <c r="C2145" t="s">
        <v>789</v>
      </c>
      <c r="D2145" t="s">
        <v>260</v>
      </c>
      <c r="E2145" t="s">
        <v>269</v>
      </c>
      <c r="F2145" t="s">
        <v>219</v>
      </c>
      <c r="G2145" t="s">
        <v>44</v>
      </c>
      <c r="H2145">
        <v>38</v>
      </c>
      <c r="I2145" t="str">
        <f t="shared" si="33"/>
        <v>Tobacco Barns – Flue Curing|S|Average</v>
      </c>
      <c r="J2145" t="s">
        <v>785</v>
      </c>
    </row>
    <row r="2146" spans="2:10">
      <c r="B2146" t="s">
        <v>790</v>
      </c>
      <c r="C2146" t="s">
        <v>791</v>
      </c>
      <c r="D2146" t="s">
        <v>260</v>
      </c>
      <c r="E2146" t="s">
        <v>269</v>
      </c>
      <c r="F2146" t="s">
        <v>214</v>
      </c>
      <c r="G2146" t="s">
        <v>44</v>
      </c>
      <c r="H2146">
        <v>36.75</v>
      </c>
      <c r="I2146" t="str">
        <f t="shared" si="33"/>
        <v>Tobacco Barns – Air Curing|D|Average</v>
      </c>
      <c r="J2146" t="s">
        <v>785</v>
      </c>
    </row>
    <row r="2147" spans="2:10">
      <c r="B2147" t="s">
        <v>790</v>
      </c>
      <c r="C2147" t="s">
        <v>791</v>
      </c>
      <c r="D2147" t="s">
        <v>260</v>
      </c>
      <c r="E2147" t="s">
        <v>269</v>
      </c>
      <c r="F2147" t="s">
        <v>214</v>
      </c>
      <c r="G2147" t="s">
        <v>226</v>
      </c>
      <c r="H2147">
        <v>26.5</v>
      </c>
      <c r="I2147" t="str">
        <f t="shared" si="33"/>
        <v>Tobacco Barns – Air Curing|D|Low Cost</v>
      </c>
      <c r="J2147" t="s">
        <v>785</v>
      </c>
    </row>
    <row r="2148" spans="2:10">
      <c r="B2148" t="s">
        <v>792</v>
      </c>
      <c r="C2148" t="s">
        <v>793</v>
      </c>
      <c r="D2148" t="s">
        <v>260</v>
      </c>
      <c r="E2148" t="s">
        <v>269</v>
      </c>
      <c r="F2148" t="s">
        <v>209</v>
      </c>
      <c r="G2148" t="s">
        <v>44</v>
      </c>
      <c r="H2148">
        <v>135</v>
      </c>
      <c r="I2148" t="str">
        <f t="shared" si="33"/>
        <v>Dehydrator Shed Buildings|C|Average</v>
      </c>
      <c r="J2148" t="s">
        <v>785</v>
      </c>
    </row>
    <row r="2149" spans="2:10">
      <c r="B2149" t="s">
        <v>794</v>
      </c>
      <c r="C2149" t="s">
        <v>795</v>
      </c>
      <c r="D2149" t="s">
        <v>260</v>
      </c>
      <c r="E2149" t="s">
        <v>274</v>
      </c>
      <c r="F2149" t="s">
        <v>209</v>
      </c>
      <c r="G2149" t="s">
        <v>229</v>
      </c>
      <c r="H2149">
        <v>68.5</v>
      </c>
      <c r="I2149" t="str">
        <f t="shared" si="33"/>
        <v>Farm Cold Storage Buildings|C|Good</v>
      </c>
      <c r="J2149" t="s">
        <v>796</v>
      </c>
    </row>
    <row r="2150" spans="2:10">
      <c r="B2150" t="s">
        <v>794</v>
      </c>
      <c r="C2150" t="s">
        <v>795</v>
      </c>
      <c r="D2150" t="s">
        <v>260</v>
      </c>
      <c r="E2150" t="s">
        <v>274</v>
      </c>
      <c r="F2150" t="s">
        <v>209</v>
      </c>
      <c r="G2150" t="s">
        <v>44</v>
      </c>
      <c r="H2150">
        <v>48.5</v>
      </c>
      <c r="I2150" t="str">
        <f t="shared" si="33"/>
        <v>Farm Cold Storage Buildings|C|Average</v>
      </c>
      <c r="J2150" t="s">
        <v>796</v>
      </c>
    </row>
    <row r="2151" spans="2:10">
      <c r="B2151" t="s">
        <v>794</v>
      </c>
      <c r="C2151" t="s">
        <v>795</v>
      </c>
      <c r="D2151" t="s">
        <v>260</v>
      </c>
      <c r="E2151" t="s">
        <v>274</v>
      </c>
      <c r="F2151" t="s">
        <v>209</v>
      </c>
      <c r="G2151" t="s">
        <v>226</v>
      </c>
      <c r="H2151">
        <v>34.25</v>
      </c>
      <c r="I2151" t="str">
        <f t="shared" si="33"/>
        <v>Farm Cold Storage Buildings|C|Low Cost</v>
      </c>
      <c r="J2151" t="s">
        <v>796</v>
      </c>
    </row>
    <row r="2152" spans="2:10">
      <c r="B2152" t="s">
        <v>794</v>
      </c>
      <c r="C2152" t="s">
        <v>795</v>
      </c>
      <c r="D2152" t="s">
        <v>260</v>
      </c>
      <c r="E2152" t="s">
        <v>274</v>
      </c>
      <c r="F2152" t="s">
        <v>214</v>
      </c>
      <c r="G2152" t="s">
        <v>229</v>
      </c>
      <c r="H2152">
        <v>64</v>
      </c>
      <c r="I2152" t="str">
        <f t="shared" si="33"/>
        <v>Farm Cold Storage Buildings|D|Good</v>
      </c>
      <c r="J2152" t="s">
        <v>796</v>
      </c>
    </row>
    <row r="2153" spans="2:10">
      <c r="B2153" t="s">
        <v>794</v>
      </c>
      <c r="C2153" t="s">
        <v>795</v>
      </c>
      <c r="D2153" t="s">
        <v>260</v>
      </c>
      <c r="E2153" t="s">
        <v>274</v>
      </c>
      <c r="F2153" t="s">
        <v>214</v>
      </c>
      <c r="G2153" t="s">
        <v>44</v>
      </c>
      <c r="H2153">
        <v>44.25</v>
      </c>
      <c r="I2153" t="str">
        <f t="shared" si="33"/>
        <v>Farm Cold Storage Buildings|D|Average</v>
      </c>
      <c r="J2153" t="s">
        <v>796</v>
      </c>
    </row>
    <row r="2154" spans="2:10">
      <c r="B2154" t="s">
        <v>794</v>
      </c>
      <c r="C2154" t="s">
        <v>795</v>
      </c>
      <c r="D2154" t="s">
        <v>260</v>
      </c>
      <c r="E2154" t="s">
        <v>274</v>
      </c>
      <c r="F2154" t="s">
        <v>214</v>
      </c>
      <c r="G2154" t="s">
        <v>226</v>
      </c>
      <c r="H2154">
        <v>30.75</v>
      </c>
      <c r="I2154" t="str">
        <f t="shared" si="33"/>
        <v>Farm Cold Storage Buildings|D|Low Cost</v>
      </c>
      <c r="J2154" t="s">
        <v>796</v>
      </c>
    </row>
    <row r="2155" spans="2:10">
      <c r="B2155" t="s">
        <v>794</v>
      </c>
      <c r="C2155" t="s">
        <v>795</v>
      </c>
      <c r="D2155" t="s">
        <v>260</v>
      </c>
      <c r="E2155" t="s">
        <v>274</v>
      </c>
      <c r="F2155" t="s">
        <v>313</v>
      </c>
      <c r="G2155" t="s">
        <v>44</v>
      </c>
      <c r="H2155">
        <v>42</v>
      </c>
      <c r="I2155" t="str">
        <f t="shared" si="33"/>
        <v>Farm Cold Storage Buildings|DPOLE|Average</v>
      </c>
      <c r="J2155" t="s">
        <v>796</v>
      </c>
    </row>
    <row r="2156" spans="2:10">
      <c r="B2156" t="s">
        <v>794</v>
      </c>
      <c r="C2156" t="s">
        <v>795</v>
      </c>
      <c r="D2156" t="s">
        <v>260</v>
      </c>
      <c r="E2156" t="s">
        <v>274</v>
      </c>
      <c r="F2156" t="s">
        <v>313</v>
      </c>
      <c r="G2156" t="s">
        <v>226</v>
      </c>
      <c r="H2156">
        <v>29.5</v>
      </c>
      <c r="I2156" t="str">
        <f t="shared" si="33"/>
        <v>Farm Cold Storage Buildings|DPOLE|Low Cost</v>
      </c>
      <c r="J2156" t="s">
        <v>796</v>
      </c>
    </row>
    <row r="2157" spans="2:10">
      <c r="B2157" t="s">
        <v>794</v>
      </c>
      <c r="C2157" t="s">
        <v>795</v>
      </c>
      <c r="D2157" t="s">
        <v>260</v>
      </c>
      <c r="E2157" t="s">
        <v>274</v>
      </c>
      <c r="F2157" t="s">
        <v>219</v>
      </c>
      <c r="G2157" t="s">
        <v>229</v>
      </c>
      <c r="H2157">
        <v>64</v>
      </c>
      <c r="I2157" t="str">
        <f t="shared" si="33"/>
        <v>Farm Cold Storage Buildings|S|Good</v>
      </c>
      <c r="J2157" t="s">
        <v>796</v>
      </c>
    </row>
    <row r="2158" spans="2:10">
      <c r="B2158" t="s">
        <v>794</v>
      </c>
      <c r="C2158" t="s">
        <v>795</v>
      </c>
      <c r="D2158" t="s">
        <v>260</v>
      </c>
      <c r="E2158" t="s">
        <v>274</v>
      </c>
      <c r="F2158" t="s">
        <v>219</v>
      </c>
      <c r="G2158" t="s">
        <v>44</v>
      </c>
      <c r="H2158">
        <v>44.75</v>
      </c>
      <c r="I2158" t="str">
        <f t="shared" si="33"/>
        <v>Farm Cold Storage Buildings|S|Average</v>
      </c>
      <c r="J2158" t="s">
        <v>796</v>
      </c>
    </row>
    <row r="2159" spans="2:10">
      <c r="B2159" t="s">
        <v>794</v>
      </c>
      <c r="C2159" t="s">
        <v>795</v>
      </c>
      <c r="D2159" t="s">
        <v>260</v>
      </c>
      <c r="E2159" t="s">
        <v>274</v>
      </c>
      <c r="F2159" t="s">
        <v>219</v>
      </c>
      <c r="G2159" t="s">
        <v>226</v>
      </c>
      <c r="H2159">
        <v>31.5</v>
      </c>
      <c r="I2159" t="str">
        <f t="shared" si="33"/>
        <v>Farm Cold Storage Buildings|S|Low Cost</v>
      </c>
      <c r="J2159" t="s">
        <v>796</v>
      </c>
    </row>
    <row r="2160" spans="2:10">
      <c r="B2160" t="s">
        <v>797</v>
      </c>
      <c r="C2160" t="s">
        <v>798</v>
      </c>
      <c r="D2160" t="s">
        <v>260</v>
      </c>
      <c r="E2160" t="s">
        <v>274</v>
      </c>
      <c r="F2160" t="s">
        <v>209</v>
      </c>
      <c r="G2160" t="s">
        <v>44</v>
      </c>
      <c r="H2160">
        <v>46.25</v>
      </c>
      <c r="I2160" t="str">
        <f t="shared" si="33"/>
        <v>Fruit Packing Barns|C|Average</v>
      </c>
      <c r="J2160" t="s">
        <v>796</v>
      </c>
    </row>
    <row r="2161" spans="2:10">
      <c r="B2161" t="s">
        <v>797</v>
      </c>
      <c r="C2161" t="s">
        <v>798</v>
      </c>
      <c r="D2161" t="s">
        <v>260</v>
      </c>
      <c r="E2161" t="s">
        <v>274</v>
      </c>
      <c r="F2161" t="s">
        <v>214</v>
      </c>
      <c r="G2161" t="s">
        <v>44</v>
      </c>
      <c r="H2161">
        <v>42.5</v>
      </c>
      <c r="I2161" t="str">
        <f t="shared" si="33"/>
        <v>Fruit Packing Barns|D|Average</v>
      </c>
      <c r="J2161" t="s">
        <v>796</v>
      </c>
    </row>
    <row r="2162" spans="2:10">
      <c r="B2162" t="s">
        <v>797</v>
      </c>
      <c r="C2162" t="s">
        <v>798</v>
      </c>
      <c r="D2162" t="s">
        <v>260</v>
      </c>
      <c r="E2162" t="s">
        <v>274</v>
      </c>
      <c r="F2162" t="s">
        <v>313</v>
      </c>
      <c r="G2162" t="s">
        <v>44</v>
      </c>
      <c r="H2162">
        <v>40</v>
      </c>
      <c r="I2162" t="str">
        <f t="shared" si="33"/>
        <v>Fruit Packing Barns|DPOLE|Average</v>
      </c>
      <c r="J2162" t="s">
        <v>796</v>
      </c>
    </row>
    <row r="2163" spans="2:10">
      <c r="B2163" t="s">
        <v>797</v>
      </c>
      <c r="C2163" t="s">
        <v>798</v>
      </c>
      <c r="D2163" t="s">
        <v>260</v>
      </c>
      <c r="E2163" t="s">
        <v>274</v>
      </c>
      <c r="F2163" t="s">
        <v>219</v>
      </c>
      <c r="G2163" t="s">
        <v>44</v>
      </c>
      <c r="H2163">
        <v>43</v>
      </c>
      <c r="I2163" t="str">
        <f t="shared" si="33"/>
        <v>Fruit Packing Barns|S|Average</v>
      </c>
      <c r="J2163" t="s">
        <v>796</v>
      </c>
    </row>
    <row r="2164" spans="2:10">
      <c r="B2164" t="s">
        <v>799</v>
      </c>
      <c r="C2164" t="s">
        <v>800</v>
      </c>
      <c r="D2164" t="s">
        <v>260</v>
      </c>
      <c r="E2164" t="s">
        <v>276</v>
      </c>
      <c r="F2164" t="s">
        <v>209</v>
      </c>
      <c r="G2164" t="s">
        <v>229</v>
      </c>
      <c r="H2164">
        <v>77</v>
      </c>
      <c r="I2164" t="str">
        <f t="shared" si="33"/>
        <v>Potato Storage Buildings|C|Good</v>
      </c>
      <c r="J2164" t="s">
        <v>801</v>
      </c>
    </row>
    <row r="2165" spans="2:10">
      <c r="B2165" t="s">
        <v>799</v>
      </c>
      <c r="C2165" t="s">
        <v>800</v>
      </c>
      <c r="D2165" t="s">
        <v>260</v>
      </c>
      <c r="E2165" t="s">
        <v>276</v>
      </c>
      <c r="F2165" t="s">
        <v>209</v>
      </c>
      <c r="G2165" t="s">
        <v>44</v>
      </c>
      <c r="H2165">
        <v>51.5</v>
      </c>
      <c r="I2165" t="str">
        <f t="shared" si="33"/>
        <v>Potato Storage Buildings|C|Average</v>
      </c>
      <c r="J2165" t="s">
        <v>801</v>
      </c>
    </row>
    <row r="2166" spans="2:10">
      <c r="B2166" t="s">
        <v>799</v>
      </c>
      <c r="C2166" t="s">
        <v>800</v>
      </c>
      <c r="D2166" t="s">
        <v>260</v>
      </c>
      <c r="E2166" t="s">
        <v>276</v>
      </c>
      <c r="F2166" t="s">
        <v>209</v>
      </c>
      <c r="G2166" t="s">
        <v>226</v>
      </c>
      <c r="H2166">
        <v>34.75</v>
      </c>
      <c r="I2166" t="str">
        <f t="shared" si="33"/>
        <v>Potato Storage Buildings|C|Low Cost</v>
      </c>
      <c r="J2166" t="s">
        <v>801</v>
      </c>
    </row>
    <row r="2167" spans="2:10">
      <c r="B2167" t="s">
        <v>799</v>
      </c>
      <c r="C2167" t="s">
        <v>800</v>
      </c>
      <c r="D2167" t="s">
        <v>260</v>
      </c>
      <c r="E2167" t="s">
        <v>276</v>
      </c>
      <c r="F2167" t="s">
        <v>209</v>
      </c>
      <c r="G2167" t="s">
        <v>314</v>
      </c>
      <c r="H2167">
        <v>18.75</v>
      </c>
      <c r="I2167" t="str">
        <f t="shared" si="33"/>
        <v>Potato Storage Buildings|C|Cheap</v>
      </c>
      <c r="J2167" t="s">
        <v>801</v>
      </c>
    </row>
    <row r="2168" spans="2:10">
      <c r="B2168" t="s">
        <v>799</v>
      </c>
      <c r="C2168" t="s">
        <v>800</v>
      </c>
      <c r="D2168" t="s">
        <v>260</v>
      </c>
      <c r="E2168" t="s">
        <v>276</v>
      </c>
      <c r="F2168" t="s">
        <v>214</v>
      </c>
      <c r="G2168" t="s">
        <v>229</v>
      </c>
      <c r="H2168">
        <v>73</v>
      </c>
      <c r="I2168" t="str">
        <f t="shared" si="33"/>
        <v>Potato Storage Buildings|D|Good</v>
      </c>
      <c r="J2168" t="s">
        <v>801</v>
      </c>
    </row>
    <row r="2169" spans="2:10">
      <c r="B2169" t="s">
        <v>799</v>
      </c>
      <c r="C2169" t="s">
        <v>800</v>
      </c>
      <c r="D2169" t="s">
        <v>260</v>
      </c>
      <c r="E2169" t="s">
        <v>276</v>
      </c>
      <c r="F2169" t="s">
        <v>214</v>
      </c>
      <c r="G2169" t="s">
        <v>44</v>
      </c>
      <c r="H2169">
        <v>47</v>
      </c>
      <c r="I2169" t="str">
        <f t="shared" si="33"/>
        <v>Potato Storage Buildings|D|Average</v>
      </c>
      <c r="J2169" t="s">
        <v>801</v>
      </c>
    </row>
    <row r="2170" spans="2:10">
      <c r="B2170" t="s">
        <v>799</v>
      </c>
      <c r="C2170" t="s">
        <v>800</v>
      </c>
      <c r="D2170" t="s">
        <v>260</v>
      </c>
      <c r="E2170" t="s">
        <v>276</v>
      </c>
      <c r="F2170" t="s">
        <v>214</v>
      </c>
      <c r="G2170" t="s">
        <v>226</v>
      </c>
      <c r="H2170">
        <v>30.5</v>
      </c>
      <c r="I2170" t="str">
        <f t="shared" si="33"/>
        <v>Potato Storage Buildings|D|Low Cost</v>
      </c>
      <c r="J2170" t="s">
        <v>801</v>
      </c>
    </row>
    <row r="2171" spans="2:10">
      <c r="B2171" t="s">
        <v>799</v>
      </c>
      <c r="C2171" t="s">
        <v>800</v>
      </c>
      <c r="D2171" t="s">
        <v>260</v>
      </c>
      <c r="E2171" t="s">
        <v>276</v>
      </c>
      <c r="F2171" t="s">
        <v>214</v>
      </c>
      <c r="G2171" t="s">
        <v>314</v>
      </c>
      <c r="H2171">
        <v>15.2</v>
      </c>
      <c r="I2171" t="str">
        <f t="shared" si="33"/>
        <v>Potato Storage Buildings|D|Cheap</v>
      </c>
      <c r="J2171" t="s">
        <v>801</v>
      </c>
    </row>
    <row r="2172" spans="2:10">
      <c r="B2172" t="s">
        <v>799</v>
      </c>
      <c r="C2172" t="s">
        <v>800</v>
      </c>
      <c r="D2172" t="s">
        <v>260</v>
      </c>
      <c r="E2172" t="s">
        <v>276</v>
      </c>
      <c r="F2172" t="s">
        <v>313</v>
      </c>
      <c r="G2172" t="s">
        <v>229</v>
      </c>
      <c r="H2172">
        <v>67</v>
      </c>
      <c r="I2172" t="str">
        <f t="shared" si="33"/>
        <v>Potato Storage Buildings|DPOLE|Good</v>
      </c>
      <c r="J2172" t="s">
        <v>801</v>
      </c>
    </row>
    <row r="2173" spans="2:10">
      <c r="B2173" t="s">
        <v>799</v>
      </c>
      <c r="C2173" t="s">
        <v>800</v>
      </c>
      <c r="D2173" t="s">
        <v>260</v>
      </c>
      <c r="E2173" t="s">
        <v>276</v>
      </c>
      <c r="F2173" t="s">
        <v>313</v>
      </c>
      <c r="G2173" t="s">
        <v>44</v>
      </c>
      <c r="H2173">
        <v>43.25</v>
      </c>
      <c r="I2173" t="str">
        <f t="shared" si="33"/>
        <v>Potato Storage Buildings|DPOLE|Average</v>
      </c>
      <c r="J2173" t="s">
        <v>801</v>
      </c>
    </row>
    <row r="2174" spans="2:10">
      <c r="B2174" t="s">
        <v>799</v>
      </c>
      <c r="C2174" t="s">
        <v>800</v>
      </c>
      <c r="D2174" t="s">
        <v>260</v>
      </c>
      <c r="E2174" t="s">
        <v>276</v>
      </c>
      <c r="F2174" t="s">
        <v>313</v>
      </c>
      <c r="G2174" t="s">
        <v>226</v>
      </c>
      <c r="H2174">
        <v>28</v>
      </c>
      <c r="I2174" t="str">
        <f t="shared" si="33"/>
        <v>Potato Storage Buildings|DPOLE|Low Cost</v>
      </c>
      <c r="J2174" t="s">
        <v>801</v>
      </c>
    </row>
    <row r="2175" spans="2:10">
      <c r="B2175" t="s">
        <v>799</v>
      </c>
      <c r="C2175" t="s">
        <v>800</v>
      </c>
      <c r="D2175" t="s">
        <v>260</v>
      </c>
      <c r="E2175" t="s">
        <v>276</v>
      </c>
      <c r="F2175" t="s">
        <v>313</v>
      </c>
      <c r="G2175" t="s">
        <v>314</v>
      </c>
      <c r="H2175">
        <v>13.7</v>
      </c>
      <c r="I2175" t="str">
        <f t="shared" si="33"/>
        <v>Potato Storage Buildings|DPOLE|Cheap</v>
      </c>
      <c r="J2175" t="s">
        <v>801</v>
      </c>
    </row>
    <row r="2176" spans="2:10">
      <c r="B2176" t="s">
        <v>799</v>
      </c>
      <c r="C2176" t="s">
        <v>800</v>
      </c>
      <c r="D2176" t="s">
        <v>260</v>
      </c>
      <c r="E2176" t="s">
        <v>276</v>
      </c>
      <c r="F2176" t="s">
        <v>219</v>
      </c>
      <c r="G2176" t="s">
        <v>229</v>
      </c>
      <c r="H2176">
        <v>71.5</v>
      </c>
      <c r="I2176" t="str">
        <f t="shared" si="33"/>
        <v>Potato Storage Buildings|S|Good</v>
      </c>
      <c r="J2176" t="s">
        <v>801</v>
      </c>
    </row>
    <row r="2177" spans="2:10">
      <c r="B2177" t="s">
        <v>799</v>
      </c>
      <c r="C2177" t="s">
        <v>800</v>
      </c>
      <c r="D2177" t="s">
        <v>260</v>
      </c>
      <c r="E2177" t="s">
        <v>276</v>
      </c>
      <c r="F2177" t="s">
        <v>219</v>
      </c>
      <c r="G2177" t="s">
        <v>44</v>
      </c>
      <c r="H2177">
        <v>47.25</v>
      </c>
      <c r="I2177" t="str">
        <f t="shared" si="33"/>
        <v>Potato Storage Buildings|S|Average</v>
      </c>
      <c r="J2177" t="s">
        <v>801</v>
      </c>
    </row>
    <row r="2178" spans="2:10">
      <c r="B2178" t="s">
        <v>799</v>
      </c>
      <c r="C2178" t="s">
        <v>800</v>
      </c>
      <c r="D2178" t="s">
        <v>260</v>
      </c>
      <c r="E2178" t="s">
        <v>276</v>
      </c>
      <c r="F2178" t="s">
        <v>219</v>
      </c>
      <c r="G2178" t="s">
        <v>226</v>
      </c>
      <c r="H2178">
        <v>31.5</v>
      </c>
      <c r="I2178" t="str">
        <f t="shared" si="33"/>
        <v>Potato Storage Buildings|S|Low Cost</v>
      </c>
      <c r="J2178" t="s">
        <v>801</v>
      </c>
    </row>
    <row r="2179" spans="2:10">
      <c r="B2179" t="s">
        <v>802</v>
      </c>
      <c r="C2179" t="s">
        <v>803</v>
      </c>
      <c r="D2179" t="s">
        <v>260</v>
      </c>
      <c r="E2179" t="s">
        <v>276</v>
      </c>
      <c r="F2179" t="s">
        <v>735</v>
      </c>
      <c r="G2179" t="s">
        <v>229</v>
      </c>
      <c r="H2179">
        <v>69.5</v>
      </c>
      <c r="I2179" t="str">
        <f t="shared" si="33"/>
        <v>Vegetable Buildings – Environmental|SSLANT|Good</v>
      </c>
      <c r="J2179" t="s">
        <v>801</v>
      </c>
    </row>
    <row r="2180" spans="2:10">
      <c r="B2180" t="s">
        <v>802</v>
      </c>
      <c r="C2180" t="s">
        <v>803</v>
      </c>
      <c r="D2180" t="s">
        <v>260</v>
      </c>
      <c r="E2180" t="s">
        <v>276</v>
      </c>
      <c r="F2180" t="s">
        <v>735</v>
      </c>
      <c r="G2180" t="s">
        <v>302</v>
      </c>
      <c r="H2180">
        <v>49.5</v>
      </c>
      <c r="I2180" t="str">
        <f t="shared" si="33"/>
        <v>Vegetable Buildings – Environmental|SSLANT|Fair</v>
      </c>
      <c r="J2180" t="s">
        <v>801</v>
      </c>
    </row>
    <row r="2181" spans="2:10">
      <c r="B2181" t="s">
        <v>802</v>
      </c>
      <c r="C2181" t="s">
        <v>803</v>
      </c>
      <c r="D2181" t="s">
        <v>260</v>
      </c>
      <c r="E2181" t="s">
        <v>276</v>
      </c>
      <c r="F2181" t="s">
        <v>735</v>
      </c>
      <c r="G2181" t="s">
        <v>226</v>
      </c>
      <c r="H2181">
        <v>44.25</v>
      </c>
      <c r="I2181" t="str">
        <f t="shared" si="33"/>
        <v>Vegetable Buildings – Environmental|SSLANT|Low Cost</v>
      </c>
      <c r="J2181" t="s">
        <v>801</v>
      </c>
    </row>
    <row r="2182" spans="2:10">
      <c r="B2182" t="s">
        <v>804</v>
      </c>
      <c r="C2182" t="s">
        <v>805</v>
      </c>
      <c r="D2182" t="s">
        <v>260</v>
      </c>
      <c r="E2182" t="s">
        <v>276</v>
      </c>
      <c r="F2182" t="s">
        <v>209</v>
      </c>
      <c r="G2182" t="s">
        <v>44</v>
      </c>
      <c r="H2182">
        <v>59</v>
      </c>
      <c r="I2182" t="str">
        <f t="shared" si="33"/>
        <v>Controlled Atmosphere Buildings|C|Average</v>
      </c>
      <c r="J2182" t="s">
        <v>801</v>
      </c>
    </row>
    <row r="2183" spans="2:10">
      <c r="B2183" t="s">
        <v>804</v>
      </c>
      <c r="C2183" t="s">
        <v>805</v>
      </c>
      <c r="D2183" t="s">
        <v>260</v>
      </c>
      <c r="E2183" t="s">
        <v>276</v>
      </c>
      <c r="F2183" t="s">
        <v>214</v>
      </c>
      <c r="G2183" t="s">
        <v>44</v>
      </c>
      <c r="H2183">
        <v>55</v>
      </c>
      <c r="I2183" t="str">
        <f t="shared" si="33"/>
        <v>Controlled Atmosphere Buildings|D|Average</v>
      </c>
      <c r="J2183" t="s">
        <v>801</v>
      </c>
    </row>
    <row r="2184" spans="2:10">
      <c r="B2184" t="s">
        <v>804</v>
      </c>
      <c r="C2184" t="s">
        <v>805</v>
      </c>
      <c r="D2184" t="s">
        <v>260</v>
      </c>
      <c r="E2184" t="s">
        <v>276</v>
      </c>
      <c r="F2184" t="s">
        <v>313</v>
      </c>
      <c r="G2184" t="s">
        <v>44</v>
      </c>
      <c r="H2184">
        <v>52.5</v>
      </c>
      <c r="I2184" t="str">
        <f t="shared" si="33"/>
        <v>Controlled Atmosphere Buildings|DPOLE|Average</v>
      </c>
      <c r="J2184" t="s">
        <v>801</v>
      </c>
    </row>
    <row r="2185" spans="2:10">
      <c r="B2185" t="s">
        <v>804</v>
      </c>
      <c r="C2185" t="s">
        <v>805</v>
      </c>
      <c r="D2185" t="s">
        <v>260</v>
      </c>
      <c r="E2185" t="s">
        <v>276</v>
      </c>
      <c r="F2185" t="s">
        <v>219</v>
      </c>
      <c r="G2185" t="s">
        <v>44</v>
      </c>
      <c r="H2185">
        <v>56</v>
      </c>
      <c r="I2185" t="str">
        <f t="shared" si="33"/>
        <v>Controlled Atmosphere Buildings|S|Average</v>
      </c>
      <c r="J2185" t="s">
        <v>801</v>
      </c>
    </row>
    <row r="2186" spans="2:10">
      <c r="B2186" t="s">
        <v>806</v>
      </c>
      <c r="C2186" t="s">
        <v>807</v>
      </c>
      <c r="D2186" t="s">
        <v>260</v>
      </c>
      <c r="E2186" t="s">
        <v>280</v>
      </c>
      <c r="F2186" t="s">
        <v>214</v>
      </c>
      <c r="G2186" t="s">
        <v>44</v>
      </c>
      <c r="H2186">
        <v>14.7</v>
      </c>
      <c r="I2186" t="str">
        <f t="shared" si="33"/>
        <v>Greenhouse – Straight-Wall Structures|D|Average</v>
      </c>
      <c r="J2186" t="s">
        <v>808</v>
      </c>
    </row>
    <row r="2187" spans="2:10">
      <c r="B2187" t="s">
        <v>806</v>
      </c>
      <c r="C2187" t="s">
        <v>807</v>
      </c>
      <c r="D2187" t="s">
        <v>260</v>
      </c>
      <c r="E2187" t="s">
        <v>280</v>
      </c>
      <c r="F2187" t="s">
        <v>214</v>
      </c>
      <c r="G2187" t="s">
        <v>302</v>
      </c>
      <c r="H2187">
        <v>9.58</v>
      </c>
      <c r="I2187" t="str">
        <f t="shared" si="33"/>
        <v>Greenhouse – Straight-Wall Structures|D|Fair</v>
      </c>
      <c r="J2187" t="s">
        <v>808</v>
      </c>
    </row>
    <row r="2188" spans="2:10">
      <c r="B2188" t="s">
        <v>806</v>
      </c>
      <c r="C2188" t="s">
        <v>807</v>
      </c>
      <c r="D2188" t="s">
        <v>260</v>
      </c>
      <c r="E2188" t="s">
        <v>280</v>
      </c>
      <c r="F2188" t="s">
        <v>214</v>
      </c>
      <c r="G2188" t="s">
        <v>226</v>
      </c>
      <c r="H2188">
        <v>6.24</v>
      </c>
      <c r="I2188" t="str">
        <f t="shared" si="33"/>
        <v>Greenhouse – Straight-Wall Structures|D|Low Cost</v>
      </c>
      <c r="J2188" t="s">
        <v>808</v>
      </c>
    </row>
    <row r="2189" spans="2:10">
      <c r="B2189" t="s">
        <v>806</v>
      </c>
      <c r="C2189" t="s">
        <v>807</v>
      </c>
      <c r="D2189" t="s">
        <v>260</v>
      </c>
      <c r="E2189" t="s">
        <v>280</v>
      </c>
      <c r="F2189" t="s">
        <v>214</v>
      </c>
      <c r="G2189" t="s">
        <v>314</v>
      </c>
      <c r="H2189">
        <v>5.54</v>
      </c>
      <c r="I2189" t="str">
        <f t="shared" si="33"/>
        <v>Greenhouse – Straight-Wall Structures|D|Cheap</v>
      </c>
      <c r="J2189" t="s">
        <v>808</v>
      </c>
    </row>
    <row r="2190" spans="2:10">
      <c r="B2190" t="s">
        <v>806</v>
      </c>
      <c r="C2190" t="s">
        <v>807</v>
      </c>
      <c r="D2190" t="s">
        <v>260</v>
      </c>
      <c r="E2190" t="s">
        <v>280</v>
      </c>
      <c r="F2190" t="s">
        <v>219</v>
      </c>
      <c r="G2190" t="s">
        <v>231</v>
      </c>
      <c r="H2190">
        <v>46</v>
      </c>
      <c r="I2190" t="str">
        <f t="shared" si="33"/>
        <v>Greenhouse – Straight-Wall Structures|S|Excellent</v>
      </c>
      <c r="J2190" t="s">
        <v>808</v>
      </c>
    </row>
    <row r="2191" spans="2:10">
      <c r="B2191" t="s">
        <v>806</v>
      </c>
      <c r="C2191" t="s">
        <v>807</v>
      </c>
      <c r="D2191" t="s">
        <v>260</v>
      </c>
      <c r="E2191" t="s">
        <v>280</v>
      </c>
      <c r="F2191" t="s">
        <v>219</v>
      </c>
      <c r="G2191" t="s">
        <v>250</v>
      </c>
      <c r="H2191">
        <v>38</v>
      </c>
      <c r="I2191" t="str">
        <f t="shared" si="33"/>
        <v>Greenhouse – Straight-Wall Structures|S|Very Good</v>
      </c>
      <c r="J2191" t="s">
        <v>808</v>
      </c>
    </row>
    <row r="2192" spans="2:10">
      <c r="B2192" t="s">
        <v>806</v>
      </c>
      <c r="C2192" t="s">
        <v>807</v>
      </c>
      <c r="D2192" t="s">
        <v>260</v>
      </c>
      <c r="E2192" t="s">
        <v>280</v>
      </c>
      <c r="F2192" t="s">
        <v>219</v>
      </c>
      <c r="G2192" t="s">
        <v>229</v>
      </c>
      <c r="H2192">
        <v>31.25</v>
      </c>
      <c r="I2192" t="str">
        <f t="shared" si="33"/>
        <v>Greenhouse – Straight-Wall Structures|S|Good</v>
      </c>
      <c r="J2192" t="s">
        <v>808</v>
      </c>
    </row>
    <row r="2193" spans="2:10">
      <c r="B2193" t="s">
        <v>806</v>
      </c>
      <c r="C2193" t="s">
        <v>807</v>
      </c>
      <c r="D2193" t="s">
        <v>260</v>
      </c>
      <c r="E2193" t="s">
        <v>280</v>
      </c>
      <c r="F2193" t="s">
        <v>219</v>
      </c>
      <c r="G2193" t="s">
        <v>44</v>
      </c>
      <c r="H2193">
        <v>14.55</v>
      </c>
      <c r="I2193" t="str">
        <f t="shared" si="33"/>
        <v>Greenhouse – Straight-Wall Structures|S|Average</v>
      </c>
      <c r="J2193" t="s">
        <v>808</v>
      </c>
    </row>
    <row r="2194" spans="2:10">
      <c r="B2194" t="s">
        <v>806</v>
      </c>
      <c r="C2194" t="s">
        <v>807</v>
      </c>
      <c r="D2194" t="s">
        <v>260</v>
      </c>
      <c r="E2194" t="s">
        <v>280</v>
      </c>
      <c r="F2194" t="s">
        <v>219</v>
      </c>
      <c r="G2194" t="s">
        <v>302</v>
      </c>
      <c r="H2194">
        <v>9.92</v>
      </c>
      <c r="I2194" t="str">
        <f t="shared" si="33"/>
        <v>Greenhouse – Straight-Wall Structures|S|Fair</v>
      </c>
      <c r="J2194" t="s">
        <v>808</v>
      </c>
    </row>
    <row r="2195" spans="2:10">
      <c r="B2195" t="s">
        <v>806</v>
      </c>
      <c r="C2195" t="s">
        <v>807</v>
      </c>
      <c r="D2195" t="s">
        <v>260</v>
      </c>
      <c r="E2195" t="s">
        <v>280</v>
      </c>
      <c r="F2195" t="s">
        <v>219</v>
      </c>
      <c r="G2195" t="s">
        <v>226</v>
      </c>
      <c r="H2195">
        <v>6.76</v>
      </c>
      <c r="I2195" t="str">
        <f t="shared" si="33"/>
        <v>Greenhouse – Straight-Wall Structures|S|Low Cost</v>
      </c>
      <c r="J2195" t="s">
        <v>808</v>
      </c>
    </row>
    <row r="2196" spans="2:10">
      <c r="B2196" t="s">
        <v>806</v>
      </c>
      <c r="C2196" t="s">
        <v>807</v>
      </c>
      <c r="D2196" t="s">
        <v>260</v>
      </c>
      <c r="E2196" t="s">
        <v>280</v>
      </c>
      <c r="F2196" t="s">
        <v>219</v>
      </c>
      <c r="G2196" t="s">
        <v>314</v>
      </c>
      <c r="H2196">
        <v>6.01</v>
      </c>
      <c r="I2196" t="str">
        <f t="shared" si="33"/>
        <v>Greenhouse – Straight-Wall Structures|S|Cheap</v>
      </c>
      <c r="J2196" t="s">
        <v>808</v>
      </c>
    </row>
    <row r="2197" spans="2:10">
      <c r="B2197" t="s">
        <v>809</v>
      </c>
      <c r="C2197" t="s">
        <v>810</v>
      </c>
      <c r="D2197" t="s">
        <v>260</v>
      </c>
      <c r="E2197" t="s">
        <v>280</v>
      </c>
      <c r="F2197" t="s">
        <v>214</v>
      </c>
      <c r="G2197" t="s">
        <v>226</v>
      </c>
      <c r="H2197">
        <v>5.81</v>
      </c>
      <c r="I2197" t="str">
        <f t="shared" si="33"/>
        <v>Greenhouse – Hoop (Arch-Rib/Quonset) Structures|D|Low Cost</v>
      </c>
      <c r="J2197" t="s">
        <v>808</v>
      </c>
    </row>
    <row r="2198" spans="2:10">
      <c r="B2198" t="s">
        <v>809</v>
      </c>
      <c r="C2198" t="s">
        <v>810</v>
      </c>
      <c r="D2198" t="s">
        <v>260</v>
      </c>
      <c r="E2198" t="s">
        <v>280</v>
      </c>
      <c r="F2198" t="s">
        <v>219</v>
      </c>
      <c r="G2198" t="s">
        <v>250</v>
      </c>
      <c r="H2198">
        <v>26.5</v>
      </c>
      <c r="I2198" t="str">
        <f t="shared" si="33"/>
        <v>Greenhouse – Hoop (Arch-Rib/Quonset) Structures|S|Very Good</v>
      </c>
      <c r="J2198" t="s">
        <v>808</v>
      </c>
    </row>
    <row r="2199" spans="2:10">
      <c r="B2199" t="s">
        <v>809</v>
      </c>
      <c r="C2199" t="s">
        <v>810</v>
      </c>
      <c r="D2199" t="s">
        <v>260</v>
      </c>
      <c r="E2199" t="s">
        <v>280</v>
      </c>
      <c r="F2199" t="s">
        <v>219</v>
      </c>
      <c r="G2199" t="s">
        <v>229</v>
      </c>
      <c r="H2199">
        <v>21.95</v>
      </c>
      <c r="I2199" t="str">
        <f t="shared" si="33"/>
        <v>Greenhouse – Hoop (Arch-Rib/Quonset) Structures|S|Good</v>
      </c>
      <c r="J2199" t="s">
        <v>808</v>
      </c>
    </row>
    <row r="2200" spans="2:10">
      <c r="B2200" t="s">
        <v>809</v>
      </c>
      <c r="C2200" t="s">
        <v>810</v>
      </c>
      <c r="D2200" t="s">
        <v>260</v>
      </c>
      <c r="E2200" t="s">
        <v>280</v>
      </c>
      <c r="F2200" t="s">
        <v>219</v>
      </c>
      <c r="G2200" t="s">
        <v>44</v>
      </c>
      <c r="H2200">
        <v>10.35</v>
      </c>
      <c r="I2200" t="str">
        <f t="shared" si="33"/>
        <v>Greenhouse – Hoop (Arch-Rib/Quonset) Structures|S|Average</v>
      </c>
      <c r="J2200" t="s">
        <v>808</v>
      </c>
    </row>
    <row r="2201" spans="2:10">
      <c r="B2201" t="s">
        <v>809</v>
      </c>
      <c r="C2201" t="s">
        <v>810</v>
      </c>
      <c r="D2201" t="s">
        <v>260</v>
      </c>
      <c r="E2201" t="s">
        <v>280</v>
      </c>
      <c r="F2201" t="s">
        <v>219</v>
      </c>
      <c r="G2201" t="s">
        <v>302</v>
      </c>
      <c r="H2201">
        <v>7.09</v>
      </c>
      <c r="I2201" t="str">
        <f t="shared" si="33"/>
        <v>Greenhouse – Hoop (Arch-Rib/Quonset) Structures|S|Fair</v>
      </c>
      <c r="J2201" t="s">
        <v>808</v>
      </c>
    </row>
    <row r="2202" spans="2:10">
      <c r="B2202" t="s">
        <v>809</v>
      </c>
      <c r="C2202" t="s">
        <v>810</v>
      </c>
      <c r="D2202" t="s">
        <v>260</v>
      </c>
      <c r="E2202" t="s">
        <v>280</v>
      </c>
      <c r="F2202" t="s">
        <v>219</v>
      </c>
      <c r="G2202" t="s">
        <v>226</v>
      </c>
      <c r="H2202">
        <v>4.88</v>
      </c>
      <c r="I2202" t="str">
        <f t="shared" si="33"/>
        <v>Greenhouse – Hoop (Arch-Rib/Quonset) Structures|S|Low Cost</v>
      </c>
      <c r="J2202" t="s">
        <v>808</v>
      </c>
    </row>
    <row r="2203" spans="2:10">
      <c r="B2203" t="s">
        <v>809</v>
      </c>
      <c r="C2203" t="s">
        <v>810</v>
      </c>
      <c r="D2203" t="s">
        <v>260</v>
      </c>
      <c r="E2203" t="s">
        <v>280</v>
      </c>
      <c r="F2203" t="s">
        <v>219</v>
      </c>
      <c r="G2203" t="s">
        <v>314</v>
      </c>
      <c r="H2203">
        <v>4.33</v>
      </c>
      <c r="I2203" t="str">
        <f t="shared" si="33"/>
        <v>Greenhouse – Hoop (Arch-Rib/Quonset) Structures|S|Cheap</v>
      </c>
      <c r="J2203" t="s">
        <v>808</v>
      </c>
    </row>
    <row r="2204" spans="2:10">
      <c r="B2204" t="s">
        <v>811</v>
      </c>
      <c r="C2204" t="s">
        <v>812</v>
      </c>
      <c r="D2204" t="s">
        <v>260</v>
      </c>
      <c r="E2204" t="s">
        <v>284</v>
      </c>
      <c r="F2204" t="s">
        <v>214</v>
      </c>
      <c r="G2204" t="s">
        <v>44</v>
      </c>
      <c r="H2204">
        <v>3.39</v>
      </c>
      <c r="I2204" t="str">
        <f t="shared" si="33"/>
        <v>Greenhouse Shade Shelters|D|Average</v>
      </c>
      <c r="J2204" t="s">
        <v>813</v>
      </c>
    </row>
    <row r="2205" spans="2:10">
      <c r="B2205" t="s">
        <v>811</v>
      </c>
      <c r="C2205" t="s">
        <v>812</v>
      </c>
      <c r="D2205" t="s">
        <v>260</v>
      </c>
      <c r="E2205" t="s">
        <v>284</v>
      </c>
      <c r="F2205" t="s">
        <v>214</v>
      </c>
      <c r="G2205" t="s">
        <v>226</v>
      </c>
      <c r="H2205">
        <v>2.4900000000000002</v>
      </c>
      <c r="I2205" t="str">
        <f t="shared" si="33"/>
        <v>Greenhouse Shade Shelters|D|Low Cost</v>
      </c>
      <c r="J2205" t="s">
        <v>813</v>
      </c>
    </row>
    <row r="2206" spans="2:10">
      <c r="B2206" t="s">
        <v>811</v>
      </c>
      <c r="C2206" t="s">
        <v>812</v>
      </c>
      <c r="D2206" t="s">
        <v>260</v>
      </c>
      <c r="E2206" t="s">
        <v>284</v>
      </c>
      <c r="F2206" t="s">
        <v>219</v>
      </c>
      <c r="G2206" t="s">
        <v>44</v>
      </c>
      <c r="H2206">
        <v>3.7</v>
      </c>
      <c r="I2206" t="str">
        <f t="shared" ref="I2206:I2269" si="34">B2206&amp;"|"&amp;F2206&amp;"|"&amp;G2206</f>
        <v>Greenhouse Shade Shelters|S|Average</v>
      </c>
      <c r="J2206" t="s">
        <v>813</v>
      </c>
    </row>
    <row r="2207" spans="2:10">
      <c r="B2207" t="s">
        <v>811</v>
      </c>
      <c r="C2207" t="s">
        <v>812</v>
      </c>
      <c r="D2207" t="s">
        <v>260</v>
      </c>
      <c r="E2207" t="s">
        <v>284</v>
      </c>
      <c r="F2207" t="s">
        <v>219</v>
      </c>
      <c r="G2207" t="s">
        <v>226</v>
      </c>
      <c r="H2207">
        <v>2.76</v>
      </c>
      <c r="I2207" t="str">
        <f t="shared" si="34"/>
        <v>Greenhouse Shade Shelters|S|Low Cost</v>
      </c>
      <c r="J2207" t="s">
        <v>813</v>
      </c>
    </row>
    <row r="2208" spans="2:10">
      <c r="B2208" t="s">
        <v>814</v>
      </c>
      <c r="C2208" t="s">
        <v>815</v>
      </c>
      <c r="D2208" t="s">
        <v>260</v>
      </c>
      <c r="E2208" t="s">
        <v>284</v>
      </c>
      <c r="F2208" t="s">
        <v>214</v>
      </c>
      <c r="G2208" t="s">
        <v>44</v>
      </c>
      <c r="H2208">
        <v>7.38</v>
      </c>
      <c r="I2208" t="str">
        <f t="shared" si="34"/>
        <v>Lath Shade Houses|D|Average</v>
      </c>
      <c r="J2208" t="s">
        <v>813</v>
      </c>
    </row>
    <row r="2209" spans="2:10">
      <c r="B2209" t="s">
        <v>814</v>
      </c>
      <c r="C2209" t="s">
        <v>815</v>
      </c>
      <c r="D2209" t="s">
        <v>260</v>
      </c>
      <c r="E2209" t="s">
        <v>284</v>
      </c>
      <c r="F2209" t="s">
        <v>219</v>
      </c>
      <c r="G2209" t="s">
        <v>44</v>
      </c>
      <c r="H2209">
        <v>12.65</v>
      </c>
      <c r="I2209" t="str">
        <f t="shared" si="34"/>
        <v>Lath Shade Houses|S|Average</v>
      </c>
      <c r="J2209" t="s">
        <v>813</v>
      </c>
    </row>
    <row r="2210" spans="2:10">
      <c r="B2210" t="s">
        <v>816</v>
      </c>
      <c r="C2210" t="s">
        <v>817</v>
      </c>
      <c r="D2210" t="s">
        <v>260</v>
      </c>
      <c r="E2210" t="s">
        <v>286</v>
      </c>
      <c r="F2210" t="s">
        <v>209</v>
      </c>
      <c r="G2210" t="s">
        <v>229</v>
      </c>
      <c r="H2210">
        <v>61</v>
      </c>
      <c r="I2210" t="str">
        <f t="shared" si="34"/>
        <v>Flathouse Storage Buildings|C|Good</v>
      </c>
      <c r="J2210" t="s">
        <v>818</v>
      </c>
    </row>
    <row r="2211" spans="2:10">
      <c r="B2211" t="s">
        <v>816</v>
      </c>
      <c r="C2211" t="s">
        <v>817</v>
      </c>
      <c r="D2211" t="s">
        <v>260</v>
      </c>
      <c r="E2211" t="s">
        <v>286</v>
      </c>
      <c r="F2211" t="s">
        <v>209</v>
      </c>
      <c r="G2211" t="s">
        <v>44</v>
      </c>
      <c r="H2211">
        <v>42.5</v>
      </c>
      <c r="I2211" t="str">
        <f t="shared" si="34"/>
        <v>Flathouse Storage Buildings|C|Average</v>
      </c>
      <c r="J2211" t="s">
        <v>818</v>
      </c>
    </row>
    <row r="2212" spans="2:10">
      <c r="B2212" t="s">
        <v>816</v>
      </c>
      <c r="C2212" t="s">
        <v>817</v>
      </c>
      <c r="D2212" t="s">
        <v>260</v>
      </c>
      <c r="E2212" t="s">
        <v>286</v>
      </c>
      <c r="F2212" t="s">
        <v>214</v>
      </c>
      <c r="G2212" t="s">
        <v>229</v>
      </c>
      <c r="H2212">
        <v>51</v>
      </c>
      <c r="I2212" t="str">
        <f t="shared" si="34"/>
        <v>Flathouse Storage Buildings|D|Good</v>
      </c>
      <c r="J2212" t="s">
        <v>818</v>
      </c>
    </row>
    <row r="2213" spans="2:10">
      <c r="B2213" t="s">
        <v>816</v>
      </c>
      <c r="C2213" t="s">
        <v>817</v>
      </c>
      <c r="D2213" t="s">
        <v>260</v>
      </c>
      <c r="E2213" t="s">
        <v>286</v>
      </c>
      <c r="F2213" t="s">
        <v>214</v>
      </c>
      <c r="G2213" t="s">
        <v>44</v>
      </c>
      <c r="H2213">
        <v>34.5</v>
      </c>
      <c r="I2213" t="str">
        <f t="shared" si="34"/>
        <v>Flathouse Storage Buildings|D|Average</v>
      </c>
      <c r="J2213" t="s">
        <v>818</v>
      </c>
    </row>
    <row r="2214" spans="2:10">
      <c r="B2214" t="s">
        <v>816</v>
      </c>
      <c r="C2214" t="s">
        <v>817</v>
      </c>
      <c r="D2214" t="s">
        <v>260</v>
      </c>
      <c r="E2214" t="s">
        <v>286</v>
      </c>
      <c r="F2214" t="s">
        <v>313</v>
      </c>
      <c r="G2214" t="s">
        <v>229</v>
      </c>
      <c r="H2214">
        <v>45.5</v>
      </c>
      <c r="I2214" t="str">
        <f t="shared" si="34"/>
        <v>Flathouse Storage Buildings|DPOLE|Good</v>
      </c>
      <c r="J2214" t="s">
        <v>818</v>
      </c>
    </row>
    <row r="2215" spans="2:10">
      <c r="B2215" t="s">
        <v>816</v>
      </c>
      <c r="C2215" t="s">
        <v>817</v>
      </c>
      <c r="D2215" t="s">
        <v>260</v>
      </c>
      <c r="E2215" t="s">
        <v>286</v>
      </c>
      <c r="F2215" t="s">
        <v>313</v>
      </c>
      <c r="G2215" t="s">
        <v>44</v>
      </c>
      <c r="H2215">
        <v>31.75</v>
      </c>
      <c r="I2215" t="str">
        <f t="shared" si="34"/>
        <v>Flathouse Storage Buildings|DPOLE|Average</v>
      </c>
      <c r="J2215" t="s">
        <v>818</v>
      </c>
    </row>
    <row r="2216" spans="2:10">
      <c r="B2216" t="s">
        <v>816</v>
      </c>
      <c r="C2216" t="s">
        <v>817</v>
      </c>
      <c r="D2216" t="s">
        <v>260</v>
      </c>
      <c r="E2216" t="s">
        <v>286</v>
      </c>
      <c r="F2216" t="s">
        <v>219</v>
      </c>
      <c r="G2216" t="s">
        <v>229</v>
      </c>
      <c r="H2216">
        <v>49</v>
      </c>
      <c r="I2216" t="str">
        <f t="shared" si="34"/>
        <v>Flathouse Storage Buildings|S|Good</v>
      </c>
      <c r="J2216" t="s">
        <v>818</v>
      </c>
    </row>
    <row r="2217" spans="2:10">
      <c r="B2217" t="s">
        <v>816</v>
      </c>
      <c r="C2217" t="s">
        <v>817</v>
      </c>
      <c r="D2217" t="s">
        <v>260</v>
      </c>
      <c r="E2217" t="s">
        <v>286</v>
      </c>
      <c r="F2217" t="s">
        <v>219</v>
      </c>
      <c r="G2217" t="s">
        <v>44</v>
      </c>
      <c r="H2217">
        <v>34.25</v>
      </c>
      <c r="I2217" t="str">
        <f t="shared" si="34"/>
        <v>Flathouse Storage Buildings|S|Average</v>
      </c>
      <c r="J2217" t="s">
        <v>818</v>
      </c>
    </row>
    <row r="2218" spans="2:10">
      <c r="B2218" t="s">
        <v>816</v>
      </c>
      <c r="C2218" t="s">
        <v>817</v>
      </c>
      <c r="D2218" t="s">
        <v>260</v>
      </c>
      <c r="E2218" t="s">
        <v>286</v>
      </c>
      <c r="F2218" t="s">
        <v>735</v>
      </c>
      <c r="G2218" t="s">
        <v>229</v>
      </c>
      <c r="H2218">
        <v>46</v>
      </c>
      <c r="I2218" t="str">
        <f t="shared" si="34"/>
        <v>Flathouse Storage Buildings|SSLANT|Good</v>
      </c>
      <c r="J2218" t="s">
        <v>818</v>
      </c>
    </row>
    <row r="2219" spans="2:10">
      <c r="B2219" t="s">
        <v>816</v>
      </c>
      <c r="C2219" t="s">
        <v>817</v>
      </c>
      <c r="D2219" t="s">
        <v>260</v>
      </c>
      <c r="E2219" t="s">
        <v>286</v>
      </c>
      <c r="F2219" t="s">
        <v>735</v>
      </c>
      <c r="G2219" t="s">
        <v>44</v>
      </c>
      <c r="H2219">
        <v>32.25</v>
      </c>
      <c r="I2219" t="str">
        <f t="shared" si="34"/>
        <v>Flathouse Storage Buildings|SSLANT|Average</v>
      </c>
      <c r="J2219" t="s">
        <v>818</v>
      </c>
    </row>
    <row r="2220" spans="2:10">
      <c r="B2220" t="s">
        <v>819</v>
      </c>
      <c r="C2220" t="s">
        <v>820</v>
      </c>
      <c r="D2220" t="s">
        <v>260</v>
      </c>
      <c r="E2220" t="s">
        <v>286</v>
      </c>
      <c r="F2220" t="s">
        <v>214</v>
      </c>
      <c r="G2220" t="s">
        <v>44</v>
      </c>
      <c r="H2220">
        <v>23.3</v>
      </c>
      <c r="I2220" t="str">
        <f t="shared" si="34"/>
        <v>Feed Handling and Mixing Shed Building|D|Average</v>
      </c>
      <c r="J2220" t="s">
        <v>818</v>
      </c>
    </row>
    <row r="2221" spans="2:10">
      <c r="B2221" t="s">
        <v>819</v>
      </c>
      <c r="C2221" t="s">
        <v>820</v>
      </c>
      <c r="D2221" t="s">
        <v>260</v>
      </c>
      <c r="E2221" t="s">
        <v>286</v>
      </c>
      <c r="F2221" t="s">
        <v>313</v>
      </c>
      <c r="G2221" t="s">
        <v>44</v>
      </c>
      <c r="H2221">
        <v>19.8</v>
      </c>
      <c r="I2221" t="str">
        <f t="shared" si="34"/>
        <v>Feed Handling and Mixing Shed Building|DPOLE|Average</v>
      </c>
      <c r="J2221" t="s">
        <v>818</v>
      </c>
    </row>
    <row r="2222" spans="2:10">
      <c r="B2222" t="s">
        <v>819</v>
      </c>
      <c r="C2222" t="s">
        <v>820</v>
      </c>
      <c r="D2222" t="s">
        <v>260</v>
      </c>
      <c r="E2222" t="s">
        <v>286</v>
      </c>
      <c r="F2222" t="s">
        <v>219</v>
      </c>
      <c r="G2222" t="s">
        <v>44</v>
      </c>
      <c r="H2222">
        <v>22.65</v>
      </c>
      <c r="I2222" t="str">
        <f t="shared" si="34"/>
        <v>Feed Handling and Mixing Shed Building|S|Average</v>
      </c>
      <c r="J2222" t="s">
        <v>818</v>
      </c>
    </row>
    <row r="2223" spans="2:10">
      <c r="B2223" t="s">
        <v>821</v>
      </c>
      <c r="C2223" t="s">
        <v>822</v>
      </c>
      <c r="D2223" t="s">
        <v>260</v>
      </c>
      <c r="E2223" t="s">
        <v>286</v>
      </c>
      <c r="F2223" t="s">
        <v>219</v>
      </c>
      <c r="G2223" t="s">
        <v>44</v>
      </c>
      <c r="H2223">
        <v>98</v>
      </c>
      <c r="I2223" t="str">
        <f t="shared" si="34"/>
        <v>Cotton Gins|S|Average</v>
      </c>
      <c r="J2223" t="s">
        <v>818</v>
      </c>
    </row>
    <row r="2224" spans="2:10">
      <c r="B2224" t="s">
        <v>821</v>
      </c>
      <c r="C2224" t="s">
        <v>822</v>
      </c>
      <c r="D2224" t="s">
        <v>260</v>
      </c>
      <c r="E2224" t="s">
        <v>286</v>
      </c>
      <c r="F2224" t="s">
        <v>219</v>
      </c>
      <c r="G2224" t="s">
        <v>226</v>
      </c>
      <c r="H2224">
        <v>72.5</v>
      </c>
      <c r="I2224" t="str">
        <f t="shared" si="34"/>
        <v>Cotton Gins|S|Low Cost</v>
      </c>
      <c r="J2224" t="s">
        <v>818</v>
      </c>
    </row>
    <row r="2225" spans="2:10">
      <c r="B2225" t="s">
        <v>823</v>
      </c>
      <c r="C2225" t="s">
        <v>824</v>
      </c>
      <c r="D2225" t="s">
        <v>260</v>
      </c>
      <c r="E2225" t="s">
        <v>286</v>
      </c>
      <c r="F2225" t="s">
        <v>214</v>
      </c>
      <c r="G2225" t="s">
        <v>44</v>
      </c>
      <c r="H2225">
        <v>45</v>
      </c>
      <c r="I2225" t="str">
        <f t="shared" si="34"/>
        <v>Seed Processing Storage|D|Average</v>
      </c>
      <c r="J2225" t="s">
        <v>818</v>
      </c>
    </row>
    <row r="2226" spans="2:10">
      <c r="B2226" t="s">
        <v>823</v>
      </c>
      <c r="C2226" t="s">
        <v>824</v>
      </c>
      <c r="D2226" t="s">
        <v>260</v>
      </c>
      <c r="E2226" t="s">
        <v>286</v>
      </c>
      <c r="F2226" t="s">
        <v>313</v>
      </c>
      <c r="G2226" t="s">
        <v>44</v>
      </c>
      <c r="H2226">
        <v>40.5</v>
      </c>
      <c r="I2226" t="str">
        <f t="shared" si="34"/>
        <v>Seed Processing Storage|DPOLE|Average</v>
      </c>
      <c r="J2226" t="s">
        <v>818</v>
      </c>
    </row>
    <row r="2227" spans="2:10">
      <c r="B2227" t="s">
        <v>823</v>
      </c>
      <c r="C2227" t="s">
        <v>824</v>
      </c>
      <c r="D2227" t="s">
        <v>260</v>
      </c>
      <c r="E2227" t="s">
        <v>286</v>
      </c>
      <c r="F2227" t="s">
        <v>219</v>
      </c>
      <c r="G2227" t="s">
        <v>44</v>
      </c>
      <c r="H2227">
        <v>43.25</v>
      </c>
      <c r="I2227" t="str">
        <f t="shared" si="34"/>
        <v>Seed Processing Storage|S|Average</v>
      </c>
      <c r="J2227" t="s">
        <v>818</v>
      </c>
    </row>
    <row r="2228" spans="2:10">
      <c r="B2228" t="s">
        <v>825</v>
      </c>
      <c r="C2228" t="s">
        <v>826</v>
      </c>
      <c r="D2228" t="s">
        <v>260</v>
      </c>
      <c r="E2228" t="s">
        <v>290</v>
      </c>
      <c r="F2228" t="s">
        <v>209</v>
      </c>
      <c r="G2228" t="s">
        <v>229</v>
      </c>
      <c r="H2228">
        <v>102</v>
      </c>
      <c r="I2228" t="str">
        <f t="shared" si="34"/>
        <v>Secure Storage Modular Shed Buildings|C|Good</v>
      </c>
      <c r="J2228" t="s">
        <v>827</v>
      </c>
    </row>
    <row r="2229" spans="2:10">
      <c r="B2229" t="s">
        <v>825</v>
      </c>
      <c r="C2229" t="s">
        <v>826</v>
      </c>
      <c r="D2229" t="s">
        <v>260</v>
      </c>
      <c r="E2229" t="s">
        <v>290</v>
      </c>
      <c r="F2229" t="s">
        <v>209</v>
      </c>
      <c r="G2229" t="s">
        <v>44</v>
      </c>
      <c r="H2229">
        <v>82</v>
      </c>
      <c r="I2229" t="str">
        <f t="shared" si="34"/>
        <v>Secure Storage Modular Shed Buildings|C|Average</v>
      </c>
      <c r="J2229" t="s">
        <v>827</v>
      </c>
    </row>
    <row r="2230" spans="2:10">
      <c r="B2230" t="s">
        <v>825</v>
      </c>
      <c r="C2230" t="s">
        <v>826</v>
      </c>
      <c r="D2230" t="s">
        <v>260</v>
      </c>
      <c r="E2230" t="s">
        <v>290</v>
      </c>
      <c r="F2230" t="s">
        <v>219</v>
      </c>
      <c r="G2230" t="s">
        <v>229</v>
      </c>
      <c r="H2230">
        <v>46.75</v>
      </c>
      <c r="I2230" t="str">
        <f t="shared" si="34"/>
        <v>Secure Storage Modular Shed Buildings|S|Good</v>
      </c>
      <c r="J2230" t="s">
        <v>827</v>
      </c>
    </row>
    <row r="2231" spans="2:10">
      <c r="B2231" t="s">
        <v>825</v>
      </c>
      <c r="C2231" t="s">
        <v>826</v>
      </c>
      <c r="D2231" t="s">
        <v>260</v>
      </c>
      <c r="E2231" t="s">
        <v>290</v>
      </c>
      <c r="F2231" t="s">
        <v>219</v>
      </c>
      <c r="G2231" t="s">
        <v>44</v>
      </c>
      <c r="H2231">
        <v>33.25</v>
      </c>
      <c r="I2231" t="str">
        <f t="shared" si="34"/>
        <v>Secure Storage Modular Shed Buildings|S|Average</v>
      </c>
      <c r="J2231" t="s">
        <v>827</v>
      </c>
    </row>
    <row r="2232" spans="2:10">
      <c r="B2232" t="s">
        <v>825</v>
      </c>
      <c r="C2232" t="s">
        <v>826</v>
      </c>
      <c r="D2232" t="s">
        <v>260</v>
      </c>
      <c r="E2232" t="s">
        <v>290</v>
      </c>
      <c r="F2232" t="s">
        <v>219</v>
      </c>
      <c r="G2232" t="s">
        <v>226</v>
      </c>
      <c r="H2232">
        <v>23.75</v>
      </c>
      <c r="I2232" t="str">
        <f t="shared" si="34"/>
        <v>Secure Storage Modular Shed Buildings|S|Low Cost</v>
      </c>
      <c r="J2232" t="s">
        <v>827</v>
      </c>
    </row>
    <row r="2233" spans="2:10">
      <c r="B2233" t="s">
        <v>828</v>
      </c>
      <c r="C2233" t="s">
        <v>829</v>
      </c>
      <c r="D2233" t="s">
        <v>260</v>
      </c>
      <c r="E2233" t="s">
        <v>290</v>
      </c>
      <c r="F2233" t="s">
        <v>214</v>
      </c>
      <c r="G2233" t="s">
        <v>231</v>
      </c>
      <c r="H2233">
        <v>27</v>
      </c>
      <c r="I2233" t="str">
        <f t="shared" si="34"/>
        <v>Prefabricated Storage Shed Buildings|D|Excellent</v>
      </c>
      <c r="J2233" t="s">
        <v>827</v>
      </c>
    </row>
    <row r="2234" spans="2:10">
      <c r="B2234" t="s">
        <v>828</v>
      </c>
      <c r="C2234" t="s">
        <v>829</v>
      </c>
      <c r="D2234" t="s">
        <v>260</v>
      </c>
      <c r="E2234" t="s">
        <v>290</v>
      </c>
      <c r="F2234" t="s">
        <v>214</v>
      </c>
      <c r="G2234" t="s">
        <v>229</v>
      </c>
      <c r="H2234">
        <v>21.6</v>
      </c>
      <c r="I2234" t="str">
        <f t="shared" si="34"/>
        <v>Prefabricated Storage Shed Buildings|D|Good</v>
      </c>
      <c r="J2234" t="s">
        <v>827</v>
      </c>
    </row>
    <row r="2235" spans="2:10">
      <c r="B2235" t="s">
        <v>828</v>
      </c>
      <c r="C2235" t="s">
        <v>829</v>
      </c>
      <c r="D2235" t="s">
        <v>260</v>
      </c>
      <c r="E2235" t="s">
        <v>290</v>
      </c>
      <c r="F2235" t="s">
        <v>214</v>
      </c>
      <c r="G2235" t="s">
        <v>44</v>
      </c>
      <c r="H2235">
        <v>17.25</v>
      </c>
      <c r="I2235" t="str">
        <f t="shared" si="34"/>
        <v>Prefabricated Storage Shed Buildings|D|Average</v>
      </c>
      <c r="J2235" t="s">
        <v>827</v>
      </c>
    </row>
    <row r="2236" spans="2:10">
      <c r="B2236" t="s">
        <v>828</v>
      </c>
      <c r="C2236" t="s">
        <v>829</v>
      </c>
      <c r="D2236" t="s">
        <v>260</v>
      </c>
      <c r="E2236" t="s">
        <v>290</v>
      </c>
      <c r="F2236" t="s">
        <v>214</v>
      </c>
      <c r="G2236" t="s">
        <v>226</v>
      </c>
      <c r="H2236">
        <v>13.8</v>
      </c>
      <c r="I2236" t="str">
        <f t="shared" si="34"/>
        <v>Prefabricated Storage Shed Buildings|D|Low Cost</v>
      </c>
      <c r="J2236" t="s">
        <v>827</v>
      </c>
    </row>
    <row r="2237" spans="2:10">
      <c r="B2237" t="s">
        <v>828</v>
      </c>
      <c r="C2237" t="s">
        <v>829</v>
      </c>
      <c r="D2237" t="s">
        <v>260</v>
      </c>
      <c r="E2237" t="s">
        <v>290</v>
      </c>
      <c r="F2237" t="s">
        <v>219</v>
      </c>
      <c r="G2237" t="s">
        <v>231</v>
      </c>
      <c r="H2237">
        <v>21</v>
      </c>
      <c r="I2237" t="str">
        <f t="shared" si="34"/>
        <v>Prefabricated Storage Shed Buildings|S|Excellent</v>
      </c>
      <c r="J2237" t="s">
        <v>827</v>
      </c>
    </row>
    <row r="2238" spans="2:10">
      <c r="B2238" t="s">
        <v>828</v>
      </c>
      <c r="C2238" t="s">
        <v>829</v>
      </c>
      <c r="D2238" t="s">
        <v>260</v>
      </c>
      <c r="E2238" t="s">
        <v>290</v>
      </c>
      <c r="F2238" t="s">
        <v>219</v>
      </c>
      <c r="G2238" t="s">
        <v>229</v>
      </c>
      <c r="H2238">
        <v>15.1</v>
      </c>
      <c r="I2238" t="str">
        <f t="shared" si="34"/>
        <v>Prefabricated Storage Shed Buildings|S|Good</v>
      </c>
      <c r="J2238" t="s">
        <v>827</v>
      </c>
    </row>
    <row r="2239" spans="2:10">
      <c r="B2239" t="s">
        <v>828</v>
      </c>
      <c r="C2239" t="s">
        <v>829</v>
      </c>
      <c r="D2239" t="s">
        <v>260</v>
      </c>
      <c r="E2239" t="s">
        <v>290</v>
      </c>
      <c r="F2239" t="s">
        <v>219</v>
      </c>
      <c r="G2239" t="s">
        <v>44</v>
      </c>
      <c r="H2239">
        <v>10.85</v>
      </c>
      <c r="I2239" t="str">
        <f t="shared" si="34"/>
        <v>Prefabricated Storage Shed Buildings|S|Average</v>
      </c>
      <c r="J2239" t="s">
        <v>827</v>
      </c>
    </row>
    <row r="2240" spans="2:10">
      <c r="B2240" t="s">
        <v>828</v>
      </c>
      <c r="C2240" t="s">
        <v>829</v>
      </c>
      <c r="D2240" t="s">
        <v>260</v>
      </c>
      <c r="E2240" t="s">
        <v>290</v>
      </c>
      <c r="F2240" t="s">
        <v>219</v>
      </c>
      <c r="G2240" t="s">
        <v>226</v>
      </c>
      <c r="H2240">
        <v>7.77</v>
      </c>
      <c r="I2240" t="str">
        <f t="shared" si="34"/>
        <v>Prefabricated Storage Shed Buildings|S|Low Cost</v>
      </c>
      <c r="J2240" t="s">
        <v>827</v>
      </c>
    </row>
    <row r="2241" spans="2:10">
      <c r="B2241" t="s">
        <v>830</v>
      </c>
      <c r="C2241" t="s">
        <v>831</v>
      </c>
      <c r="D2241" t="s">
        <v>260</v>
      </c>
      <c r="E2241" t="s">
        <v>290</v>
      </c>
      <c r="F2241" t="s">
        <v>214</v>
      </c>
      <c r="G2241" t="s">
        <v>231</v>
      </c>
      <c r="H2241">
        <v>11.05</v>
      </c>
      <c r="I2241" t="str">
        <f t="shared" si="34"/>
        <v>Corn Crib Bins|D|Excellent</v>
      </c>
      <c r="J2241" t="s">
        <v>827</v>
      </c>
    </row>
    <row r="2242" spans="2:10">
      <c r="B2242" t="s">
        <v>830</v>
      </c>
      <c r="C2242" t="s">
        <v>831</v>
      </c>
      <c r="D2242" t="s">
        <v>260</v>
      </c>
      <c r="E2242" t="s">
        <v>290</v>
      </c>
      <c r="F2242" t="s">
        <v>214</v>
      </c>
      <c r="G2242" t="s">
        <v>229</v>
      </c>
      <c r="H2242">
        <v>9.08</v>
      </c>
      <c r="I2242" t="str">
        <f t="shared" si="34"/>
        <v>Corn Crib Bins|D|Good</v>
      </c>
      <c r="J2242" t="s">
        <v>827</v>
      </c>
    </row>
    <row r="2243" spans="2:10">
      <c r="B2243" t="s">
        <v>830</v>
      </c>
      <c r="C2243" t="s">
        <v>831</v>
      </c>
      <c r="D2243" t="s">
        <v>260</v>
      </c>
      <c r="E2243" t="s">
        <v>290</v>
      </c>
      <c r="F2243" t="s">
        <v>214</v>
      </c>
      <c r="G2243" t="s">
        <v>44</v>
      </c>
      <c r="H2243">
        <v>7.46</v>
      </c>
      <c r="I2243" t="str">
        <f t="shared" si="34"/>
        <v>Corn Crib Bins|D|Average</v>
      </c>
      <c r="J2243" t="s">
        <v>827</v>
      </c>
    </row>
    <row r="2244" spans="2:10">
      <c r="B2244" t="s">
        <v>830</v>
      </c>
      <c r="C2244" t="s">
        <v>831</v>
      </c>
      <c r="D2244" t="s">
        <v>260</v>
      </c>
      <c r="E2244" t="s">
        <v>290</v>
      </c>
      <c r="F2244" t="s">
        <v>214</v>
      </c>
      <c r="G2244" t="s">
        <v>226</v>
      </c>
      <c r="H2244">
        <v>6.1</v>
      </c>
      <c r="I2244" t="str">
        <f t="shared" si="34"/>
        <v>Corn Crib Bins|D|Low Cost</v>
      </c>
      <c r="J2244" t="s">
        <v>827</v>
      </c>
    </row>
    <row r="2245" spans="2:10">
      <c r="B2245" t="s">
        <v>832</v>
      </c>
      <c r="C2245" t="s">
        <v>833</v>
      </c>
      <c r="D2245" t="s">
        <v>260</v>
      </c>
      <c r="E2245" t="s">
        <v>294</v>
      </c>
      <c r="F2245" t="s">
        <v>209</v>
      </c>
      <c r="G2245" t="s">
        <v>229</v>
      </c>
      <c r="H2245">
        <v>38.5</v>
      </c>
      <c r="I2245" t="str">
        <f t="shared" si="34"/>
        <v>Farm Utility Buildings|C|Good</v>
      </c>
      <c r="J2245" t="s">
        <v>834</v>
      </c>
    </row>
    <row r="2246" spans="2:10">
      <c r="B2246" t="s">
        <v>832</v>
      </c>
      <c r="C2246" t="s">
        <v>833</v>
      </c>
      <c r="D2246" t="s">
        <v>260</v>
      </c>
      <c r="E2246" t="s">
        <v>294</v>
      </c>
      <c r="F2246" t="s">
        <v>209</v>
      </c>
      <c r="G2246" t="s">
        <v>44</v>
      </c>
      <c r="H2246">
        <v>27.75</v>
      </c>
      <c r="I2246" t="str">
        <f t="shared" si="34"/>
        <v>Farm Utility Buildings|C|Average</v>
      </c>
      <c r="J2246" t="s">
        <v>834</v>
      </c>
    </row>
    <row r="2247" spans="2:10">
      <c r="B2247" t="s">
        <v>832</v>
      </c>
      <c r="C2247" t="s">
        <v>833</v>
      </c>
      <c r="D2247" t="s">
        <v>260</v>
      </c>
      <c r="E2247" t="s">
        <v>294</v>
      </c>
      <c r="F2247" t="s">
        <v>214</v>
      </c>
      <c r="G2247" t="s">
        <v>44</v>
      </c>
      <c r="H2247">
        <v>19.45</v>
      </c>
      <c r="I2247" t="str">
        <f t="shared" si="34"/>
        <v>Farm Utility Buildings|D|Average</v>
      </c>
      <c r="J2247" t="s">
        <v>834</v>
      </c>
    </row>
    <row r="2248" spans="2:10">
      <c r="B2248" t="s">
        <v>832</v>
      </c>
      <c r="C2248" t="s">
        <v>833</v>
      </c>
      <c r="D2248" t="s">
        <v>260</v>
      </c>
      <c r="E2248" t="s">
        <v>294</v>
      </c>
      <c r="F2248" t="s">
        <v>214</v>
      </c>
      <c r="G2248" t="s">
        <v>226</v>
      </c>
      <c r="H2248">
        <v>12.5</v>
      </c>
      <c r="I2248" t="str">
        <f t="shared" si="34"/>
        <v>Farm Utility Buildings|D|Low Cost</v>
      </c>
      <c r="J2248" t="s">
        <v>834</v>
      </c>
    </row>
    <row r="2249" spans="2:10">
      <c r="B2249" t="s">
        <v>832</v>
      </c>
      <c r="C2249" t="s">
        <v>833</v>
      </c>
      <c r="D2249" t="s">
        <v>260</v>
      </c>
      <c r="E2249" t="s">
        <v>294</v>
      </c>
      <c r="F2249" t="s">
        <v>313</v>
      </c>
      <c r="G2249" t="s">
        <v>44</v>
      </c>
      <c r="H2249">
        <v>15.7</v>
      </c>
      <c r="I2249" t="str">
        <f t="shared" si="34"/>
        <v>Farm Utility Buildings|DPOLE|Average</v>
      </c>
      <c r="J2249" t="s">
        <v>834</v>
      </c>
    </row>
    <row r="2250" spans="2:10">
      <c r="B2250" t="s">
        <v>832</v>
      </c>
      <c r="C2250" t="s">
        <v>833</v>
      </c>
      <c r="D2250" t="s">
        <v>260</v>
      </c>
      <c r="E2250" t="s">
        <v>294</v>
      </c>
      <c r="F2250" t="s">
        <v>313</v>
      </c>
      <c r="G2250" t="s">
        <v>226</v>
      </c>
      <c r="H2250">
        <v>9.19</v>
      </c>
      <c r="I2250" t="str">
        <f t="shared" si="34"/>
        <v>Farm Utility Buildings|DPOLE|Low Cost</v>
      </c>
      <c r="J2250" t="s">
        <v>834</v>
      </c>
    </row>
    <row r="2251" spans="2:10">
      <c r="B2251" t="s">
        <v>832</v>
      </c>
      <c r="C2251" t="s">
        <v>833</v>
      </c>
      <c r="D2251" t="s">
        <v>260</v>
      </c>
      <c r="E2251" t="s">
        <v>294</v>
      </c>
      <c r="F2251" t="s">
        <v>219</v>
      </c>
      <c r="G2251" t="s">
        <v>44</v>
      </c>
      <c r="H2251">
        <v>18.8</v>
      </c>
      <c r="I2251" t="str">
        <f t="shared" si="34"/>
        <v>Farm Utility Buildings|S|Average</v>
      </c>
      <c r="J2251" t="s">
        <v>834</v>
      </c>
    </row>
    <row r="2252" spans="2:10">
      <c r="B2252" t="s">
        <v>832</v>
      </c>
      <c r="C2252" t="s">
        <v>833</v>
      </c>
      <c r="D2252" t="s">
        <v>260</v>
      </c>
      <c r="E2252" t="s">
        <v>294</v>
      </c>
      <c r="F2252" t="s">
        <v>219</v>
      </c>
      <c r="G2252" t="s">
        <v>226</v>
      </c>
      <c r="H2252">
        <v>11.75</v>
      </c>
      <c r="I2252" t="str">
        <f t="shared" si="34"/>
        <v>Farm Utility Buildings|S|Low Cost</v>
      </c>
      <c r="J2252" t="s">
        <v>834</v>
      </c>
    </row>
    <row r="2253" spans="2:10">
      <c r="B2253" t="s">
        <v>832</v>
      </c>
      <c r="C2253" t="s">
        <v>833</v>
      </c>
      <c r="D2253" t="s">
        <v>260</v>
      </c>
      <c r="E2253" t="s">
        <v>294</v>
      </c>
      <c r="F2253" t="s">
        <v>735</v>
      </c>
      <c r="G2253" t="s">
        <v>44</v>
      </c>
      <c r="H2253">
        <v>17.399999999999999</v>
      </c>
      <c r="I2253" t="str">
        <f t="shared" si="34"/>
        <v>Farm Utility Buildings|SSLANT|Average</v>
      </c>
      <c r="J2253" t="s">
        <v>834</v>
      </c>
    </row>
    <row r="2254" spans="2:10">
      <c r="B2254" t="s">
        <v>832</v>
      </c>
      <c r="C2254" t="s">
        <v>833</v>
      </c>
      <c r="D2254" t="s">
        <v>260</v>
      </c>
      <c r="E2254" t="s">
        <v>294</v>
      </c>
      <c r="F2254" t="s">
        <v>735</v>
      </c>
      <c r="G2254" t="s">
        <v>226</v>
      </c>
      <c r="H2254">
        <v>10.8</v>
      </c>
      <c r="I2254" t="str">
        <f t="shared" si="34"/>
        <v>Farm Utility Buildings|SSLANT|Low Cost</v>
      </c>
      <c r="J2254" t="s">
        <v>834</v>
      </c>
    </row>
    <row r="2255" spans="2:10">
      <c r="B2255" t="s">
        <v>835</v>
      </c>
      <c r="C2255" t="s">
        <v>836</v>
      </c>
      <c r="D2255" t="s">
        <v>260</v>
      </c>
      <c r="E2255" t="s">
        <v>294</v>
      </c>
      <c r="F2255" t="s">
        <v>214</v>
      </c>
      <c r="G2255" t="s">
        <v>229</v>
      </c>
      <c r="H2255">
        <v>36.5</v>
      </c>
      <c r="I2255" t="str">
        <f t="shared" si="34"/>
        <v>Arch-Rib (Quonset) Farm Utility Buildings|D|Good</v>
      </c>
      <c r="J2255" t="s">
        <v>834</v>
      </c>
    </row>
    <row r="2256" spans="2:10">
      <c r="B2256" t="s">
        <v>835</v>
      </c>
      <c r="C2256" t="s">
        <v>836</v>
      </c>
      <c r="D2256" t="s">
        <v>260</v>
      </c>
      <c r="E2256" t="s">
        <v>294</v>
      </c>
      <c r="F2256" t="s">
        <v>214</v>
      </c>
      <c r="G2256" t="s">
        <v>44</v>
      </c>
      <c r="H2256">
        <v>21.45</v>
      </c>
      <c r="I2256" t="str">
        <f t="shared" si="34"/>
        <v>Arch-Rib (Quonset) Farm Utility Buildings|D|Average</v>
      </c>
      <c r="J2256" t="s">
        <v>834</v>
      </c>
    </row>
    <row r="2257" spans="2:10">
      <c r="B2257" t="s">
        <v>835</v>
      </c>
      <c r="C2257" t="s">
        <v>836</v>
      </c>
      <c r="D2257" t="s">
        <v>260</v>
      </c>
      <c r="E2257" t="s">
        <v>294</v>
      </c>
      <c r="F2257" t="s">
        <v>214</v>
      </c>
      <c r="G2257" t="s">
        <v>226</v>
      </c>
      <c r="H2257">
        <v>12.6</v>
      </c>
      <c r="I2257" t="str">
        <f t="shared" si="34"/>
        <v>Arch-Rib (Quonset) Farm Utility Buildings|D|Low Cost</v>
      </c>
      <c r="J2257" t="s">
        <v>834</v>
      </c>
    </row>
    <row r="2258" spans="2:10">
      <c r="B2258" t="s">
        <v>835</v>
      </c>
      <c r="C2258" t="s">
        <v>836</v>
      </c>
      <c r="D2258" t="s">
        <v>260</v>
      </c>
      <c r="E2258" t="s">
        <v>294</v>
      </c>
      <c r="F2258" t="s">
        <v>313</v>
      </c>
      <c r="G2258" t="s">
        <v>229</v>
      </c>
      <c r="H2258">
        <v>34.5</v>
      </c>
      <c r="I2258" t="str">
        <f t="shared" si="34"/>
        <v>Arch-Rib (Quonset) Farm Utility Buildings|DPOLE|Good</v>
      </c>
      <c r="J2258" t="s">
        <v>834</v>
      </c>
    </row>
    <row r="2259" spans="2:10">
      <c r="B2259" t="s">
        <v>835</v>
      </c>
      <c r="C2259" t="s">
        <v>836</v>
      </c>
      <c r="D2259" t="s">
        <v>260</v>
      </c>
      <c r="E2259" t="s">
        <v>294</v>
      </c>
      <c r="F2259" t="s">
        <v>313</v>
      </c>
      <c r="G2259" t="s">
        <v>44</v>
      </c>
      <c r="H2259">
        <v>20.05</v>
      </c>
      <c r="I2259" t="str">
        <f t="shared" si="34"/>
        <v>Arch-Rib (Quonset) Farm Utility Buildings|DPOLE|Average</v>
      </c>
      <c r="J2259" t="s">
        <v>834</v>
      </c>
    </row>
    <row r="2260" spans="2:10">
      <c r="B2260" t="s">
        <v>835</v>
      </c>
      <c r="C2260" t="s">
        <v>836</v>
      </c>
      <c r="D2260" t="s">
        <v>260</v>
      </c>
      <c r="E2260" t="s">
        <v>294</v>
      </c>
      <c r="F2260" t="s">
        <v>313</v>
      </c>
      <c r="G2260" t="s">
        <v>226</v>
      </c>
      <c r="H2260">
        <v>11.65</v>
      </c>
      <c r="I2260" t="str">
        <f t="shared" si="34"/>
        <v>Arch-Rib (Quonset) Farm Utility Buildings|DPOLE|Low Cost</v>
      </c>
      <c r="J2260" t="s">
        <v>834</v>
      </c>
    </row>
    <row r="2261" spans="2:10">
      <c r="B2261" t="s">
        <v>835</v>
      </c>
      <c r="C2261" t="s">
        <v>836</v>
      </c>
      <c r="D2261" t="s">
        <v>260</v>
      </c>
      <c r="E2261" t="s">
        <v>294</v>
      </c>
      <c r="F2261" t="s">
        <v>837</v>
      </c>
      <c r="G2261" t="s">
        <v>44</v>
      </c>
      <c r="H2261">
        <v>14.15</v>
      </c>
      <c r="I2261" t="str">
        <f t="shared" si="34"/>
        <v>Arch-Rib (Quonset) Farm Utility Buildings|DHOOP|Average</v>
      </c>
      <c r="J2261" t="s">
        <v>834</v>
      </c>
    </row>
    <row r="2262" spans="2:10">
      <c r="B2262" t="s">
        <v>835</v>
      </c>
      <c r="C2262" t="s">
        <v>836</v>
      </c>
      <c r="D2262" t="s">
        <v>260</v>
      </c>
      <c r="E2262" t="s">
        <v>294</v>
      </c>
      <c r="F2262" t="s">
        <v>837</v>
      </c>
      <c r="G2262" t="s">
        <v>226</v>
      </c>
      <c r="H2262">
        <v>8.85</v>
      </c>
      <c r="I2262" t="str">
        <f t="shared" si="34"/>
        <v>Arch-Rib (Quonset) Farm Utility Buildings|DHOOP|Low Cost</v>
      </c>
      <c r="J2262" t="s">
        <v>834</v>
      </c>
    </row>
    <row r="2263" spans="2:10">
      <c r="B2263" t="s">
        <v>835</v>
      </c>
      <c r="C2263" t="s">
        <v>836</v>
      </c>
      <c r="D2263" t="s">
        <v>260</v>
      </c>
      <c r="E2263" t="s">
        <v>294</v>
      </c>
      <c r="F2263" t="s">
        <v>219</v>
      </c>
      <c r="G2263" t="s">
        <v>229</v>
      </c>
      <c r="H2263">
        <v>35</v>
      </c>
      <c r="I2263" t="str">
        <f t="shared" si="34"/>
        <v>Arch-Rib (Quonset) Farm Utility Buildings|S|Good</v>
      </c>
      <c r="J2263" t="s">
        <v>834</v>
      </c>
    </row>
    <row r="2264" spans="2:10">
      <c r="B2264" t="s">
        <v>835</v>
      </c>
      <c r="C2264" t="s">
        <v>836</v>
      </c>
      <c r="D2264" t="s">
        <v>260</v>
      </c>
      <c r="E2264" t="s">
        <v>294</v>
      </c>
      <c r="F2264" t="s">
        <v>219</v>
      </c>
      <c r="G2264" t="s">
        <v>44</v>
      </c>
      <c r="H2264">
        <v>20.45</v>
      </c>
      <c r="I2264" t="str">
        <f t="shared" si="34"/>
        <v>Arch-Rib (Quonset) Farm Utility Buildings|S|Average</v>
      </c>
      <c r="J2264" t="s">
        <v>834</v>
      </c>
    </row>
    <row r="2265" spans="2:10">
      <c r="B2265" t="s">
        <v>835</v>
      </c>
      <c r="C2265" t="s">
        <v>836</v>
      </c>
      <c r="D2265" t="s">
        <v>260</v>
      </c>
      <c r="E2265" t="s">
        <v>294</v>
      </c>
      <c r="F2265" t="s">
        <v>361</v>
      </c>
      <c r="G2265" t="s">
        <v>226</v>
      </c>
      <c r="H2265">
        <v>11.95</v>
      </c>
      <c r="I2265" t="str">
        <f t="shared" si="34"/>
        <v>Arch-Rib (Quonset) Farm Utility Buildings|WALL|Low Cost</v>
      </c>
      <c r="J2265" t="s">
        <v>834</v>
      </c>
    </row>
    <row r="2266" spans="2:10">
      <c r="B2266" t="s">
        <v>838</v>
      </c>
      <c r="C2266" t="s">
        <v>839</v>
      </c>
      <c r="D2266" t="s">
        <v>260</v>
      </c>
      <c r="E2266" t="s">
        <v>296</v>
      </c>
      <c r="F2266" t="s">
        <v>214</v>
      </c>
      <c r="G2266" t="s">
        <v>250</v>
      </c>
      <c r="H2266">
        <v>33</v>
      </c>
      <c r="I2266" t="str">
        <f t="shared" si="34"/>
        <v>Farm Utility/Grain Storage (Granary) Buildings|D|Very Good</v>
      </c>
      <c r="J2266" t="s">
        <v>840</v>
      </c>
    </row>
    <row r="2267" spans="2:10">
      <c r="B2267" t="s">
        <v>838</v>
      </c>
      <c r="C2267" t="s">
        <v>839</v>
      </c>
      <c r="D2267" t="s">
        <v>260</v>
      </c>
      <c r="E2267" t="s">
        <v>296</v>
      </c>
      <c r="F2267" t="s">
        <v>214</v>
      </c>
      <c r="G2267" t="s">
        <v>229</v>
      </c>
      <c r="H2267">
        <v>30.5</v>
      </c>
      <c r="I2267" t="str">
        <f t="shared" si="34"/>
        <v>Farm Utility/Grain Storage (Granary) Buildings|D|Good</v>
      </c>
      <c r="J2267" t="s">
        <v>840</v>
      </c>
    </row>
    <row r="2268" spans="2:10">
      <c r="B2268" t="s">
        <v>838</v>
      </c>
      <c r="C2268" t="s">
        <v>839</v>
      </c>
      <c r="D2268" t="s">
        <v>260</v>
      </c>
      <c r="E2268" t="s">
        <v>296</v>
      </c>
      <c r="F2268" t="s">
        <v>313</v>
      </c>
      <c r="G2268" t="s">
        <v>250</v>
      </c>
      <c r="H2268">
        <v>29.25</v>
      </c>
      <c r="I2268" t="str">
        <f t="shared" si="34"/>
        <v>Farm Utility/Grain Storage (Granary) Buildings|DPOLE|Very Good</v>
      </c>
      <c r="J2268" t="s">
        <v>840</v>
      </c>
    </row>
    <row r="2269" spans="2:10">
      <c r="B2269" t="s">
        <v>838</v>
      </c>
      <c r="C2269" t="s">
        <v>839</v>
      </c>
      <c r="D2269" t="s">
        <v>260</v>
      </c>
      <c r="E2269" t="s">
        <v>296</v>
      </c>
      <c r="F2269" t="s">
        <v>313</v>
      </c>
      <c r="G2269" t="s">
        <v>229</v>
      </c>
      <c r="H2269">
        <v>27</v>
      </c>
      <c r="I2269" t="str">
        <f t="shared" si="34"/>
        <v>Farm Utility/Grain Storage (Granary) Buildings|DPOLE|Good</v>
      </c>
      <c r="J2269" t="s">
        <v>840</v>
      </c>
    </row>
    <row r="2270" spans="2:10">
      <c r="B2270" t="s">
        <v>838</v>
      </c>
      <c r="C2270" t="s">
        <v>839</v>
      </c>
      <c r="D2270" t="s">
        <v>260</v>
      </c>
      <c r="E2270" t="s">
        <v>296</v>
      </c>
      <c r="F2270" t="s">
        <v>837</v>
      </c>
      <c r="G2270" t="s">
        <v>229</v>
      </c>
      <c r="H2270">
        <v>22.75</v>
      </c>
      <c r="I2270" t="str">
        <f t="shared" ref="I2270:I2333" si="35">B2270&amp;"|"&amp;F2270&amp;"|"&amp;G2270</f>
        <v>Farm Utility/Grain Storage (Granary) Buildings|DHOOP|Good</v>
      </c>
      <c r="J2270" t="s">
        <v>840</v>
      </c>
    </row>
    <row r="2271" spans="2:10">
      <c r="B2271" t="s">
        <v>838</v>
      </c>
      <c r="C2271" t="s">
        <v>839</v>
      </c>
      <c r="D2271" t="s">
        <v>260</v>
      </c>
      <c r="E2271" t="s">
        <v>296</v>
      </c>
      <c r="F2271" t="s">
        <v>219</v>
      </c>
      <c r="G2271" t="s">
        <v>229</v>
      </c>
      <c r="H2271">
        <v>30.25</v>
      </c>
      <c r="I2271" t="str">
        <f t="shared" si="35"/>
        <v>Farm Utility/Grain Storage (Granary) Buildings|S|Good</v>
      </c>
      <c r="J2271" t="s">
        <v>840</v>
      </c>
    </row>
    <row r="2272" spans="2:10">
      <c r="B2272" t="s">
        <v>838</v>
      </c>
      <c r="C2272" t="s">
        <v>839</v>
      </c>
      <c r="D2272" t="s">
        <v>260</v>
      </c>
      <c r="E2272" t="s">
        <v>296</v>
      </c>
      <c r="F2272" t="s">
        <v>735</v>
      </c>
      <c r="G2272" t="s">
        <v>229</v>
      </c>
      <c r="H2272">
        <v>28.25</v>
      </c>
      <c r="I2272" t="str">
        <f t="shared" si="35"/>
        <v>Farm Utility/Grain Storage (Granary) Buildings|SSLANT|Good</v>
      </c>
      <c r="J2272" t="s">
        <v>840</v>
      </c>
    </row>
    <row r="2273" spans="2:10">
      <c r="B2273" t="s">
        <v>841</v>
      </c>
      <c r="C2273" t="s">
        <v>842</v>
      </c>
      <c r="D2273" t="s">
        <v>260</v>
      </c>
      <c r="E2273" t="s">
        <v>296</v>
      </c>
      <c r="F2273" t="s">
        <v>209</v>
      </c>
      <c r="G2273" t="s">
        <v>226</v>
      </c>
      <c r="H2273">
        <v>16.899999999999999</v>
      </c>
      <c r="I2273" t="str">
        <f t="shared" si="35"/>
        <v>Farm Utility Storage Sheds|C|Low Cost</v>
      </c>
      <c r="J2273" t="s">
        <v>840</v>
      </c>
    </row>
    <row r="2274" spans="2:10">
      <c r="B2274" t="s">
        <v>841</v>
      </c>
      <c r="C2274" t="s">
        <v>842</v>
      </c>
      <c r="D2274" t="s">
        <v>260</v>
      </c>
      <c r="E2274" t="s">
        <v>296</v>
      </c>
      <c r="F2274" t="s">
        <v>214</v>
      </c>
      <c r="G2274" t="s">
        <v>229</v>
      </c>
      <c r="H2274">
        <v>12</v>
      </c>
      <c r="I2274" t="str">
        <f t="shared" si="35"/>
        <v>Farm Utility Storage Sheds|D|Good</v>
      </c>
      <c r="J2274" t="s">
        <v>840</v>
      </c>
    </row>
    <row r="2275" spans="2:10">
      <c r="B2275" t="s">
        <v>841</v>
      </c>
      <c r="C2275" t="s">
        <v>842</v>
      </c>
      <c r="D2275" t="s">
        <v>260</v>
      </c>
      <c r="E2275" t="s">
        <v>296</v>
      </c>
      <c r="F2275" t="s">
        <v>214</v>
      </c>
      <c r="G2275" t="s">
        <v>44</v>
      </c>
      <c r="H2275">
        <v>10.75</v>
      </c>
      <c r="I2275" t="str">
        <f t="shared" si="35"/>
        <v>Farm Utility Storage Sheds|D|Average</v>
      </c>
      <c r="J2275" t="s">
        <v>840</v>
      </c>
    </row>
    <row r="2276" spans="2:10">
      <c r="B2276" t="s">
        <v>841</v>
      </c>
      <c r="C2276" t="s">
        <v>842</v>
      </c>
      <c r="D2276" t="s">
        <v>260</v>
      </c>
      <c r="E2276" t="s">
        <v>296</v>
      </c>
      <c r="F2276" t="s">
        <v>214</v>
      </c>
      <c r="G2276" t="s">
        <v>226</v>
      </c>
      <c r="H2276">
        <v>9.64</v>
      </c>
      <c r="I2276" t="str">
        <f t="shared" si="35"/>
        <v>Farm Utility Storage Sheds|D|Low Cost</v>
      </c>
      <c r="J2276" t="s">
        <v>840</v>
      </c>
    </row>
    <row r="2277" spans="2:10">
      <c r="B2277" t="s">
        <v>841</v>
      </c>
      <c r="C2277" t="s">
        <v>842</v>
      </c>
      <c r="D2277" t="s">
        <v>260</v>
      </c>
      <c r="E2277" t="s">
        <v>296</v>
      </c>
      <c r="F2277" t="s">
        <v>313</v>
      </c>
      <c r="G2277" t="s">
        <v>226</v>
      </c>
      <c r="H2277">
        <v>8.02</v>
      </c>
      <c r="I2277" t="str">
        <f t="shared" si="35"/>
        <v>Farm Utility Storage Sheds|DPOLE|Low Cost</v>
      </c>
      <c r="J2277" t="s">
        <v>840</v>
      </c>
    </row>
    <row r="2278" spans="2:10">
      <c r="B2278" t="s">
        <v>841</v>
      </c>
      <c r="C2278" t="s">
        <v>842</v>
      </c>
      <c r="D2278" t="s">
        <v>260</v>
      </c>
      <c r="E2278" t="s">
        <v>296</v>
      </c>
      <c r="F2278" t="s">
        <v>219</v>
      </c>
      <c r="G2278" t="s">
        <v>226</v>
      </c>
      <c r="H2278">
        <v>10.5</v>
      </c>
      <c r="I2278" t="str">
        <f t="shared" si="35"/>
        <v>Farm Utility Storage Sheds|S|Low Cost</v>
      </c>
      <c r="J2278" t="s">
        <v>840</v>
      </c>
    </row>
    <row r="2279" spans="2:10">
      <c r="B2279" t="s">
        <v>841</v>
      </c>
      <c r="C2279" t="s">
        <v>842</v>
      </c>
      <c r="D2279" t="s">
        <v>260</v>
      </c>
      <c r="E2279" t="s">
        <v>296</v>
      </c>
      <c r="F2279" t="s">
        <v>735</v>
      </c>
      <c r="G2279" t="s">
        <v>226</v>
      </c>
      <c r="H2279">
        <v>9.6300000000000008</v>
      </c>
      <c r="I2279" t="str">
        <f t="shared" si="35"/>
        <v>Farm Utility Storage Sheds|SSLANT|Low Cost</v>
      </c>
      <c r="J2279" t="s">
        <v>840</v>
      </c>
    </row>
    <row r="2280" spans="2:10">
      <c r="B2280" t="s">
        <v>843</v>
      </c>
      <c r="C2280" t="s">
        <v>844</v>
      </c>
      <c r="D2280" t="s">
        <v>260</v>
      </c>
      <c r="E2280" t="s">
        <v>296</v>
      </c>
      <c r="F2280" t="s">
        <v>214</v>
      </c>
      <c r="G2280" t="s">
        <v>229</v>
      </c>
      <c r="H2280">
        <v>17.600000000000001</v>
      </c>
      <c r="I2280" t="str">
        <f t="shared" si="35"/>
        <v>Farm Utility Lean-Tos|D|Good</v>
      </c>
      <c r="J2280" t="s">
        <v>840</v>
      </c>
    </row>
    <row r="2281" spans="2:10">
      <c r="B2281" t="s">
        <v>843</v>
      </c>
      <c r="C2281" t="s">
        <v>844</v>
      </c>
      <c r="D2281" t="s">
        <v>260</v>
      </c>
      <c r="E2281" t="s">
        <v>296</v>
      </c>
      <c r="F2281" t="s">
        <v>214</v>
      </c>
      <c r="G2281" t="s">
        <v>44</v>
      </c>
      <c r="H2281">
        <v>12.4</v>
      </c>
      <c r="I2281" t="str">
        <f t="shared" si="35"/>
        <v>Farm Utility Lean-Tos|D|Average</v>
      </c>
      <c r="J2281" t="s">
        <v>840</v>
      </c>
    </row>
    <row r="2282" spans="2:10">
      <c r="B2282" t="s">
        <v>843</v>
      </c>
      <c r="C2282" t="s">
        <v>844</v>
      </c>
      <c r="D2282" t="s">
        <v>260</v>
      </c>
      <c r="E2282" t="s">
        <v>296</v>
      </c>
      <c r="F2282" t="s">
        <v>214</v>
      </c>
      <c r="G2282" t="s">
        <v>226</v>
      </c>
      <c r="H2282">
        <v>8.7200000000000006</v>
      </c>
      <c r="I2282" t="str">
        <f t="shared" si="35"/>
        <v>Farm Utility Lean-Tos|D|Low Cost</v>
      </c>
      <c r="J2282" t="s">
        <v>840</v>
      </c>
    </row>
    <row r="2283" spans="2:10">
      <c r="B2283" t="s">
        <v>843</v>
      </c>
      <c r="C2283" t="s">
        <v>844</v>
      </c>
      <c r="D2283" t="s">
        <v>260</v>
      </c>
      <c r="E2283" t="s">
        <v>296</v>
      </c>
      <c r="F2283" t="s">
        <v>313</v>
      </c>
      <c r="G2283" t="s">
        <v>229</v>
      </c>
      <c r="H2283">
        <v>15.4</v>
      </c>
      <c r="I2283" t="str">
        <f t="shared" si="35"/>
        <v>Farm Utility Lean-Tos|DPOLE|Good</v>
      </c>
      <c r="J2283" t="s">
        <v>840</v>
      </c>
    </row>
    <row r="2284" spans="2:10">
      <c r="B2284" t="s">
        <v>843</v>
      </c>
      <c r="C2284" t="s">
        <v>844</v>
      </c>
      <c r="D2284" t="s">
        <v>260</v>
      </c>
      <c r="E2284" t="s">
        <v>296</v>
      </c>
      <c r="F2284" t="s">
        <v>313</v>
      </c>
      <c r="G2284" t="s">
        <v>44</v>
      </c>
      <c r="H2284">
        <v>10.9</v>
      </c>
      <c r="I2284" t="str">
        <f t="shared" si="35"/>
        <v>Farm Utility Lean-Tos|DPOLE|Average</v>
      </c>
      <c r="J2284" t="s">
        <v>840</v>
      </c>
    </row>
    <row r="2285" spans="2:10">
      <c r="B2285" t="s">
        <v>843</v>
      </c>
      <c r="C2285" t="s">
        <v>844</v>
      </c>
      <c r="D2285" t="s">
        <v>260</v>
      </c>
      <c r="E2285" t="s">
        <v>296</v>
      </c>
      <c r="F2285" t="s">
        <v>313</v>
      </c>
      <c r="G2285" t="s">
        <v>226</v>
      </c>
      <c r="H2285">
        <v>7.69</v>
      </c>
      <c r="I2285" t="str">
        <f t="shared" si="35"/>
        <v>Farm Utility Lean-Tos|DPOLE|Low Cost</v>
      </c>
      <c r="J2285" t="s">
        <v>840</v>
      </c>
    </row>
    <row r="2286" spans="2:10">
      <c r="B2286" t="s">
        <v>843</v>
      </c>
      <c r="C2286" t="s">
        <v>844</v>
      </c>
      <c r="D2286" t="s">
        <v>260</v>
      </c>
      <c r="E2286" t="s">
        <v>296</v>
      </c>
      <c r="F2286" t="s">
        <v>219</v>
      </c>
      <c r="G2286" t="s">
        <v>229</v>
      </c>
      <c r="H2286">
        <v>17.05</v>
      </c>
      <c r="I2286" t="str">
        <f t="shared" si="35"/>
        <v>Farm Utility Lean-Tos|S|Good</v>
      </c>
      <c r="J2286" t="s">
        <v>840</v>
      </c>
    </row>
    <row r="2287" spans="2:10">
      <c r="B2287" t="s">
        <v>843</v>
      </c>
      <c r="C2287" t="s">
        <v>844</v>
      </c>
      <c r="D2287" t="s">
        <v>260</v>
      </c>
      <c r="E2287" t="s">
        <v>296</v>
      </c>
      <c r="F2287" t="s">
        <v>219</v>
      </c>
      <c r="G2287" t="s">
        <v>44</v>
      </c>
      <c r="H2287">
        <v>12.5</v>
      </c>
      <c r="I2287" t="str">
        <f t="shared" si="35"/>
        <v>Farm Utility Lean-Tos|S|Average</v>
      </c>
      <c r="J2287" t="s">
        <v>840</v>
      </c>
    </row>
    <row r="2288" spans="2:10">
      <c r="B2288" t="s">
        <v>843</v>
      </c>
      <c r="C2288" t="s">
        <v>844</v>
      </c>
      <c r="D2288" t="s">
        <v>260</v>
      </c>
      <c r="E2288" t="s">
        <v>296</v>
      </c>
      <c r="F2288" t="s">
        <v>219</v>
      </c>
      <c r="G2288" t="s">
        <v>226</v>
      </c>
      <c r="H2288">
        <v>9.19</v>
      </c>
      <c r="I2288" t="str">
        <f t="shared" si="35"/>
        <v>Farm Utility Lean-Tos|S|Low Cost</v>
      </c>
      <c r="J2288" t="s">
        <v>840</v>
      </c>
    </row>
    <row r="2289" spans="2:10">
      <c r="B2289" t="s">
        <v>845</v>
      </c>
      <c r="C2289" t="s">
        <v>846</v>
      </c>
      <c r="D2289" t="s">
        <v>260</v>
      </c>
      <c r="E2289" t="s">
        <v>300</v>
      </c>
      <c r="F2289" t="s">
        <v>209</v>
      </c>
      <c r="G2289" t="s">
        <v>44</v>
      </c>
      <c r="H2289">
        <v>24.35</v>
      </c>
      <c r="I2289" t="str">
        <f t="shared" si="35"/>
        <v>Farm Commodity Storage Sheds|C|Average</v>
      </c>
      <c r="J2289" t="s">
        <v>847</v>
      </c>
    </row>
    <row r="2290" spans="2:10">
      <c r="B2290" t="s">
        <v>845</v>
      </c>
      <c r="C2290" t="s">
        <v>846</v>
      </c>
      <c r="D2290" t="s">
        <v>260</v>
      </c>
      <c r="E2290" t="s">
        <v>300</v>
      </c>
      <c r="F2290" t="s">
        <v>214</v>
      </c>
      <c r="G2290" t="s">
        <v>44</v>
      </c>
      <c r="H2290">
        <v>17.5</v>
      </c>
      <c r="I2290" t="str">
        <f t="shared" si="35"/>
        <v>Farm Commodity Storage Sheds|D|Average</v>
      </c>
      <c r="J2290" t="s">
        <v>847</v>
      </c>
    </row>
    <row r="2291" spans="2:10">
      <c r="B2291" t="s">
        <v>845</v>
      </c>
      <c r="C2291" t="s">
        <v>846</v>
      </c>
      <c r="D2291" t="s">
        <v>260</v>
      </c>
      <c r="E2291" t="s">
        <v>300</v>
      </c>
      <c r="F2291" t="s">
        <v>313</v>
      </c>
      <c r="G2291" t="s">
        <v>44</v>
      </c>
      <c r="H2291">
        <v>16.100000000000001</v>
      </c>
      <c r="I2291" t="str">
        <f t="shared" si="35"/>
        <v>Farm Commodity Storage Sheds|DPOLE|Average</v>
      </c>
      <c r="J2291" t="s">
        <v>847</v>
      </c>
    </row>
    <row r="2292" spans="2:10">
      <c r="B2292" t="s">
        <v>845</v>
      </c>
      <c r="C2292" t="s">
        <v>846</v>
      </c>
      <c r="D2292" t="s">
        <v>260</v>
      </c>
      <c r="E2292" t="s">
        <v>300</v>
      </c>
      <c r="F2292" t="s">
        <v>219</v>
      </c>
      <c r="G2292" t="s">
        <v>44</v>
      </c>
      <c r="H2292">
        <v>18.5</v>
      </c>
      <c r="I2292" t="str">
        <f t="shared" si="35"/>
        <v>Farm Commodity Storage Sheds|S|Average</v>
      </c>
      <c r="J2292" t="s">
        <v>847</v>
      </c>
    </row>
    <row r="2293" spans="2:10">
      <c r="B2293" t="s">
        <v>848</v>
      </c>
      <c r="C2293" t="s">
        <v>849</v>
      </c>
      <c r="D2293" t="s">
        <v>260</v>
      </c>
      <c r="E2293" t="s">
        <v>300</v>
      </c>
      <c r="F2293" t="s">
        <v>214</v>
      </c>
      <c r="G2293" t="s">
        <v>229</v>
      </c>
      <c r="H2293">
        <v>25.75</v>
      </c>
      <c r="I2293" t="str">
        <f t="shared" si="35"/>
        <v>Corn Crib Buildings – Spaced Boards|D|Good</v>
      </c>
      <c r="J2293" t="s">
        <v>847</v>
      </c>
    </row>
    <row r="2294" spans="2:10">
      <c r="B2294" t="s">
        <v>848</v>
      </c>
      <c r="C2294" t="s">
        <v>849</v>
      </c>
      <c r="D2294" t="s">
        <v>260</v>
      </c>
      <c r="E2294" t="s">
        <v>300</v>
      </c>
      <c r="F2294" t="s">
        <v>214</v>
      </c>
      <c r="G2294" t="s">
        <v>44</v>
      </c>
      <c r="H2294">
        <v>24.2</v>
      </c>
      <c r="I2294" t="str">
        <f t="shared" si="35"/>
        <v>Corn Crib Buildings – Spaced Boards|D|Average</v>
      </c>
      <c r="J2294" t="s">
        <v>847</v>
      </c>
    </row>
    <row r="2295" spans="2:10">
      <c r="B2295" t="s">
        <v>850</v>
      </c>
      <c r="C2295" t="s">
        <v>851</v>
      </c>
      <c r="D2295" t="s">
        <v>260</v>
      </c>
      <c r="E2295" t="s">
        <v>300</v>
      </c>
      <c r="F2295" t="s">
        <v>214</v>
      </c>
      <c r="G2295" t="s">
        <v>229</v>
      </c>
      <c r="H2295">
        <v>23.7</v>
      </c>
      <c r="I2295" t="str">
        <f t="shared" si="35"/>
        <v>Corn Crib Buildings – Wire Mesh|D|Good</v>
      </c>
      <c r="J2295" t="s">
        <v>847</v>
      </c>
    </row>
    <row r="2296" spans="2:10">
      <c r="B2296" t="s">
        <v>850</v>
      </c>
      <c r="C2296" t="s">
        <v>851</v>
      </c>
      <c r="D2296" t="s">
        <v>260</v>
      </c>
      <c r="E2296" t="s">
        <v>300</v>
      </c>
      <c r="F2296" t="s">
        <v>214</v>
      </c>
      <c r="G2296" t="s">
        <v>44</v>
      </c>
      <c r="H2296">
        <v>22.1</v>
      </c>
      <c r="I2296" t="str">
        <f t="shared" si="35"/>
        <v>Corn Crib Buildings – Wire Mesh|D|Average</v>
      </c>
      <c r="J2296" t="s">
        <v>847</v>
      </c>
    </row>
    <row r="2297" spans="2:10">
      <c r="B2297" t="s">
        <v>852</v>
      </c>
      <c r="C2297" t="s">
        <v>853</v>
      </c>
      <c r="D2297" t="s">
        <v>260</v>
      </c>
      <c r="E2297" t="s">
        <v>300</v>
      </c>
      <c r="F2297" t="s">
        <v>209</v>
      </c>
      <c r="G2297" t="s">
        <v>229</v>
      </c>
      <c r="H2297">
        <v>40</v>
      </c>
      <c r="I2297" t="str">
        <f t="shared" si="35"/>
        <v>Farm Implement (Equipment Shop) Buildings|C|Good</v>
      </c>
      <c r="J2297" t="s">
        <v>847</v>
      </c>
    </row>
    <row r="2298" spans="2:10">
      <c r="B2298" t="s">
        <v>852</v>
      </c>
      <c r="C2298" t="s">
        <v>853</v>
      </c>
      <c r="D2298" t="s">
        <v>260</v>
      </c>
      <c r="E2298" t="s">
        <v>300</v>
      </c>
      <c r="F2298" t="s">
        <v>209</v>
      </c>
      <c r="G2298" t="s">
        <v>44</v>
      </c>
      <c r="H2298">
        <v>31.25</v>
      </c>
      <c r="I2298" t="str">
        <f t="shared" si="35"/>
        <v>Farm Implement (Equipment Shop) Buildings|C|Average</v>
      </c>
      <c r="J2298" t="s">
        <v>847</v>
      </c>
    </row>
    <row r="2299" spans="2:10">
      <c r="B2299" t="s">
        <v>852</v>
      </c>
      <c r="C2299" t="s">
        <v>853</v>
      </c>
      <c r="D2299" t="s">
        <v>260</v>
      </c>
      <c r="E2299" t="s">
        <v>300</v>
      </c>
      <c r="F2299" t="s">
        <v>214</v>
      </c>
      <c r="G2299" t="s">
        <v>229</v>
      </c>
      <c r="H2299">
        <v>32.25</v>
      </c>
      <c r="I2299" t="str">
        <f t="shared" si="35"/>
        <v>Farm Implement (Equipment Shop) Buildings|D|Good</v>
      </c>
      <c r="J2299" t="s">
        <v>847</v>
      </c>
    </row>
    <row r="2300" spans="2:10">
      <c r="B2300" t="s">
        <v>852</v>
      </c>
      <c r="C2300" t="s">
        <v>853</v>
      </c>
      <c r="D2300" t="s">
        <v>260</v>
      </c>
      <c r="E2300" t="s">
        <v>300</v>
      </c>
      <c r="F2300" t="s">
        <v>214</v>
      </c>
      <c r="G2300" t="s">
        <v>44</v>
      </c>
      <c r="H2300">
        <v>22.8</v>
      </c>
      <c r="I2300" t="str">
        <f t="shared" si="35"/>
        <v>Farm Implement (Equipment Shop) Buildings|D|Average</v>
      </c>
      <c r="J2300" t="s">
        <v>847</v>
      </c>
    </row>
    <row r="2301" spans="2:10">
      <c r="B2301" t="s">
        <v>852</v>
      </c>
      <c r="C2301" t="s">
        <v>853</v>
      </c>
      <c r="D2301" t="s">
        <v>260</v>
      </c>
      <c r="E2301" t="s">
        <v>300</v>
      </c>
      <c r="F2301" t="s">
        <v>313</v>
      </c>
      <c r="G2301" t="s">
        <v>229</v>
      </c>
      <c r="H2301">
        <v>29</v>
      </c>
      <c r="I2301" t="str">
        <f t="shared" si="35"/>
        <v>Farm Implement (Equipment Shop) Buildings|DPOLE|Good</v>
      </c>
      <c r="J2301" t="s">
        <v>847</v>
      </c>
    </row>
    <row r="2302" spans="2:10">
      <c r="B2302" t="s">
        <v>852</v>
      </c>
      <c r="C2302" t="s">
        <v>853</v>
      </c>
      <c r="D2302" t="s">
        <v>260</v>
      </c>
      <c r="E2302" t="s">
        <v>300</v>
      </c>
      <c r="F2302" t="s">
        <v>313</v>
      </c>
      <c r="G2302" t="s">
        <v>44</v>
      </c>
      <c r="H2302">
        <v>19.95</v>
      </c>
      <c r="I2302" t="str">
        <f t="shared" si="35"/>
        <v>Farm Implement (Equipment Shop) Buildings|DPOLE|Average</v>
      </c>
      <c r="J2302" t="s">
        <v>847</v>
      </c>
    </row>
    <row r="2303" spans="2:10">
      <c r="B2303" t="s">
        <v>852</v>
      </c>
      <c r="C2303" t="s">
        <v>853</v>
      </c>
      <c r="D2303" t="s">
        <v>260</v>
      </c>
      <c r="E2303" t="s">
        <v>300</v>
      </c>
      <c r="F2303" t="s">
        <v>313</v>
      </c>
      <c r="G2303" t="s">
        <v>226</v>
      </c>
      <c r="H2303">
        <v>13.8</v>
      </c>
      <c r="I2303" t="str">
        <f t="shared" si="35"/>
        <v>Farm Implement (Equipment Shop) Buildings|DPOLE|Low Cost</v>
      </c>
      <c r="J2303" t="s">
        <v>847</v>
      </c>
    </row>
    <row r="2304" spans="2:10">
      <c r="B2304" t="s">
        <v>852</v>
      </c>
      <c r="C2304" t="s">
        <v>853</v>
      </c>
      <c r="D2304" t="s">
        <v>260</v>
      </c>
      <c r="E2304" t="s">
        <v>300</v>
      </c>
      <c r="F2304" t="s">
        <v>219</v>
      </c>
      <c r="G2304" t="s">
        <v>229</v>
      </c>
      <c r="H2304">
        <v>32</v>
      </c>
      <c r="I2304" t="str">
        <f t="shared" si="35"/>
        <v>Farm Implement (Equipment Shop) Buildings|S|Good</v>
      </c>
      <c r="J2304" t="s">
        <v>847</v>
      </c>
    </row>
    <row r="2305" spans="2:10">
      <c r="B2305" t="s">
        <v>852</v>
      </c>
      <c r="C2305" t="s">
        <v>853</v>
      </c>
      <c r="D2305" t="s">
        <v>260</v>
      </c>
      <c r="E2305" t="s">
        <v>300</v>
      </c>
      <c r="F2305" t="s">
        <v>219</v>
      </c>
      <c r="G2305" t="s">
        <v>44</v>
      </c>
      <c r="H2305">
        <v>22.7</v>
      </c>
      <c r="I2305" t="str">
        <f t="shared" si="35"/>
        <v>Farm Implement (Equipment Shop) Buildings|S|Average</v>
      </c>
      <c r="J2305" t="s">
        <v>847</v>
      </c>
    </row>
    <row r="2306" spans="2:10">
      <c r="B2306" t="s">
        <v>852</v>
      </c>
      <c r="C2306" t="s">
        <v>853</v>
      </c>
      <c r="D2306" t="s">
        <v>260</v>
      </c>
      <c r="E2306" t="s">
        <v>300</v>
      </c>
      <c r="F2306" t="s">
        <v>219</v>
      </c>
      <c r="G2306" t="s">
        <v>226</v>
      </c>
      <c r="H2306">
        <v>16.2</v>
      </c>
      <c r="I2306" t="str">
        <f t="shared" si="35"/>
        <v>Farm Implement (Equipment Shop) Buildings|S|Low Cost</v>
      </c>
      <c r="J2306" t="s">
        <v>847</v>
      </c>
    </row>
    <row r="2307" spans="2:10">
      <c r="B2307" t="s">
        <v>852</v>
      </c>
      <c r="C2307" t="s">
        <v>853</v>
      </c>
      <c r="D2307" t="s">
        <v>260</v>
      </c>
      <c r="E2307" t="s">
        <v>300</v>
      </c>
      <c r="F2307" t="s">
        <v>735</v>
      </c>
      <c r="G2307" t="s">
        <v>229</v>
      </c>
      <c r="H2307">
        <v>30</v>
      </c>
      <c r="I2307" t="str">
        <f t="shared" si="35"/>
        <v>Farm Implement (Equipment Shop) Buildings|SSLANT|Good</v>
      </c>
      <c r="J2307" t="s">
        <v>847</v>
      </c>
    </row>
    <row r="2308" spans="2:10">
      <c r="B2308" t="s">
        <v>852</v>
      </c>
      <c r="C2308" t="s">
        <v>853</v>
      </c>
      <c r="D2308" t="s">
        <v>260</v>
      </c>
      <c r="E2308" t="s">
        <v>300</v>
      </c>
      <c r="F2308" t="s">
        <v>735</v>
      </c>
      <c r="G2308" t="s">
        <v>44</v>
      </c>
      <c r="H2308">
        <v>21.25</v>
      </c>
      <c r="I2308" t="str">
        <f t="shared" si="35"/>
        <v>Farm Implement (Equipment Shop) Buildings|SSLANT|Average</v>
      </c>
      <c r="J2308" t="s">
        <v>847</v>
      </c>
    </row>
    <row r="2309" spans="2:10">
      <c r="B2309" t="s">
        <v>852</v>
      </c>
      <c r="C2309" t="s">
        <v>853</v>
      </c>
      <c r="D2309" t="s">
        <v>260</v>
      </c>
      <c r="E2309" t="s">
        <v>300</v>
      </c>
      <c r="F2309" t="s">
        <v>735</v>
      </c>
      <c r="G2309" t="s">
        <v>226</v>
      </c>
      <c r="H2309">
        <v>15.1</v>
      </c>
      <c r="I2309" t="str">
        <f t="shared" si="35"/>
        <v>Farm Implement (Equipment Shop) Buildings|SSLANT|Low Cost</v>
      </c>
      <c r="J2309" t="s">
        <v>847</v>
      </c>
    </row>
    <row r="2310" spans="2:10">
      <c r="B2310" t="s">
        <v>854</v>
      </c>
      <c r="C2310" t="s">
        <v>855</v>
      </c>
      <c r="D2310" t="s">
        <v>260</v>
      </c>
      <c r="E2310" t="s">
        <v>309</v>
      </c>
      <c r="F2310" t="s">
        <v>214</v>
      </c>
      <c r="G2310" t="s">
        <v>229</v>
      </c>
      <c r="H2310">
        <v>37.75</v>
      </c>
      <c r="I2310" t="str">
        <f t="shared" si="35"/>
        <v>Arch-Rib (Quonset) Farm Implement Buildings|D|Good</v>
      </c>
      <c r="J2310" t="s">
        <v>856</v>
      </c>
    </row>
    <row r="2311" spans="2:10">
      <c r="B2311" t="s">
        <v>854</v>
      </c>
      <c r="C2311" t="s">
        <v>855</v>
      </c>
      <c r="D2311" t="s">
        <v>260</v>
      </c>
      <c r="E2311" t="s">
        <v>309</v>
      </c>
      <c r="F2311" t="s">
        <v>214</v>
      </c>
      <c r="G2311" t="s">
        <v>44</v>
      </c>
      <c r="H2311">
        <v>28.75</v>
      </c>
      <c r="I2311" t="str">
        <f t="shared" si="35"/>
        <v>Arch-Rib (Quonset) Farm Implement Buildings|D|Average</v>
      </c>
      <c r="J2311" t="s">
        <v>856</v>
      </c>
    </row>
    <row r="2312" spans="2:10">
      <c r="B2312" t="s">
        <v>854</v>
      </c>
      <c r="C2312" t="s">
        <v>855</v>
      </c>
      <c r="D2312" t="s">
        <v>260</v>
      </c>
      <c r="E2312" t="s">
        <v>309</v>
      </c>
      <c r="F2312" t="s">
        <v>313</v>
      </c>
      <c r="G2312" t="s">
        <v>229</v>
      </c>
      <c r="H2312">
        <v>36</v>
      </c>
      <c r="I2312" t="str">
        <f t="shared" si="35"/>
        <v>Arch-Rib (Quonset) Farm Implement Buildings|DPOLE|Good</v>
      </c>
      <c r="J2312" t="s">
        <v>856</v>
      </c>
    </row>
    <row r="2313" spans="2:10">
      <c r="B2313" t="s">
        <v>854</v>
      </c>
      <c r="C2313" t="s">
        <v>855</v>
      </c>
      <c r="D2313" t="s">
        <v>260</v>
      </c>
      <c r="E2313" t="s">
        <v>309</v>
      </c>
      <c r="F2313" t="s">
        <v>313</v>
      </c>
      <c r="G2313" t="s">
        <v>44</v>
      </c>
      <c r="H2313">
        <v>27</v>
      </c>
      <c r="I2313" t="str">
        <f t="shared" si="35"/>
        <v>Arch-Rib (Quonset) Farm Implement Buildings|DPOLE|Average</v>
      </c>
      <c r="J2313" t="s">
        <v>856</v>
      </c>
    </row>
    <row r="2314" spans="2:10">
      <c r="B2314" t="s">
        <v>854</v>
      </c>
      <c r="C2314" t="s">
        <v>855</v>
      </c>
      <c r="D2314" t="s">
        <v>260</v>
      </c>
      <c r="E2314" t="s">
        <v>309</v>
      </c>
      <c r="F2314" t="s">
        <v>837</v>
      </c>
      <c r="G2314" t="s">
        <v>44</v>
      </c>
      <c r="H2314">
        <v>17.850000000000001</v>
      </c>
      <c r="I2314" t="str">
        <f t="shared" si="35"/>
        <v>Arch-Rib (Quonset) Farm Implement Buildings|DHOOP|Average</v>
      </c>
      <c r="J2314" t="s">
        <v>856</v>
      </c>
    </row>
    <row r="2315" spans="2:10">
      <c r="B2315" t="s">
        <v>854</v>
      </c>
      <c r="C2315" t="s">
        <v>855</v>
      </c>
      <c r="D2315" t="s">
        <v>260</v>
      </c>
      <c r="E2315" t="s">
        <v>309</v>
      </c>
      <c r="F2315" t="s">
        <v>837</v>
      </c>
      <c r="G2315" t="s">
        <v>226</v>
      </c>
      <c r="H2315">
        <v>13.6</v>
      </c>
      <c r="I2315" t="str">
        <f t="shared" si="35"/>
        <v>Arch-Rib (Quonset) Farm Implement Buildings|DHOOP|Low Cost</v>
      </c>
      <c r="J2315" t="s">
        <v>856</v>
      </c>
    </row>
    <row r="2316" spans="2:10">
      <c r="B2316" t="s">
        <v>854</v>
      </c>
      <c r="C2316" t="s">
        <v>855</v>
      </c>
      <c r="D2316" t="s">
        <v>260</v>
      </c>
      <c r="E2316" t="s">
        <v>309</v>
      </c>
      <c r="F2316" t="s">
        <v>219</v>
      </c>
      <c r="G2316" t="s">
        <v>229</v>
      </c>
      <c r="H2316">
        <v>36.5</v>
      </c>
      <c r="I2316" t="str">
        <f t="shared" si="35"/>
        <v>Arch-Rib (Quonset) Farm Implement Buildings|S|Good</v>
      </c>
      <c r="J2316" t="s">
        <v>856</v>
      </c>
    </row>
    <row r="2317" spans="2:10">
      <c r="B2317" t="s">
        <v>854</v>
      </c>
      <c r="C2317" t="s">
        <v>855</v>
      </c>
      <c r="D2317" t="s">
        <v>260</v>
      </c>
      <c r="E2317" t="s">
        <v>309</v>
      </c>
      <c r="F2317" t="s">
        <v>219</v>
      </c>
      <c r="G2317" t="s">
        <v>44</v>
      </c>
      <c r="H2317">
        <v>27.5</v>
      </c>
      <c r="I2317" t="str">
        <f t="shared" si="35"/>
        <v>Arch-Rib (Quonset) Farm Implement Buildings|S|Average</v>
      </c>
      <c r="J2317" t="s">
        <v>856</v>
      </c>
    </row>
    <row r="2318" spans="2:10">
      <c r="B2318" t="s">
        <v>854</v>
      </c>
      <c r="C2318" t="s">
        <v>855</v>
      </c>
      <c r="D2318" t="s">
        <v>260</v>
      </c>
      <c r="E2318" t="s">
        <v>309</v>
      </c>
      <c r="F2318" t="s">
        <v>219</v>
      </c>
      <c r="G2318" t="s">
        <v>226</v>
      </c>
      <c r="H2318">
        <v>20.8</v>
      </c>
      <c r="I2318" t="str">
        <f t="shared" si="35"/>
        <v>Arch-Rib (Quonset) Farm Implement Buildings|S|Low Cost</v>
      </c>
      <c r="J2318" t="s">
        <v>856</v>
      </c>
    </row>
    <row r="2319" spans="2:10">
      <c r="B2319" t="s">
        <v>854</v>
      </c>
      <c r="C2319" t="s">
        <v>855</v>
      </c>
      <c r="D2319" t="s">
        <v>260</v>
      </c>
      <c r="E2319" t="s">
        <v>309</v>
      </c>
      <c r="F2319" t="s">
        <v>361</v>
      </c>
      <c r="G2319" t="s">
        <v>314</v>
      </c>
      <c r="H2319">
        <v>16.899999999999999</v>
      </c>
      <c r="I2319" t="str">
        <f t="shared" si="35"/>
        <v>Arch-Rib (Quonset) Farm Implement Buildings|WALL|Cheap</v>
      </c>
      <c r="J2319" t="s">
        <v>856</v>
      </c>
    </row>
    <row r="2320" spans="2:10">
      <c r="B2320" t="s">
        <v>857</v>
      </c>
      <c r="C2320" t="s">
        <v>858</v>
      </c>
      <c r="D2320" t="s">
        <v>260</v>
      </c>
      <c r="E2320" t="s">
        <v>309</v>
      </c>
      <c r="F2320" t="s">
        <v>209</v>
      </c>
      <c r="G2320" t="s">
        <v>44</v>
      </c>
      <c r="H2320">
        <v>25.5</v>
      </c>
      <c r="I2320" t="str">
        <f t="shared" si="35"/>
        <v>Farm Implement – Equipment Sheds|C|Average</v>
      </c>
      <c r="J2320" t="s">
        <v>856</v>
      </c>
    </row>
    <row r="2321" spans="2:10">
      <c r="B2321" t="s">
        <v>857</v>
      </c>
      <c r="C2321" t="s">
        <v>858</v>
      </c>
      <c r="D2321" t="s">
        <v>260</v>
      </c>
      <c r="E2321" t="s">
        <v>309</v>
      </c>
      <c r="F2321" t="s">
        <v>209</v>
      </c>
      <c r="G2321" t="s">
        <v>226</v>
      </c>
      <c r="H2321">
        <v>18.55</v>
      </c>
      <c r="I2321" t="str">
        <f t="shared" si="35"/>
        <v>Farm Implement – Equipment Sheds|C|Low Cost</v>
      </c>
      <c r="J2321" t="s">
        <v>856</v>
      </c>
    </row>
    <row r="2322" spans="2:10">
      <c r="B2322" t="s">
        <v>857</v>
      </c>
      <c r="C2322" t="s">
        <v>858</v>
      </c>
      <c r="D2322" t="s">
        <v>260</v>
      </c>
      <c r="E2322" t="s">
        <v>309</v>
      </c>
      <c r="F2322" t="s">
        <v>214</v>
      </c>
      <c r="G2322" t="s">
        <v>44</v>
      </c>
      <c r="H2322">
        <v>19.649999999999999</v>
      </c>
      <c r="I2322" t="str">
        <f t="shared" si="35"/>
        <v>Farm Implement – Equipment Sheds|D|Average</v>
      </c>
      <c r="J2322" t="s">
        <v>856</v>
      </c>
    </row>
    <row r="2323" spans="2:10">
      <c r="B2323" t="s">
        <v>857</v>
      </c>
      <c r="C2323" t="s">
        <v>858</v>
      </c>
      <c r="D2323" t="s">
        <v>260</v>
      </c>
      <c r="E2323" t="s">
        <v>309</v>
      </c>
      <c r="F2323" t="s">
        <v>214</v>
      </c>
      <c r="G2323" t="s">
        <v>226</v>
      </c>
      <c r="H2323">
        <v>11.3</v>
      </c>
      <c r="I2323" t="str">
        <f t="shared" si="35"/>
        <v>Farm Implement – Equipment Sheds|D|Low Cost</v>
      </c>
      <c r="J2323" t="s">
        <v>856</v>
      </c>
    </row>
    <row r="2324" spans="2:10">
      <c r="B2324" t="s">
        <v>857</v>
      </c>
      <c r="C2324" t="s">
        <v>858</v>
      </c>
      <c r="D2324" t="s">
        <v>260</v>
      </c>
      <c r="E2324" t="s">
        <v>309</v>
      </c>
      <c r="F2324" t="s">
        <v>313</v>
      </c>
      <c r="G2324" t="s">
        <v>44</v>
      </c>
      <c r="H2324">
        <v>16.7</v>
      </c>
      <c r="I2324" t="str">
        <f t="shared" si="35"/>
        <v>Farm Implement – Equipment Sheds|DPOLE|Average</v>
      </c>
      <c r="J2324" t="s">
        <v>856</v>
      </c>
    </row>
    <row r="2325" spans="2:10">
      <c r="B2325" t="s">
        <v>857</v>
      </c>
      <c r="C2325" t="s">
        <v>858</v>
      </c>
      <c r="D2325" t="s">
        <v>260</v>
      </c>
      <c r="E2325" t="s">
        <v>309</v>
      </c>
      <c r="F2325" t="s">
        <v>313</v>
      </c>
      <c r="G2325" t="s">
        <v>226</v>
      </c>
      <c r="H2325">
        <v>9.57</v>
      </c>
      <c r="I2325" t="str">
        <f t="shared" si="35"/>
        <v>Farm Implement – Equipment Sheds|DPOLE|Low Cost</v>
      </c>
      <c r="J2325" t="s">
        <v>856</v>
      </c>
    </row>
    <row r="2326" spans="2:10">
      <c r="B2326" t="s">
        <v>857</v>
      </c>
      <c r="C2326" t="s">
        <v>858</v>
      </c>
      <c r="D2326" t="s">
        <v>260</v>
      </c>
      <c r="E2326" t="s">
        <v>309</v>
      </c>
      <c r="F2326" t="s">
        <v>219</v>
      </c>
      <c r="G2326" t="s">
        <v>44</v>
      </c>
      <c r="H2326">
        <v>19.600000000000001</v>
      </c>
      <c r="I2326" t="str">
        <f t="shared" si="35"/>
        <v>Farm Implement – Equipment Sheds|S|Average</v>
      </c>
      <c r="J2326" t="s">
        <v>856</v>
      </c>
    </row>
    <row r="2327" spans="2:10">
      <c r="B2327" t="s">
        <v>857</v>
      </c>
      <c r="C2327" t="s">
        <v>858</v>
      </c>
      <c r="D2327" t="s">
        <v>260</v>
      </c>
      <c r="E2327" t="s">
        <v>309</v>
      </c>
      <c r="F2327" t="s">
        <v>219</v>
      </c>
      <c r="G2327" t="s">
        <v>226</v>
      </c>
      <c r="H2327">
        <v>12.05</v>
      </c>
      <c r="I2327" t="str">
        <f t="shared" si="35"/>
        <v>Farm Implement – Equipment Sheds|S|Low Cost</v>
      </c>
      <c r="J2327" t="s">
        <v>856</v>
      </c>
    </row>
    <row r="2328" spans="2:10">
      <c r="B2328" t="s">
        <v>857</v>
      </c>
      <c r="C2328" t="s">
        <v>858</v>
      </c>
      <c r="D2328" t="s">
        <v>260</v>
      </c>
      <c r="E2328" t="s">
        <v>309</v>
      </c>
      <c r="F2328" t="s">
        <v>735</v>
      </c>
      <c r="G2328" t="s">
        <v>44</v>
      </c>
      <c r="H2328">
        <v>18.2</v>
      </c>
      <c r="I2328" t="str">
        <f t="shared" si="35"/>
        <v>Farm Implement – Equipment Sheds|SSLANT|Average</v>
      </c>
      <c r="J2328" t="s">
        <v>856</v>
      </c>
    </row>
    <row r="2329" spans="2:10">
      <c r="B2329" t="s">
        <v>857</v>
      </c>
      <c r="C2329" t="s">
        <v>858</v>
      </c>
      <c r="D2329" t="s">
        <v>260</v>
      </c>
      <c r="E2329" t="s">
        <v>309</v>
      </c>
      <c r="F2329" t="s">
        <v>735</v>
      </c>
      <c r="G2329" t="s">
        <v>226</v>
      </c>
      <c r="H2329">
        <v>11.05</v>
      </c>
      <c r="I2329" t="str">
        <f t="shared" si="35"/>
        <v>Farm Implement – Equipment Sheds|SSLANT|Low Cost</v>
      </c>
      <c r="J2329" t="s">
        <v>856</v>
      </c>
    </row>
    <row r="2330" spans="2:10">
      <c r="B2330" t="s">
        <v>859</v>
      </c>
      <c r="C2330" t="s">
        <v>860</v>
      </c>
      <c r="D2330" t="s">
        <v>260</v>
      </c>
      <c r="E2330" t="s">
        <v>317</v>
      </c>
      <c r="F2330" t="s">
        <v>209</v>
      </c>
      <c r="G2330" t="s">
        <v>229</v>
      </c>
      <c r="H2330">
        <v>53</v>
      </c>
      <c r="I2330" t="str">
        <f t="shared" si="35"/>
        <v>Barns – General Purpose|C|Good</v>
      </c>
      <c r="J2330" t="s">
        <v>861</v>
      </c>
    </row>
    <row r="2331" spans="2:10">
      <c r="B2331" t="s">
        <v>859</v>
      </c>
      <c r="C2331" t="s">
        <v>860</v>
      </c>
      <c r="D2331" t="s">
        <v>260</v>
      </c>
      <c r="E2331" t="s">
        <v>317</v>
      </c>
      <c r="F2331" t="s">
        <v>209</v>
      </c>
      <c r="G2331" t="s">
        <v>44</v>
      </c>
      <c r="H2331">
        <v>40.25</v>
      </c>
      <c r="I2331" t="str">
        <f t="shared" si="35"/>
        <v>Barns – General Purpose|C|Average</v>
      </c>
      <c r="J2331" t="s">
        <v>861</v>
      </c>
    </row>
    <row r="2332" spans="2:10">
      <c r="B2332" t="s">
        <v>859</v>
      </c>
      <c r="C2332" t="s">
        <v>860</v>
      </c>
      <c r="D2332" t="s">
        <v>260</v>
      </c>
      <c r="E2332" t="s">
        <v>317</v>
      </c>
      <c r="F2332" t="s">
        <v>209</v>
      </c>
      <c r="G2332" t="s">
        <v>226</v>
      </c>
      <c r="H2332">
        <v>30.75</v>
      </c>
      <c r="I2332" t="str">
        <f t="shared" si="35"/>
        <v>Barns – General Purpose|C|Low Cost</v>
      </c>
      <c r="J2332" t="s">
        <v>861</v>
      </c>
    </row>
    <row r="2333" spans="2:10">
      <c r="B2333" t="s">
        <v>859</v>
      </c>
      <c r="C2333" t="s">
        <v>860</v>
      </c>
      <c r="D2333" t="s">
        <v>260</v>
      </c>
      <c r="E2333" t="s">
        <v>317</v>
      </c>
      <c r="F2333" t="s">
        <v>214</v>
      </c>
      <c r="G2333" t="s">
        <v>229</v>
      </c>
      <c r="H2333">
        <v>47.25</v>
      </c>
      <c r="I2333" t="str">
        <f t="shared" si="35"/>
        <v>Barns – General Purpose|D|Good</v>
      </c>
      <c r="J2333" t="s">
        <v>861</v>
      </c>
    </row>
    <row r="2334" spans="2:10">
      <c r="B2334" t="s">
        <v>859</v>
      </c>
      <c r="C2334" t="s">
        <v>860</v>
      </c>
      <c r="D2334" t="s">
        <v>260</v>
      </c>
      <c r="E2334" t="s">
        <v>317</v>
      </c>
      <c r="F2334" t="s">
        <v>214</v>
      </c>
      <c r="G2334" t="s">
        <v>44</v>
      </c>
      <c r="H2334">
        <v>34</v>
      </c>
      <c r="I2334" t="str">
        <f t="shared" ref="I2334:I2397" si="36">B2334&amp;"|"&amp;F2334&amp;"|"&amp;G2334</f>
        <v>Barns – General Purpose|D|Average</v>
      </c>
      <c r="J2334" t="s">
        <v>861</v>
      </c>
    </row>
    <row r="2335" spans="2:10">
      <c r="B2335" t="s">
        <v>859</v>
      </c>
      <c r="C2335" t="s">
        <v>860</v>
      </c>
      <c r="D2335" t="s">
        <v>260</v>
      </c>
      <c r="E2335" t="s">
        <v>317</v>
      </c>
      <c r="F2335" t="s">
        <v>214</v>
      </c>
      <c r="G2335" t="s">
        <v>226</v>
      </c>
      <c r="H2335">
        <v>24.7</v>
      </c>
      <c r="I2335" t="str">
        <f t="shared" si="36"/>
        <v>Barns – General Purpose|D|Low Cost</v>
      </c>
      <c r="J2335" t="s">
        <v>861</v>
      </c>
    </row>
    <row r="2336" spans="2:10">
      <c r="B2336" t="s">
        <v>859</v>
      </c>
      <c r="C2336" t="s">
        <v>860</v>
      </c>
      <c r="D2336" t="s">
        <v>260</v>
      </c>
      <c r="E2336" t="s">
        <v>317</v>
      </c>
      <c r="F2336" t="s">
        <v>313</v>
      </c>
      <c r="G2336" t="s">
        <v>229</v>
      </c>
      <c r="H2336">
        <v>41</v>
      </c>
      <c r="I2336" t="str">
        <f t="shared" si="36"/>
        <v>Barns – General Purpose|DPOLE|Good</v>
      </c>
      <c r="J2336" t="s">
        <v>861</v>
      </c>
    </row>
    <row r="2337" spans="2:10">
      <c r="B2337" t="s">
        <v>859</v>
      </c>
      <c r="C2337" t="s">
        <v>860</v>
      </c>
      <c r="D2337" t="s">
        <v>260</v>
      </c>
      <c r="E2337" t="s">
        <v>317</v>
      </c>
      <c r="F2337" t="s">
        <v>313</v>
      </c>
      <c r="G2337" t="s">
        <v>44</v>
      </c>
      <c r="H2337">
        <v>29.25</v>
      </c>
      <c r="I2337" t="str">
        <f t="shared" si="36"/>
        <v>Barns – General Purpose|DPOLE|Average</v>
      </c>
      <c r="J2337" t="s">
        <v>861</v>
      </c>
    </row>
    <row r="2338" spans="2:10">
      <c r="B2338" t="s">
        <v>859</v>
      </c>
      <c r="C2338" t="s">
        <v>860</v>
      </c>
      <c r="D2338" t="s">
        <v>260</v>
      </c>
      <c r="E2338" t="s">
        <v>317</v>
      </c>
      <c r="F2338" t="s">
        <v>313</v>
      </c>
      <c r="G2338" t="s">
        <v>226</v>
      </c>
      <c r="H2338">
        <v>20.85</v>
      </c>
      <c r="I2338" t="str">
        <f t="shared" si="36"/>
        <v>Barns – General Purpose|DPOLE|Low Cost</v>
      </c>
      <c r="J2338" t="s">
        <v>861</v>
      </c>
    </row>
    <row r="2339" spans="2:10">
      <c r="B2339" t="s">
        <v>859</v>
      </c>
      <c r="C2339" t="s">
        <v>860</v>
      </c>
      <c r="D2339" t="s">
        <v>260</v>
      </c>
      <c r="E2339" t="s">
        <v>317</v>
      </c>
      <c r="F2339" t="s">
        <v>219</v>
      </c>
      <c r="G2339" t="s">
        <v>229</v>
      </c>
      <c r="H2339">
        <v>44.75</v>
      </c>
      <c r="I2339" t="str">
        <f t="shared" si="36"/>
        <v>Barns – General Purpose|S|Good</v>
      </c>
      <c r="J2339" t="s">
        <v>861</v>
      </c>
    </row>
    <row r="2340" spans="2:10">
      <c r="B2340" t="s">
        <v>859</v>
      </c>
      <c r="C2340" t="s">
        <v>860</v>
      </c>
      <c r="D2340" t="s">
        <v>260</v>
      </c>
      <c r="E2340" t="s">
        <v>317</v>
      </c>
      <c r="F2340" t="s">
        <v>219</v>
      </c>
      <c r="G2340" t="s">
        <v>44</v>
      </c>
      <c r="H2340">
        <v>32.5</v>
      </c>
      <c r="I2340" t="str">
        <f t="shared" si="36"/>
        <v>Barns – General Purpose|S|Average</v>
      </c>
      <c r="J2340" t="s">
        <v>861</v>
      </c>
    </row>
    <row r="2341" spans="2:10">
      <c r="B2341" t="s">
        <v>859</v>
      </c>
      <c r="C2341" t="s">
        <v>860</v>
      </c>
      <c r="D2341" t="s">
        <v>260</v>
      </c>
      <c r="E2341" t="s">
        <v>317</v>
      </c>
      <c r="F2341" t="s">
        <v>219</v>
      </c>
      <c r="G2341" t="s">
        <v>226</v>
      </c>
      <c r="H2341">
        <v>23.55</v>
      </c>
      <c r="I2341" t="str">
        <f t="shared" si="36"/>
        <v>Barns – General Purpose|S|Low Cost</v>
      </c>
      <c r="J2341" t="s">
        <v>861</v>
      </c>
    </row>
    <row r="2342" spans="2:10">
      <c r="B2342" t="s">
        <v>862</v>
      </c>
      <c r="C2342" t="s">
        <v>863</v>
      </c>
      <c r="D2342" t="s">
        <v>260</v>
      </c>
      <c r="E2342" t="s">
        <v>317</v>
      </c>
      <c r="F2342" t="s">
        <v>209</v>
      </c>
      <c r="G2342" t="s">
        <v>229</v>
      </c>
      <c r="H2342">
        <v>38.25</v>
      </c>
      <c r="I2342" t="str">
        <f t="shared" si="36"/>
        <v>Bank Barns (Two-Story) – General Purpose|C|Good</v>
      </c>
      <c r="J2342" t="s">
        <v>861</v>
      </c>
    </row>
    <row r="2343" spans="2:10">
      <c r="B2343" t="s">
        <v>862</v>
      </c>
      <c r="C2343" t="s">
        <v>863</v>
      </c>
      <c r="D2343" t="s">
        <v>260</v>
      </c>
      <c r="E2343" t="s">
        <v>317</v>
      </c>
      <c r="F2343" t="s">
        <v>209</v>
      </c>
      <c r="G2343" t="s">
        <v>44</v>
      </c>
      <c r="H2343">
        <v>29.25</v>
      </c>
      <c r="I2343" t="str">
        <f t="shared" si="36"/>
        <v>Bank Barns (Two-Story) – General Purpose|C|Average</v>
      </c>
      <c r="J2343" t="s">
        <v>861</v>
      </c>
    </row>
    <row r="2344" spans="2:10">
      <c r="B2344" t="s">
        <v>862</v>
      </c>
      <c r="C2344" t="s">
        <v>863</v>
      </c>
      <c r="D2344" t="s">
        <v>260</v>
      </c>
      <c r="E2344" t="s">
        <v>317</v>
      </c>
      <c r="F2344" t="s">
        <v>209</v>
      </c>
      <c r="G2344" t="s">
        <v>226</v>
      </c>
      <c r="H2344">
        <v>22.4</v>
      </c>
      <c r="I2344" t="str">
        <f t="shared" si="36"/>
        <v>Bank Barns (Two-Story) – General Purpose|C|Low Cost</v>
      </c>
      <c r="J2344" t="s">
        <v>861</v>
      </c>
    </row>
    <row r="2345" spans="2:10">
      <c r="B2345" t="s">
        <v>862</v>
      </c>
      <c r="C2345" t="s">
        <v>863</v>
      </c>
      <c r="D2345" t="s">
        <v>260</v>
      </c>
      <c r="E2345" t="s">
        <v>317</v>
      </c>
      <c r="F2345" t="s">
        <v>214</v>
      </c>
      <c r="G2345" t="s">
        <v>229</v>
      </c>
      <c r="H2345">
        <v>35.25</v>
      </c>
      <c r="I2345" t="str">
        <f t="shared" si="36"/>
        <v>Bank Barns (Two-Story) – General Purpose|D|Good</v>
      </c>
      <c r="J2345" t="s">
        <v>861</v>
      </c>
    </row>
    <row r="2346" spans="2:10">
      <c r="B2346" t="s">
        <v>862</v>
      </c>
      <c r="C2346" t="s">
        <v>863</v>
      </c>
      <c r="D2346" t="s">
        <v>260</v>
      </c>
      <c r="E2346" t="s">
        <v>317</v>
      </c>
      <c r="F2346" t="s">
        <v>214</v>
      </c>
      <c r="G2346" t="s">
        <v>44</v>
      </c>
      <c r="H2346">
        <v>26</v>
      </c>
      <c r="I2346" t="str">
        <f t="shared" si="36"/>
        <v>Bank Barns (Two-Story) – General Purpose|D|Average</v>
      </c>
      <c r="J2346" t="s">
        <v>861</v>
      </c>
    </row>
    <row r="2347" spans="2:10">
      <c r="B2347" t="s">
        <v>862</v>
      </c>
      <c r="C2347" t="s">
        <v>863</v>
      </c>
      <c r="D2347" t="s">
        <v>260</v>
      </c>
      <c r="E2347" t="s">
        <v>317</v>
      </c>
      <c r="F2347" t="s">
        <v>214</v>
      </c>
      <c r="G2347" t="s">
        <v>226</v>
      </c>
      <c r="H2347">
        <v>19.2</v>
      </c>
      <c r="I2347" t="str">
        <f t="shared" si="36"/>
        <v>Bank Barns (Two-Story) – General Purpose|D|Low Cost</v>
      </c>
      <c r="J2347" t="s">
        <v>861</v>
      </c>
    </row>
    <row r="2348" spans="2:10">
      <c r="B2348" t="s">
        <v>862</v>
      </c>
      <c r="C2348" t="s">
        <v>863</v>
      </c>
      <c r="D2348" t="s">
        <v>260</v>
      </c>
      <c r="E2348" t="s">
        <v>317</v>
      </c>
      <c r="F2348" t="s">
        <v>313</v>
      </c>
      <c r="G2348" t="s">
        <v>229</v>
      </c>
      <c r="H2348">
        <v>31.75</v>
      </c>
      <c r="I2348" t="str">
        <f t="shared" si="36"/>
        <v>Bank Barns (Two-Story) – General Purpose|DPOLE|Good</v>
      </c>
      <c r="J2348" t="s">
        <v>861</v>
      </c>
    </row>
    <row r="2349" spans="2:10">
      <c r="B2349" t="s">
        <v>862</v>
      </c>
      <c r="C2349" t="s">
        <v>863</v>
      </c>
      <c r="D2349" t="s">
        <v>260</v>
      </c>
      <c r="E2349" t="s">
        <v>317</v>
      </c>
      <c r="F2349" t="s">
        <v>313</v>
      </c>
      <c r="G2349" t="s">
        <v>44</v>
      </c>
      <c r="H2349">
        <v>23.4</v>
      </c>
      <c r="I2349" t="str">
        <f t="shared" si="36"/>
        <v>Bank Barns (Two-Story) – General Purpose|DPOLE|Average</v>
      </c>
      <c r="J2349" t="s">
        <v>861</v>
      </c>
    </row>
    <row r="2350" spans="2:10">
      <c r="B2350" t="s">
        <v>862</v>
      </c>
      <c r="C2350" t="s">
        <v>863</v>
      </c>
      <c r="D2350" t="s">
        <v>260</v>
      </c>
      <c r="E2350" t="s">
        <v>317</v>
      </c>
      <c r="F2350" t="s">
        <v>313</v>
      </c>
      <c r="G2350" t="s">
        <v>226</v>
      </c>
      <c r="H2350">
        <v>17.25</v>
      </c>
      <c r="I2350" t="str">
        <f t="shared" si="36"/>
        <v>Bank Barns (Two-Story) – General Purpose|DPOLE|Low Cost</v>
      </c>
      <c r="J2350" t="s">
        <v>861</v>
      </c>
    </row>
    <row r="2351" spans="2:10">
      <c r="B2351" t="s">
        <v>864</v>
      </c>
      <c r="C2351" t="s">
        <v>865</v>
      </c>
      <c r="D2351" t="s">
        <v>260</v>
      </c>
      <c r="E2351" t="s">
        <v>323</v>
      </c>
      <c r="F2351" t="s">
        <v>209</v>
      </c>
      <c r="G2351" t="s">
        <v>231</v>
      </c>
      <c r="H2351">
        <v>93</v>
      </c>
      <c r="I2351" t="str">
        <f t="shared" si="36"/>
        <v>Barns – Special Purpose|C|Excellent</v>
      </c>
      <c r="J2351" t="s">
        <v>866</v>
      </c>
    </row>
    <row r="2352" spans="2:10">
      <c r="B2352" t="s">
        <v>864</v>
      </c>
      <c r="C2352" t="s">
        <v>865</v>
      </c>
      <c r="D2352" t="s">
        <v>260</v>
      </c>
      <c r="E2352" t="s">
        <v>323</v>
      </c>
      <c r="F2352" t="s">
        <v>209</v>
      </c>
      <c r="G2352" t="s">
        <v>229</v>
      </c>
      <c r="H2352">
        <v>70.5</v>
      </c>
      <c r="I2352" t="str">
        <f t="shared" si="36"/>
        <v>Barns – Special Purpose|C|Good</v>
      </c>
      <c r="J2352" t="s">
        <v>866</v>
      </c>
    </row>
    <row r="2353" spans="2:10">
      <c r="B2353" t="s">
        <v>864</v>
      </c>
      <c r="C2353" t="s">
        <v>865</v>
      </c>
      <c r="D2353" t="s">
        <v>260</v>
      </c>
      <c r="E2353" t="s">
        <v>323</v>
      </c>
      <c r="F2353" t="s">
        <v>209</v>
      </c>
      <c r="G2353" t="s">
        <v>44</v>
      </c>
      <c r="H2353">
        <v>53.5</v>
      </c>
      <c r="I2353" t="str">
        <f t="shared" si="36"/>
        <v>Barns – Special Purpose|C|Average</v>
      </c>
      <c r="J2353" t="s">
        <v>866</v>
      </c>
    </row>
    <row r="2354" spans="2:10">
      <c r="B2354" t="s">
        <v>864</v>
      </c>
      <c r="C2354" t="s">
        <v>865</v>
      </c>
      <c r="D2354" t="s">
        <v>260</v>
      </c>
      <c r="E2354" t="s">
        <v>323</v>
      </c>
      <c r="F2354" t="s">
        <v>209</v>
      </c>
      <c r="G2354" t="s">
        <v>226</v>
      </c>
      <c r="H2354">
        <v>40.75</v>
      </c>
      <c r="I2354" t="str">
        <f t="shared" si="36"/>
        <v>Barns – Special Purpose|C|Low Cost</v>
      </c>
      <c r="J2354" t="s">
        <v>866</v>
      </c>
    </row>
    <row r="2355" spans="2:10">
      <c r="B2355" t="s">
        <v>864</v>
      </c>
      <c r="C2355" t="s">
        <v>865</v>
      </c>
      <c r="D2355" t="s">
        <v>260</v>
      </c>
      <c r="E2355" t="s">
        <v>323</v>
      </c>
      <c r="F2355" t="s">
        <v>214</v>
      </c>
      <c r="G2355" t="s">
        <v>231</v>
      </c>
      <c r="H2355">
        <v>90</v>
      </c>
      <c r="I2355" t="str">
        <f t="shared" si="36"/>
        <v>Barns – Special Purpose|D|Excellent</v>
      </c>
      <c r="J2355" t="s">
        <v>866</v>
      </c>
    </row>
    <row r="2356" spans="2:10">
      <c r="B2356" t="s">
        <v>864</v>
      </c>
      <c r="C2356" t="s">
        <v>865</v>
      </c>
      <c r="D2356" t="s">
        <v>260</v>
      </c>
      <c r="E2356" t="s">
        <v>323</v>
      </c>
      <c r="F2356" t="s">
        <v>214</v>
      </c>
      <c r="G2356" t="s">
        <v>229</v>
      </c>
      <c r="H2356">
        <v>66.5</v>
      </c>
      <c r="I2356" t="str">
        <f t="shared" si="36"/>
        <v>Barns – Special Purpose|D|Good</v>
      </c>
      <c r="J2356" t="s">
        <v>866</v>
      </c>
    </row>
    <row r="2357" spans="2:10">
      <c r="B2357" t="s">
        <v>864</v>
      </c>
      <c r="C2357" t="s">
        <v>865</v>
      </c>
      <c r="D2357" t="s">
        <v>260</v>
      </c>
      <c r="E2357" t="s">
        <v>323</v>
      </c>
      <c r="F2357" t="s">
        <v>214</v>
      </c>
      <c r="G2357" t="s">
        <v>44</v>
      </c>
      <c r="H2357">
        <v>49.25</v>
      </c>
      <c r="I2357" t="str">
        <f t="shared" si="36"/>
        <v>Barns – Special Purpose|D|Average</v>
      </c>
      <c r="J2357" t="s">
        <v>866</v>
      </c>
    </row>
    <row r="2358" spans="2:10">
      <c r="B2358" t="s">
        <v>864</v>
      </c>
      <c r="C2358" t="s">
        <v>865</v>
      </c>
      <c r="D2358" t="s">
        <v>260</v>
      </c>
      <c r="E2358" t="s">
        <v>323</v>
      </c>
      <c r="F2358" t="s">
        <v>214</v>
      </c>
      <c r="G2358" t="s">
        <v>226</v>
      </c>
      <c r="H2358">
        <v>36.5</v>
      </c>
      <c r="I2358" t="str">
        <f t="shared" si="36"/>
        <v>Barns – Special Purpose|D|Low Cost</v>
      </c>
      <c r="J2358" t="s">
        <v>866</v>
      </c>
    </row>
    <row r="2359" spans="2:10">
      <c r="B2359" t="s">
        <v>864</v>
      </c>
      <c r="C2359" t="s">
        <v>865</v>
      </c>
      <c r="D2359" t="s">
        <v>260</v>
      </c>
      <c r="E2359" t="s">
        <v>323</v>
      </c>
      <c r="F2359" t="s">
        <v>313</v>
      </c>
      <c r="G2359" t="s">
        <v>44</v>
      </c>
      <c r="H2359">
        <v>43.25</v>
      </c>
      <c r="I2359" t="str">
        <f t="shared" si="36"/>
        <v>Barns – Special Purpose|DPOLE|Average</v>
      </c>
      <c r="J2359" t="s">
        <v>866</v>
      </c>
    </row>
    <row r="2360" spans="2:10">
      <c r="B2360" t="s">
        <v>864</v>
      </c>
      <c r="C2360" t="s">
        <v>865</v>
      </c>
      <c r="D2360" t="s">
        <v>260</v>
      </c>
      <c r="E2360" t="s">
        <v>323</v>
      </c>
      <c r="F2360" t="s">
        <v>313</v>
      </c>
      <c r="G2360" t="s">
        <v>226</v>
      </c>
      <c r="H2360">
        <v>31.5</v>
      </c>
      <c r="I2360" t="str">
        <f t="shared" si="36"/>
        <v>Barns – Special Purpose|DPOLE|Low Cost</v>
      </c>
      <c r="J2360" t="s">
        <v>866</v>
      </c>
    </row>
    <row r="2361" spans="2:10">
      <c r="B2361" t="s">
        <v>867</v>
      </c>
      <c r="C2361" t="s">
        <v>868</v>
      </c>
      <c r="D2361" t="s">
        <v>260</v>
      </c>
      <c r="E2361" t="s">
        <v>323</v>
      </c>
      <c r="F2361" t="s">
        <v>209</v>
      </c>
      <c r="G2361" t="s">
        <v>231</v>
      </c>
      <c r="H2361">
        <v>64</v>
      </c>
      <c r="I2361" t="str">
        <f t="shared" si="36"/>
        <v>Bank Barns (Two-Story) – Special Purpose|C|Excellent</v>
      </c>
      <c r="J2361" t="s">
        <v>866</v>
      </c>
    </row>
    <row r="2362" spans="2:10">
      <c r="B2362" t="s">
        <v>867</v>
      </c>
      <c r="C2362" t="s">
        <v>868</v>
      </c>
      <c r="D2362" t="s">
        <v>260</v>
      </c>
      <c r="E2362" t="s">
        <v>323</v>
      </c>
      <c r="F2362" t="s">
        <v>209</v>
      </c>
      <c r="G2362" t="s">
        <v>229</v>
      </c>
      <c r="H2362">
        <v>48.5</v>
      </c>
      <c r="I2362" t="str">
        <f t="shared" si="36"/>
        <v>Bank Barns (Two-Story) – Special Purpose|C|Good</v>
      </c>
      <c r="J2362" t="s">
        <v>866</v>
      </c>
    </row>
    <row r="2363" spans="2:10">
      <c r="B2363" t="s">
        <v>867</v>
      </c>
      <c r="C2363" t="s">
        <v>868</v>
      </c>
      <c r="D2363" t="s">
        <v>260</v>
      </c>
      <c r="E2363" t="s">
        <v>323</v>
      </c>
      <c r="F2363" t="s">
        <v>209</v>
      </c>
      <c r="G2363" t="s">
        <v>44</v>
      </c>
      <c r="H2363">
        <v>36.75</v>
      </c>
      <c r="I2363" t="str">
        <f t="shared" si="36"/>
        <v>Bank Barns (Two-Story) – Special Purpose|C|Average</v>
      </c>
      <c r="J2363" t="s">
        <v>866</v>
      </c>
    </row>
    <row r="2364" spans="2:10">
      <c r="B2364" t="s">
        <v>867</v>
      </c>
      <c r="C2364" t="s">
        <v>868</v>
      </c>
      <c r="D2364" t="s">
        <v>260</v>
      </c>
      <c r="E2364" t="s">
        <v>323</v>
      </c>
      <c r="F2364" t="s">
        <v>209</v>
      </c>
      <c r="G2364" t="s">
        <v>226</v>
      </c>
      <c r="H2364">
        <v>28</v>
      </c>
      <c r="I2364" t="str">
        <f t="shared" si="36"/>
        <v>Bank Barns (Two-Story) – Special Purpose|C|Low Cost</v>
      </c>
      <c r="J2364" t="s">
        <v>866</v>
      </c>
    </row>
    <row r="2365" spans="2:10">
      <c r="B2365" t="s">
        <v>867</v>
      </c>
      <c r="C2365" t="s">
        <v>868</v>
      </c>
      <c r="D2365" t="s">
        <v>260</v>
      </c>
      <c r="E2365" t="s">
        <v>323</v>
      </c>
      <c r="F2365" t="s">
        <v>214</v>
      </c>
      <c r="G2365" t="s">
        <v>231</v>
      </c>
      <c r="H2365">
        <v>62</v>
      </c>
      <c r="I2365" t="str">
        <f t="shared" si="36"/>
        <v>Bank Barns (Two-Story) – Special Purpose|D|Excellent</v>
      </c>
      <c r="J2365" t="s">
        <v>866</v>
      </c>
    </row>
    <row r="2366" spans="2:10">
      <c r="B2366" t="s">
        <v>867</v>
      </c>
      <c r="C2366" t="s">
        <v>868</v>
      </c>
      <c r="D2366" t="s">
        <v>260</v>
      </c>
      <c r="E2366" t="s">
        <v>323</v>
      </c>
      <c r="F2366" t="s">
        <v>214</v>
      </c>
      <c r="G2366" t="s">
        <v>229</v>
      </c>
      <c r="H2366">
        <v>46.25</v>
      </c>
      <c r="I2366" t="str">
        <f t="shared" si="36"/>
        <v>Bank Barns (Two-Story) – Special Purpose|D|Good</v>
      </c>
      <c r="J2366" t="s">
        <v>866</v>
      </c>
    </row>
    <row r="2367" spans="2:10">
      <c r="B2367" t="s">
        <v>867</v>
      </c>
      <c r="C2367" t="s">
        <v>868</v>
      </c>
      <c r="D2367" t="s">
        <v>260</v>
      </c>
      <c r="E2367" t="s">
        <v>323</v>
      </c>
      <c r="F2367" t="s">
        <v>214</v>
      </c>
      <c r="G2367" t="s">
        <v>44</v>
      </c>
      <c r="H2367">
        <v>34.5</v>
      </c>
      <c r="I2367" t="str">
        <f t="shared" si="36"/>
        <v>Bank Barns (Two-Story) – Special Purpose|D|Average</v>
      </c>
      <c r="J2367" t="s">
        <v>866</v>
      </c>
    </row>
    <row r="2368" spans="2:10">
      <c r="B2368" t="s">
        <v>867</v>
      </c>
      <c r="C2368" t="s">
        <v>868</v>
      </c>
      <c r="D2368" t="s">
        <v>260</v>
      </c>
      <c r="E2368" t="s">
        <v>323</v>
      </c>
      <c r="F2368" t="s">
        <v>214</v>
      </c>
      <c r="G2368" t="s">
        <v>226</v>
      </c>
      <c r="H2368">
        <v>25.75</v>
      </c>
      <c r="I2368" t="str">
        <f t="shared" si="36"/>
        <v>Bank Barns (Two-Story) – Special Purpose|D|Low Cost</v>
      </c>
      <c r="J2368" t="s">
        <v>866</v>
      </c>
    </row>
    <row r="2369" spans="2:10">
      <c r="B2369" t="s">
        <v>867</v>
      </c>
      <c r="C2369" t="s">
        <v>868</v>
      </c>
      <c r="D2369" t="s">
        <v>260</v>
      </c>
      <c r="E2369" t="s">
        <v>323</v>
      </c>
      <c r="F2369" t="s">
        <v>313</v>
      </c>
      <c r="G2369" t="s">
        <v>44</v>
      </c>
      <c r="H2369">
        <v>31.25</v>
      </c>
      <c r="I2369" t="str">
        <f t="shared" si="36"/>
        <v>Bank Barns (Two-Story) – Special Purpose|DPOLE|Average</v>
      </c>
      <c r="J2369" t="s">
        <v>866</v>
      </c>
    </row>
    <row r="2370" spans="2:10">
      <c r="B2370" t="s">
        <v>867</v>
      </c>
      <c r="C2370" t="s">
        <v>868</v>
      </c>
      <c r="D2370" t="s">
        <v>260</v>
      </c>
      <c r="E2370" t="s">
        <v>323</v>
      </c>
      <c r="F2370" t="s">
        <v>313</v>
      </c>
      <c r="G2370" t="s">
        <v>226</v>
      </c>
      <c r="H2370">
        <v>23.05</v>
      </c>
      <c r="I2370" t="str">
        <f t="shared" si="36"/>
        <v>Bank Barns (Two-Story) – Special Purpose|DPOLE|Low Cost</v>
      </c>
      <c r="J2370" t="s">
        <v>866</v>
      </c>
    </row>
    <row r="2371" spans="2:10">
      <c r="B2371" t="s">
        <v>869</v>
      </c>
      <c r="C2371" t="s">
        <v>870</v>
      </c>
      <c r="D2371" t="s">
        <v>260</v>
      </c>
      <c r="E2371" t="s">
        <v>329</v>
      </c>
      <c r="F2371" t="s">
        <v>214</v>
      </c>
      <c r="G2371" t="s">
        <v>231</v>
      </c>
      <c r="H2371">
        <v>43.75</v>
      </c>
      <c r="I2371" t="str">
        <f t="shared" si="36"/>
        <v>Free-Stall Barns|D|Excellent</v>
      </c>
      <c r="J2371" t="s">
        <v>871</v>
      </c>
    </row>
    <row r="2372" spans="2:10">
      <c r="B2372" t="s">
        <v>869</v>
      </c>
      <c r="C2372" t="s">
        <v>870</v>
      </c>
      <c r="D2372" t="s">
        <v>260</v>
      </c>
      <c r="E2372" t="s">
        <v>329</v>
      </c>
      <c r="F2372" t="s">
        <v>214</v>
      </c>
      <c r="G2372" t="s">
        <v>229</v>
      </c>
      <c r="H2372">
        <v>32</v>
      </c>
      <c r="I2372" t="str">
        <f t="shared" si="36"/>
        <v>Free-Stall Barns|D|Good</v>
      </c>
      <c r="J2372" t="s">
        <v>871</v>
      </c>
    </row>
    <row r="2373" spans="2:10">
      <c r="B2373" t="s">
        <v>869</v>
      </c>
      <c r="C2373" t="s">
        <v>870</v>
      </c>
      <c r="D2373" t="s">
        <v>260</v>
      </c>
      <c r="E2373" t="s">
        <v>329</v>
      </c>
      <c r="F2373" t="s">
        <v>214</v>
      </c>
      <c r="G2373" t="s">
        <v>44</v>
      </c>
      <c r="H2373">
        <v>23.4</v>
      </c>
      <c r="I2373" t="str">
        <f t="shared" si="36"/>
        <v>Free-Stall Barns|D|Average</v>
      </c>
      <c r="J2373" t="s">
        <v>871</v>
      </c>
    </row>
    <row r="2374" spans="2:10">
      <c r="B2374" t="s">
        <v>869</v>
      </c>
      <c r="C2374" t="s">
        <v>870</v>
      </c>
      <c r="D2374" t="s">
        <v>260</v>
      </c>
      <c r="E2374" t="s">
        <v>329</v>
      </c>
      <c r="F2374" t="s">
        <v>214</v>
      </c>
      <c r="G2374" t="s">
        <v>226</v>
      </c>
      <c r="H2374">
        <v>17.05</v>
      </c>
      <c r="I2374" t="str">
        <f t="shared" si="36"/>
        <v>Free-Stall Barns|D|Low Cost</v>
      </c>
      <c r="J2374" t="s">
        <v>871</v>
      </c>
    </row>
    <row r="2375" spans="2:10">
      <c r="B2375" t="s">
        <v>869</v>
      </c>
      <c r="C2375" t="s">
        <v>870</v>
      </c>
      <c r="D2375" t="s">
        <v>260</v>
      </c>
      <c r="E2375" t="s">
        <v>329</v>
      </c>
      <c r="F2375" t="s">
        <v>313</v>
      </c>
      <c r="G2375" t="s">
        <v>231</v>
      </c>
      <c r="H2375">
        <v>39</v>
      </c>
      <c r="I2375" t="str">
        <f t="shared" si="36"/>
        <v>Free-Stall Barns|DPOLE|Excellent</v>
      </c>
      <c r="J2375" t="s">
        <v>871</v>
      </c>
    </row>
    <row r="2376" spans="2:10">
      <c r="B2376" t="s">
        <v>869</v>
      </c>
      <c r="C2376" t="s">
        <v>870</v>
      </c>
      <c r="D2376" t="s">
        <v>260</v>
      </c>
      <c r="E2376" t="s">
        <v>329</v>
      </c>
      <c r="F2376" t="s">
        <v>313</v>
      </c>
      <c r="G2376" t="s">
        <v>229</v>
      </c>
      <c r="H2376">
        <v>28.5</v>
      </c>
      <c r="I2376" t="str">
        <f t="shared" si="36"/>
        <v>Free-Stall Barns|DPOLE|Good</v>
      </c>
      <c r="J2376" t="s">
        <v>871</v>
      </c>
    </row>
    <row r="2377" spans="2:10">
      <c r="B2377" t="s">
        <v>869</v>
      </c>
      <c r="C2377" t="s">
        <v>870</v>
      </c>
      <c r="D2377" t="s">
        <v>260</v>
      </c>
      <c r="E2377" t="s">
        <v>329</v>
      </c>
      <c r="F2377" t="s">
        <v>313</v>
      </c>
      <c r="G2377" t="s">
        <v>44</v>
      </c>
      <c r="H2377">
        <v>20.7</v>
      </c>
      <c r="I2377" t="str">
        <f t="shared" si="36"/>
        <v>Free-Stall Barns|DPOLE|Average</v>
      </c>
      <c r="J2377" t="s">
        <v>871</v>
      </c>
    </row>
    <row r="2378" spans="2:10">
      <c r="B2378" t="s">
        <v>869</v>
      </c>
      <c r="C2378" t="s">
        <v>870</v>
      </c>
      <c r="D2378" t="s">
        <v>260</v>
      </c>
      <c r="E2378" t="s">
        <v>329</v>
      </c>
      <c r="F2378" t="s">
        <v>313</v>
      </c>
      <c r="G2378" t="s">
        <v>226</v>
      </c>
      <c r="H2378">
        <v>15.1</v>
      </c>
      <c r="I2378" t="str">
        <f t="shared" si="36"/>
        <v>Free-Stall Barns|DPOLE|Low Cost</v>
      </c>
      <c r="J2378" t="s">
        <v>871</v>
      </c>
    </row>
    <row r="2379" spans="2:10">
      <c r="B2379" t="s">
        <v>869</v>
      </c>
      <c r="C2379" t="s">
        <v>870</v>
      </c>
      <c r="D2379" t="s">
        <v>260</v>
      </c>
      <c r="E2379" t="s">
        <v>329</v>
      </c>
      <c r="F2379" t="s">
        <v>313</v>
      </c>
      <c r="G2379" t="s">
        <v>314</v>
      </c>
      <c r="H2379">
        <v>10.75</v>
      </c>
      <c r="I2379" t="str">
        <f t="shared" si="36"/>
        <v>Free-Stall Barns|DPOLE|Cheap</v>
      </c>
      <c r="J2379" t="s">
        <v>871</v>
      </c>
    </row>
    <row r="2380" spans="2:10">
      <c r="B2380" t="s">
        <v>869</v>
      </c>
      <c r="C2380" t="s">
        <v>870</v>
      </c>
      <c r="D2380" t="s">
        <v>260</v>
      </c>
      <c r="E2380" t="s">
        <v>329</v>
      </c>
      <c r="F2380" t="s">
        <v>837</v>
      </c>
      <c r="G2380" t="s">
        <v>44</v>
      </c>
      <c r="H2380">
        <v>18</v>
      </c>
      <c r="I2380" t="str">
        <f t="shared" si="36"/>
        <v>Free-Stall Barns|DHOOP|Average</v>
      </c>
      <c r="J2380" t="s">
        <v>871</v>
      </c>
    </row>
    <row r="2381" spans="2:10">
      <c r="B2381" t="s">
        <v>869</v>
      </c>
      <c r="C2381" t="s">
        <v>870</v>
      </c>
      <c r="D2381" t="s">
        <v>260</v>
      </c>
      <c r="E2381" t="s">
        <v>329</v>
      </c>
      <c r="F2381" t="s">
        <v>837</v>
      </c>
      <c r="G2381" t="s">
        <v>226</v>
      </c>
      <c r="H2381">
        <v>13.75</v>
      </c>
      <c r="I2381" t="str">
        <f t="shared" si="36"/>
        <v>Free-Stall Barns|DHOOP|Low Cost</v>
      </c>
      <c r="J2381" t="s">
        <v>871</v>
      </c>
    </row>
    <row r="2382" spans="2:10">
      <c r="B2382" t="s">
        <v>869</v>
      </c>
      <c r="C2382" t="s">
        <v>870</v>
      </c>
      <c r="D2382" t="s">
        <v>260</v>
      </c>
      <c r="E2382" t="s">
        <v>329</v>
      </c>
      <c r="F2382" t="s">
        <v>837</v>
      </c>
      <c r="G2382" t="s">
        <v>314</v>
      </c>
      <c r="H2382">
        <v>12.05</v>
      </c>
      <c r="I2382" t="str">
        <f t="shared" si="36"/>
        <v>Free-Stall Barns|DHOOP|Cheap</v>
      </c>
      <c r="J2382" t="s">
        <v>871</v>
      </c>
    </row>
    <row r="2383" spans="2:10">
      <c r="B2383" t="s">
        <v>869</v>
      </c>
      <c r="C2383" t="s">
        <v>870</v>
      </c>
      <c r="D2383" t="s">
        <v>260</v>
      </c>
      <c r="E2383" t="s">
        <v>329</v>
      </c>
      <c r="F2383" t="s">
        <v>219</v>
      </c>
      <c r="G2383" t="s">
        <v>231</v>
      </c>
      <c r="H2383">
        <v>42.25</v>
      </c>
      <c r="I2383" t="str">
        <f t="shared" si="36"/>
        <v>Free-Stall Barns|S|Excellent</v>
      </c>
      <c r="J2383" t="s">
        <v>871</v>
      </c>
    </row>
    <row r="2384" spans="2:10">
      <c r="B2384" t="s">
        <v>869</v>
      </c>
      <c r="C2384" t="s">
        <v>870</v>
      </c>
      <c r="D2384" t="s">
        <v>260</v>
      </c>
      <c r="E2384" t="s">
        <v>329</v>
      </c>
      <c r="F2384" t="s">
        <v>219</v>
      </c>
      <c r="G2384" t="s">
        <v>229</v>
      </c>
      <c r="H2384">
        <v>31.75</v>
      </c>
      <c r="I2384" t="str">
        <f t="shared" si="36"/>
        <v>Free-Stall Barns|S|Good</v>
      </c>
      <c r="J2384" t="s">
        <v>871</v>
      </c>
    </row>
    <row r="2385" spans="2:10">
      <c r="B2385" t="s">
        <v>869</v>
      </c>
      <c r="C2385" t="s">
        <v>870</v>
      </c>
      <c r="D2385" t="s">
        <v>260</v>
      </c>
      <c r="E2385" t="s">
        <v>329</v>
      </c>
      <c r="F2385" t="s">
        <v>219</v>
      </c>
      <c r="G2385" t="s">
        <v>44</v>
      </c>
      <c r="H2385">
        <v>23.6</v>
      </c>
      <c r="I2385" t="str">
        <f t="shared" si="36"/>
        <v>Free-Stall Barns|S|Average</v>
      </c>
      <c r="J2385" t="s">
        <v>871</v>
      </c>
    </row>
    <row r="2386" spans="2:10">
      <c r="B2386" t="s">
        <v>869</v>
      </c>
      <c r="C2386" t="s">
        <v>870</v>
      </c>
      <c r="D2386" t="s">
        <v>260</v>
      </c>
      <c r="E2386" t="s">
        <v>329</v>
      </c>
      <c r="F2386" t="s">
        <v>219</v>
      </c>
      <c r="G2386" t="s">
        <v>226</v>
      </c>
      <c r="H2386">
        <v>17.649999999999999</v>
      </c>
      <c r="I2386" t="str">
        <f t="shared" si="36"/>
        <v>Free-Stall Barns|S|Low Cost</v>
      </c>
      <c r="J2386" t="s">
        <v>871</v>
      </c>
    </row>
    <row r="2387" spans="2:10">
      <c r="B2387" t="s">
        <v>869</v>
      </c>
      <c r="C2387" t="s">
        <v>870</v>
      </c>
      <c r="D2387" t="s">
        <v>260</v>
      </c>
      <c r="E2387" t="s">
        <v>329</v>
      </c>
      <c r="F2387" t="s">
        <v>219</v>
      </c>
      <c r="G2387" t="s">
        <v>314</v>
      </c>
      <c r="H2387">
        <v>11.45</v>
      </c>
      <c r="I2387" t="str">
        <f t="shared" si="36"/>
        <v>Free-Stall Barns|S|Cheap</v>
      </c>
      <c r="J2387" t="s">
        <v>871</v>
      </c>
    </row>
    <row r="2388" spans="2:10">
      <c r="B2388" t="s">
        <v>872</v>
      </c>
      <c r="C2388" t="s">
        <v>873</v>
      </c>
      <c r="D2388" t="s">
        <v>260</v>
      </c>
      <c r="E2388" t="s">
        <v>329</v>
      </c>
      <c r="F2388" t="s">
        <v>214</v>
      </c>
      <c r="G2388" t="s">
        <v>44</v>
      </c>
      <c r="H2388">
        <v>30.5</v>
      </c>
      <c r="I2388" t="str">
        <f t="shared" si="36"/>
        <v>Confinement Barns|D|Average</v>
      </c>
      <c r="J2388" t="s">
        <v>871</v>
      </c>
    </row>
    <row r="2389" spans="2:10">
      <c r="B2389" t="s">
        <v>872</v>
      </c>
      <c r="C2389" t="s">
        <v>873</v>
      </c>
      <c r="D2389" t="s">
        <v>260</v>
      </c>
      <c r="E2389" t="s">
        <v>329</v>
      </c>
      <c r="F2389" t="s">
        <v>214</v>
      </c>
      <c r="G2389" t="s">
        <v>226</v>
      </c>
      <c r="H2389">
        <v>15.2</v>
      </c>
      <c r="I2389" t="str">
        <f t="shared" si="36"/>
        <v>Confinement Barns|D|Low Cost</v>
      </c>
      <c r="J2389" t="s">
        <v>871</v>
      </c>
    </row>
    <row r="2390" spans="2:10">
      <c r="B2390" t="s">
        <v>872</v>
      </c>
      <c r="C2390" t="s">
        <v>873</v>
      </c>
      <c r="D2390" t="s">
        <v>260</v>
      </c>
      <c r="E2390" t="s">
        <v>329</v>
      </c>
      <c r="F2390" t="s">
        <v>313</v>
      </c>
      <c r="G2390" t="s">
        <v>44</v>
      </c>
      <c r="H2390">
        <v>27.5</v>
      </c>
      <c r="I2390" t="str">
        <f t="shared" si="36"/>
        <v>Confinement Barns|DPOLE|Average</v>
      </c>
      <c r="J2390" t="s">
        <v>871</v>
      </c>
    </row>
    <row r="2391" spans="2:10">
      <c r="B2391" t="s">
        <v>872</v>
      </c>
      <c r="C2391" t="s">
        <v>873</v>
      </c>
      <c r="D2391" t="s">
        <v>260</v>
      </c>
      <c r="E2391" t="s">
        <v>329</v>
      </c>
      <c r="F2391" t="s">
        <v>313</v>
      </c>
      <c r="G2391" t="s">
        <v>226</v>
      </c>
      <c r="H2391">
        <v>13.2</v>
      </c>
      <c r="I2391" t="str">
        <f t="shared" si="36"/>
        <v>Confinement Barns|DPOLE|Low Cost</v>
      </c>
      <c r="J2391" t="s">
        <v>871</v>
      </c>
    </row>
    <row r="2392" spans="2:10">
      <c r="B2392" t="s">
        <v>872</v>
      </c>
      <c r="C2392" t="s">
        <v>873</v>
      </c>
      <c r="D2392" t="s">
        <v>260</v>
      </c>
      <c r="E2392" t="s">
        <v>329</v>
      </c>
      <c r="F2392" t="s">
        <v>837</v>
      </c>
      <c r="G2392" t="s">
        <v>226</v>
      </c>
      <c r="H2392">
        <v>9.41</v>
      </c>
      <c r="I2392" t="str">
        <f t="shared" si="36"/>
        <v>Confinement Barns|DHOOP|Low Cost</v>
      </c>
      <c r="J2392" t="s">
        <v>871</v>
      </c>
    </row>
    <row r="2393" spans="2:10">
      <c r="B2393" t="s">
        <v>872</v>
      </c>
      <c r="C2393" t="s">
        <v>873</v>
      </c>
      <c r="D2393" t="s">
        <v>260</v>
      </c>
      <c r="E2393" t="s">
        <v>329</v>
      </c>
      <c r="F2393" t="s">
        <v>219</v>
      </c>
      <c r="G2393" t="s">
        <v>44</v>
      </c>
      <c r="H2393">
        <v>30</v>
      </c>
      <c r="I2393" t="str">
        <f t="shared" si="36"/>
        <v>Confinement Barns|S|Average</v>
      </c>
      <c r="J2393" t="s">
        <v>871</v>
      </c>
    </row>
    <row r="2394" spans="2:10">
      <c r="B2394" t="s">
        <v>872</v>
      </c>
      <c r="C2394" t="s">
        <v>873</v>
      </c>
      <c r="D2394" t="s">
        <v>260</v>
      </c>
      <c r="E2394" t="s">
        <v>329</v>
      </c>
      <c r="F2394" t="s">
        <v>219</v>
      </c>
      <c r="G2394" t="s">
        <v>226</v>
      </c>
      <c r="H2394">
        <v>15.65</v>
      </c>
      <c r="I2394" t="str">
        <f t="shared" si="36"/>
        <v>Confinement Barns|S|Low Cost</v>
      </c>
      <c r="J2394" t="s">
        <v>871</v>
      </c>
    </row>
    <row r="2395" spans="2:10">
      <c r="B2395" t="s">
        <v>874</v>
      </c>
      <c r="C2395" t="s">
        <v>875</v>
      </c>
      <c r="D2395" t="s">
        <v>260</v>
      </c>
      <c r="E2395" t="s">
        <v>333</v>
      </c>
      <c r="F2395" t="s">
        <v>214</v>
      </c>
      <c r="G2395" t="s">
        <v>229</v>
      </c>
      <c r="H2395">
        <v>12.95</v>
      </c>
      <c r="I2395" t="str">
        <f t="shared" si="36"/>
        <v>Feeder Barns – Sheds|D|Good</v>
      </c>
      <c r="J2395" t="s">
        <v>876</v>
      </c>
    </row>
    <row r="2396" spans="2:10">
      <c r="B2396" t="s">
        <v>874</v>
      </c>
      <c r="C2396" t="s">
        <v>875</v>
      </c>
      <c r="D2396" t="s">
        <v>260</v>
      </c>
      <c r="E2396" t="s">
        <v>333</v>
      </c>
      <c r="F2396" t="s">
        <v>214</v>
      </c>
      <c r="G2396" t="s">
        <v>44</v>
      </c>
      <c r="H2396">
        <v>11.4</v>
      </c>
      <c r="I2396" t="str">
        <f t="shared" si="36"/>
        <v>Feeder Barns – Sheds|D|Average</v>
      </c>
      <c r="J2396" t="s">
        <v>876</v>
      </c>
    </row>
    <row r="2397" spans="2:10">
      <c r="B2397" t="s">
        <v>874</v>
      </c>
      <c r="C2397" t="s">
        <v>875</v>
      </c>
      <c r="D2397" t="s">
        <v>260</v>
      </c>
      <c r="E2397" t="s">
        <v>333</v>
      </c>
      <c r="F2397" t="s">
        <v>214</v>
      </c>
      <c r="G2397" t="s">
        <v>226</v>
      </c>
      <c r="H2397">
        <v>10.050000000000001</v>
      </c>
      <c r="I2397" t="str">
        <f t="shared" si="36"/>
        <v>Feeder Barns – Sheds|D|Low Cost</v>
      </c>
      <c r="J2397" t="s">
        <v>876</v>
      </c>
    </row>
    <row r="2398" spans="2:10">
      <c r="B2398" t="s">
        <v>874</v>
      </c>
      <c r="C2398" t="s">
        <v>875</v>
      </c>
      <c r="D2398" t="s">
        <v>260</v>
      </c>
      <c r="E2398" t="s">
        <v>333</v>
      </c>
      <c r="F2398" t="s">
        <v>313</v>
      </c>
      <c r="G2398" t="s">
        <v>229</v>
      </c>
      <c r="H2398">
        <v>10.95</v>
      </c>
      <c r="I2398" t="str">
        <f t="shared" ref="I2398:I2461" si="37">B2398&amp;"|"&amp;F2398&amp;"|"&amp;G2398</f>
        <v>Feeder Barns – Sheds|DPOLE|Good</v>
      </c>
      <c r="J2398" t="s">
        <v>876</v>
      </c>
    </row>
    <row r="2399" spans="2:10">
      <c r="B2399" t="s">
        <v>874</v>
      </c>
      <c r="C2399" t="s">
        <v>875</v>
      </c>
      <c r="D2399" t="s">
        <v>260</v>
      </c>
      <c r="E2399" t="s">
        <v>333</v>
      </c>
      <c r="F2399" t="s">
        <v>313</v>
      </c>
      <c r="G2399" t="s">
        <v>44</v>
      </c>
      <c r="H2399">
        <v>9.6300000000000008</v>
      </c>
      <c r="I2399" t="str">
        <f t="shared" si="37"/>
        <v>Feeder Barns – Sheds|DPOLE|Average</v>
      </c>
      <c r="J2399" t="s">
        <v>876</v>
      </c>
    </row>
    <row r="2400" spans="2:10">
      <c r="B2400" t="s">
        <v>874</v>
      </c>
      <c r="C2400" t="s">
        <v>875</v>
      </c>
      <c r="D2400" t="s">
        <v>260</v>
      </c>
      <c r="E2400" t="s">
        <v>333</v>
      </c>
      <c r="F2400" t="s">
        <v>313</v>
      </c>
      <c r="G2400" t="s">
        <v>226</v>
      </c>
      <c r="H2400">
        <v>8.4499999999999993</v>
      </c>
      <c r="I2400" t="str">
        <f t="shared" si="37"/>
        <v>Feeder Barns – Sheds|DPOLE|Low Cost</v>
      </c>
      <c r="J2400" t="s">
        <v>876</v>
      </c>
    </row>
    <row r="2401" spans="2:10">
      <c r="B2401" t="s">
        <v>874</v>
      </c>
      <c r="C2401" t="s">
        <v>875</v>
      </c>
      <c r="D2401" t="s">
        <v>260</v>
      </c>
      <c r="E2401" t="s">
        <v>333</v>
      </c>
      <c r="F2401" t="s">
        <v>837</v>
      </c>
      <c r="G2401" t="s">
        <v>44</v>
      </c>
      <c r="H2401">
        <v>9.09</v>
      </c>
      <c r="I2401" t="str">
        <f t="shared" si="37"/>
        <v>Feeder Barns – Sheds|DHOOP|Average</v>
      </c>
      <c r="J2401" t="s">
        <v>876</v>
      </c>
    </row>
    <row r="2402" spans="2:10">
      <c r="B2402" t="s">
        <v>874</v>
      </c>
      <c r="C2402" t="s">
        <v>875</v>
      </c>
      <c r="D2402" t="s">
        <v>260</v>
      </c>
      <c r="E2402" t="s">
        <v>333</v>
      </c>
      <c r="F2402" t="s">
        <v>837</v>
      </c>
      <c r="G2402" t="s">
        <v>226</v>
      </c>
      <c r="H2402">
        <v>7.98</v>
      </c>
      <c r="I2402" t="str">
        <f t="shared" si="37"/>
        <v>Feeder Barns – Sheds|DHOOP|Low Cost</v>
      </c>
      <c r="J2402" t="s">
        <v>876</v>
      </c>
    </row>
    <row r="2403" spans="2:10">
      <c r="B2403" t="s">
        <v>874</v>
      </c>
      <c r="C2403" t="s">
        <v>875</v>
      </c>
      <c r="D2403" t="s">
        <v>260</v>
      </c>
      <c r="E2403" t="s">
        <v>333</v>
      </c>
      <c r="F2403" t="s">
        <v>219</v>
      </c>
      <c r="G2403" t="s">
        <v>229</v>
      </c>
      <c r="H2403">
        <v>13.75</v>
      </c>
      <c r="I2403" t="str">
        <f t="shared" si="37"/>
        <v>Feeder Barns – Sheds|S|Good</v>
      </c>
      <c r="J2403" t="s">
        <v>876</v>
      </c>
    </row>
    <row r="2404" spans="2:10">
      <c r="B2404" t="s">
        <v>874</v>
      </c>
      <c r="C2404" t="s">
        <v>875</v>
      </c>
      <c r="D2404" t="s">
        <v>260</v>
      </c>
      <c r="E2404" t="s">
        <v>333</v>
      </c>
      <c r="F2404" t="s">
        <v>219</v>
      </c>
      <c r="G2404" t="s">
        <v>44</v>
      </c>
      <c r="H2404">
        <v>12.25</v>
      </c>
      <c r="I2404" t="str">
        <f t="shared" si="37"/>
        <v>Feeder Barns – Sheds|S|Average</v>
      </c>
      <c r="J2404" t="s">
        <v>876</v>
      </c>
    </row>
    <row r="2405" spans="2:10">
      <c r="B2405" t="s">
        <v>874</v>
      </c>
      <c r="C2405" t="s">
        <v>875</v>
      </c>
      <c r="D2405" t="s">
        <v>260</v>
      </c>
      <c r="E2405" t="s">
        <v>333</v>
      </c>
      <c r="F2405" t="s">
        <v>219</v>
      </c>
      <c r="G2405" t="s">
        <v>226</v>
      </c>
      <c r="H2405">
        <v>10.9</v>
      </c>
      <c r="I2405" t="str">
        <f t="shared" si="37"/>
        <v>Feeder Barns – Sheds|S|Low Cost</v>
      </c>
      <c r="J2405" t="s">
        <v>876</v>
      </c>
    </row>
    <row r="2406" spans="2:10">
      <c r="B2406" t="s">
        <v>877</v>
      </c>
      <c r="C2406" t="s">
        <v>878</v>
      </c>
      <c r="D2406" t="s">
        <v>260</v>
      </c>
      <c r="E2406" t="s">
        <v>333</v>
      </c>
      <c r="F2406" t="s">
        <v>214</v>
      </c>
      <c r="G2406" t="s">
        <v>229</v>
      </c>
      <c r="H2406">
        <v>11.3</v>
      </c>
      <c r="I2406" t="str">
        <f t="shared" si="37"/>
        <v>Loafing Sheds|D|Good</v>
      </c>
      <c r="J2406" t="s">
        <v>876</v>
      </c>
    </row>
    <row r="2407" spans="2:10">
      <c r="B2407" t="s">
        <v>877</v>
      </c>
      <c r="C2407" t="s">
        <v>878</v>
      </c>
      <c r="D2407" t="s">
        <v>260</v>
      </c>
      <c r="E2407" t="s">
        <v>333</v>
      </c>
      <c r="F2407" t="s">
        <v>214</v>
      </c>
      <c r="G2407" t="s">
        <v>44</v>
      </c>
      <c r="H2407">
        <v>10.55</v>
      </c>
      <c r="I2407" t="str">
        <f t="shared" si="37"/>
        <v>Loafing Sheds|D|Average</v>
      </c>
      <c r="J2407" t="s">
        <v>876</v>
      </c>
    </row>
    <row r="2408" spans="2:10">
      <c r="B2408" t="s">
        <v>877</v>
      </c>
      <c r="C2408" t="s">
        <v>878</v>
      </c>
      <c r="D2408" t="s">
        <v>260</v>
      </c>
      <c r="E2408" t="s">
        <v>333</v>
      </c>
      <c r="F2408" t="s">
        <v>214</v>
      </c>
      <c r="G2408" t="s">
        <v>226</v>
      </c>
      <c r="H2408">
        <v>9.86</v>
      </c>
      <c r="I2408" t="str">
        <f t="shared" si="37"/>
        <v>Loafing Sheds|D|Low Cost</v>
      </c>
      <c r="J2408" t="s">
        <v>876</v>
      </c>
    </row>
    <row r="2409" spans="2:10">
      <c r="B2409" t="s">
        <v>877</v>
      </c>
      <c r="C2409" t="s">
        <v>878</v>
      </c>
      <c r="D2409" t="s">
        <v>260</v>
      </c>
      <c r="E2409" t="s">
        <v>333</v>
      </c>
      <c r="F2409" t="s">
        <v>313</v>
      </c>
      <c r="G2409" t="s">
        <v>226</v>
      </c>
      <c r="H2409">
        <v>8.25</v>
      </c>
      <c r="I2409" t="str">
        <f t="shared" si="37"/>
        <v>Loafing Sheds|DPOLE|Low Cost</v>
      </c>
      <c r="J2409" t="s">
        <v>876</v>
      </c>
    </row>
    <row r="2410" spans="2:10">
      <c r="B2410" t="s">
        <v>877</v>
      </c>
      <c r="C2410" t="s">
        <v>878</v>
      </c>
      <c r="D2410" t="s">
        <v>260</v>
      </c>
      <c r="E2410" t="s">
        <v>333</v>
      </c>
      <c r="F2410" t="s">
        <v>219</v>
      </c>
      <c r="G2410" t="s">
        <v>226</v>
      </c>
      <c r="H2410">
        <v>10.65</v>
      </c>
      <c r="I2410" t="str">
        <f t="shared" si="37"/>
        <v>Loafing Sheds|S|Low Cost</v>
      </c>
      <c r="J2410" t="s">
        <v>876</v>
      </c>
    </row>
    <row r="2411" spans="2:10">
      <c r="B2411" t="s">
        <v>879</v>
      </c>
      <c r="C2411" t="s">
        <v>880</v>
      </c>
      <c r="D2411" t="s">
        <v>260</v>
      </c>
      <c r="E2411" t="s">
        <v>333</v>
      </c>
      <c r="F2411" t="s">
        <v>214</v>
      </c>
      <c r="G2411" t="s">
        <v>229</v>
      </c>
      <c r="H2411">
        <v>7.94</v>
      </c>
      <c r="I2411" t="str">
        <f t="shared" si="37"/>
        <v>Farm Utility Shelters (Open Hay Sheds)|D|Good</v>
      </c>
      <c r="J2411" t="s">
        <v>881</v>
      </c>
    </row>
    <row r="2412" spans="2:10">
      <c r="B2412" t="s">
        <v>879</v>
      </c>
      <c r="C2412" t="s">
        <v>880</v>
      </c>
      <c r="D2412" t="s">
        <v>260</v>
      </c>
      <c r="E2412" t="s">
        <v>333</v>
      </c>
      <c r="F2412" t="s">
        <v>214</v>
      </c>
      <c r="G2412" t="s">
        <v>44</v>
      </c>
      <c r="H2412">
        <v>6.19</v>
      </c>
      <c r="I2412" t="str">
        <f t="shared" si="37"/>
        <v>Farm Utility Shelters (Open Hay Sheds)|D|Average</v>
      </c>
      <c r="J2412" t="s">
        <v>882</v>
      </c>
    </row>
    <row r="2413" spans="2:10">
      <c r="B2413" t="s">
        <v>879</v>
      </c>
      <c r="C2413" t="s">
        <v>880</v>
      </c>
      <c r="D2413" t="s">
        <v>260</v>
      </c>
      <c r="E2413" t="s">
        <v>333</v>
      </c>
      <c r="F2413" t="s">
        <v>219</v>
      </c>
      <c r="G2413" t="s">
        <v>229</v>
      </c>
      <c r="H2413">
        <v>10.61</v>
      </c>
      <c r="I2413" t="str">
        <f t="shared" si="37"/>
        <v>Farm Utility Shelters (Open Hay Sheds)|S|Good</v>
      </c>
      <c r="J2413" t="s">
        <v>883</v>
      </c>
    </row>
    <row r="2414" spans="2:10">
      <c r="B2414" t="s">
        <v>879</v>
      </c>
      <c r="C2414" t="s">
        <v>880</v>
      </c>
      <c r="D2414" t="s">
        <v>260</v>
      </c>
      <c r="E2414" t="s">
        <v>333</v>
      </c>
      <c r="F2414" t="s">
        <v>219</v>
      </c>
      <c r="G2414" t="s">
        <v>44</v>
      </c>
      <c r="H2414">
        <v>7.54</v>
      </c>
      <c r="I2414" t="str">
        <f t="shared" si="37"/>
        <v>Farm Utility Shelters (Open Hay Sheds)|S|Average</v>
      </c>
      <c r="J2414" t="s">
        <v>884</v>
      </c>
    </row>
    <row r="2415" spans="2:10">
      <c r="B2415" t="s">
        <v>885</v>
      </c>
      <c r="C2415" t="s">
        <v>886</v>
      </c>
      <c r="D2415" t="s">
        <v>260</v>
      </c>
      <c r="E2415" t="s">
        <v>407</v>
      </c>
      <c r="F2415" t="s">
        <v>214</v>
      </c>
      <c r="G2415" t="s">
        <v>229</v>
      </c>
      <c r="H2415">
        <v>32</v>
      </c>
      <c r="I2415" t="str">
        <f t="shared" si="37"/>
        <v>Calving Barns – Sheds|D|Good</v>
      </c>
      <c r="J2415" t="s">
        <v>887</v>
      </c>
    </row>
    <row r="2416" spans="2:10">
      <c r="B2416" t="s">
        <v>885</v>
      </c>
      <c r="C2416" t="s">
        <v>886</v>
      </c>
      <c r="D2416" t="s">
        <v>260</v>
      </c>
      <c r="E2416" t="s">
        <v>407</v>
      </c>
      <c r="F2416" t="s">
        <v>214</v>
      </c>
      <c r="G2416" t="s">
        <v>44</v>
      </c>
      <c r="H2416">
        <v>23.1</v>
      </c>
      <c r="I2416" t="str">
        <f t="shared" si="37"/>
        <v>Calving Barns – Sheds|D|Average</v>
      </c>
      <c r="J2416" t="s">
        <v>887</v>
      </c>
    </row>
    <row r="2417" spans="2:10">
      <c r="B2417" t="s">
        <v>885</v>
      </c>
      <c r="C2417" t="s">
        <v>886</v>
      </c>
      <c r="D2417" t="s">
        <v>260</v>
      </c>
      <c r="E2417" t="s">
        <v>407</v>
      </c>
      <c r="F2417" t="s">
        <v>214</v>
      </c>
      <c r="G2417" t="s">
        <v>226</v>
      </c>
      <c r="H2417">
        <v>16.649999999999999</v>
      </c>
      <c r="I2417" t="str">
        <f t="shared" si="37"/>
        <v>Calving Barns – Sheds|D|Low Cost</v>
      </c>
      <c r="J2417" t="s">
        <v>887</v>
      </c>
    </row>
    <row r="2418" spans="2:10">
      <c r="B2418" t="s">
        <v>885</v>
      </c>
      <c r="C2418" t="s">
        <v>886</v>
      </c>
      <c r="D2418" t="s">
        <v>260</v>
      </c>
      <c r="E2418" t="s">
        <v>407</v>
      </c>
      <c r="F2418" t="s">
        <v>313</v>
      </c>
      <c r="G2418" t="s">
        <v>229</v>
      </c>
      <c r="H2418">
        <v>29.25</v>
      </c>
      <c r="I2418" t="str">
        <f t="shared" si="37"/>
        <v>Calving Barns – Sheds|DPOLE|Good</v>
      </c>
      <c r="J2418" t="s">
        <v>887</v>
      </c>
    </row>
    <row r="2419" spans="2:10">
      <c r="B2419" t="s">
        <v>885</v>
      </c>
      <c r="C2419" t="s">
        <v>886</v>
      </c>
      <c r="D2419" t="s">
        <v>260</v>
      </c>
      <c r="E2419" t="s">
        <v>407</v>
      </c>
      <c r="F2419" t="s">
        <v>313</v>
      </c>
      <c r="G2419" t="s">
        <v>44</v>
      </c>
      <c r="H2419">
        <v>20.9</v>
      </c>
      <c r="I2419" t="str">
        <f t="shared" si="37"/>
        <v>Calving Barns – Sheds|DPOLE|Average</v>
      </c>
      <c r="J2419" t="s">
        <v>887</v>
      </c>
    </row>
    <row r="2420" spans="2:10">
      <c r="B2420" t="s">
        <v>885</v>
      </c>
      <c r="C2420" t="s">
        <v>886</v>
      </c>
      <c r="D2420" t="s">
        <v>260</v>
      </c>
      <c r="E2420" t="s">
        <v>407</v>
      </c>
      <c r="F2420" t="s">
        <v>313</v>
      </c>
      <c r="G2420" t="s">
        <v>226</v>
      </c>
      <c r="H2420">
        <v>14.95</v>
      </c>
      <c r="I2420" t="str">
        <f t="shared" si="37"/>
        <v>Calving Barns – Sheds|DPOLE|Low Cost</v>
      </c>
      <c r="J2420" t="s">
        <v>887</v>
      </c>
    </row>
    <row r="2421" spans="2:10">
      <c r="B2421" t="s">
        <v>885</v>
      </c>
      <c r="C2421" t="s">
        <v>886</v>
      </c>
      <c r="D2421" t="s">
        <v>260</v>
      </c>
      <c r="E2421" t="s">
        <v>407</v>
      </c>
      <c r="F2421" t="s">
        <v>837</v>
      </c>
      <c r="G2421" t="s">
        <v>44</v>
      </c>
      <c r="H2421">
        <v>14.5</v>
      </c>
      <c r="I2421" t="str">
        <f t="shared" si="37"/>
        <v>Calving Barns – Sheds|DHOOP|Average</v>
      </c>
      <c r="J2421" t="s">
        <v>887</v>
      </c>
    </row>
    <row r="2422" spans="2:10">
      <c r="B2422" t="s">
        <v>885</v>
      </c>
      <c r="C2422" t="s">
        <v>886</v>
      </c>
      <c r="D2422" t="s">
        <v>260</v>
      </c>
      <c r="E2422" t="s">
        <v>407</v>
      </c>
      <c r="F2422" t="s">
        <v>837</v>
      </c>
      <c r="G2422" t="s">
        <v>226</v>
      </c>
      <c r="H2422">
        <v>11.75</v>
      </c>
      <c r="I2422" t="str">
        <f t="shared" si="37"/>
        <v>Calving Barns – Sheds|DHOOP|Low Cost</v>
      </c>
      <c r="J2422" t="s">
        <v>887</v>
      </c>
    </row>
    <row r="2423" spans="2:10">
      <c r="B2423" t="s">
        <v>885</v>
      </c>
      <c r="C2423" t="s">
        <v>886</v>
      </c>
      <c r="D2423" t="s">
        <v>260</v>
      </c>
      <c r="E2423" t="s">
        <v>407</v>
      </c>
      <c r="F2423" t="s">
        <v>219</v>
      </c>
      <c r="G2423" t="s">
        <v>229</v>
      </c>
      <c r="H2423">
        <v>32.25</v>
      </c>
      <c r="I2423" t="str">
        <f t="shared" si="37"/>
        <v>Calving Barns – Sheds|S|Good</v>
      </c>
      <c r="J2423" t="s">
        <v>887</v>
      </c>
    </row>
    <row r="2424" spans="2:10">
      <c r="B2424" t="s">
        <v>885</v>
      </c>
      <c r="C2424" t="s">
        <v>886</v>
      </c>
      <c r="D2424" t="s">
        <v>260</v>
      </c>
      <c r="E2424" t="s">
        <v>407</v>
      </c>
      <c r="F2424" t="s">
        <v>219</v>
      </c>
      <c r="G2424" t="s">
        <v>44</v>
      </c>
      <c r="H2424">
        <v>23.2</v>
      </c>
      <c r="I2424" t="str">
        <f t="shared" si="37"/>
        <v>Calving Barns – Sheds|S|Average</v>
      </c>
      <c r="J2424" t="s">
        <v>887</v>
      </c>
    </row>
    <row r="2425" spans="2:10">
      <c r="B2425" t="s">
        <v>885</v>
      </c>
      <c r="C2425" t="s">
        <v>886</v>
      </c>
      <c r="D2425" t="s">
        <v>260</v>
      </c>
      <c r="E2425" t="s">
        <v>407</v>
      </c>
      <c r="F2425" t="s">
        <v>219</v>
      </c>
      <c r="G2425" t="s">
        <v>226</v>
      </c>
      <c r="H2425">
        <v>16.75</v>
      </c>
      <c r="I2425" t="str">
        <f t="shared" si="37"/>
        <v>Calving Barns – Sheds|S|Low Cost</v>
      </c>
      <c r="J2425" t="s">
        <v>887</v>
      </c>
    </row>
    <row r="2426" spans="2:10">
      <c r="B2426" t="s">
        <v>888</v>
      </c>
      <c r="C2426" t="s">
        <v>889</v>
      </c>
      <c r="D2426" t="s">
        <v>260</v>
      </c>
      <c r="E2426" t="s">
        <v>407</v>
      </c>
      <c r="F2426" t="s">
        <v>313</v>
      </c>
      <c r="G2426" t="s">
        <v>226</v>
      </c>
      <c r="H2426">
        <v>11.7</v>
      </c>
      <c r="I2426" t="str">
        <f t="shared" si="37"/>
        <v>Arena Shelters|DPOLE|Low Cost</v>
      </c>
      <c r="J2426" t="s">
        <v>887</v>
      </c>
    </row>
    <row r="2427" spans="2:10">
      <c r="B2427" t="s">
        <v>888</v>
      </c>
      <c r="C2427" t="s">
        <v>889</v>
      </c>
      <c r="D2427" t="s">
        <v>260</v>
      </c>
      <c r="E2427" t="s">
        <v>407</v>
      </c>
      <c r="F2427" t="s">
        <v>219</v>
      </c>
      <c r="G2427" t="s">
        <v>229</v>
      </c>
      <c r="H2427">
        <v>23.5</v>
      </c>
      <c r="I2427" t="str">
        <f t="shared" si="37"/>
        <v>Arena Shelters|S|Good</v>
      </c>
      <c r="J2427" t="s">
        <v>887</v>
      </c>
    </row>
    <row r="2428" spans="2:10">
      <c r="B2428" t="s">
        <v>888</v>
      </c>
      <c r="C2428" t="s">
        <v>889</v>
      </c>
      <c r="D2428" t="s">
        <v>260</v>
      </c>
      <c r="E2428" t="s">
        <v>407</v>
      </c>
      <c r="F2428" t="s">
        <v>219</v>
      </c>
      <c r="G2428" t="s">
        <v>44</v>
      </c>
      <c r="H2428">
        <v>18.100000000000001</v>
      </c>
      <c r="I2428" t="str">
        <f t="shared" si="37"/>
        <v>Arena Shelters|S|Average</v>
      </c>
      <c r="J2428" t="s">
        <v>887</v>
      </c>
    </row>
    <row r="2429" spans="2:10">
      <c r="B2429" t="s">
        <v>888</v>
      </c>
      <c r="C2429" t="s">
        <v>889</v>
      </c>
      <c r="D2429" t="s">
        <v>260</v>
      </c>
      <c r="E2429" t="s">
        <v>407</v>
      </c>
      <c r="F2429" t="s">
        <v>219</v>
      </c>
      <c r="G2429" t="s">
        <v>226</v>
      </c>
      <c r="H2429">
        <v>13.9</v>
      </c>
      <c r="I2429" t="str">
        <f t="shared" si="37"/>
        <v>Arena Shelters|S|Low Cost</v>
      </c>
      <c r="J2429" t="s">
        <v>887</v>
      </c>
    </row>
    <row r="2430" spans="2:10">
      <c r="B2430" t="s">
        <v>890</v>
      </c>
      <c r="C2430" t="s">
        <v>891</v>
      </c>
      <c r="D2430" t="s">
        <v>260</v>
      </c>
      <c r="E2430" t="s">
        <v>407</v>
      </c>
      <c r="F2430" t="s">
        <v>214</v>
      </c>
      <c r="G2430" t="s">
        <v>44</v>
      </c>
      <c r="H2430">
        <v>4.83</v>
      </c>
      <c r="I2430" t="str">
        <f t="shared" si="37"/>
        <v>Farm Sun Shelters|D|Average</v>
      </c>
      <c r="J2430" t="s">
        <v>892</v>
      </c>
    </row>
    <row r="2431" spans="2:10">
      <c r="B2431" t="s">
        <v>890</v>
      </c>
      <c r="C2431" t="s">
        <v>891</v>
      </c>
      <c r="D2431" t="s">
        <v>260</v>
      </c>
      <c r="E2431" t="s">
        <v>407</v>
      </c>
      <c r="F2431" t="s">
        <v>214</v>
      </c>
      <c r="G2431" t="s">
        <v>226</v>
      </c>
      <c r="H2431">
        <v>4.21</v>
      </c>
      <c r="I2431" t="str">
        <f t="shared" si="37"/>
        <v>Farm Sun Shelters|D|Low Cost</v>
      </c>
      <c r="J2431" t="s">
        <v>893</v>
      </c>
    </row>
    <row r="2432" spans="2:10">
      <c r="B2432" t="s">
        <v>890</v>
      </c>
      <c r="C2432" t="s">
        <v>891</v>
      </c>
      <c r="D2432" t="s">
        <v>260</v>
      </c>
      <c r="E2432" t="s">
        <v>407</v>
      </c>
      <c r="F2432" t="s">
        <v>219</v>
      </c>
      <c r="G2432" t="s">
        <v>44</v>
      </c>
      <c r="H2432">
        <v>5.38</v>
      </c>
      <c r="I2432" t="str">
        <f t="shared" si="37"/>
        <v>Farm Sun Shelters|S|Average</v>
      </c>
      <c r="J2432" t="s">
        <v>894</v>
      </c>
    </row>
    <row r="2433" spans="2:10">
      <c r="B2433" t="s">
        <v>890</v>
      </c>
      <c r="C2433" t="s">
        <v>891</v>
      </c>
      <c r="D2433" t="s">
        <v>260</v>
      </c>
      <c r="E2433" t="s">
        <v>407</v>
      </c>
      <c r="F2433" t="s">
        <v>219</v>
      </c>
      <c r="G2433" t="s">
        <v>226</v>
      </c>
      <c r="H2433">
        <v>4.59</v>
      </c>
      <c r="I2433" t="str">
        <f t="shared" si="37"/>
        <v>Farm Sun Shelters|S|Low Cost</v>
      </c>
      <c r="J2433" t="s">
        <v>895</v>
      </c>
    </row>
    <row r="2434" spans="2:10">
      <c r="B2434" t="s">
        <v>896</v>
      </c>
      <c r="C2434" t="s">
        <v>897</v>
      </c>
      <c r="D2434" t="s">
        <v>260</v>
      </c>
      <c r="E2434" t="s">
        <v>501</v>
      </c>
      <c r="F2434" t="s">
        <v>209</v>
      </c>
      <c r="G2434" t="s">
        <v>231</v>
      </c>
      <c r="H2434">
        <v>85</v>
      </c>
      <c r="I2434" t="str">
        <f t="shared" si="37"/>
        <v>Arenas|C|Excellent</v>
      </c>
      <c r="J2434" t="s">
        <v>898</v>
      </c>
    </row>
    <row r="2435" spans="2:10">
      <c r="B2435" t="s">
        <v>896</v>
      </c>
      <c r="C2435" t="s">
        <v>897</v>
      </c>
      <c r="D2435" t="s">
        <v>260</v>
      </c>
      <c r="E2435" t="s">
        <v>501</v>
      </c>
      <c r="F2435" t="s">
        <v>209</v>
      </c>
      <c r="G2435" t="s">
        <v>229</v>
      </c>
      <c r="H2435">
        <v>57</v>
      </c>
      <c r="I2435" t="str">
        <f t="shared" si="37"/>
        <v>Arenas|C|Good</v>
      </c>
      <c r="J2435" t="s">
        <v>898</v>
      </c>
    </row>
    <row r="2436" spans="2:10">
      <c r="B2436" t="s">
        <v>896</v>
      </c>
      <c r="C2436" t="s">
        <v>897</v>
      </c>
      <c r="D2436" t="s">
        <v>260</v>
      </c>
      <c r="E2436" t="s">
        <v>501</v>
      </c>
      <c r="F2436" t="s">
        <v>209</v>
      </c>
      <c r="G2436" t="s">
        <v>44</v>
      </c>
      <c r="H2436">
        <v>38</v>
      </c>
      <c r="I2436" t="str">
        <f t="shared" si="37"/>
        <v>Arenas|C|Average</v>
      </c>
      <c r="J2436" t="s">
        <v>898</v>
      </c>
    </row>
    <row r="2437" spans="2:10">
      <c r="B2437" t="s">
        <v>896</v>
      </c>
      <c r="C2437" t="s">
        <v>897</v>
      </c>
      <c r="D2437" t="s">
        <v>260</v>
      </c>
      <c r="E2437" t="s">
        <v>501</v>
      </c>
      <c r="F2437" t="s">
        <v>209</v>
      </c>
      <c r="G2437" t="s">
        <v>226</v>
      </c>
      <c r="H2437">
        <v>25.5</v>
      </c>
      <c r="I2437" t="str">
        <f t="shared" si="37"/>
        <v>Arenas|C|Low Cost</v>
      </c>
      <c r="J2437" t="s">
        <v>898</v>
      </c>
    </row>
    <row r="2438" spans="2:10">
      <c r="B2438" t="s">
        <v>896</v>
      </c>
      <c r="C2438" t="s">
        <v>897</v>
      </c>
      <c r="D2438" t="s">
        <v>260</v>
      </c>
      <c r="E2438" t="s">
        <v>501</v>
      </c>
      <c r="F2438" t="s">
        <v>214</v>
      </c>
      <c r="G2438" t="s">
        <v>231</v>
      </c>
      <c r="H2438">
        <v>78.5</v>
      </c>
      <c r="I2438" t="str">
        <f t="shared" si="37"/>
        <v>Arenas|D|Excellent</v>
      </c>
      <c r="J2438" t="s">
        <v>898</v>
      </c>
    </row>
    <row r="2439" spans="2:10">
      <c r="B2439" t="s">
        <v>896</v>
      </c>
      <c r="C2439" t="s">
        <v>897</v>
      </c>
      <c r="D2439" t="s">
        <v>260</v>
      </c>
      <c r="E2439" t="s">
        <v>501</v>
      </c>
      <c r="F2439" t="s">
        <v>214</v>
      </c>
      <c r="G2439" t="s">
        <v>229</v>
      </c>
      <c r="H2439">
        <v>45.5</v>
      </c>
      <c r="I2439" t="str">
        <f t="shared" si="37"/>
        <v>Arenas|D|Good</v>
      </c>
      <c r="J2439" t="s">
        <v>898</v>
      </c>
    </row>
    <row r="2440" spans="2:10">
      <c r="B2440" t="s">
        <v>896</v>
      </c>
      <c r="C2440" t="s">
        <v>897</v>
      </c>
      <c r="D2440" t="s">
        <v>260</v>
      </c>
      <c r="E2440" t="s">
        <v>501</v>
      </c>
      <c r="F2440" t="s">
        <v>214</v>
      </c>
      <c r="G2440" t="s">
        <v>44</v>
      </c>
      <c r="H2440">
        <v>26.25</v>
      </c>
      <c r="I2440" t="str">
        <f t="shared" si="37"/>
        <v>Arenas|D|Average</v>
      </c>
      <c r="J2440" t="s">
        <v>898</v>
      </c>
    </row>
    <row r="2441" spans="2:10">
      <c r="B2441" t="s">
        <v>896</v>
      </c>
      <c r="C2441" t="s">
        <v>897</v>
      </c>
      <c r="D2441" t="s">
        <v>260</v>
      </c>
      <c r="E2441" t="s">
        <v>501</v>
      </c>
      <c r="F2441" t="s">
        <v>214</v>
      </c>
      <c r="G2441" t="s">
        <v>226</v>
      </c>
      <c r="H2441">
        <v>15.2</v>
      </c>
      <c r="I2441" t="str">
        <f t="shared" si="37"/>
        <v>Arenas|D|Low Cost</v>
      </c>
      <c r="J2441" t="s">
        <v>898</v>
      </c>
    </row>
    <row r="2442" spans="2:10">
      <c r="B2442" t="s">
        <v>896</v>
      </c>
      <c r="C2442" t="s">
        <v>897</v>
      </c>
      <c r="D2442" t="s">
        <v>260</v>
      </c>
      <c r="E2442" t="s">
        <v>501</v>
      </c>
      <c r="F2442" t="s">
        <v>313</v>
      </c>
      <c r="G2442" t="s">
        <v>229</v>
      </c>
      <c r="H2442">
        <v>40.75</v>
      </c>
      <c r="I2442" t="str">
        <f t="shared" si="37"/>
        <v>Arenas|DPOLE|Good</v>
      </c>
      <c r="J2442" t="s">
        <v>898</v>
      </c>
    </row>
    <row r="2443" spans="2:10">
      <c r="B2443" t="s">
        <v>896</v>
      </c>
      <c r="C2443" t="s">
        <v>897</v>
      </c>
      <c r="D2443" t="s">
        <v>260</v>
      </c>
      <c r="E2443" t="s">
        <v>501</v>
      </c>
      <c r="F2443" t="s">
        <v>313</v>
      </c>
      <c r="G2443" t="s">
        <v>44</v>
      </c>
      <c r="H2443">
        <v>23.4</v>
      </c>
      <c r="I2443" t="str">
        <f t="shared" si="37"/>
        <v>Arenas|DPOLE|Average</v>
      </c>
      <c r="J2443" t="s">
        <v>898</v>
      </c>
    </row>
    <row r="2444" spans="2:10">
      <c r="B2444" t="s">
        <v>896</v>
      </c>
      <c r="C2444" t="s">
        <v>897</v>
      </c>
      <c r="D2444" t="s">
        <v>260</v>
      </c>
      <c r="E2444" t="s">
        <v>501</v>
      </c>
      <c r="F2444" t="s">
        <v>313</v>
      </c>
      <c r="G2444" t="s">
        <v>226</v>
      </c>
      <c r="H2444">
        <v>13.45</v>
      </c>
      <c r="I2444" t="str">
        <f t="shared" si="37"/>
        <v>Arenas|DPOLE|Low Cost</v>
      </c>
      <c r="J2444" t="s">
        <v>898</v>
      </c>
    </row>
    <row r="2445" spans="2:10">
      <c r="B2445" t="s">
        <v>896</v>
      </c>
      <c r="C2445" t="s">
        <v>897</v>
      </c>
      <c r="D2445" t="s">
        <v>260</v>
      </c>
      <c r="E2445" t="s">
        <v>501</v>
      </c>
      <c r="F2445" t="s">
        <v>313</v>
      </c>
      <c r="G2445" t="s">
        <v>314</v>
      </c>
      <c r="H2445">
        <v>12.2</v>
      </c>
      <c r="I2445" t="str">
        <f t="shared" si="37"/>
        <v>Arenas|DPOLE|Cheap</v>
      </c>
      <c r="J2445" t="s">
        <v>898</v>
      </c>
    </row>
    <row r="2446" spans="2:10">
      <c r="B2446" t="s">
        <v>896</v>
      </c>
      <c r="C2446" t="s">
        <v>897</v>
      </c>
      <c r="D2446" t="s">
        <v>260</v>
      </c>
      <c r="E2446" t="s">
        <v>501</v>
      </c>
      <c r="F2446" t="s">
        <v>837</v>
      </c>
      <c r="G2446" t="s">
        <v>314</v>
      </c>
      <c r="H2446">
        <v>10.45</v>
      </c>
      <c r="I2446" t="str">
        <f t="shared" si="37"/>
        <v>Arenas|DHOOP|Cheap</v>
      </c>
      <c r="J2446" t="s">
        <v>898</v>
      </c>
    </row>
    <row r="2447" spans="2:10">
      <c r="B2447" t="s">
        <v>896</v>
      </c>
      <c r="C2447" t="s">
        <v>897</v>
      </c>
      <c r="D2447" t="s">
        <v>260</v>
      </c>
      <c r="E2447" t="s">
        <v>501</v>
      </c>
      <c r="F2447" t="s">
        <v>219</v>
      </c>
      <c r="G2447" t="s">
        <v>231</v>
      </c>
      <c r="H2447">
        <v>78.5</v>
      </c>
      <c r="I2447" t="str">
        <f t="shared" si="37"/>
        <v>Arenas|S|Excellent</v>
      </c>
      <c r="J2447" t="s">
        <v>898</v>
      </c>
    </row>
    <row r="2448" spans="2:10">
      <c r="B2448" t="s">
        <v>896</v>
      </c>
      <c r="C2448" t="s">
        <v>897</v>
      </c>
      <c r="D2448" t="s">
        <v>260</v>
      </c>
      <c r="E2448" t="s">
        <v>501</v>
      </c>
      <c r="F2448" t="s">
        <v>219</v>
      </c>
      <c r="G2448" t="s">
        <v>229</v>
      </c>
      <c r="H2448">
        <v>46.25</v>
      </c>
      <c r="I2448" t="str">
        <f t="shared" si="37"/>
        <v>Arenas|S|Good</v>
      </c>
      <c r="J2448" t="s">
        <v>898</v>
      </c>
    </row>
    <row r="2449" spans="2:10">
      <c r="B2449" t="s">
        <v>896</v>
      </c>
      <c r="C2449" t="s">
        <v>897</v>
      </c>
      <c r="D2449" t="s">
        <v>260</v>
      </c>
      <c r="E2449" t="s">
        <v>501</v>
      </c>
      <c r="F2449" t="s">
        <v>219</v>
      </c>
      <c r="G2449" t="s">
        <v>44</v>
      </c>
      <c r="H2449">
        <v>27</v>
      </c>
      <c r="I2449" t="str">
        <f t="shared" si="37"/>
        <v>Arenas|S|Average</v>
      </c>
      <c r="J2449" t="s">
        <v>898</v>
      </c>
    </row>
    <row r="2450" spans="2:10">
      <c r="B2450" t="s">
        <v>896</v>
      </c>
      <c r="C2450" t="s">
        <v>897</v>
      </c>
      <c r="D2450" t="s">
        <v>260</v>
      </c>
      <c r="E2450" t="s">
        <v>501</v>
      </c>
      <c r="F2450" t="s">
        <v>219</v>
      </c>
      <c r="G2450" t="s">
        <v>226</v>
      </c>
      <c r="H2450">
        <v>15.95</v>
      </c>
      <c r="I2450" t="str">
        <f t="shared" si="37"/>
        <v>Arenas|S|Low Cost</v>
      </c>
      <c r="J2450" t="s">
        <v>898</v>
      </c>
    </row>
    <row r="2451" spans="2:10">
      <c r="B2451" t="s">
        <v>896</v>
      </c>
      <c r="C2451" t="s">
        <v>897</v>
      </c>
      <c r="D2451" t="s">
        <v>260</v>
      </c>
      <c r="E2451" t="s">
        <v>501</v>
      </c>
      <c r="F2451" t="s">
        <v>219</v>
      </c>
      <c r="G2451" t="s">
        <v>314</v>
      </c>
      <c r="H2451">
        <v>14.5</v>
      </c>
      <c r="I2451" t="str">
        <f t="shared" si="37"/>
        <v>Arenas|S|Cheap</v>
      </c>
      <c r="J2451" t="s">
        <v>898</v>
      </c>
    </row>
    <row r="2452" spans="2:10">
      <c r="B2452" t="s">
        <v>899</v>
      </c>
      <c r="C2452" t="s">
        <v>900</v>
      </c>
      <c r="D2452" t="s">
        <v>260</v>
      </c>
      <c r="E2452" t="s">
        <v>501</v>
      </c>
      <c r="F2452" t="s">
        <v>214</v>
      </c>
      <c r="G2452" t="s">
        <v>44</v>
      </c>
      <c r="H2452">
        <v>23.85</v>
      </c>
      <c r="I2452" t="str">
        <f t="shared" si="37"/>
        <v>Equestrian Lean-Tos|D|Average</v>
      </c>
      <c r="J2452" t="s">
        <v>898</v>
      </c>
    </row>
    <row r="2453" spans="2:10">
      <c r="B2453" t="s">
        <v>899</v>
      </c>
      <c r="C2453" t="s">
        <v>900</v>
      </c>
      <c r="D2453" t="s">
        <v>260</v>
      </c>
      <c r="E2453" t="s">
        <v>501</v>
      </c>
      <c r="F2453" t="s">
        <v>214</v>
      </c>
      <c r="G2453" t="s">
        <v>226</v>
      </c>
      <c r="H2453">
        <v>14.4</v>
      </c>
      <c r="I2453" t="str">
        <f t="shared" si="37"/>
        <v>Equestrian Lean-Tos|D|Low Cost</v>
      </c>
      <c r="J2453" t="s">
        <v>898</v>
      </c>
    </row>
    <row r="2454" spans="2:10">
      <c r="B2454" t="s">
        <v>899</v>
      </c>
      <c r="C2454" t="s">
        <v>900</v>
      </c>
      <c r="D2454" t="s">
        <v>260</v>
      </c>
      <c r="E2454" t="s">
        <v>501</v>
      </c>
      <c r="F2454" t="s">
        <v>313</v>
      </c>
      <c r="G2454" t="s">
        <v>44</v>
      </c>
      <c r="H2454">
        <v>22.15</v>
      </c>
      <c r="I2454" t="str">
        <f t="shared" si="37"/>
        <v>Equestrian Lean-Tos|DPOLE|Average</v>
      </c>
      <c r="J2454" t="s">
        <v>898</v>
      </c>
    </row>
    <row r="2455" spans="2:10">
      <c r="B2455" t="s">
        <v>899</v>
      </c>
      <c r="C2455" t="s">
        <v>900</v>
      </c>
      <c r="D2455" t="s">
        <v>260</v>
      </c>
      <c r="E2455" t="s">
        <v>501</v>
      </c>
      <c r="F2455" t="s">
        <v>313</v>
      </c>
      <c r="G2455" t="s">
        <v>226</v>
      </c>
      <c r="H2455">
        <v>13.05</v>
      </c>
      <c r="I2455" t="str">
        <f t="shared" si="37"/>
        <v>Equestrian Lean-Tos|DPOLE|Low Cost</v>
      </c>
      <c r="J2455" t="s">
        <v>898</v>
      </c>
    </row>
    <row r="2456" spans="2:10">
      <c r="B2456" t="s">
        <v>899</v>
      </c>
      <c r="C2456" t="s">
        <v>900</v>
      </c>
      <c r="D2456" t="s">
        <v>260</v>
      </c>
      <c r="E2456" t="s">
        <v>501</v>
      </c>
      <c r="F2456" t="s">
        <v>219</v>
      </c>
      <c r="G2456" t="s">
        <v>44</v>
      </c>
      <c r="H2456">
        <v>24.35</v>
      </c>
      <c r="I2456" t="str">
        <f t="shared" si="37"/>
        <v>Equestrian Lean-Tos|S|Average</v>
      </c>
      <c r="J2456" t="s">
        <v>898</v>
      </c>
    </row>
    <row r="2457" spans="2:10">
      <c r="B2457" t="s">
        <v>899</v>
      </c>
      <c r="C2457" t="s">
        <v>900</v>
      </c>
      <c r="D2457" t="s">
        <v>260</v>
      </c>
      <c r="E2457" t="s">
        <v>501</v>
      </c>
      <c r="F2457" t="s">
        <v>219</v>
      </c>
      <c r="G2457" t="s">
        <v>226</v>
      </c>
      <c r="H2457">
        <v>14.95</v>
      </c>
      <c r="I2457" t="str">
        <f t="shared" si="37"/>
        <v>Equestrian Lean-Tos|S|Low Cost</v>
      </c>
      <c r="J2457" t="s">
        <v>898</v>
      </c>
    </row>
    <row r="2458" spans="2:10">
      <c r="B2458" t="s">
        <v>901</v>
      </c>
      <c r="C2458" t="s">
        <v>902</v>
      </c>
      <c r="D2458" t="s">
        <v>260</v>
      </c>
      <c r="E2458" t="s">
        <v>903</v>
      </c>
      <c r="F2458" t="s">
        <v>209</v>
      </c>
      <c r="G2458" t="s">
        <v>229</v>
      </c>
      <c r="H2458">
        <v>68</v>
      </c>
      <c r="I2458" t="str">
        <f t="shared" si="37"/>
        <v>Stables|C|Good</v>
      </c>
      <c r="J2458" t="s">
        <v>904</v>
      </c>
    </row>
    <row r="2459" spans="2:10">
      <c r="B2459" t="s">
        <v>901</v>
      </c>
      <c r="C2459" t="s">
        <v>902</v>
      </c>
      <c r="D2459" t="s">
        <v>260</v>
      </c>
      <c r="E2459" t="s">
        <v>903</v>
      </c>
      <c r="F2459" t="s">
        <v>209</v>
      </c>
      <c r="G2459" t="s">
        <v>44</v>
      </c>
      <c r="H2459">
        <v>48</v>
      </c>
      <c r="I2459" t="str">
        <f t="shared" si="37"/>
        <v>Stables|C|Average</v>
      </c>
      <c r="J2459" t="s">
        <v>904</v>
      </c>
    </row>
    <row r="2460" spans="2:10">
      <c r="B2460" t="s">
        <v>901</v>
      </c>
      <c r="C2460" t="s">
        <v>902</v>
      </c>
      <c r="D2460" t="s">
        <v>260</v>
      </c>
      <c r="E2460" t="s">
        <v>903</v>
      </c>
      <c r="F2460" t="s">
        <v>209</v>
      </c>
      <c r="G2460" t="s">
        <v>226</v>
      </c>
      <c r="H2460">
        <v>34.25</v>
      </c>
      <c r="I2460" t="str">
        <f t="shared" si="37"/>
        <v>Stables|C|Low Cost</v>
      </c>
      <c r="J2460" t="s">
        <v>904</v>
      </c>
    </row>
    <row r="2461" spans="2:10">
      <c r="B2461" t="s">
        <v>901</v>
      </c>
      <c r="C2461" t="s">
        <v>902</v>
      </c>
      <c r="D2461" t="s">
        <v>260</v>
      </c>
      <c r="E2461" t="s">
        <v>903</v>
      </c>
      <c r="F2461" t="s">
        <v>214</v>
      </c>
      <c r="G2461" t="s">
        <v>229</v>
      </c>
      <c r="H2461">
        <v>60</v>
      </c>
      <c r="I2461" t="str">
        <f t="shared" si="37"/>
        <v>Stables|D|Good</v>
      </c>
      <c r="J2461" t="s">
        <v>904</v>
      </c>
    </row>
    <row r="2462" spans="2:10">
      <c r="B2462" t="s">
        <v>901</v>
      </c>
      <c r="C2462" t="s">
        <v>902</v>
      </c>
      <c r="D2462" t="s">
        <v>260</v>
      </c>
      <c r="E2462" t="s">
        <v>903</v>
      </c>
      <c r="F2462" t="s">
        <v>214</v>
      </c>
      <c r="G2462" t="s">
        <v>44</v>
      </c>
      <c r="H2462">
        <v>38.75</v>
      </c>
      <c r="I2462" t="str">
        <f t="shared" ref="I2462:I2525" si="38">B2462&amp;"|"&amp;F2462&amp;"|"&amp;G2462</f>
        <v>Stables|D|Average</v>
      </c>
      <c r="J2462" t="s">
        <v>904</v>
      </c>
    </row>
    <row r="2463" spans="2:10">
      <c r="B2463" t="s">
        <v>901</v>
      </c>
      <c r="C2463" t="s">
        <v>902</v>
      </c>
      <c r="D2463" t="s">
        <v>260</v>
      </c>
      <c r="E2463" t="s">
        <v>903</v>
      </c>
      <c r="F2463" t="s">
        <v>214</v>
      </c>
      <c r="G2463" t="s">
        <v>226</v>
      </c>
      <c r="H2463">
        <v>25</v>
      </c>
      <c r="I2463" t="str">
        <f t="shared" si="38"/>
        <v>Stables|D|Low Cost</v>
      </c>
      <c r="J2463" t="s">
        <v>904</v>
      </c>
    </row>
    <row r="2464" spans="2:10">
      <c r="B2464" t="s">
        <v>901</v>
      </c>
      <c r="C2464" t="s">
        <v>902</v>
      </c>
      <c r="D2464" t="s">
        <v>260</v>
      </c>
      <c r="E2464" t="s">
        <v>903</v>
      </c>
      <c r="F2464" t="s">
        <v>313</v>
      </c>
      <c r="G2464" t="s">
        <v>229</v>
      </c>
      <c r="H2464">
        <v>55.5</v>
      </c>
      <c r="I2464" t="str">
        <f t="shared" si="38"/>
        <v>Stables|DPOLE|Good</v>
      </c>
      <c r="J2464" t="s">
        <v>904</v>
      </c>
    </row>
    <row r="2465" spans="2:10">
      <c r="B2465" t="s">
        <v>901</v>
      </c>
      <c r="C2465" t="s">
        <v>902</v>
      </c>
      <c r="D2465" t="s">
        <v>260</v>
      </c>
      <c r="E2465" t="s">
        <v>903</v>
      </c>
      <c r="F2465" t="s">
        <v>313</v>
      </c>
      <c r="G2465" t="s">
        <v>44</v>
      </c>
      <c r="H2465">
        <v>36</v>
      </c>
      <c r="I2465" t="str">
        <f t="shared" si="38"/>
        <v>Stables|DPOLE|Average</v>
      </c>
      <c r="J2465" t="s">
        <v>904</v>
      </c>
    </row>
    <row r="2466" spans="2:10">
      <c r="B2466" t="s">
        <v>901</v>
      </c>
      <c r="C2466" t="s">
        <v>902</v>
      </c>
      <c r="D2466" t="s">
        <v>260</v>
      </c>
      <c r="E2466" t="s">
        <v>903</v>
      </c>
      <c r="F2466" t="s">
        <v>313</v>
      </c>
      <c r="G2466" t="s">
        <v>226</v>
      </c>
      <c r="H2466">
        <v>23.25</v>
      </c>
      <c r="I2466" t="str">
        <f t="shared" si="38"/>
        <v>Stables|DPOLE|Low Cost</v>
      </c>
      <c r="J2466" t="s">
        <v>904</v>
      </c>
    </row>
    <row r="2467" spans="2:10">
      <c r="B2467" t="s">
        <v>901</v>
      </c>
      <c r="C2467" t="s">
        <v>902</v>
      </c>
      <c r="D2467" t="s">
        <v>260</v>
      </c>
      <c r="E2467" t="s">
        <v>903</v>
      </c>
      <c r="F2467" t="s">
        <v>313</v>
      </c>
      <c r="G2467" t="s">
        <v>314</v>
      </c>
      <c r="H2467">
        <v>18.399999999999999</v>
      </c>
      <c r="I2467" t="str">
        <f t="shared" si="38"/>
        <v>Stables|DPOLE|Cheap</v>
      </c>
      <c r="J2467" t="s">
        <v>904</v>
      </c>
    </row>
    <row r="2468" spans="2:10">
      <c r="B2468" t="s">
        <v>901</v>
      </c>
      <c r="C2468" t="s">
        <v>902</v>
      </c>
      <c r="D2468" t="s">
        <v>260</v>
      </c>
      <c r="E2468" t="s">
        <v>903</v>
      </c>
      <c r="F2468" t="s">
        <v>837</v>
      </c>
      <c r="G2468" t="s">
        <v>44</v>
      </c>
      <c r="H2468">
        <v>12.9</v>
      </c>
      <c r="I2468" t="str">
        <f t="shared" si="38"/>
        <v>Stables|DHOOP|Average</v>
      </c>
      <c r="J2468" t="s">
        <v>904</v>
      </c>
    </row>
    <row r="2469" spans="2:10">
      <c r="B2469" t="s">
        <v>901</v>
      </c>
      <c r="C2469" t="s">
        <v>902</v>
      </c>
      <c r="D2469" t="s">
        <v>260</v>
      </c>
      <c r="E2469" t="s">
        <v>903</v>
      </c>
      <c r="F2469" t="s">
        <v>837</v>
      </c>
      <c r="G2469" t="s">
        <v>226</v>
      </c>
      <c r="H2469">
        <v>8.73</v>
      </c>
      <c r="I2469" t="str">
        <f t="shared" si="38"/>
        <v>Stables|DHOOP|Low Cost</v>
      </c>
      <c r="J2469" t="s">
        <v>904</v>
      </c>
    </row>
    <row r="2470" spans="2:10">
      <c r="B2470" t="s">
        <v>901</v>
      </c>
      <c r="C2470" t="s">
        <v>902</v>
      </c>
      <c r="D2470" t="s">
        <v>260</v>
      </c>
      <c r="E2470" t="s">
        <v>903</v>
      </c>
      <c r="F2470" t="s">
        <v>219</v>
      </c>
      <c r="G2470" t="s">
        <v>229</v>
      </c>
      <c r="H2470">
        <v>59.5</v>
      </c>
      <c r="I2470" t="str">
        <f t="shared" si="38"/>
        <v>Stables|S|Good</v>
      </c>
      <c r="J2470" t="s">
        <v>904</v>
      </c>
    </row>
    <row r="2471" spans="2:10">
      <c r="B2471" t="s">
        <v>901</v>
      </c>
      <c r="C2471" t="s">
        <v>902</v>
      </c>
      <c r="D2471" t="s">
        <v>260</v>
      </c>
      <c r="E2471" t="s">
        <v>903</v>
      </c>
      <c r="F2471" t="s">
        <v>219</v>
      </c>
      <c r="G2471" t="s">
        <v>44</v>
      </c>
      <c r="H2471">
        <v>38.75</v>
      </c>
      <c r="I2471" t="str">
        <f t="shared" si="38"/>
        <v>Stables|S|Average</v>
      </c>
      <c r="J2471" t="s">
        <v>904</v>
      </c>
    </row>
    <row r="2472" spans="2:10">
      <c r="B2472" t="s">
        <v>901</v>
      </c>
      <c r="C2472" t="s">
        <v>902</v>
      </c>
      <c r="D2472" t="s">
        <v>260</v>
      </c>
      <c r="E2472" t="s">
        <v>903</v>
      </c>
      <c r="F2472" t="s">
        <v>219</v>
      </c>
      <c r="G2472" t="s">
        <v>226</v>
      </c>
      <c r="H2472">
        <v>25.25</v>
      </c>
      <c r="I2472" t="str">
        <f t="shared" si="38"/>
        <v>Stables|S|Low Cost</v>
      </c>
      <c r="J2472" t="s">
        <v>904</v>
      </c>
    </row>
    <row r="2473" spans="2:10">
      <c r="B2473" t="s">
        <v>905</v>
      </c>
      <c r="C2473" t="s">
        <v>906</v>
      </c>
      <c r="D2473" t="s">
        <v>260</v>
      </c>
      <c r="E2473" t="s">
        <v>903</v>
      </c>
      <c r="F2473" t="s">
        <v>209</v>
      </c>
      <c r="G2473" t="s">
        <v>231</v>
      </c>
      <c r="H2473">
        <v>286</v>
      </c>
      <c r="I2473" t="str">
        <f t="shared" si="38"/>
        <v>High-Value (Estate) Stables – Horse Barns|C|Excellent</v>
      </c>
      <c r="J2473" t="s">
        <v>904</v>
      </c>
    </row>
    <row r="2474" spans="2:10">
      <c r="B2474" t="s">
        <v>905</v>
      </c>
      <c r="C2474" t="s">
        <v>906</v>
      </c>
      <c r="D2474" t="s">
        <v>260</v>
      </c>
      <c r="E2474" t="s">
        <v>903</v>
      </c>
      <c r="F2474" t="s">
        <v>209</v>
      </c>
      <c r="G2474" t="s">
        <v>229</v>
      </c>
      <c r="H2474">
        <v>199</v>
      </c>
      <c r="I2474" t="str">
        <f t="shared" si="38"/>
        <v>High-Value (Estate) Stables – Horse Barns|C|Good</v>
      </c>
      <c r="J2474" t="s">
        <v>904</v>
      </c>
    </row>
    <row r="2475" spans="2:10">
      <c r="B2475" t="s">
        <v>905</v>
      </c>
      <c r="C2475" t="s">
        <v>906</v>
      </c>
      <c r="D2475" t="s">
        <v>260</v>
      </c>
      <c r="E2475" t="s">
        <v>903</v>
      </c>
      <c r="F2475" t="s">
        <v>209</v>
      </c>
      <c r="G2475" t="s">
        <v>44</v>
      </c>
      <c r="H2475">
        <v>139</v>
      </c>
      <c r="I2475" t="str">
        <f t="shared" si="38"/>
        <v>High-Value (Estate) Stables – Horse Barns|C|Average</v>
      </c>
      <c r="J2475" t="s">
        <v>904</v>
      </c>
    </row>
    <row r="2476" spans="2:10">
      <c r="B2476" t="s">
        <v>905</v>
      </c>
      <c r="C2476" t="s">
        <v>906</v>
      </c>
      <c r="D2476" t="s">
        <v>260</v>
      </c>
      <c r="E2476" t="s">
        <v>903</v>
      </c>
      <c r="F2476" t="s">
        <v>209</v>
      </c>
      <c r="G2476" t="s">
        <v>226</v>
      </c>
      <c r="H2476">
        <v>97</v>
      </c>
      <c r="I2476" t="str">
        <f t="shared" si="38"/>
        <v>High-Value (Estate) Stables – Horse Barns|C|Low Cost</v>
      </c>
      <c r="J2476" t="s">
        <v>904</v>
      </c>
    </row>
    <row r="2477" spans="2:10">
      <c r="B2477" t="s">
        <v>905</v>
      </c>
      <c r="C2477" t="s">
        <v>906</v>
      </c>
      <c r="D2477" t="s">
        <v>260</v>
      </c>
      <c r="E2477" t="s">
        <v>903</v>
      </c>
      <c r="F2477" t="s">
        <v>214</v>
      </c>
      <c r="G2477" t="s">
        <v>231</v>
      </c>
      <c r="H2477">
        <v>287</v>
      </c>
      <c r="I2477" t="str">
        <f t="shared" si="38"/>
        <v>High-Value (Estate) Stables – Horse Barns|D|Excellent</v>
      </c>
      <c r="J2477" t="s">
        <v>904</v>
      </c>
    </row>
    <row r="2478" spans="2:10">
      <c r="B2478" t="s">
        <v>905</v>
      </c>
      <c r="C2478" t="s">
        <v>906</v>
      </c>
      <c r="D2478" t="s">
        <v>260</v>
      </c>
      <c r="E2478" t="s">
        <v>903</v>
      </c>
      <c r="F2478" t="s">
        <v>214</v>
      </c>
      <c r="G2478" t="s">
        <v>229</v>
      </c>
      <c r="H2478">
        <v>197</v>
      </c>
      <c r="I2478" t="str">
        <f t="shared" si="38"/>
        <v>High-Value (Estate) Stables – Horse Barns|D|Good</v>
      </c>
      <c r="J2478" t="s">
        <v>904</v>
      </c>
    </row>
    <row r="2479" spans="2:10">
      <c r="B2479" t="s">
        <v>905</v>
      </c>
      <c r="C2479" t="s">
        <v>906</v>
      </c>
      <c r="D2479" t="s">
        <v>260</v>
      </c>
      <c r="E2479" t="s">
        <v>903</v>
      </c>
      <c r="F2479" t="s">
        <v>214</v>
      </c>
      <c r="G2479" t="s">
        <v>44</v>
      </c>
      <c r="H2479">
        <v>136</v>
      </c>
      <c r="I2479" t="str">
        <f t="shared" si="38"/>
        <v>High-Value (Estate) Stables – Horse Barns|D|Average</v>
      </c>
      <c r="J2479" t="s">
        <v>904</v>
      </c>
    </row>
    <row r="2480" spans="2:10">
      <c r="B2480" t="s">
        <v>905</v>
      </c>
      <c r="C2480" t="s">
        <v>906</v>
      </c>
      <c r="D2480" t="s">
        <v>260</v>
      </c>
      <c r="E2480" t="s">
        <v>903</v>
      </c>
      <c r="F2480" t="s">
        <v>214</v>
      </c>
      <c r="G2480" t="s">
        <v>226</v>
      </c>
      <c r="H2480">
        <v>93.5</v>
      </c>
      <c r="I2480" t="str">
        <f t="shared" si="38"/>
        <v>High-Value (Estate) Stables – Horse Barns|D|Low Cost</v>
      </c>
      <c r="J2480" t="s">
        <v>904</v>
      </c>
    </row>
    <row r="2481" spans="2:10">
      <c r="B2481" t="s">
        <v>905</v>
      </c>
      <c r="C2481" t="s">
        <v>906</v>
      </c>
      <c r="D2481" t="s">
        <v>260</v>
      </c>
      <c r="E2481" t="s">
        <v>903</v>
      </c>
      <c r="F2481" t="s">
        <v>313</v>
      </c>
      <c r="G2481" t="s">
        <v>226</v>
      </c>
      <c r="H2481">
        <v>87</v>
      </c>
      <c r="I2481" t="str">
        <f t="shared" si="38"/>
        <v>High-Value (Estate) Stables – Horse Barns|DPOLE|Low Cost</v>
      </c>
      <c r="J2481" t="s">
        <v>904</v>
      </c>
    </row>
    <row r="2482" spans="2:10">
      <c r="B2482" t="s">
        <v>905</v>
      </c>
      <c r="C2482" t="s">
        <v>906</v>
      </c>
      <c r="D2482" t="s">
        <v>260</v>
      </c>
      <c r="E2482" t="s">
        <v>903</v>
      </c>
      <c r="F2482" t="s">
        <v>219</v>
      </c>
      <c r="G2482" t="s">
        <v>226</v>
      </c>
      <c r="H2482">
        <v>93</v>
      </c>
      <c r="I2482" t="str">
        <f t="shared" si="38"/>
        <v>High-Value (Estate) Stables – Horse Barns|S|Low Cost</v>
      </c>
      <c r="J2482" t="s">
        <v>904</v>
      </c>
    </row>
    <row r="2483" spans="2:10">
      <c r="B2483" t="s">
        <v>907</v>
      </c>
      <c r="C2483" t="s">
        <v>908</v>
      </c>
      <c r="D2483" t="s">
        <v>260</v>
      </c>
      <c r="E2483" t="s">
        <v>513</v>
      </c>
      <c r="F2483" t="s">
        <v>209</v>
      </c>
      <c r="G2483" t="s">
        <v>231</v>
      </c>
      <c r="H2483">
        <v>104</v>
      </c>
      <c r="I2483" t="str">
        <f t="shared" si="38"/>
        <v>Dairies (Milking Parlors)|C|Excellent</v>
      </c>
      <c r="J2483" t="s">
        <v>909</v>
      </c>
    </row>
    <row r="2484" spans="2:10">
      <c r="B2484" t="s">
        <v>907</v>
      </c>
      <c r="C2484" t="s">
        <v>908</v>
      </c>
      <c r="D2484" t="s">
        <v>260</v>
      </c>
      <c r="E2484" t="s">
        <v>513</v>
      </c>
      <c r="F2484" t="s">
        <v>209</v>
      </c>
      <c r="G2484" t="s">
        <v>229</v>
      </c>
      <c r="H2484">
        <v>78</v>
      </c>
      <c r="I2484" t="str">
        <f t="shared" si="38"/>
        <v>Dairies (Milking Parlors)|C|Good</v>
      </c>
      <c r="J2484" t="s">
        <v>909</v>
      </c>
    </row>
    <row r="2485" spans="2:10">
      <c r="B2485" t="s">
        <v>907</v>
      </c>
      <c r="C2485" t="s">
        <v>908</v>
      </c>
      <c r="D2485" t="s">
        <v>260</v>
      </c>
      <c r="E2485" t="s">
        <v>513</v>
      </c>
      <c r="F2485" t="s">
        <v>209</v>
      </c>
      <c r="G2485" t="s">
        <v>44</v>
      </c>
      <c r="H2485">
        <v>59</v>
      </c>
      <c r="I2485" t="str">
        <f t="shared" si="38"/>
        <v>Dairies (Milking Parlors)|C|Average</v>
      </c>
      <c r="J2485" t="s">
        <v>909</v>
      </c>
    </row>
    <row r="2486" spans="2:10">
      <c r="B2486" t="s">
        <v>907</v>
      </c>
      <c r="C2486" t="s">
        <v>908</v>
      </c>
      <c r="D2486" t="s">
        <v>260</v>
      </c>
      <c r="E2486" t="s">
        <v>513</v>
      </c>
      <c r="F2486" t="s">
        <v>209</v>
      </c>
      <c r="G2486" t="s">
        <v>226</v>
      </c>
      <c r="H2486">
        <v>44.5</v>
      </c>
      <c r="I2486" t="str">
        <f t="shared" si="38"/>
        <v>Dairies (Milking Parlors)|C|Low Cost</v>
      </c>
      <c r="J2486" t="s">
        <v>909</v>
      </c>
    </row>
    <row r="2487" spans="2:10">
      <c r="B2487" t="s">
        <v>907</v>
      </c>
      <c r="C2487" t="s">
        <v>908</v>
      </c>
      <c r="D2487" t="s">
        <v>260</v>
      </c>
      <c r="E2487" t="s">
        <v>513</v>
      </c>
      <c r="F2487" t="s">
        <v>214</v>
      </c>
      <c r="G2487" t="s">
        <v>231</v>
      </c>
      <c r="H2487">
        <v>98</v>
      </c>
      <c r="I2487" t="str">
        <f t="shared" si="38"/>
        <v>Dairies (Milking Parlors)|D|Excellent</v>
      </c>
      <c r="J2487" t="s">
        <v>909</v>
      </c>
    </row>
    <row r="2488" spans="2:10">
      <c r="B2488" t="s">
        <v>907</v>
      </c>
      <c r="C2488" t="s">
        <v>908</v>
      </c>
      <c r="D2488" t="s">
        <v>260</v>
      </c>
      <c r="E2488" t="s">
        <v>513</v>
      </c>
      <c r="F2488" t="s">
        <v>214</v>
      </c>
      <c r="G2488" t="s">
        <v>229</v>
      </c>
      <c r="H2488">
        <v>70.5</v>
      </c>
      <c r="I2488" t="str">
        <f t="shared" si="38"/>
        <v>Dairies (Milking Parlors)|D|Good</v>
      </c>
      <c r="J2488" t="s">
        <v>909</v>
      </c>
    </row>
    <row r="2489" spans="2:10">
      <c r="B2489" t="s">
        <v>907</v>
      </c>
      <c r="C2489" t="s">
        <v>908</v>
      </c>
      <c r="D2489" t="s">
        <v>260</v>
      </c>
      <c r="E2489" t="s">
        <v>513</v>
      </c>
      <c r="F2489" t="s">
        <v>214</v>
      </c>
      <c r="G2489" t="s">
        <v>44</v>
      </c>
      <c r="H2489">
        <v>51</v>
      </c>
      <c r="I2489" t="str">
        <f t="shared" si="38"/>
        <v>Dairies (Milking Parlors)|D|Average</v>
      </c>
      <c r="J2489" t="s">
        <v>909</v>
      </c>
    </row>
    <row r="2490" spans="2:10">
      <c r="B2490" t="s">
        <v>907</v>
      </c>
      <c r="C2490" t="s">
        <v>908</v>
      </c>
      <c r="D2490" t="s">
        <v>260</v>
      </c>
      <c r="E2490" t="s">
        <v>513</v>
      </c>
      <c r="F2490" t="s">
        <v>214</v>
      </c>
      <c r="G2490" t="s">
        <v>226</v>
      </c>
      <c r="H2490">
        <v>36.75</v>
      </c>
      <c r="I2490" t="str">
        <f t="shared" si="38"/>
        <v>Dairies (Milking Parlors)|D|Low Cost</v>
      </c>
      <c r="J2490" t="s">
        <v>909</v>
      </c>
    </row>
    <row r="2491" spans="2:10">
      <c r="B2491" t="s">
        <v>907</v>
      </c>
      <c r="C2491" t="s">
        <v>908</v>
      </c>
      <c r="D2491" t="s">
        <v>260</v>
      </c>
      <c r="E2491" t="s">
        <v>513</v>
      </c>
      <c r="F2491" t="s">
        <v>313</v>
      </c>
      <c r="G2491" t="s">
        <v>231</v>
      </c>
      <c r="H2491">
        <v>89.5</v>
      </c>
      <c r="I2491" t="str">
        <f t="shared" si="38"/>
        <v>Dairies (Milking Parlors)|DPOLE|Excellent</v>
      </c>
      <c r="J2491" t="s">
        <v>909</v>
      </c>
    </row>
    <row r="2492" spans="2:10">
      <c r="B2492" t="s">
        <v>907</v>
      </c>
      <c r="C2492" t="s">
        <v>908</v>
      </c>
      <c r="D2492" t="s">
        <v>260</v>
      </c>
      <c r="E2492" t="s">
        <v>513</v>
      </c>
      <c r="F2492" t="s">
        <v>313</v>
      </c>
      <c r="G2492" t="s">
        <v>229</v>
      </c>
      <c r="H2492">
        <v>64.5</v>
      </c>
      <c r="I2492" t="str">
        <f t="shared" si="38"/>
        <v>Dairies (Milking Parlors)|DPOLE|Good</v>
      </c>
      <c r="J2492" t="s">
        <v>909</v>
      </c>
    </row>
    <row r="2493" spans="2:10">
      <c r="B2493" t="s">
        <v>907</v>
      </c>
      <c r="C2493" t="s">
        <v>908</v>
      </c>
      <c r="D2493" t="s">
        <v>260</v>
      </c>
      <c r="E2493" t="s">
        <v>513</v>
      </c>
      <c r="F2493" t="s">
        <v>313</v>
      </c>
      <c r="G2493" t="s">
        <v>44</v>
      </c>
      <c r="H2493">
        <v>47</v>
      </c>
      <c r="I2493" t="str">
        <f t="shared" si="38"/>
        <v>Dairies (Milking Parlors)|DPOLE|Average</v>
      </c>
      <c r="J2493" t="s">
        <v>909</v>
      </c>
    </row>
    <row r="2494" spans="2:10">
      <c r="B2494" t="s">
        <v>907</v>
      </c>
      <c r="C2494" t="s">
        <v>908</v>
      </c>
      <c r="D2494" t="s">
        <v>260</v>
      </c>
      <c r="E2494" t="s">
        <v>513</v>
      </c>
      <c r="F2494" t="s">
        <v>313</v>
      </c>
      <c r="G2494" t="s">
        <v>226</v>
      </c>
      <c r="H2494">
        <v>34.25</v>
      </c>
      <c r="I2494" t="str">
        <f t="shared" si="38"/>
        <v>Dairies (Milking Parlors)|DPOLE|Low Cost</v>
      </c>
      <c r="J2494" t="s">
        <v>909</v>
      </c>
    </row>
    <row r="2495" spans="2:10">
      <c r="B2495" t="s">
        <v>907</v>
      </c>
      <c r="C2495" t="s">
        <v>908</v>
      </c>
      <c r="D2495" t="s">
        <v>260</v>
      </c>
      <c r="E2495" t="s">
        <v>513</v>
      </c>
      <c r="F2495" t="s">
        <v>219</v>
      </c>
      <c r="G2495" t="s">
        <v>231</v>
      </c>
      <c r="H2495">
        <v>97</v>
      </c>
      <c r="I2495" t="str">
        <f t="shared" si="38"/>
        <v>Dairies (Milking Parlors)|S|Excellent</v>
      </c>
      <c r="J2495" t="s">
        <v>909</v>
      </c>
    </row>
    <row r="2496" spans="2:10">
      <c r="B2496" t="s">
        <v>907</v>
      </c>
      <c r="C2496" t="s">
        <v>908</v>
      </c>
      <c r="D2496" t="s">
        <v>260</v>
      </c>
      <c r="E2496" t="s">
        <v>513</v>
      </c>
      <c r="F2496" t="s">
        <v>219</v>
      </c>
      <c r="G2496" t="s">
        <v>229</v>
      </c>
      <c r="H2496">
        <v>71</v>
      </c>
      <c r="I2496" t="str">
        <f t="shared" si="38"/>
        <v>Dairies (Milking Parlors)|S|Good</v>
      </c>
      <c r="J2496" t="s">
        <v>909</v>
      </c>
    </row>
    <row r="2497" spans="2:10">
      <c r="B2497" t="s">
        <v>907</v>
      </c>
      <c r="C2497" t="s">
        <v>908</v>
      </c>
      <c r="D2497" t="s">
        <v>260</v>
      </c>
      <c r="E2497" t="s">
        <v>513</v>
      </c>
      <c r="F2497" t="s">
        <v>219</v>
      </c>
      <c r="G2497" t="s">
        <v>44</v>
      </c>
      <c r="H2497">
        <v>52</v>
      </c>
      <c r="I2497" t="str">
        <f t="shared" si="38"/>
        <v>Dairies (Milking Parlors)|S|Average</v>
      </c>
      <c r="J2497" t="s">
        <v>909</v>
      </c>
    </row>
    <row r="2498" spans="2:10">
      <c r="B2498" t="s">
        <v>907</v>
      </c>
      <c r="C2498" t="s">
        <v>908</v>
      </c>
      <c r="D2498" t="s">
        <v>260</v>
      </c>
      <c r="E2498" t="s">
        <v>513</v>
      </c>
      <c r="F2498" t="s">
        <v>219</v>
      </c>
      <c r="G2498" t="s">
        <v>226</v>
      </c>
      <c r="H2498">
        <v>38.25</v>
      </c>
      <c r="I2498" t="str">
        <f t="shared" si="38"/>
        <v>Dairies (Milking Parlors)|S|Low Cost</v>
      </c>
      <c r="J2498" t="s">
        <v>909</v>
      </c>
    </row>
    <row r="2499" spans="2:10">
      <c r="B2499" t="s">
        <v>910</v>
      </c>
      <c r="C2499" t="s">
        <v>911</v>
      </c>
      <c r="D2499" t="s">
        <v>260</v>
      </c>
      <c r="E2499" t="s">
        <v>513</v>
      </c>
      <c r="F2499" t="s">
        <v>209</v>
      </c>
      <c r="G2499" t="s">
        <v>229</v>
      </c>
      <c r="H2499">
        <v>86</v>
      </c>
      <c r="I2499" t="str">
        <f t="shared" si="38"/>
        <v>Milkhouses|C|Good</v>
      </c>
      <c r="J2499" t="s">
        <v>909</v>
      </c>
    </row>
    <row r="2500" spans="2:10">
      <c r="B2500" t="s">
        <v>910</v>
      </c>
      <c r="C2500" t="s">
        <v>911</v>
      </c>
      <c r="D2500" t="s">
        <v>260</v>
      </c>
      <c r="E2500" t="s">
        <v>513</v>
      </c>
      <c r="F2500" t="s">
        <v>209</v>
      </c>
      <c r="G2500" t="s">
        <v>44</v>
      </c>
      <c r="H2500">
        <v>63</v>
      </c>
      <c r="I2500" t="str">
        <f t="shared" si="38"/>
        <v>Milkhouses|C|Average</v>
      </c>
      <c r="J2500" t="s">
        <v>909</v>
      </c>
    </row>
    <row r="2501" spans="2:10">
      <c r="B2501" t="s">
        <v>910</v>
      </c>
      <c r="C2501" t="s">
        <v>911</v>
      </c>
      <c r="D2501" t="s">
        <v>260</v>
      </c>
      <c r="E2501" t="s">
        <v>513</v>
      </c>
      <c r="F2501" t="s">
        <v>214</v>
      </c>
      <c r="G2501" t="s">
        <v>229</v>
      </c>
      <c r="H2501">
        <v>77</v>
      </c>
      <c r="I2501" t="str">
        <f t="shared" si="38"/>
        <v>Milkhouses|D|Good</v>
      </c>
      <c r="J2501" t="s">
        <v>909</v>
      </c>
    </row>
    <row r="2502" spans="2:10">
      <c r="B2502" t="s">
        <v>910</v>
      </c>
      <c r="C2502" t="s">
        <v>911</v>
      </c>
      <c r="D2502" t="s">
        <v>260</v>
      </c>
      <c r="E2502" t="s">
        <v>513</v>
      </c>
      <c r="F2502" t="s">
        <v>214</v>
      </c>
      <c r="G2502" t="s">
        <v>44</v>
      </c>
      <c r="H2502">
        <v>56.5</v>
      </c>
      <c r="I2502" t="str">
        <f t="shared" si="38"/>
        <v>Milkhouses|D|Average</v>
      </c>
      <c r="J2502" t="s">
        <v>909</v>
      </c>
    </row>
    <row r="2503" spans="2:10">
      <c r="B2503" t="s">
        <v>912</v>
      </c>
      <c r="C2503" t="s">
        <v>913</v>
      </c>
      <c r="D2503" t="s">
        <v>260</v>
      </c>
      <c r="E2503" t="s">
        <v>513</v>
      </c>
      <c r="F2503" t="s">
        <v>209</v>
      </c>
      <c r="G2503" t="s">
        <v>229</v>
      </c>
      <c r="H2503">
        <v>74</v>
      </c>
      <c r="I2503" t="str">
        <f t="shared" si="38"/>
        <v>Milkhouse Sheds|C|Good</v>
      </c>
      <c r="J2503" t="s">
        <v>909</v>
      </c>
    </row>
    <row r="2504" spans="2:10">
      <c r="B2504" t="s">
        <v>912</v>
      </c>
      <c r="C2504" t="s">
        <v>913</v>
      </c>
      <c r="D2504" t="s">
        <v>260</v>
      </c>
      <c r="E2504" t="s">
        <v>513</v>
      </c>
      <c r="F2504" t="s">
        <v>209</v>
      </c>
      <c r="G2504" t="s">
        <v>44</v>
      </c>
      <c r="H2504">
        <v>54.5</v>
      </c>
      <c r="I2504" t="str">
        <f t="shared" si="38"/>
        <v>Milkhouse Sheds|C|Average</v>
      </c>
      <c r="J2504" t="s">
        <v>909</v>
      </c>
    </row>
    <row r="2505" spans="2:10">
      <c r="B2505" t="s">
        <v>912</v>
      </c>
      <c r="C2505" t="s">
        <v>913</v>
      </c>
      <c r="D2505" t="s">
        <v>260</v>
      </c>
      <c r="E2505" t="s">
        <v>513</v>
      </c>
      <c r="F2505" t="s">
        <v>214</v>
      </c>
      <c r="G2505" t="s">
        <v>229</v>
      </c>
      <c r="H2505">
        <v>66</v>
      </c>
      <c r="I2505" t="str">
        <f t="shared" si="38"/>
        <v>Milkhouse Sheds|D|Good</v>
      </c>
      <c r="J2505" t="s">
        <v>909</v>
      </c>
    </row>
    <row r="2506" spans="2:10">
      <c r="B2506" t="s">
        <v>912</v>
      </c>
      <c r="C2506" t="s">
        <v>913</v>
      </c>
      <c r="D2506" t="s">
        <v>260</v>
      </c>
      <c r="E2506" t="s">
        <v>513</v>
      </c>
      <c r="F2506" t="s">
        <v>214</v>
      </c>
      <c r="G2506" t="s">
        <v>44</v>
      </c>
      <c r="H2506">
        <v>48.25</v>
      </c>
      <c r="I2506" t="str">
        <f t="shared" si="38"/>
        <v>Milkhouse Sheds|D|Average</v>
      </c>
      <c r="J2506" t="s">
        <v>909</v>
      </c>
    </row>
    <row r="2507" spans="2:10">
      <c r="B2507" t="s">
        <v>914</v>
      </c>
      <c r="C2507" t="s">
        <v>915</v>
      </c>
      <c r="D2507" t="s">
        <v>260</v>
      </c>
      <c r="E2507" t="s">
        <v>916</v>
      </c>
      <c r="F2507" t="s">
        <v>209</v>
      </c>
      <c r="G2507" t="s">
        <v>229</v>
      </c>
      <c r="H2507">
        <v>69.5</v>
      </c>
      <c r="I2507" t="str">
        <f t="shared" si="38"/>
        <v>Hog Barns – Nursery|C|Good</v>
      </c>
      <c r="J2507" t="s">
        <v>917</v>
      </c>
    </row>
    <row r="2508" spans="2:10">
      <c r="B2508" t="s">
        <v>914</v>
      </c>
      <c r="C2508" t="s">
        <v>915</v>
      </c>
      <c r="D2508" t="s">
        <v>260</v>
      </c>
      <c r="E2508" t="s">
        <v>916</v>
      </c>
      <c r="F2508" t="s">
        <v>209</v>
      </c>
      <c r="G2508" t="s">
        <v>44</v>
      </c>
      <c r="H2508">
        <v>62</v>
      </c>
      <c r="I2508" t="str">
        <f t="shared" si="38"/>
        <v>Hog Barns – Nursery|C|Average</v>
      </c>
      <c r="J2508" t="s">
        <v>917</v>
      </c>
    </row>
    <row r="2509" spans="2:10">
      <c r="B2509" t="s">
        <v>914</v>
      </c>
      <c r="C2509" t="s">
        <v>915</v>
      </c>
      <c r="D2509" t="s">
        <v>260</v>
      </c>
      <c r="E2509" t="s">
        <v>916</v>
      </c>
      <c r="F2509" t="s">
        <v>214</v>
      </c>
      <c r="G2509" t="s">
        <v>229</v>
      </c>
      <c r="H2509">
        <v>65.5</v>
      </c>
      <c r="I2509" t="str">
        <f t="shared" si="38"/>
        <v>Hog Barns – Nursery|D|Good</v>
      </c>
      <c r="J2509" t="s">
        <v>917</v>
      </c>
    </row>
    <row r="2510" spans="2:10">
      <c r="B2510" t="s">
        <v>914</v>
      </c>
      <c r="C2510" t="s">
        <v>915</v>
      </c>
      <c r="D2510" t="s">
        <v>260</v>
      </c>
      <c r="E2510" t="s">
        <v>916</v>
      </c>
      <c r="F2510" t="s">
        <v>214</v>
      </c>
      <c r="G2510" t="s">
        <v>44</v>
      </c>
      <c r="H2510">
        <v>57</v>
      </c>
      <c r="I2510" t="str">
        <f t="shared" si="38"/>
        <v>Hog Barns – Nursery|D|Average</v>
      </c>
      <c r="J2510" t="s">
        <v>917</v>
      </c>
    </row>
    <row r="2511" spans="2:10">
      <c r="B2511" t="s">
        <v>914</v>
      </c>
      <c r="C2511" t="s">
        <v>915</v>
      </c>
      <c r="D2511" t="s">
        <v>260</v>
      </c>
      <c r="E2511" t="s">
        <v>916</v>
      </c>
      <c r="F2511" t="s">
        <v>313</v>
      </c>
      <c r="G2511" t="s">
        <v>229</v>
      </c>
      <c r="H2511">
        <v>60.5</v>
      </c>
      <c r="I2511" t="str">
        <f t="shared" si="38"/>
        <v>Hog Barns – Nursery|DPOLE|Good</v>
      </c>
      <c r="J2511" t="s">
        <v>917</v>
      </c>
    </row>
    <row r="2512" spans="2:10">
      <c r="B2512" t="s">
        <v>914</v>
      </c>
      <c r="C2512" t="s">
        <v>915</v>
      </c>
      <c r="D2512" t="s">
        <v>260</v>
      </c>
      <c r="E2512" t="s">
        <v>916</v>
      </c>
      <c r="F2512" t="s">
        <v>313</v>
      </c>
      <c r="G2512" t="s">
        <v>44</v>
      </c>
      <c r="H2512">
        <v>53</v>
      </c>
      <c r="I2512" t="str">
        <f t="shared" si="38"/>
        <v>Hog Barns – Nursery|DPOLE|Average</v>
      </c>
      <c r="J2512" t="s">
        <v>917</v>
      </c>
    </row>
    <row r="2513" spans="2:10">
      <c r="B2513" t="s">
        <v>914</v>
      </c>
      <c r="C2513" t="s">
        <v>915</v>
      </c>
      <c r="D2513" t="s">
        <v>260</v>
      </c>
      <c r="E2513" t="s">
        <v>916</v>
      </c>
      <c r="F2513" t="s">
        <v>219</v>
      </c>
      <c r="G2513" t="s">
        <v>229</v>
      </c>
      <c r="H2513">
        <v>65.5</v>
      </c>
      <c r="I2513" t="str">
        <f t="shared" si="38"/>
        <v>Hog Barns – Nursery|S|Good</v>
      </c>
      <c r="J2513" t="s">
        <v>917</v>
      </c>
    </row>
    <row r="2514" spans="2:10">
      <c r="B2514" t="s">
        <v>914</v>
      </c>
      <c r="C2514" t="s">
        <v>915</v>
      </c>
      <c r="D2514" t="s">
        <v>260</v>
      </c>
      <c r="E2514" t="s">
        <v>916</v>
      </c>
      <c r="F2514" t="s">
        <v>219</v>
      </c>
      <c r="G2514" t="s">
        <v>44</v>
      </c>
      <c r="H2514">
        <v>57.5</v>
      </c>
      <c r="I2514" t="str">
        <f t="shared" si="38"/>
        <v>Hog Barns – Nursery|S|Average</v>
      </c>
      <c r="J2514" t="s">
        <v>917</v>
      </c>
    </row>
    <row r="2515" spans="2:10">
      <c r="B2515" t="s">
        <v>918</v>
      </c>
      <c r="C2515" t="s">
        <v>919</v>
      </c>
      <c r="D2515" t="s">
        <v>260</v>
      </c>
      <c r="E2515" t="s">
        <v>916</v>
      </c>
      <c r="F2515" t="s">
        <v>209</v>
      </c>
      <c r="G2515" t="s">
        <v>229</v>
      </c>
      <c r="H2515">
        <v>55.5</v>
      </c>
      <c r="I2515" t="str">
        <f t="shared" si="38"/>
        <v>Hog Barns – Breeding/Gestation|C|Good</v>
      </c>
      <c r="J2515" t="s">
        <v>917</v>
      </c>
    </row>
    <row r="2516" spans="2:10">
      <c r="B2516" t="s">
        <v>918</v>
      </c>
      <c r="C2516" t="s">
        <v>919</v>
      </c>
      <c r="D2516" t="s">
        <v>260</v>
      </c>
      <c r="E2516" t="s">
        <v>916</v>
      </c>
      <c r="F2516" t="s">
        <v>209</v>
      </c>
      <c r="G2516" t="s">
        <v>44</v>
      </c>
      <c r="H2516">
        <v>44</v>
      </c>
      <c r="I2516" t="str">
        <f t="shared" si="38"/>
        <v>Hog Barns – Breeding/Gestation|C|Average</v>
      </c>
      <c r="J2516" t="s">
        <v>917</v>
      </c>
    </row>
    <row r="2517" spans="2:10">
      <c r="B2517" t="s">
        <v>918</v>
      </c>
      <c r="C2517" t="s">
        <v>919</v>
      </c>
      <c r="D2517" t="s">
        <v>260</v>
      </c>
      <c r="E2517" t="s">
        <v>916</v>
      </c>
      <c r="F2517" t="s">
        <v>209</v>
      </c>
      <c r="G2517" t="s">
        <v>226</v>
      </c>
      <c r="H2517">
        <v>38.25</v>
      </c>
      <c r="I2517" t="str">
        <f t="shared" si="38"/>
        <v>Hog Barns – Breeding/Gestation|C|Low Cost</v>
      </c>
      <c r="J2517" t="s">
        <v>917</v>
      </c>
    </row>
    <row r="2518" spans="2:10">
      <c r="B2518" t="s">
        <v>918</v>
      </c>
      <c r="C2518" t="s">
        <v>919</v>
      </c>
      <c r="D2518" t="s">
        <v>260</v>
      </c>
      <c r="E2518" t="s">
        <v>916</v>
      </c>
      <c r="F2518" t="s">
        <v>214</v>
      </c>
      <c r="G2518" t="s">
        <v>229</v>
      </c>
      <c r="H2518">
        <v>49.5</v>
      </c>
      <c r="I2518" t="str">
        <f t="shared" si="38"/>
        <v>Hog Barns – Breeding/Gestation|D|Good</v>
      </c>
      <c r="J2518" t="s">
        <v>917</v>
      </c>
    </row>
    <row r="2519" spans="2:10">
      <c r="B2519" t="s">
        <v>918</v>
      </c>
      <c r="C2519" t="s">
        <v>919</v>
      </c>
      <c r="D2519" t="s">
        <v>260</v>
      </c>
      <c r="E2519" t="s">
        <v>916</v>
      </c>
      <c r="F2519" t="s">
        <v>214</v>
      </c>
      <c r="G2519" t="s">
        <v>44</v>
      </c>
      <c r="H2519">
        <v>37.5</v>
      </c>
      <c r="I2519" t="str">
        <f t="shared" si="38"/>
        <v>Hog Barns – Breeding/Gestation|D|Average</v>
      </c>
      <c r="J2519" t="s">
        <v>917</v>
      </c>
    </row>
    <row r="2520" spans="2:10">
      <c r="B2520" t="s">
        <v>918</v>
      </c>
      <c r="C2520" t="s">
        <v>919</v>
      </c>
      <c r="D2520" t="s">
        <v>260</v>
      </c>
      <c r="E2520" t="s">
        <v>916</v>
      </c>
      <c r="F2520" t="s">
        <v>214</v>
      </c>
      <c r="G2520" t="s">
        <v>226</v>
      </c>
      <c r="H2520">
        <v>32.25</v>
      </c>
      <c r="I2520" t="str">
        <f t="shared" si="38"/>
        <v>Hog Barns – Breeding/Gestation|D|Low Cost</v>
      </c>
      <c r="J2520" t="s">
        <v>917</v>
      </c>
    </row>
    <row r="2521" spans="2:10">
      <c r="B2521" t="s">
        <v>918</v>
      </c>
      <c r="C2521" t="s">
        <v>919</v>
      </c>
      <c r="D2521" t="s">
        <v>260</v>
      </c>
      <c r="E2521" t="s">
        <v>916</v>
      </c>
      <c r="F2521" t="s">
        <v>214</v>
      </c>
      <c r="G2521" t="s">
        <v>314</v>
      </c>
      <c r="H2521">
        <v>24.8</v>
      </c>
      <c r="I2521" t="str">
        <f t="shared" si="38"/>
        <v>Hog Barns – Breeding/Gestation|D|Cheap</v>
      </c>
      <c r="J2521" t="s">
        <v>917</v>
      </c>
    </row>
    <row r="2522" spans="2:10">
      <c r="B2522" t="s">
        <v>918</v>
      </c>
      <c r="C2522" t="s">
        <v>919</v>
      </c>
      <c r="D2522" t="s">
        <v>260</v>
      </c>
      <c r="E2522" t="s">
        <v>916</v>
      </c>
      <c r="F2522" t="s">
        <v>313</v>
      </c>
      <c r="G2522" t="s">
        <v>229</v>
      </c>
      <c r="H2522">
        <v>46.5</v>
      </c>
      <c r="I2522" t="str">
        <f t="shared" si="38"/>
        <v>Hog Barns – Breeding/Gestation|DPOLE|Good</v>
      </c>
      <c r="J2522" t="s">
        <v>917</v>
      </c>
    </row>
    <row r="2523" spans="2:10">
      <c r="B2523" t="s">
        <v>918</v>
      </c>
      <c r="C2523" t="s">
        <v>919</v>
      </c>
      <c r="D2523" t="s">
        <v>260</v>
      </c>
      <c r="E2523" t="s">
        <v>916</v>
      </c>
      <c r="F2523" t="s">
        <v>313</v>
      </c>
      <c r="G2523" t="s">
        <v>44</v>
      </c>
      <c r="H2523">
        <v>35.5</v>
      </c>
      <c r="I2523" t="str">
        <f t="shared" si="38"/>
        <v>Hog Barns – Breeding/Gestation|DPOLE|Average</v>
      </c>
      <c r="J2523" t="s">
        <v>917</v>
      </c>
    </row>
    <row r="2524" spans="2:10">
      <c r="B2524" t="s">
        <v>918</v>
      </c>
      <c r="C2524" t="s">
        <v>919</v>
      </c>
      <c r="D2524" t="s">
        <v>260</v>
      </c>
      <c r="E2524" t="s">
        <v>916</v>
      </c>
      <c r="F2524" t="s">
        <v>313</v>
      </c>
      <c r="G2524" t="s">
        <v>226</v>
      </c>
      <c r="H2524">
        <v>30.75</v>
      </c>
      <c r="I2524" t="str">
        <f t="shared" si="38"/>
        <v>Hog Barns – Breeding/Gestation|DPOLE|Low Cost</v>
      </c>
      <c r="J2524" t="s">
        <v>917</v>
      </c>
    </row>
    <row r="2525" spans="2:10">
      <c r="B2525" t="s">
        <v>918</v>
      </c>
      <c r="C2525" t="s">
        <v>919</v>
      </c>
      <c r="D2525" t="s">
        <v>260</v>
      </c>
      <c r="E2525" t="s">
        <v>916</v>
      </c>
      <c r="F2525" t="s">
        <v>313</v>
      </c>
      <c r="G2525" t="s">
        <v>314</v>
      </c>
      <c r="H2525">
        <v>23.95</v>
      </c>
      <c r="I2525" t="str">
        <f t="shared" si="38"/>
        <v>Hog Barns – Breeding/Gestation|DPOLE|Cheap</v>
      </c>
      <c r="J2525" t="s">
        <v>917</v>
      </c>
    </row>
    <row r="2526" spans="2:10">
      <c r="B2526" t="s">
        <v>918</v>
      </c>
      <c r="C2526" t="s">
        <v>919</v>
      </c>
      <c r="D2526" t="s">
        <v>260</v>
      </c>
      <c r="E2526" t="s">
        <v>916</v>
      </c>
      <c r="F2526" t="s">
        <v>219</v>
      </c>
      <c r="G2526" t="s">
        <v>229</v>
      </c>
      <c r="H2526">
        <v>49.75</v>
      </c>
      <c r="I2526" t="str">
        <f t="shared" ref="I2526:I2589" si="39">B2526&amp;"|"&amp;F2526&amp;"|"&amp;G2526</f>
        <v>Hog Barns – Breeding/Gestation|S|Good</v>
      </c>
      <c r="J2526" t="s">
        <v>917</v>
      </c>
    </row>
    <row r="2527" spans="2:10">
      <c r="B2527" t="s">
        <v>918</v>
      </c>
      <c r="C2527" t="s">
        <v>919</v>
      </c>
      <c r="D2527" t="s">
        <v>260</v>
      </c>
      <c r="E2527" t="s">
        <v>916</v>
      </c>
      <c r="F2527" t="s">
        <v>219</v>
      </c>
      <c r="G2527" t="s">
        <v>44</v>
      </c>
      <c r="H2527">
        <v>38</v>
      </c>
      <c r="I2527" t="str">
        <f t="shared" si="39"/>
        <v>Hog Barns – Breeding/Gestation|S|Average</v>
      </c>
      <c r="J2527" t="s">
        <v>917</v>
      </c>
    </row>
    <row r="2528" spans="2:10">
      <c r="B2528" t="s">
        <v>918</v>
      </c>
      <c r="C2528" t="s">
        <v>919</v>
      </c>
      <c r="D2528" t="s">
        <v>260</v>
      </c>
      <c r="E2528" t="s">
        <v>916</v>
      </c>
      <c r="F2528" t="s">
        <v>219</v>
      </c>
      <c r="G2528" t="s">
        <v>226</v>
      </c>
      <c r="H2528">
        <v>32.5</v>
      </c>
      <c r="I2528" t="str">
        <f t="shared" si="39"/>
        <v>Hog Barns – Breeding/Gestation|S|Low Cost</v>
      </c>
      <c r="J2528" t="s">
        <v>917</v>
      </c>
    </row>
    <row r="2529" spans="2:10">
      <c r="B2529" t="s">
        <v>918</v>
      </c>
      <c r="C2529" t="s">
        <v>919</v>
      </c>
      <c r="D2529" t="s">
        <v>260</v>
      </c>
      <c r="E2529" t="s">
        <v>916</v>
      </c>
      <c r="F2529" t="s">
        <v>219</v>
      </c>
      <c r="G2529" t="s">
        <v>314</v>
      </c>
      <c r="H2529">
        <v>25.25</v>
      </c>
      <c r="I2529" t="str">
        <f t="shared" si="39"/>
        <v>Hog Barns – Breeding/Gestation|S|Cheap</v>
      </c>
      <c r="J2529" t="s">
        <v>917</v>
      </c>
    </row>
    <row r="2530" spans="2:10">
      <c r="B2530" t="s">
        <v>920</v>
      </c>
      <c r="C2530" t="s">
        <v>921</v>
      </c>
      <c r="D2530" t="s">
        <v>260</v>
      </c>
      <c r="E2530" t="s">
        <v>922</v>
      </c>
      <c r="F2530" t="s">
        <v>209</v>
      </c>
      <c r="G2530" t="s">
        <v>229</v>
      </c>
      <c r="H2530">
        <v>62</v>
      </c>
      <c r="I2530" t="str">
        <f t="shared" si="39"/>
        <v>Hog Barns – Farrowing|C|Good</v>
      </c>
      <c r="J2530" t="s">
        <v>923</v>
      </c>
    </row>
    <row r="2531" spans="2:10">
      <c r="B2531" t="s">
        <v>920</v>
      </c>
      <c r="C2531" t="s">
        <v>921</v>
      </c>
      <c r="D2531" t="s">
        <v>260</v>
      </c>
      <c r="E2531" t="s">
        <v>922</v>
      </c>
      <c r="F2531" t="s">
        <v>209</v>
      </c>
      <c r="G2531" t="s">
        <v>44</v>
      </c>
      <c r="H2531">
        <v>50.5</v>
      </c>
      <c r="I2531" t="str">
        <f t="shared" si="39"/>
        <v>Hog Barns – Farrowing|C|Average</v>
      </c>
      <c r="J2531" t="s">
        <v>923</v>
      </c>
    </row>
    <row r="2532" spans="2:10">
      <c r="B2532" t="s">
        <v>920</v>
      </c>
      <c r="C2532" t="s">
        <v>921</v>
      </c>
      <c r="D2532" t="s">
        <v>260</v>
      </c>
      <c r="E2532" t="s">
        <v>922</v>
      </c>
      <c r="F2532" t="s">
        <v>209</v>
      </c>
      <c r="G2532" t="s">
        <v>226</v>
      </c>
      <c r="H2532">
        <v>41</v>
      </c>
      <c r="I2532" t="str">
        <f t="shared" si="39"/>
        <v>Hog Barns – Farrowing|C|Low Cost</v>
      </c>
      <c r="J2532" t="s">
        <v>923</v>
      </c>
    </row>
    <row r="2533" spans="2:10">
      <c r="B2533" t="s">
        <v>920</v>
      </c>
      <c r="C2533" t="s">
        <v>921</v>
      </c>
      <c r="D2533" t="s">
        <v>260</v>
      </c>
      <c r="E2533" t="s">
        <v>922</v>
      </c>
      <c r="F2533" t="s">
        <v>214</v>
      </c>
      <c r="G2533" t="s">
        <v>229</v>
      </c>
      <c r="H2533">
        <v>57</v>
      </c>
      <c r="I2533" t="str">
        <f t="shared" si="39"/>
        <v>Hog Barns – Farrowing|D|Good</v>
      </c>
      <c r="J2533" t="s">
        <v>923</v>
      </c>
    </row>
    <row r="2534" spans="2:10">
      <c r="B2534" t="s">
        <v>920</v>
      </c>
      <c r="C2534" t="s">
        <v>921</v>
      </c>
      <c r="D2534" t="s">
        <v>260</v>
      </c>
      <c r="E2534" t="s">
        <v>922</v>
      </c>
      <c r="F2534" t="s">
        <v>214</v>
      </c>
      <c r="G2534" t="s">
        <v>44</v>
      </c>
      <c r="H2534">
        <v>44.25</v>
      </c>
      <c r="I2534" t="str">
        <f t="shared" si="39"/>
        <v>Hog Barns – Farrowing|D|Average</v>
      </c>
      <c r="J2534" t="s">
        <v>923</v>
      </c>
    </row>
    <row r="2535" spans="2:10">
      <c r="B2535" t="s">
        <v>920</v>
      </c>
      <c r="C2535" t="s">
        <v>921</v>
      </c>
      <c r="D2535" t="s">
        <v>260</v>
      </c>
      <c r="E2535" t="s">
        <v>922</v>
      </c>
      <c r="F2535" t="s">
        <v>214</v>
      </c>
      <c r="G2535" t="s">
        <v>226</v>
      </c>
      <c r="H2535">
        <v>34.5</v>
      </c>
      <c r="I2535" t="str">
        <f t="shared" si="39"/>
        <v>Hog Barns – Farrowing|D|Low Cost</v>
      </c>
      <c r="J2535" t="s">
        <v>923</v>
      </c>
    </row>
    <row r="2536" spans="2:10">
      <c r="B2536" t="s">
        <v>920</v>
      </c>
      <c r="C2536" t="s">
        <v>921</v>
      </c>
      <c r="D2536" t="s">
        <v>260</v>
      </c>
      <c r="E2536" t="s">
        <v>922</v>
      </c>
      <c r="F2536" t="s">
        <v>313</v>
      </c>
      <c r="G2536" t="s">
        <v>229</v>
      </c>
      <c r="H2536">
        <v>53</v>
      </c>
      <c r="I2536" t="str">
        <f t="shared" si="39"/>
        <v>Hog Barns – Farrowing|DPOLE|Good</v>
      </c>
      <c r="J2536" t="s">
        <v>923</v>
      </c>
    </row>
    <row r="2537" spans="2:10">
      <c r="B2537" t="s">
        <v>920</v>
      </c>
      <c r="C2537" t="s">
        <v>921</v>
      </c>
      <c r="D2537" t="s">
        <v>260</v>
      </c>
      <c r="E2537" t="s">
        <v>922</v>
      </c>
      <c r="F2537" t="s">
        <v>313</v>
      </c>
      <c r="G2537" t="s">
        <v>44</v>
      </c>
      <c r="H2537">
        <v>41.75</v>
      </c>
      <c r="I2537" t="str">
        <f t="shared" si="39"/>
        <v>Hog Barns – Farrowing|DPOLE|Average</v>
      </c>
      <c r="J2537" t="s">
        <v>923</v>
      </c>
    </row>
    <row r="2538" spans="2:10">
      <c r="B2538" t="s">
        <v>920</v>
      </c>
      <c r="C2538" t="s">
        <v>921</v>
      </c>
      <c r="D2538" t="s">
        <v>260</v>
      </c>
      <c r="E2538" t="s">
        <v>922</v>
      </c>
      <c r="F2538" t="s">
        <v>313</v>
      </c>
      <c r="G2538" t="s">
        <v>226</v>
      </c>
      <c r="H2538">
        <v>32.75</v>
      </c>
      <c r="I2538" t="str">
        <f t="shared" si="39"/>
        <v>Hog Barns – Farrowing|DPOLE|Low Cost</v>
      </c>
      <c r="J2538" t="s">
        <v>923</v>
      </c>
    </row>
    <row r="2539" spans="2:10">
      <c r="B2539" t="s">
        <v>920</v>
      </c>
      <c r="C2539" t="s">
        <v>921</v>
      </c>
      <c r="D2539" t="s">
        <v>260</v>
      </c>
      <c r="E2539" t="s">
        <v>922</v>
      </c>
      <c r="F2539" t="s">
        <v>313</v>
      </c>
      <c r="G2539" t="s">
        <v>314</v>
      </c>
      <c r="H2539">
        <v>29.25</v>
      </c>
      <c r="I2539" t="str">
        <f t="shared" si="39"/>
        <v>Hog Barns – Farrowing|DPOLE|Cheap</v>
      </c>
      <c r="J2539" t="s">
        <v>923</v>
      </c>
    </row>
    <row r="2540" spans="2:10">
      <c r="B2540" t="s">
        <v>920</v>
      </c>
      <c r="C2540" t="s">
        <v>921</v>
      </c>
      <c r="D2540" t="s">
        <v>260</v>
      </c>
      <c r="E2540" t="s">
        <v>922</v>
      </c>
      <c r="F2540" t="s">
        <v>219</v>
      </c>
      <c r="G2540" t="s">
        <v>229</v>
      </c>
      <c r="H2540">
        <v>57</v>
      </c>
      <c r="I2540" t="str">
        <f t="shared" si="39"/>
        <v>Hog Barns – Farrowing|S|Good</v>
      </c>
      <c r="J2540" t="s">
        <v>923</v>
      </c>
    </row>
    <row r="2541" spans="2:10">
      <c r="B2541" t="s">
        <v>920</v>
      </c>
      <c r="C2541" t="s">
        <v>921</v>
      </c>
      <c r="D2541" t="s">
        <v>260</v>
      </c>
      <c r="E2541" t="s">
        <v>922</v>
      </c>
      <c r="F2541" t="s">
        <v>219</v>
      </c>
      <c r="G2541" t="s">
        <v>44</v>
      </c>
      <c r="H2541">
        <v>44.75</v>
      </c>
      <c r="I2541" t="str">
        <f t="shared" si="39"/>
        <v>Hog Barns – Farrowing|S|Average</v>
      </c>
      <c r="J2541" t="s">
        <v>923</v>
      </c>
    </row>
    <row r="2542" spans="2:10">
      <c r="B2542" t="s">
        <v>920</v>
      </c>
      <c r="C2542" t="s">
        <v>921</v>
      </c>
      <c r="D2542" t="s">
        <v>260</v>
      </c>
      <c r="E2542" t="s">
        <v>922</v>
      </c>
      <c r="F2542" t="s">
        <v>219</v>
      </c>
      <c r="G2542" t="s">
        <v>226</v>
      </c>
      <c r="H2542">
        <v>35</v>
      </c>
      <c r="I2542" t="str">
        <f t="shared" si="39"/>
        <v>Hog Barns – Farrowing|S|Low Cost</v>
      </c>
      <c r="J2542" t="s">
        <v>923</v>
      </c>
    </row>
    <row r="2543" spans="2:10">
      <c r="B2543" t="s">
        <v>920</v>
      </c>
      <c r="C2543" t="s">
        <v>921</v>
      </c>
      <c r="D2543" t="s">
        <v>260</v>
      </c>
      <c r="E2543" t="s">
        <v>922</v>
      </c>
      <c r="F2543" t="s">
        <v>219</v>
      </c>
      <c r="G2543" t="s">
        <v>314</v>
      </c>
      <c r="H2543">
        <v>30.75</v>
      </c>
      <c r="I2543" t="str">
        <f t="shared" si="39"/>
        <v>Hog Barns – Farrowing|S|Cheap</v>
      </c>
      <c r="J2543" t="s">
        <v>923</v>
      </c>
    </row>
    <row r="2544" spans="2:10">
      <c r="B2544" t="s">
        <v>924</v>
      </c>
      <c r="C2544" t="s">
        <v>925</v>
      </c>
      <c r="D2544" t="s">
        <v>260</v>
      </c>
      <c r="E2544" t="s">
        <v>922</v>
      </c>
      <c r="F2544" t="s">
        <v>209</v>
      </c>
      <c r="G2544" t="s">
        <v>44</v>
      </c>
      <c r="H2544">
        <v>39.25</v>
      </c>
      <c r="I2544" t="str">
        <f t="shared" si="39"/>
        <v>Hog Barns – Finishing|C|Average</v>
      </c>
      <c r="J2544" t="s">
        <v>923</v>
      </c>
    </row>
    <row r="2545" spans="2:10">
      <c r="B2545" t="s">
        <v>924</v>
      </c>
      <c r="C2545" t="s">
        <v>925</v>
      </c>
      <c r="D2545" t="s">
        <v>260</v>
      </c>
      <c r="E2545" t="s">
        <v>922</v>
      </c>
      <c r="F2545" t="s">
        <v>209</v>
      </c>
      <c r="G2545" t="s">
        <v>226</v>
      </c>
      <c r="H2545">
        <v>35</v>
      </c>
      <c r="I2545" t="str">
        <f t="shared" si="39"/>
        <v>Hog Barns – Finishing|C|Low Cost</v>
      </c>
      <c r="J2545" t="s">
        <v>923</v>
      </c>
    </row>
    <row r="2546" spans="2:10">
      <c r="B2546" t="s">
        <v>924</v>
      </c>
      <c r="C2546" t="s">
        <v>925</v>
      </c>
      <c r="D2546" t="s">
        <v>260</v>
      </c>
      <c r="E2546" t="s">
        <v>922</v>
      </c>
      <c r="F2546" t="s">
        <v>209</v>
      </c>
      <c r="G2546" t="s">
        <v>314</v>
      </c>
      <c r="H2546">
        <v>22.35</v>
      </c>
      <c r="I2546" t="str">
        <f t="shared" si="39"/>
        <v>Hog Barns – Finishing|C|Cheap</v>
      </c>
      <c r="J2546" t="s">
        <v>923</v>
      </c>
    </row>
    <row r="2547" spans="2:10">
      <c r="B2547" t="s">
        <v>924</v>
      </c>
      <c r="C2547" t="s">
        <v>925</v>
      </c>
      <c r="D2547" t="s">
        <v>260</v>
      </c>
      <c r="E2547" t="s">
        <v>922</v>
      </c>
      <c r="F2547" t="s">
        <v>214</v>
      </c>
      <c r="G2547" t="s">
        <v>44</v>
      </c>
      <c r="H2547">
        <v>33</v>
      </c>
      <c r="I2547" t="str">
        <f t="shared" si="39"/>
        <v>Hog Barns – Finishing|D|Average</v>
      </c>
      <c r="J2547" t="s">
        <v>923</v>
      </c>
    </row>
    <row r="2548" spans="2:10">
      <c r="B2548" t="s">
        <v>924</v>
      </c>
      <c r="C2548" t="s">
        <v>925</v>
      </c>
      <c r="D2548" t="s">
        <v>260</v>
      </c>
      <c r="E2548" t="s">
        <v>922</v>
      </c>
      <c r="F2548" t="s">
        <v>214</v>
      </c>
      <c r="G2548" t="s">
        <v>226</v>
      </c>
      <c r="H2548">
        <v>28.5</v>
      </c>
      <c r="I2548" t="str">
        <f t="shared" si="39"/>
        <v>Hog Barns – Finishing|D|Low Cost</v>
      </c>
      <c r="J2548" t="s">
        <v>923</v>
      </c>
    </row>
    <row r="2549" spans="2:10">
      <c r="B2549" t="s">
        <v>924</v>
      </c>
      <c r="C2549" t="s">
        <v>925</v>
      </c>
      <c r="D2549" t="s">
        <v>260</v>
      </c>
      <c r="E2549" t="s">
        <v>922</v>
      </c>
      <c r="F2549" t="s">
        <v>214</v>
      </c>
      <c r="G2549" t="s">
        <v>314</v>
      </c>
      <c r="H2549">
        <v>17.45</v>
      </c>
      <c r="I2549" t="str">
        <f t="shared" si="39"/>
        <v>Hog Barns – Finishing|D|Cheap</v>
      </c>
      <c r="J2549" t="s">
        <v>923</v>
      </c>
    </row>
    <row r="2550" spans="2:10">
      <c r="B2550" t="s">
        <v>924</v>
      </c>
      <c r="C2550" t="s">
        <v>925</v>
      </c>
      <c r="D2550" t="s">
        <v>260</v>
      </c>
      <c r="E2550" t="s">
        <v>922</v>
      </c>
      <c r="F2550" t="s">
        <v>313</v>
      </c>
      <c r="G2550" t="s">
        <v>44</v>
      </c>
      <c r="H2550">
        <v>31.25</v>
      </c>
      <c r="I2550" t="str">
        <f t="shared" si="39"/>
        <v>Hog Barns – Finishing|DPOLE|Average</v>
      </c>
      <c r="J2550" t="s">
        <v>923</v>
      </c>
    </row>
    <row r="2551" spans="2:10">
      <c r="B2551" t="s">
        <v>924</v>
      </c>
      <c r="C2551" t="s">
        <v>925</v>
      </c>
      <c r="D2551" t="s">
        <v>260</v>
      </c>
      <c r="E2551" t="s">
        <v>922</v>
      </c>
      <c r="F2551" t="s">
        <v>313</v>
      </c>
      <c r="G2551" t="s">
        <v>226</v>
      </c>
      <c r="H2551">
        <v>27.25</v>
      </c>
      <c r="I2551" t="str">
        <f t="shared" si="39"/>
        <v>Hog Barns – Finishing|DPOLE|Low Cost</v>
      </c>
      <c r="J2551" t="s">
        <v>923</v>
      </c>
    </row>
    <row r="2552" spans="2:10">
      <c r="B2552" t="s">
        <v>924</v>
      </c>
      <c r="C2552" t="s">
        <v>925</v>
      </c>
      <c r="D2552" t="s">
        <v>260</v>
      </c>
      <c r="E2552" t="s">
        <v>922</v>
      </c>
      <c r="F2552" t="s">
        <v>313</v>
      </c>
      <c r="G2552" t="s">
        <v>314</v>
      </c>
      <c r="H2552">
        <v>16</v>
      </c>
      <c r="I2552" t="str">
        <f t="shared" si="39"/>
        <v>Hog Barns – Finishing|DPOLE|Cheap</v>
      </c>
      <c r="J2552" t="s">
        <v>923</v>
      </c>
    </row>
    <row r="2553" spans="2:10">
      <c r="B2553" t="s">
        <v>924</v>
      </c>
      <c r="C2553" t="s">
        <v>925</v>
      </c>
      <c r="D2553" t="s">
        <v>260</v>
      </c>
      <c r="E2553" t="s">
        <v>922</v>
      </c>
      <c r="F2553" t="s">
        <v>219</v>
      </c>
      <c r="G2553" t="s">
        <v>44</v>
      </c>
      <c r="H2553">
        <v>33</v>
      </c>
      <c r="I2553" t="str">
        <f t="shared" si="39"/>
        <v>Hog Barns – Finishing|S|Average</v>
      </c>
      <c r="J2553" t="s">
        <v>923</v>
      </c>
    </row>
    <row r="2554" spans="2:10">
      <c r="B2554" t="s">
        <v>924</v>
      </c>
      <c r="C2554" t="s">
        <v>925</v>
      </c>
      <c r="D2554" t="s">
        <v>260</v>
      </c>
      <c r="E2554" t="s">
        <v>922</v>
      </c>
      <c r="F2554" t="s">
        <v>219</v>
      </c>
      <c r="G2554" t="s">
        <v>226</v>
      </c>
      <c r="H2554">
        <v>28.75</v>
      </c>
      <c r="I2554" t="str">
        <f t="shared" si="39"/>
        <v>Hog Barns – Finishing|S|Low Cost</v>
      </c>
      <c r="J2554" t="s">
        <v>923</v>
      </c>
    </row>
    <row r="2555" spans="2:10">
      <c r="B2555" t="s">
        <v>924</v>
      </c>
      <c r="C2555" t="s">
        <v>925</v>
      </c>
      <c r="D2555" t="s">
        <v>260</v>
      </c>
      <c r="E2555" t="s">
        <v>922</v>
      </c>
      <c r="F2555" t="s">
        <v>219</v>
      </c>
      <c r="G2555" t="s">
        <v>314</v>
      </c>
      <c r="H2555">
        <v>18</v>
      </c>
      <c r="I2555" t="str">
        <f t="shared" si="39"/>
        <v>Hog Barns – Finishing|S|Cheap</v>
      </c>
      <c r="J2555" t="s">
        <v>923</v>
      </c>
    </row>
    <row r="2556" spans="2:10">
      <c r="B2556" t="s">
        <v>926</v>
      </c>
      <c r="C2556" t="s">
        <v>927</v>
      </c>
      <c r="D2556" t="s">
        <v>260</v>
      </c>
      <c r="E2556" t="s">
        <v>928</v>
      </c>
      <c r="F2556" t="s">
        <v>209</v>
      </c>
      <c r="G2556" t="s">
        <v>44</v>
      </c>
      <c r="H2556">
        <v>38.75</v>
      </c>
      <c r="I2556" t="str">
        <f t="shared" si="39"/>
        <v>Modified Hog Sheds|C|Average</v>
      </c>
      <c r="J2556" t="s">
        <v>929</v>
      </c>
    </row>
    <row r="2557" spans="2:10">
      <c r="B2557" t="s">
        <v>926</v>
      </c>
      <c r="C2557" t="s">
        <v>927</v>
      </c>
      <c r="D2557" t="s">
        <v>260</v>
      </c>
      <c r="E2557" t="s">
        <v>928</v>
      </c>
      <c r="F2557" t="s">
        <v>209</v>
      </c>
      <c r="G2557" t="s">
        <v>226</v>
      </c>
      <c r="H2557">
        <v>34.25</v>
      </c>
      <c r="I2557" t="str">
        <f t="shared" si="39"/>
        <v>Modified Hog Sheds|C|Low Cost</v>
      </c>
      <c r="J2557" t="s">
        <v>929</v>
      </c>
    </row>
    <row r="2558" spans="2:10">
      <c r="B2558" t="s">
        <v>926</v>
      </c>
      <c r="C2558" t="s">
        <v>927</v>
      </c>
      <c r="D2558" t="s">
        <v>260</v>
      </c>
      <c r="E2558" t="s">
        <v>928</v>
      </c>
      <c r="F2558" t="s">
        <v>214</v>
      </c>
      <c r="G2558" t="s">
        <v>44</v>
      </c>
      <c r="H2558">
        <v>32.25</v>
      </c>
      <c r="I2558" t="str">
        <f t="shared" si="39"/>
        <v>Modified Hog Sheds|D|Average</v>
      </c>
      <c r="J2558" t="s">
        <v>929</v>
      </c>
    </row>
    <row r="2559" spans="2:10">
      <c r="B2559" t="s">
        <v>926</v>
      </c>
      <c r="C2559" t="s">
        <v>927</v>
      </c>
      <c r="D2559" t="s">
        <v>260</v>
      </c>
      <c r="E2559" t="s">
        <v>928</v>
      </c>
      <c r="F2559" t="s">
        <v>214</v>
      </c>
      <c r="G2559" t="s">
        <v>226</v>
      </c>
      <c r="H2559">
        <v>28</v>
      </c>
      <c r="I2559" t="str">
        <f t="shared" si="39"/>
        <v>Modified Hog Sheds|D|Low Cost</v>
      </c>
      <c r="J2559" t="s">
        <v>929</v>
      </c>
    </row>
    <row r="2560" spans="2:10">
      <c r="B2560" t="s">
        <v>926</v>
      </c>
      <c r="C2560" t="s">
        <v>927</v>
      </c>
      <c r="D2560" t="s">
        <v>260</v>
      </c>
      <c r="E2560" t="s">
        <v>928</v>
      </c>
      <c r="F2560" t="s">
        <v>313</v>
      </c>
      <c r="G2560" t="s">
        <v>44</v>
      </c>
      <c r="H2560">
        <v>30.25</v>
      </c>
      <c r="I2560" t="str">
        <f t="shared" si="39"/>
        <v>Modified Hog Sheds|DPOLE|Average</v>
      </c>
      <c r="J2560" t="s">
        <v>929</v>
      </c>
    </row>
    <row r="2561" spans="2:10">
      <c r="B2561" t="s">
        <v>926</v>
      </c>
      <c r="C2561" t="s">
        <v>927</v>
      </c>
      <c r="D2561" t="s">
        <v>260</v>
      </c>
      <c r="E2561" t="s">
        <v>928</v>
      </c>
      <c r="F2561" t="s">
        <v>313</v>
      </c>
      <c r="G2561" t="s">
        <v>226</v>
      </c>
      <c r="H2561">
        <v>27</v>
      </c>
      <c r="I2561" t="str">
        <f t="shared" si="39"/>
        <v>Modified Hog Sheds|DPOLE|Low Cost</v>
      </c>
      <c r="J2561" t="s">
        <v>929</v>
      </c>
    </row>
    <row r="2562" spans="2:10">
      <c r="B2562" t="s">
        <v>926</v>
      </c>
      <c r="C2562" t="s">
        <v>927</v>
      </c>
      <c r="D2562" t="s">
        <v>260</v>
      </c>
      <c r="E2562" t="s">
        <v>928</v>
      </c>
      <c r="F2562" t="s">
        <v>219</v>
      </c>
      <c r="G2562" t="s">
        <v>44</v>
      </c>
      <c r="H2562">
        <v>32.5</v>
      </c>
      <c r="I2562" t="str">
        <f t="shared" si="39"/>
        <v>Modified Hog Sheds|S|Average</v>
      </c>
      <c r="J2562" t="s">
        <v>929</v>
      </c>
    </row>
    <row r="2563" spans="2:10">
      <c r="B2563" t="s">
        <v>926</v>
      </c>
      <c r="C2563" t="s">
        <v>927</v>
      </c>
      <c r="D2563" t="s">
        <v>260</v>
      </c>
      <c r="E2563" t="s">
        <v>928</v>
      </c>
      <c r="F2563" t="s">
        <v>219</v>
      </c>
      <c r="G2563" t="s">
        <v>226</v>
      </c>
      <c r="H2563">
        <v>28.5</v>
      </c>
      <c r="I2563" t="str">
        <f t="shared" si="39"/>
        <v>Modified Hog Sheds|S|Low Cost</v>
      </c>
      <c r="J2563" t="s">
        <v>929</v>
      </c>
    </row>
    <row r="2564" spans="2:10">
      <c r="B2564" t="s">
        <v>930</v>
      </c>
      <c r="C2564" t="s">
        <v>931</v>
      </c>
      <c r="D2564" t="s">
        <v>260</v>
      </c>
      <c r="E2564" t="s">
        <v>928</v>
      </c>
      <c r="F2564" t="s">
        <v>214</v>
      </c>
      <c r="G2564" t="s">
        <v>44</v>
      </c>
      <c r="H2564">
        <v>25.5</v>
      </c>
      <c r="I2564" t="str">
        <f t="shared" si="39"/>
        <v>Hog Sheds|D|Average</v>
      </c>
      <c r="J2564" t="s">
        <v>929</v>
      </c>
    </row>
    <row r="2565" spans="2:10">
      <c r="B2565" t="s">
        <v>930</v>
      </c>
      <c r="C2565" t="s">
        <v>931</v>
      </c>
      <c r="D2565" t="s">
        <v>260</v>
      </c>
      <c r="E2565" t="s">
        <v>928</v>
      </c>
      <c r="F2565" t="s">
        <v>214</v>
      </c>
      <c r="G2565" t="s">
        <v>226</v>
      </c>
      <c r="H2565">
        <v>22</v>
      </c>
      <c r="I2565" t="str">
        <f t="shared" si="39"/>
        <v>Hog Sheds|D|Low Cost</v>
      </c>
      <c r="J2565" t="s">
        <v>929</v>
      </c>
    </row>
    <row r="2566" spans="2:10">
      <c r="B2566" t="s">
        <v>930</v>
      </c>
      <c r="C2566" t="s">
        <v>931</v>
      </c>
      <c r="D2566" t="s">
        <v>260</v>
      </c>
      <c r="E2566" t="s">
        <v>928</v>
      </c>
      <c r="F2566" t="s">
        <v>214</v>
      </c>
      <c r="G2566" t="s">
        <v>314</v>
      </c>
      <c r="H2566">
        <v>16.25</v>
      </c>
      <c r="I2566" t="str">
        <f t="shared" si="39"/>
        <v>Hog Sheds|D|Cheap</v>
      </c>
      <c r="J2566" t="s">
        <v>929</v>
      </c>
    </row>
    <row r="2567" spans="2:10">
      <c r="B2567" t="s">
        <v>930</v>
      </c>
      <c r="C2567" t="s">
        <v>931</v>
      </c>
      <c r="D2567" t="s">
        <v>260</v>
      </c>
      <c r="E2567" t="s">
        <v>928</v>
      </c>
      <c r="F2567" t="s">
        <v>313</v>
      </c>
      <c r="G2567" t="s">
        <v>44</v>
      </c>
      <c r="H2567">
        <v>23.6</v>
      </c>
      <c r="I2567" t="str">
        <f t="shared" si="39"/>
        <v>Hog Sheds|DPOLE|Average</v>
      </c>
      <c r="J2567" t="s">
        <v>929</v>
      </c>
    </row>
    <row r="2568" spans="2:10">
      <c r="B2568" t="s">
        <v>930</v>
      </c>
      <c r="C2568" t="s">
        <v>931</v>
      </c>
      <c r="D2568" t="s">
        <v>260</v>
      </c>
      <c r="E2568" t="s">
        <v>928</v>
      </c>
      <c r="F2568" t="s">
        <v>313</v>
      </c>
      <c r="G2568" t="s">
        <v>226</v>
      </c>
      <c r="H2568">
        <v>20.3</v>
      </c>
      <c r="I2568" t="str">
        <f t="shared" si="39"/>
        <v>Hog Sheds|DPOLE|Low Cost</v>
      </c>
      <c r="J2568" t="s">
        <v>929</v>
      </c>
    </row>
    <row r="2569" spans="2:10">
      <c r="B2569" t="s">
        <v>930</v>
      </c>
      <c r="C2569" t="s">
        <v>931</v>
      </c>
      <c r="D2569" t="s">
        <v>260</v>
      </c>
      <c r="E2569" t="s">
        <v>928</v>
      </c>
      <c r="F2569" t="s">
        <v>313</v>
      </c>
      <c r="G2569" t="s">
        <v>314</v>
      </c>
      <c r="H2569">
        <v>14.75</v>
      </c>
      <c r="I2569" t="str">
        <f t="shared" si="39"/>
        <v>Hog Sheds|DPOLE|Cheap</v>
      </c>
      <c r="J2569" t="s">
        <v>929</v>
      </c>
    </row>
    <row r="2570" spans="2:10">
      <c r="B2570" t="s">
        <v>930</v>
      </c>
      <c r="C2570" t="s">
        <v>931</v>
      </c>
      <c r="D2570" t="s">
        <v>260</v>
      </c>
      <c r="E2570" t="s">
        <v>928</v>
      </c>
      <c r="F2570" t="s">
        <v>837</v>
      </c>
      <c r="G2570" t="s">
        <v>44</v>
      </c>
      <c r="H2570">
        <v>15.25</v>
      </c>
      <c r="I2570" t="str">
        <f t="shared" si="39"/>
        <v>Hog Sheds|DHOOP|Average</v>
      </c>
      <c r="J2570" t="s">
        <v>929</v>
      </c>
    </row>
    <row r="2571" spans="2:10">
      <c r="B2571" t="s">
        <v>930</v>
      </c>
      <c r="C2571" t="s">
        <v>931</v>
      </c>
      <c r="D2571" t="s">
        <v>260</v>
      </c>
      <c r="E2571" t="s">
        <v>928</v>
      </c>
      <c r="F2571" t="s">
        <v>837</v>
      </c>
      <c r="G2571" t="s">
        <v>226</v>
      </c>
      <c r="H2571">
        <v>12.4</v>
      </c>
      <c r="I2571" t="str">
        <f t="shared" si="39"/>
        <v>Hog Sheds|DHOOP|Low Cost</v>
      </c>
      <c r="J2571" t="s">
        <v>929</v>
      </c>
    </row>
    <row r="2572" spans="2:10">
      <c r="B2572" t="s">
        <v>930</v>
      </c>
      <c r="C2572" t="s">
        <v>931</v>
      </c>
      <c r="D2572" t="s">
        <v>260</v>
      </c>
      <c r="E2572" t="s">
        <v>928</v>
      </c>
      <c r="F2572" t="s">
        <v>837</v>
      </c>
      <c r="G2572" t="s">
        <v>314</v>
      </c>
      <c r="H2572">
        <v>11.15</v>
      </c>
      <c r="I2572" t="str">
        <f t="shared" si="39"/>
        <v>Hog Sheds|DHOOP|Cheap</v>
      </c>
      <c r="J2572" t="s">
        <v>929</v>
      </c>
    </row>
    <row r="2573" spans="2:10">
      <c r="B2573" t="s">
        <v>930</v>
      </c>
      <c r="C2573" t="s">
        <v>931</v>
      </c>
      <c r="D2573" t="s">
        <v>260</v>
      </c>
      <c r="E2573" t="s">
        <v>928</v>
      </c>
      <c r="F2573" t="s">
        <v>219</v>
      </c>
      <c r="G2573" t="s">
        <v>44</v>
      </c>
      <c r="H2573">
        <v>25.75</v>
      </c>
      <c r="I2573" t="str">
        <f t="shared" si="39"/>
        <v>Hog Sheds|S|Average</v>
      </c>
      <c r="J2573" t="s">
        <v>929</v>
      </c>
    </row>
    <row r="2574" spans="2:10">
      <c r="B2574" t="s">
        <v>930</v>
      </c>
      <c r="C2574" t="s">
        <v>931</v>
      </c>
      <c r="D2574" t="s">
        <v>260</v>
      </c>
      <c r="E2574" t="s">
        <v>928</v>
      </c>
      <c r="F2574" t="s">
        <v>219</v>
      </c>
      <c r="G2574" t="s">
        <v>226</v>
      </c>
      <c r="H2574">
        <v>22.05</v>
      </c>
      <c r="I2574" t="str">
        <f t="shared" si="39"/>
        <v>Hog Sheds|S|Low Cost</v>
      </c>
      <c r="J2574" t="s">
        <v>929</v>
      </c>
    </row>
    <row r="2575" spans="2:10">
      <c r="B2575" t="s">
        <v>930</v>
      </c>
      <c r="C2575" t="s">
        <v>931</v>
      </c>
      <c r="D2575" t="s">
        <v>260</v>
      </c>
      <c r="E2575" t="s">
        <v>928</v>
      </c>
      <c r="F2575" t="s">
        <v>219</v>
      </c>
      <c r="G2575" t="s">
        <v>314</v>
      </c>
      <c r="H2575">
        <v>16.5</v>
      </c>
      <c r="I2575" t="str">
        <f t="shared" si="39"/>
        <v>Hog Sheds|S|Cheap</v>
      </c>
      <c r="J2575" t="s">
        <v>929</v>
      </c>
    </row>
    <row r="2576" spans="2:10">
      <c r="B2576" t="s">
        <v>930</v>
      </c>
      <c r="C2576" t="s">
        <v>931</v>
      </c>
      <c r="D2576" t="s">
        <v>260</v>
      </c>
      <c r="E2576" t="s">
        <v>928</v>
      </c>
      <c r="F2576" t="s">
        <v>735</v>
      </c>
      <c r="G2576" t="s">
        <v>226</v>
      </c>
      <c r="H2576">
        <v>20.6</v>
      </c>
      <c r="I2576" t="str">
        <f t="shared" si="39"/>
        <v>Hog Sheds|SSLANT|Low Cost</v>
      </c>
      <c r="J2576" t="s">
        <v>929</v>
      </c>
    </row>
    <row r="2577" spans="2:10">
      <c r="B2577" t="s">
        <v>930</v>
      </c>
      <c r="C2577" t="s">
        <v>931</v>
      </c>
      <c r="D2577" t="s">
        <v>260</v>
      </c>
      <c r="E2577" t="s">
        <v>928</v>
      </c>
      <c r="F2577" t="s">
        <v>735</v>
      </c>
      <c r="G2577" t="s">
        <v>314</v>
      </c>
      <c r="H2577">
        <v>15.4</v>
      </c>
      <c r="I2577" t="str">
        <f t="shared" si="39"/>
        <v>Hog Sheds|SSLANT|Cheap</v>
      </c>
      <c r="J2577" t="s">
        <v>929</v>
      </c>
    </row>
    <row r="2578" spans="2:10">
      <c r="B2578" t="s">
        <v>932</v>
      </c>
      <c r="C2578" t="s">
        <v>933</v>
      </c>
      <c r="D2578" t="s">
        <v>260</v>
      </c>
      <c r="E2578" t="s">
        <v>934</v>
      </c>
      <c r="F2578" t="s">
        <v>214</v>
      </c>
      <c r="G2578" t="s">
        <v>229</v>
      </c>
      <c r="H2578">
        <v>42.5</v>
      </c>
      <c r="I2578" t="str">
        <f t="shared" si="39"/>
        <v>Sheep Barns|D|Good</v>
      </c>
      <c r="J2578" t="s">
        <v>935</v>
      </c>
    </row>
    <row r="2579" spans="2:10">
      <c r="B2579" t="s">
        <v>932</v>
      </c>
      <c r="C2579" t="s">
        <v>933</v>
      </c>
      <c r="D2579" t="s">
        <v>260</v>
      </c>
      <c r="E2579" t="s">
        <v>934</v>
      </c>
      <c r="F2579" t="s">
        <v>214</v>
      </c>
      <c r="G2579" t="s">
        <v>44</v>
      </c>
      <c r="H2579">
        <v>33.25</v>
      </c>
      <c r="I2579" t="str">
        <f t="shared" si="39"/>
        <v>Sheep Barns|D|Average</v>
      </c>
      <c r="J2579" t="s">
        <v>935</v>
      </c>
    </row>
    <row r="2580" spans="2:10">
      <c r="B2580" t="s">
        <v>932</v>
      </c>
      <c r="C2580" t="s">
        <v>933</v>
      </c>
      <c r="D2580" t="s">
        <v>260</v>
      </c>
      <c r="E2580" t="s">
        <v>934</v>
      </c>
      <c r="F2580" t="s">
        <v>313</v>
      </c>
      <c r="G2580" t="s">
        <v>229</v>
      </c>
      <c r="H2580">
        <v>37</v>
      </c>
      <c r="I2580" t="str">
        <f t="shared" si="39"/>
        <v>Sheep Barns|DPOLE|Good</v>
      </c>
      <c r="J2580" t="s">
        <v>935</v>
      </c>
    </row>
    <row r="2581" spans="2:10">
      <c r="B2581" t="s">
        <v>932</v>
      </c>
      <c r="C2581" t="s">
        <v>933</v>
      </c>
      <c r="D2581" t="s">
        <v>260</v>
      </c>
      <c r="E2581" t="s">
        <v>934</v>
      </c>
      <c r="F2581" t="s">
        <v>313</v>
      </c>
      <c r="G2581" t="s">
        <v>44</v>
      </c>
      <c r="H2581">
        <v>29</v>
      </c>
      <c r="I2581" t="str">
        <f t="shared" si="39"/>
        <v>Sheep Barns|DPOLE|Average</v>
      </c>
      <c r="J2581" t="s">
        <v>935</v>
      </c>
    </row>
    <row r="2582" spans="2:10">
      <c r="B2582" t="s">
        <v>932</v>
      </c>
      <c r="C2582" t="s">
        <v>933</v>
      </c>
      <c r="D2582" t="s">
        <v>260</v>
      </c>
      <c r="E2582" t="s">
        <v>934</v>
      </c>
      <c r="F2582" t="s">
        <v>219</v>
      </c>
      <c r="G2582" t="s">
        <v>229</v>
      </c>
      <c r="H2582">
        <v>40.25</v>
      </c>
      <c r="I2582" t="str">
        <f t="shared" si="39"/>
        <v>Sheep Barns|S|Good</v>
      </c>
      <c r="J2582" t="s">
        <v>935</v>
      </c>
    </row>
    <row r="2583" spans="2:10">
      <c r="B2583" t="s">
        <v>932</v>
      </c>
      <c r="C2583" t="s">
        <v>933</v>
      </c>
      <c r="D2583" t="s">
        <v>260</v>
      </c>
      <c r="E2583" t="s">
        <v>934</v>
      </c>
      <c r="F2583" t="s">
        <v>219</v>
      </c>
      <c r="G2583" t="s">
        <v>44</v>
      </c>
      <c r="H2583">
        <v>32.5</v>
      </c>
      <c r="I2583" t="str">
        <f t="shared" si="39"/>
        <v>Sheep Barns|S|Average</v>
      </c>
      <c r="J2583" t="s">
        <v>935</v>
      </c>
    </row>
    <row r="2584" spans="2:10">
      <c r="B2584" t="s">
        <v>936</v>
      </c>
      <c r="C2584" t="s">
        <v>937</v>
      </c>
      <c r="D2584" t="s">
        <v>260</v>
      </c>
      <c r="E2584" t="s">
        <v>934</v>
      </c>
      <c r="F2584" t="s">
        <v>214</v>
      </c>
      <c r="G2584" t="s">
        <v>229</v>
      </c>
      <c r="H2584">
        <v>22.9</v>
      </c>
      <c r="I2584" t="str">
        <f t="shared" si="39"/>
        <v>Sheep Sheds|D|Good</v>
      </c>
      <c r="J2584" t="s">
        <v>935</v>
      </c>
    </row>
    <row r="2585" spans="2:10">
      <c r="B2585" t="s">
        <v>936</v>
      </c>
      <c r="C2585" t="s">
        <v>937</v>
      </c>
      <c r="D2585" t="s">
        <v>260</v>
      </c>
      <c r="E2585" t="s">
        <v>934</v>
      </c>
      <c r="F2585" t="s">
        <v>214</v>
      </c>
      <c r="G2585" t="s">
        <v>44</v>
      </c>
      <c r="H2585">
        <v>18.3</v>
      </c>
      <c r="I2585" t="str">
        <f t="shared" si="39"/>
        <v>Sheep Sheds|D|Average</v>
      </c>
      <c r="J2585" t="s">
        <v>935</v>
      </c>
    </row>
    <row r="2586" spans="2:10">
      <c r="B2586" t="s">
        <v>936</v>
      </c>
      <c r="C2586" t="s">
        <v>937</v>
      </c>
      <c r="D2586" t="s">
        <v>260</v>
      </c>
      <c r="E2586" t="s">
        <v>934</v>
      </c>
      <c r="F2586" t="s">
        <v>214</v>
      </c>
      <c r="G2586" t="s">
        <v>226</v>
      </c>
      <c r="H2586">
        <v>14.6</v>
      </c>
      <c r="I2586" t="str">
        <f t="shared" si="39"/>
        <v>Sheep Sheds|D|Low Cost</v>
      </c>
      <c r="J2586" t="s">
        <v>935</v>
      </c>
    </row>
    <row r="2587" spans="2:10">
      <c r="B2587" t="s">
        <v>936</v>
      </c>
      <c r="C2587" t="s">
        <v>937</v>
      </c>
      <c r="D2587" t="s">
        <v>260</v>
      </c>
      <c r="E2587" t="s">
        <v>934</v>
      </c>
      <c r="F2587" t="s">
        <v>214</v>
      </c>
      <c r="G2587" t="s">
        <v>314</v>
      </c>
      <c r="H2587">
        <v>13.1</v>
      </c>
      <c r="I2587" t="str">
        <f t="shared" si="39"/>
        <v>Sheep Sheds|D|Cheap</v>
      </c>
      <c r="J2587" t="s">
        <v>935</v>
      </c>
    </row>
    <row r="2588" spans="2:10">
      <c r="B2588" t="s">
        <v>936</v>
      </c>
      <c r="C2588" t="s">
        <v>937</v>
      </c>
      <c r="D2588" t="s">
        <v>260</v>
      </c>
      <c r="E2588" t="s">
        <v>934</v>
      </c>
      <c r="F2588" t="s">
        <v>313</v>
      </c>
      <c r="G2588" t="s">
        <v>229</v>
      </c>
      <c r="H2588">
        <v>20.85</v>
      </c>
      <c r="I2588" t="str">
        <f t="shared" si="39"/>
        <v>Sheep Sheds|DPOLE|Good</v>
      </c>
      <c r="J2588" t="s">
        <v>935</v>
      </c>
    </row>
    <row r="2589" spans="2:10">
      <c r="B2589" t="s">
        <v>936</v>
      </c>
      <c r="C2589" t="s">
        <v>937</v>
      </c>
      <c r="D2589" t="s">
        <v>260</v>
      </c>
      <c r="E2589" t="s">
        <v>934</v>
      </c>
      <c r="F2589" t="s">
        <v>313</v>
      </c>
      <c r="G2589" t="s">
        <v>44</v>
      </c>
      <c r="H2589">
        <v>16.350000000000001</v>
      </c>
      <c r="I2589" t="str">
        <f t="shared" si="39"/>
        <v>Sheep Sheds|DPOLE|Average</v>
      </c>
      <c r="J2589" t="s">
        <v>935</v>
      </c>
    </row>
    <row r="2590" spans="2:10">
      <c r="B2590" t="s">
        <v>936</v>
      </c>
      <c r="C2590" t="s">
        <v>937</v>
      </c>
      <c r="D2590" t="s">
        <v>260</v>
      </c>
      <c r="E2590" t="s">
        <v>934</v>
      </c>
      <c r="F2590" t="s">
        <v>313</v>
      </c>
      <c r="G2590" t="s">
        <v>226</v>
      </c>
      <c r="H2590">
        <v>12.85</v>
      </c>
      <c r="I2590" t="str">
        <f t="shared" ref="I2590:I2653" si="40">B2590&amp;"|"&amp;F2590&amp;"|"&amp;G2590</f>
        <v>Sheep Sheds|DPOLE|Low Cost</v>
      </c>
      <c r="J2590" t="s">
        <v>935</v>
      </c>
    </row>
    <row r="2591" spans="2:10">
      <c r="B2591" t="s">
        <v>936</v>
      </c>
      <c r="C2591" t="s">
        <v>937</v>
      </c>
      <c r="D2591" t="s">
        <v>260</v>
      </c>
      <c r="E2591" t="s">
        <v>934</v>
      </c>
      <c r="F2591" t="s">
        <v>313</v>
      </c>
      <c r="G2591" t="s">
        <v>314</v>
      </c>
      <c r="H2591">
        <v>11.25</v>
      </c>
      <c r="I2591" t="str">
        <f t="shared" si="40"/>
        <v>Sheep Sheds|DPOLE|Cheap</v>
      </c>
      <c r="J2591" t="s">
        <v>935</v>
      </c>
    </row>
    <row r="2592" spans="2:10">
      <c r="B2592" t="s">
        <v>936</v>
      </c>
      <c r="C2592" t="s">
        <v>937</v>
      </c>
      <c r="D2592" t="s">
        <v>260</v>
      </c>
      <c r="E2592" t="s">
        <v>934</v>
      </c>
      <c r="F2592" t="s">
        <v>837</v>
      </c>
      <c r="G2592" t="s">
        <v>229</v>
      </c>
      <c r="H2592">
        <v>13.35</v>
      </c>
      <c r="I2592" t="str">
        <f t="shared" si="40"/>
        <v>Sheep Sheds|DHOOP|Good</v>
      </c>
      <c r="J2592" t="s">
        <v>935</v>
      </c>
    </row>
    <row r="2593" spans="2:10">
      <c r="B2593" t="s">
        <v>936</v>
      </c>
      <c r="C2593" t="s">
        <v>937</v>
      </c>
      <c r="D2593" t="s">
        <v>260</v>
      </c>
      <c r="E2593" t="s">
        <v>934</v>
      </c>
      <c r="F2593" t="s">
        <v>837</v>
      </c>
      <c r="G2593" t="s">
        <v>226</v>
      </c>
      <c r="H2593">
        <v>8.3800000000000008</v>
      </c>
      <c r="I2593" t="str">
        <f t="shared" si="40"/>
        <v>Sheep Sheds|DHOOP|Low Cost</v>
      </c>
      <c r="J2593" t="s">
        <v>935</v>
      </c>
    </row>
    <row r="2594" spans="2:10">
      <c r="B2594" t="s">
        <v>936</v>
      </c>
      <c r="C2594" t="s">
        <v>937</v>
      </c>
      <c r="D2594" t="s">
        <v>260</v>
      </c>
      <c r="E2594" t="s">
        <v>934</v>
      </c>
      <c r="F2594" t="s">
        <v>219</v>
      </c>
      <c r="G2594" t="s">
        <v>229</v>
      </c>
      <c r="H2594">
        <v>23.05</v>
      </c>
      <c r="I2594" t="str">
        <f t="shared" si="40"/>
        <v>Sheep Sheds|S|Good</v>
      </c>
      <c r="J2594" t="s">
        <v>935</v>
      </c>
    </row>
    <row r="2595" spans="2:10">
      <c r="B2595" t="s">
        <v>936</v>
      </c>
      <c r="C2595" t="s">
        <v>937</v>
      </c>
      <c r="D2595" t="s">
        <v>260</v>
      </c>
      <c r="E2595" t="s">
        <v>934</v>
      </c>
      <c r="F2595" t="s">
        <v>219</v>
      </c>
      <c r="G2595" t="s">
        <v>44</v>
      </c>
      <c r="H2595">
        <v>18.55</v>
      </c>
      <c r="I2595" t="str">
        <f t="shared" si="40"/>
        <v>Sheep Sheds|S|Average</v>
      </c>
      <c r="J2595" t="s">
        <v>935</v>
      </c>
    </row>
    <row r="2596" spans="2:10">
      <c r="B2596" t="s">
        <v>936</v>
      </c>
      <c r="C2596" t="s">
        <v>937</v>
      </c>
      <c r="D2596" t="s">
        <v>260</v>
      </c>
      <c r="E2596" t="s">
        <v>934</v>
      </c>
      <c r="F2596" t="s">
        <v>219</v>
      </c>
      <c r="G2596" t="s">
        <v>226</v>
      </c>
      <c r="H2596">
        <v>14.95</v>
      </c>
      <c r="I2596" t="str">
        <f t="shared" si="40"/>
        <v>Sheep Sheds|S|Low Cost</v>
      </c>
      <c r="J2596" t="s">
        <v>935</v>
      </c>
    </row>
    <row r="2597" spans="2:10">
      <c r="B2597" t="s">
        <v>936</v>
      </c>
      <c r="C2597" t="s">
        <v>937</v>
      </c>
      <c r="D2597" t="s">
        <v>260</v>
      </c>
      <c r="E2597" t="s">
        <v>934</v>
      </c>
      <c r="F2597" t="s">
        <v>219</v>
      </c>
      <c r="G2597" t="s">
        <v>314</v>
      </c>
      <c r="H2597">
        <v>13.6</v>
      </c>
      <c r="I2597" t="str">
        <f t="shared" si="40"/>
        <v>Sheep Sheds|S|Cheap</v>
      </c>
      <c r="J2597" t="s">
        <v>935</v>
      </c>
    </row>
    <row r="2598" spans="2:10">
      <c r="B2598" t="s">
        <v>936</v>
      </c>
      <c r="C2598" t="s">
        <v>937</v>
      </c>
      <c r="D2598" t="s">
        <v>260</v>
      </c>
      <c r="E2598" t="s">
        <v>934</v>
      </c>
      <c r="F2598" t="s">
        <v>735</v>
      </c>
      <c r="G2598" t="s">
        <v>44</v>
      </c>
      <c r="H2598">
        <v>17.3</v>
      </c>
      <c r="I2598" t="str">
        <f t="shared" si="40"/>
        <v>Sheep Sheds|SSLANT|Average</v>
      </c>
      <c r="J2598" t="s">
        <v>935</v>
      </c>
    </row>
    <row r="2599" spans="2:10">
      <c r="B2599" t="s">
        <v>936</v>
      </c>
      <c r="C2599" t="s">
        <v>937</v>
      </c>
      <c r="D2599" t="s">
        <v>260</v>
      </c>
      <c r="E2599" t="s">
        <v>934</v>
      </c>
      <c r="F2599" t="s">
        <v>735</v>
      </c>
      <c r="G2599" t="s">
        <v>226</v>
      </c>
      <c r="H2599">
        <v>13.75</v>
      </c>
      <c r="I2599" t="str">
        <f t="shared" si="40"/>
        <v>Sheep Sheds|SSLANT|Low Cost</v>
      </c>
      <c r="J2599" t="s">
        <v>935</v>
      </c>
    </row>
    <row r="2600" spans="2:10">
      <c r="B2600" t="s">
        <v>938</v>
      </c>
      <c r="C2600" t="s">
        <v>939</v>
      </c>
      <c r="D2600" t="s">
        <v>260</v>
      </c>
      <c r="E2600" t="s">
        <v>940</v>
      </c>
      <c r="F2600" t="s">
        <v>209</v>
      </c>
      <c r="G2600" t="s">
        <v>229</v>
      </c>
      <c r="H2600">
        <v>31</v>
      </c>
      <c r="I2600" t="str">
        <f t="shared" si="40"/>
        <v>Poultry Floor Operation – Breeder Houses|C|Good</v>
      </c>
      <c r="J2600" t="s">
        <v>941</v>
      </c>
    </row>
    <row r="2601" spans="2:10">
      <c r="B2601" t="s">
        <v>938</v>
      </c>
      <c r="C2601" t="s">
        <v>939</v>
      </c>
      <c r="D2601" t="s">
        <v>260</v>
      </c>
      <c r="E2601" t="s">
        <v>940</v>
      </c>
      <c r="F2601" t="s">
        <v>209</v>
      </c>
      <c r="G2601" t="s">
        <v>44</v>
      </c>
      <c r="H2601">
        <v>24.05</v>
      </c>
      <c r="I2601" t="str">
        <f t="shared" si="40"/>
        <v>Poultry Floor Operation – Breeder Houses|C|Average</v>
      </c>
      <c r="J2601" t="s">
        <v>941</v>
      </c>
    </row>
    <row r="2602" spans="2:10">
      <c r="B2602" t="s">
        <v>938</v>
      </c>
      <c r="C2602" t="s">
        <v>939</v>
      </c>
      <c r="D2602" t="s">
        <v>260</v>
      </c>
      <c r="E2602" t="s">
        <v>940</v>
      </c>
      <c r="F2602" t="s">
        <v>214</v>
      </c>
      <c r="G2602" t="s">
        <v>229</v>
      </c>
      <c r="H2602">
        <v>26</v>
      </c>
      <c r="I2602" t="str">
        <f t="shared" si="40"/>
        <v>Poultry Floor Operation – Breeder Houses|D|Good</v>
      </c>
      <c r="J2602" t="s">
        <v>941</v>
      </c>
    </row>
    <row r="2603" spans="2:10">
      <c r="B2603" t="s">
        <v>938</v>
      </c>
      <c r="C2603" t="s">
        <v>939</v>
      </c>
      <c r="D2603" t="s">
        <v>260</v>
      </c>
      <c r="E2603" t="s">
        <v>940</v>
      </c>
      <c r="F2603" t="s">
        <v>214</v>
      </c>
      <c r="G2603" t="s">
        <v>44</v>
      </c>
      <c r="H2603">
        <v>19.649999999999999</v>
      </c>
      <c r="I2603" t="str">
        <f t="shared" si="40"/>
        <v>Poultry Floor Operation – Breeder Houses|D|Average</v>
      </c>
      <c r="J2603" t="s">
        <v>941</v>
      </c>
    </row>
    <row r="2604" spans="2:10">
      <c r="B2604" t="s">
        <v>938</v>
      </c>
      <c r="C2604" t="s">
        <v>939</v>
      </c>
      <c r="D2604" t="s">
        <v>260</v>
      </c>
      <c r="E2604" t="s">
        <v>940</v>
      </c>
      <c r="F2604" t="s">
        <v>313</v>
      </c>
      <c r="G2604" t="s">
        <v>229</v>
      </c>
      <c r="H2604">
        <v>20.95</v>
      </c>
      <c r="I2604" t="str">
        <f t="shared" si="40"/>
        <v>Poultry Floor Operation – Breeder Houses|DPOLE|Good</v>
      </c>
      <c r="J2604" t="s">
        <v>941</v>
      </c>
    </row>
    <row r="2605" spans="2:10">
      <c r="B2605" t="s">
        <v>938</v>
      </c>
      <c r="C2605" t="s">
        <v>939</v>
      </c>
      <c r="D2605" t="s">
        <v>260</v>
      </c>
      <c r="E2605" t="s">
        <v>940</v>
      </c>
      <c r="F2605" t="s">
        <v>313</v>
      </c>
      <c r="G2605" t="s">
        <v>44</v>
      </c>
      <c r="H2605">
        <v>17.8</v>
      </c>
      <c r="I2605" t="str">
        <f t="shared" si="40"/>
        <v>Poultry Floor Operation – Breeder Houses|DPOLE|Average</v>
      </c>
      <c r="J2605" t="s">
        <v>941</v>
      </c>
    </row>
    <row r="2606" spans="2:10">
      <c r="B2606" t="s">
        <v>938</v>
      </c>
      <c r="C2606" t="s">
        <v>939</v>
      </c>
      <c r="D2606" t="s">
        <v>260</v>
      </c>
      <c r="E2606" t="s">
        <v>940</v>
      </c>
      <c r="F2606" t="s">
        <v>313</v>
      </c>
      <c r="G2606" t="s">
        <v>302</v>
      </c>
      <c r="H2606">
        <v>16.399999999999999</v>
      </c>
      <c r="I2606" t="str">
        <f t="shared" si="40"/>
        <v>Poultry Floor Operation – Breeder Houses|DPOLE|Fair</v>
      </c>
      <c r="J2606" t="s">
        <v>941</v>
      </c>
    </row>
    <row r="2607" spans="2:10">
      <c r="B2607" t="s">
        <v>938</v>
      </c>
      <c r="C2607" t="s">
        <v>939</v>
      </c>
      <c r="D2607" t="s">
        <v>260</v>
      </c>
      <c r="E2607" t="s">
        <v>940</v>
      </c>
      <c r="F2607" t="s">
        <v>313</v>
      </c>
      <c r="G2607" t="s">
        <v>226</v>
      </c>
      <c r="H2607">
        <v>15.15</v>
      </c>
      <c r="I2607" t="str">
        <f t="shared" si="40"/>
        <v>Poultry Floor Operation – Breeder Houses|DPOLE|Low Cost</v>
      </c>
      <c r="J2607" t="s">
        <v>941</v>
      </c>
    </row>
    <row r="2608" spans="2:10">
      <c r="B2608" t="s">
        <v>938</v>
      </c>
      <c r="C2608" t="s">
        <v>939</v>
      </c>
      <c r="D2608" t="s">
        <v>260</v>
      </c>
      <c r="E2608" t="s">
        <v>940</v>
      </c>
      <c r="F2608" t="s">
        <v>313</v>
      </c>
      <c r="G2608" t="s">
        <v>314</v>
      </c>
      <c r="H2608">
        <v>10.1</v>
      </c>
      <c r="I2608" t="str">
        <f t="shared" si="40"/>
        <v>Poultry Floor Operation – Breeder Houses|DPOLE|Cheap</v>
      </c>
      <c r="J2608" t="s">
        <v>941</v>
      </c>
    </row>
    <row r="2609" spans="2:10">
      <c r="B2609" t="s">
        <v>938</v>
      </c>
      <c r="C2609" t="s">
        <v>939</v>
      </c>
      <c r="D2609" t="s">
        <v>260</v>
      </c>
      <c r="E2609" t="s">
        <v>940</v>
      </c>
      <c r="F2609" t="s">
        <v>219</v>
      </c>
      <c r="G2609" t="s">
        <v>229</v>
      </c>
      <c r="H2609">
        <v>22.6</v>
      </c>
      <c r="I2609" t="str">
        <f t="shared" si="40"/>
        <v>Poultry Floor Operation – Breeder Houses|S|Good</v>
      </c>
      <c r="J2609" t="s">
        <v>941</v>
      </c>
    </row>
    <row r="2610" spans="2:10">
      <c r="B2610" t="s">
        <v>938</v>
      </c>
      <c r="C2610" t="s">
        <v>939</v>
      </c>
      <c r="D2610" t="s">
        <v>260</v>
      </c>
      <c r="E2610" t="s">
        <v>940</v>
      </c>
      <c r="F2610" t="s">
        <v>219</v>
      </c>
      <c r="G2610" t="s">
        <v>44</v>
      </c>
      <c r="H2610">
        <v>19.55</v>
      </c>
      <c r="I2610" t="str">
        <f t="shared" si="40"/>
        <v>Poultry Floor Operation – Breeder Houses|S|Average</v>
      </c>
      <c r="J2610" t="s">
        <v>941</v>
      </c>
    </row>
    <row r="2611" spans="2:10">
      <c r="B2611" t="s">
        <v>938</v>
      </c>
      <c r="C2611" t="s">
        <v>939</v>
      </c>
      <c r="D2611" t="s">
        <v>260</v>
      </c>
      <c r="E2611" t="s">
        <v>940</v>
      </c>
      <c r="F2611" t="s">
        <v>219</v>
      </c>
      <c r="G2611" t="s">
        <v>302</v>
      </c>
      <c r="H2611">
        <v>18.25</v>
      </c>
      <c r="I2611" t="str">
        <f t="shared" si="40"/>
        <v>Poultry Floor Operation – Breeder Houses|S|Fair</v>
      </c>
      <c r="J2611" t="s">
        <v>941</v>
      </c>
    </row>
    <row r="2612" spans="2:10">
      <c r="B2612" t="s">
        <v>938</v>
      </c>
      <c r="C2612" t="s">
        <v>939</v>
      </c>
      <c r="D2612" t="s">
        <v>260</v>
      </c>
      <c r="E2612" t="s">
        <v>940</v>
      </c>
      <c r="F2612" t="s">
        <v>219</v>
      </c>
      <c r="G2612" t="s">
        <v>226</v>
      </c>
      <c r="H2612">
        <v>16.95</v>
      </c>
      <c r="I2612" t="str">
        <f t="shared" si="40"/>
        <v>Poultry Floor Operation – Breeder Houses|S|Low Cost</v>
      </c>
      <c r="J2612" t="s">
        <v>941</v>
      </c>
    </row>
    <row r="2613" spans="2:10">
      <c r="B2613" t="s">
        <v>938</v>
      </c>
      <c r="C2613" t="s">
        <v>939</v>
      </c>
      <c r="D2613" t="s">
        <v>260</v>
      </c>
      <c r="E2613" t="s">
        <v>940</v>
      </c>
      <c r="F2613" t="s">
        <v>219</v>
      </c>
      <c r="G2613" t="s">
        <v>314</v>
      </c>
      <c r="H2613">
        <v>10.8</v>
      </c>
      <c r="I2613" t="str">
        <f t="shared" si="40"/>
        <v>Poultry Floor Operation – Breeder Houses|S|Cheap</v>
      </c>
      <c r="J2613" t="s">
        <v>941</v>
      </c>
    </row>
    <row r="2614" spans="2:10">
      <c r="B2614" t="s">
        <v>942</v>
      </c>
      <c r="C2614" t="s">
        <v>943</v>
      </c>
      <c r="D2614" t="s">
        <v>260</v>
      </c>
      <c r="E2614" t="s">
        <v>940</v>
      </c>
      <c r="F2614" t="s">
        <v>313</v>
      </c>
      <c r="G2614" t="s">
        <v>229</v>
      </c>
      <c r="H2614">
        <v>19.25</v>
      </c>
      <c r="I2614" t="str">
        <f t="shared" si="40"/>
        <v>Poultry Floor Operation – Broiler Houses|DPOLE|Good</v>
      </c>
      <c r="J2614" t="s">
        <v>941</v>
      </c>
    </row>
    <row r="2615" spans="2:10">
      <c r="B2615" t="s">
        <v>942</v>
      </c>
      <c r="C2615" t="s">
        <v>943</v>
      </c>
      <c r="D2615" t="s">
        <v>260</v>
      </c>
      <c r="E2615" t="s">
        <v>940</v>
      </c>
      <c r="F2615" t="s">
        <v>313</v>
      </c>
      <c r="G2615" t="s">
        <v>44</v>
      </c>
      <c r="H2615">
        <v>16.100000000000001</v>
      </c>
      <c r="I2615" t="str">
        <f t="shared" si="40"/>
        <v>Poultry Floor Operation – Broiler Houses|DPOLE|Average</v>
      </c>
      <c r="J2615" t="s">
        <v>941</v>
      </c>
    </row>
    <row r="2616" spans="2:10">
      <c r="B2616" t="s">
        <v>942</v>
      </c>
      <c r="C2616" t="s">
        <v>943</v>
      </c>
      <c r="D2616" t="s">
        <v>260</v>
      </c>
      <c r="E2616" t="s">
        <v>940</v>
      </c>
      <c r="F2616" t="s">
        <v>313</v>
      </c>
      <c r="G2616" t="s">
        <v>302</v>
      </c>
      <c r="H2616">
        <v>14.7</v>
      </c>
      <c r="I2616" t="str">
        <f t="shared" si="40"/>
        <v>Poultry Floor Operation – Broiler Houses|DPOLE|Fair</v>
      </c>
      <c r="J2616" t="s">
        <v>941</v>
      </c>
    </row>
    <row r="2617" spans="2:10">
      <c r="B2617" t="s">
        <v>942</v>
      </c>
      <c r="C2617" t="s">
        <v>943</v>
      </c>
      <c r="D2617" t="s">
        <v>260</v>
      </c>
      <c r="E2617" t="s">
        <v>940</v>
      </c>
      <c r="F2617" t="s">
        <v>313</v>
      </c>
      <c r="G2617" t="s">
        <v>226</v>
      </c>
      <c r="H2617">
        <v>13.45</v>
      </c>
      <c r="I2617" t="str">
        <f t="shared" si="40"/>
        <v>Poultry Floor Operation – Broiler Houses|DPOLE|Low Cost</v>
      </c>
      <c r="J2617" t="s">
        <v>941</v>
      </c>
    </row>
    <row r="2618" spans="2:10">
      <c r="B2618" t="s">
        <v>942</v>
      </c>
      <c r="C2618" t="s">
        <v>943</v>
      </c>
      <c r="D2618" t="s">
        <v>260</v>
      </c>
      <c r="E2618" t="s">
        <v>940</v>
      </c>
      <c r="F2618" t="s">
        <v>313</v>
      </c>
      <c r="G2618" t="s">
        <v>314</v>
      </c>
      <c r="H2618">
        <v>8.4700000000000006</v>
      </c>
      <c r="I2618" t="str">
        <f t="shared" si="40"/>
        <v>Poultry Floor Operation – Broiler Houses|DPOLE|Cheap</v>
      </c>
      <c r="J2618" t="s">
        <v>941</v>
      </c>
    </row>
    <row r="2619" spans="2:10">
      <c r="B2619" t="s">
        <v>942</v>
      </c>
      <c r="C2619" t="s">
        <v>943</v>
      </c>
      <c r="D2619" t="s">
        <v>260</v>
      </c>
      <c r="E2619" t="s">
        <v>940</v>
      </c>
      <c r="F2619" t="s">
        <v>219</v>
      </c>
      <c r="G2619" t="s">
        <v>229</v>
      </c>
      <c r="H2619">
        <v>20.9</v>
      </c>
      <c r="I2619" t="str">
        <f t="shared" si="40"/>
        <v>Poultry Floor Operation – Broiler Houses|S|Good</v>
      </c>
      <c r="J2619" t="s">
        <v>941</v>
      </c>
    </row>
    <row r="2620" spans="2:10">
      <c r="B2620" t="s">
        <v>942</v>
      </c>
      <c r="C2620" t="s">
        <v>943</v>
      </c>
      <c r="D2620" t="s">
        <v>260</v>
      </c>
      <c r="E2620" t="s">
        <v>940</v>
      </c>
      <c r="F2620" t="s">
        <v>219</v>
      </c>
      <c r="G2620" t="s">
        <v>44</v>
      </c>
      <c r="H2620">
        <v>17.8</v>
      </c>
      <c r="I2620" t="str">
        <f t="shared" si="40"/>
        <v>Poultry Floor Operation – Broiler Houses|S|Average</v>
      </c>
      <c r="J2620" t="s">
        <v>941</v>
      </c>
    </row>
    <row r="2621" spans="2:10">
      <c r="B2621" t="s">
        <v>942</v>
      </c>
      <c r="C2621" t="s">
        <v>943</v>
      </c>
      <c r="D2621" t="s">
        <v>260</v>
      </c>
      <c r="E2621" t="s">
        <v>940</v>
      </c>
      <c r="F2621" t="s">
        <v>219</v>
      </c>
      <c r="G2621" t="s">
        <v>302</v>
      </c>
      <c r="H2621">
        <v>16.5</v>
      </c>
      <c r="I2621" t="str">
        <f t="shared" si="40"/>
        <v>Poultry Floor Operation – Broiler Houses|S|Fair</v>
      </c>
      <c r="J2621" t="s">
        <v>941</v>
      </c>
    </row>
    <row r="2622" spans="2:10">
      <c r="B2622" t="s">
        <v>942</v>
      </c>
      <c r="C2622" t="s">
        <v>943</v>
      </c>
      <c r="D2622" t="s">
        <v>260</v>
      </c>
      <c r="E2622" t="s">
        <v>940</v>
      </c>
      <c r="F2622" t="s">
        <v>219</v>
      </c>
      <c r="G2622" t="s">
        <v>226</v>
      </c>
      <c r="H2622">
        <v>15.2</v>
      </c>
      <c r="I2622" t="str">
        <f t="shared" si="40"/>
        <v>Poultry Floor Operation – Broiler Houses|S|Low Cost</v>
      </c>
      <c r="J2622" t="s">
        <v>941</v>
      </c>
    </row>
    <row r="2623" spans="2:10">
      <c r="B2623" t="s">
        <v>944</v>
      </c>
      <c r="C2623" t="s">
        <v>945</v>
      </c>
      <c r="D2623" t="s">
        <v>260</v>
      </c>
      <c r="E2623" t="s">
        <v>946</v>
      </c>
      <c r="F2623" t="s">
        <v>209</v>
      </c>
      <c r="G2623" t="s">
        <v>229</v>
      </c>
      <c r="H2623">
        <v>50.5</v>
      </c>
      <c r="I2623" t="str">
        <f t="shared" si="40"/>
        <v>Poultry Cage Operation – Enclosed Houses|C|Good</v>
      </c>
      <c r="J2623" t="s">
        <v>947</v>
      </c>
    </row>
    <row r="2624" spans="2:10">
      <c r="B2624" t="s">
        <v>944</v>
      </c>
      <c r="C2624" t="s">
        <v>945</v>
      </c>
      <c r="D2624" t="s">
        <v>260</v>
      </c>
      <c r="E2624" t="s">
        <v>946</v>
      </c>
      <c r="F2624" t="s">
        <v>209</v>
      </c>
      <c r="G2624" t="s">
        <v>44</v>
      </c>
      <c r="H2624">
        <v>36.5</v>
      </c>
      <c r="I2624" t="str">
        <f t="shared" si="40"/>
        <v>Poultry Cage Operation – Enclosed Houses|C|Average</v>
      </c>
      <c r="J2624" t="s">
        <v>947</v>
      </c>
    </row>
    <row r="2625" spans="2:10">
      <c r="B2625" t="s">
        <v>944</v>
      </c>
      <c r="C2625" t="s">
        <v>945</v>
      </c>
      <c r="D2625" t="s">
        <v>260</v>
      </c>
      <c r="E2625" t="s">
        <v>946</v>
      </c>
      <c r="F2625" t="s">
        <v>209</v>
      </c>
      <c r="G2625" t="s">
        <v>226</v>
      </c>
      <c r="H2625">
        <v>26.5</v>
      </c>
      <c r="I2625" t="str">
        <f t="shared" si="40"/>
        <v>Poultry Cage Operation – Enclosed Houses|C|Low Cost</v>
      </c>
      <c r="J2625" t="s">
        <v>947</v>
      </c>
    </row>
    <row r="2626" spans="2:10">
      <c r="B2626" t="s">
        <v>944</v>
      </c>
      <c r="C2626" t="s">
        <v>945</v>
      </c>
      <c r="D2626" t="s">
        <v>260</v>
      </c>
      <c r="E2626" t="s">
        <v>946</v>
      </c>
      <c r="F2626" t="s">
        <v>214</v>
      </c>
      <c r="G2626" t="s">
        <v>229</v>
      </c>
      <c r="H2626">
        <v>44</v>
      </c>
      <c r="I2626" t="str">
        <f t="shared" si="40"/>
        <v>Poultry Cage Operation – Enclosed Houses|D|Good</v>
      </c>
      <c r="J2626" t="s">
        <v>947</v>
      </c>
    </row>
    <row r="2627" spans="2:10">
      <c r="B2627" t="s">
        <v>944</v>
      </c>
      <c r="C2627" t="s">
        <v>945</v>
      </c>
      <c r="D2627" t="s">
        <v>260</v>
      </c>
      <c r="E2627" t="s">
        <v>946</v>
      </c>
      <c r="F2627" t="s">
        <v>214</v>
      </c>
      <c r="G2627" t="s">
        <v>44</v>
      </c>
      <c r="H2627">
        <v>30.75</v>
      </c>
      <c r="I2627" t="str">
        <f t="shared" si="40"/>
        <v>Poultry Cage Operation – Enclosed Houses|D|Average</v>
      </c>
      <c r="J2627" t="s">
        <v>947</v>
      </c>
    </row>
    <row r="2628" spans="2:10">
      <c r="B2628" t="s">
        <v>944</v>
      </c>
      <c r="C2628" t="s">
        <v>945</v>
      </c>
      <c r="D2628" t="s">
        <v>260</v>
      </c>
      <c r="E2628" t="s">
        <v>946</v>
      </c>
      <c r="F2628" t="s">
        <v>214</v>
      </c>
      <c r="G2628" t="s">
        <v>226</v>
      </c>
      <c r="H2628">
        <v>21.6</v>
      </c>
      <c r="I2628" t="str">
        <f t="shared" si="40"/>
        <v>Poultry Cage Operation – Enclosed Houses|D|Low Cost</v>
      </c>
      <c r="J2628" t="s">
        <v>947</v>
      </c>
    </row>
    <row r="2629" spans="2:10">
      <c r="B2629" t="s">
        <v>944</v>
      </c>
      <c r="C2629" t="s">
        <v>945</v>
      </c>
      <c r="D2629" t="s">
        <v>260</v>
      </c>
      <c r="E2629" t="s">
        <v>946</v>
      </c>
      <c r="F2629" t="s">
        <v>313</v>
      </c>
      <c r="G2629" t="s">
        <v>229</v>
      </c>
      <c r="H2629">
        <v>40.75</v>
      </c>
      <c r="I2629" t="str">
        <f t="shared" si="40"/>
        <v>Poultry Cage Operation – Enclosed Houses|DPOLE|Good</v>
      </c>
      <c r="J2629" t="s">
        <v>947</v>
      </c>
    </row>
    <row r="2630" spans="2:10">
      <c r="B2630" t="s">
        <v>944</v>
      </c>
      <c r="C2630" t="s">
        <v>945</v>
      </c>
      <c r="D2630" t="s">
        <v>260</v>
      </c>
      <c r="E2630" t="s">
        <v>946</v>
      </c>
      <c r="F2630" t="s">
        <v>313</v>
      </c>
      <c r="G2630" t="s">
        <v>44</v>
      </c>
      <c r="H2630">
        <v>28.25</v>
      </c>
      <c r="I2630" t="str">
        <f t="shared" si="40"/>
        <v>Poultry Cage Operation – Enclosed Houses|DPOLE|Average</v>
      </c>
      <c r="J2630" t="s">
        <v>947</v>
      </c>
    </row>
    <row r="2631" spans="2:10">
      <c r="B2631" t="s">
        <v>944</v>
      </c>
      <c r="C2631" t="s">
        <v>945</v>
      </c>
      <c r="D2631" t="s">
        <v>260</v>
      </c>
      <c r="E2631" t="s">
        <v>946</v>
      </c>
      <c r="F2631" t="s">
        <v>313</v>
      </c>
      <c r="G2631" t="s">
        <v>226</v>
      </c>
      <c r="H2631">
        <v>19.45</v>
      </c>
      <c r="I2631" t="str">
        <f t="shared" si="40"/>
        <v>Poultry Cage Operation – Enclosed Houses|DPOLE|Low Cost</v>
      </c>
      <c r="J2631" t="s">
        <v>947</v>
      </c>
    </row>
    <row r="2632" spans="2:10">
      <c r="B2632" t="s">
        <v>944</v>
      </c>
      <c r="C2632" t="s">
        <v>945</v>
      </c>
      <c r="D2632" t="s">
        <v>260</v>
      </c>
      <c r="E2632" t="s">
        <v>946</v>
      </c>
      <c r="F2632" t="s">
        <v>313</v>
      </c>
      <c r="G2632" t="s">
        <v>314</v>
      </c>
      <c r="H2632">
        <v>15.95</v>
      </c>
      <c r="I2632" t="str">
        <f t="shared" si="40"/>
        <v>Poultry Cage Operation – Enclosed Houses|DPOLE|Cheap</v>
      </c>
      <c r="J2632" t="s">
        <v>947</v>
      </c>
    </row>
    <row r="2633" spans="2:10">
      <c r="B2633" t="s">
        <v>944</v>
      </c>
      <c r="C2633" t="s">
        <v>945</v>
      </c>
      <c r="D2633" t="s">
        <v>260</v>
      </c>
      <c r="E2633" t="s">
        <v>946</v>
      </c>
      <c r="F2633" t="s">
        <v>219</v>
      </c>
      <c r="G2633" t="s">
        <v>229</v>
      </c>
      <c r="H2633">
        <v>43.5</v>
      </c>
      <c r="I2633" t="str">
        <f t="shared" si="40"/>
        <v>Poultry Cage Operation – Enclosed Houses|S|Good</v>
      </c>
      <c r="J2633" t="s">
        <v>947</v>
      </c>
    </row>
    <row r="2634" spans="2:10">
      <c r="B2634" t="s">
        <v>944</v>
      </c>
      <c r="C2634" t="s">
        <v>945</v>
      </c>
      <c r="D2634" t="s">
        <v>260</v>
      </c>
      <c r="E2634" t="s">
        <v>946</v>
      </c>
      <c r="F2634" t="s">
        <v>219</v>
      </c>
      <c r="G2634" t="s">
        <v>44</v>
      </c>
      <c r="H2634">
        <v>30.5</v>
      </c>
      <c r="I2634" t="str">
        <f t="shared" si="40"/>
        <v>Poultry Cage Operation – Enclosed Houses|S|Average</v>
      </c>
      <c r="J2634" t="s">
        <v>947</v>
      </c>
    </row>
    <row r="2635" spans="2:10">
      <c r="B2635" t="s">
        <v>944</v>
      </c>
      <c r="C2635" t="s">
        <v>945</v>
      </c>
      <c r="D2635" t="s">
        <v>260</v>
      </c>
      <c r="E2635" t="s">
        <v>946</v>
      </c>
      <c r="F2635" t="s">
        <v>219</v>
      </c>
      <c r="G2635" t="s">
        <v>226</v>
      </c>
      <c r="H2635">
        <v>21.3</v>
      </c>
      <c r="I2635" t="str">
        <f t="shared" si="40"/>
        <v>Poultry Cage Operation – Enclosed Houses|S|Low Cost</v>
      </c>
      <c r="J2635" t="s">
        <v>947</v>
      </c>
    </row>
    <row r="2636" spans="2:10">
      <c r="B2636" t="s">
        <v>944</v>
      </c>
      <c r="C2636" t="s">
        <v>945</v>
      </c>
      <c r="D2636" t="s">
        <v>260</v>
      </c>
      <c r="E2636" t="s">
        <v>946</v>
      </c>
      <c r="F2636" t="s">
        <v>219</v>
      </c>
      <c r="G2636" t="s">
        <v>314</v>
      </c>
      <c r="H2636">
        <v>17.8</v>
      </c>
      <c r="I2636" t="str">
        <f t="shared" si="40"/>
        <v>Poultry Cage Operation – Enclosed Houses|S|Cheap</v>
      </c>
      <c r="J2636" t="s">
        <v>947</v>
      </c>
    </row>
    <row r="2637" spans="2:10">
      <c r="B2637" t="s">
        <v>948</v>
      </c>
      <c r="C2637" t="s">
        <v>949</v>
      </c>
      <c r="D2637" t="s">
        <v>260</v>
      </c>
      <c r="E2637" t="s">
        <v>946</v>
      </c>
      <c r="F2637" t="s">
        <v>313</v>
      </c>
      <c r="G2637" t="s">
        <v>44</v>
      </c>
      <c r="H2637">
        <v>20.05</v>
      </c>
      <c r="I2637" t="str">
        <f t="shared" si="40"/>
        <v>Poultry Cage Operation – Screened Houses|DPOLE|Average</v>
      </c>
      <c r="J2637" t="s">
        <v>947</v>
      </c>
    </row>
    <row r="2638" spans="2:10">
      <c r="B2638" t="s">
        <v>948</v>
      </c>
      <c r="C2638" t="s">
        <v>949</v>
      </c>
      <c r="D2638" t="s">
        <v>260</v>
      </c>
      <c r="E2638" t="s">
        <v>946</v>
      </c>
      <c r="F2638" t="s">
        <v>313</v>
      </c>
      <c r="G2638" t="s">
        <v>302</v>
      </c>
      <c r="H2638">
        <v>18.399999999999999</v>
      </c>
      <c r="I2638" t="str">
        <f t="shared" si="40"/>
        <v>Poultry Cage Operation – Screened Houses|DPOLE|Fair</v>
      </c>
      <c r="J2638" t="s">
        <v>947</v>
      </c>
    </row>
    <row r="2639" spans="2:10">
      <c r="B2639" t="s">
        <v>948</v>
      </c>
      <c r="C2639" t="s">
        <v>949</v>
      </c>
      <c r="D2639" t="s">
        <v>260</v>
      </c>
      <c r="E2639" t="s">
        <v>946</v>
      </c>
      <c r="F2639" t="s">
        <v>313</v>
      </c>
      <c r="G2639" t="s">
        <v>226</v>
      </c>
      <c r="H2639">
        <v>16.899999999999999</v>
      </c>
      <c r="I2639" t="str">
        <f t="shared" si="40"/>
        <v>Poultry Cage Operation – Screened Houses|DPOLE|Low Cost</v>
      </c>
      <c r="J2639" t="s">
        <v>947</v>
      </c>
    </row>
    <row r="2640" spans="2:10">
      <c r="B2640" t="s">
        <v>948</v>
      </c>
      <c r="C2640" t="s">
        <v>949</v>
      </c>
      <c r="D2640" t="s">
        <v>260</v>
      </c>
      <c r="E2640" t="s">
        <v>946</v>
      </c>
      <c r="F2640" t="s">
        <v>313</v>
      </c>
      <c r="G2640" t="s">
        <v>314</v>
      </c>
      <c r="H2640">
        <v>11.1</v>
      </c>
      <c r="I2640" t="str">
        <f t="shared" si="40"/>
        <v>Poultry Cage Operation – Screened Houses|DPOLE|Cheap</v>
      </c>
      <c r="J2640" t="s">
        <v>947</v>
      </c>
    </row>
    <row r="2641" spans="2:10">
      <c r="B2641" t="s">
        <v>948</v>
      </c>
      <c r="C2641" t="s">
        <v>949</v>
      </c>
      <c r="D2641" t="s">
        <v>260</v>
      </c>
      <c r="E2641" t="s">
        <v>946</v>
      </c>
      <c r="F2641" t="s">
        <v>219</v>
      </c>
      <c r="G2641" t="s">
        <v>44</v>
      </c>
      <c r="H2641">
        <v>21.85</v>
      </c>
      <c r="I2641" t="str">
        <f t="shared" si="40"/>
        <v>Poultry Cage Operation – Screened Houses|S|Average</v>
      </c>
      <c r="J2641" t="s">
        <v>947</v>
      </c>
    </row>
    <row r="2642" spans="2:10">
      <c r="B2642" t="s">
        <v>948</v>
      </c>
      <c r="C2642" t="s">
        <v>949</v>
      </c>
      <c r="D2642" t="s">
        <v>260</v>
      </c>
      <c r="E2642" t="s">
        <v>946</v>
      </c>
      <c r="F2642" t="s">
        <v>219</v>
      </c>
      <c r="G2642" t="s">
        <v>302</v>
      </c>
      <c r="H2642">
        <v>20.2</v>
      </c>
      <c r="I2642" t="str">
        <f t="shared" si="40"/>
        <v>Poultry Cage Operation – Screened Houses|S|Fair</v>
      </c>
      <c r="J2642" t="s">
        <v>947</v>
      </c>
    </row>
    <row r="2643" spans="2:10">
      <c r="B2643" t="s">
        <v>948</v>
      </c>
      <c r="C2643" t="s">
        <v>949</v>
      </c>
      <c r="D2643" t="s">
        <v>260</v>
      </c>
      <c r="E2643" t="s">
        <v>946</v>
      </c>
      <c r="F2643" t="s">
        <v>219</v>
      </c>
      <c r="G2643" t="s">
        <v>226</v>
      </c>
      <c r="H2643">
        <v>18.75</v>
      </c>
      <c r="I2643" t="str">
        <f t="shared" si="40"/>
        <v>Poultry Cage Operation – Screened Houses|S|Low Cost</v>
      </c>
      <c r="J2643" t="s">
        <v>947</v>
      </c>
    </row>
    <row r="2644" spans="2:10">
      <c r="B2644" t="s">
        <v>948</v>
      </c>
      <c r="C2644" t="s">
        <v>949</v>
      </c>
      <c r="D2644" t="s">
        <v>260</v>
      </c>
      <c r="E2644" t="s">
        <v>946</v>
      </c>
      <c r="F2644" t="s">
        <v>219</v>
      </c>
      <c r="G2644" t="s">
        <v>314</v>
      </c>
      <c r="H2644">
        <v>11.8</v>
      </c>
      <c r="I2644" t="str">
        <f t="shared" si="40"/>
        <v>Poultry Cage Operation – Screened Houses|S|Cheap</v>
      </c>
      <c r="J2644" t="s">
        <v>947</v>
      </c>
    </row>
    <row r="2645" spans="2:10">
      <c r="B2645" t="s">
        <v>950</v>
      </c>
      <c r="C2645" t="s">
        <v>951</v>
      </c>
      <c r="D2645" t="s">
        <v>260</v>
      </c>
      <c r="E2645" t="s">
        <v>952</v>
      </c>
      <c r="F2645" t="s">
        <v>209</v>
      </c>
      <c r="G2645" t="s">
        <v>229</v>
      </c>
      <c r="H2645">
        <v>70.5</v>
      </c>
      <c r="I2645" t="str">
        <f t="shared" si="40"/>
        <v>Farm Labor Housing – Dormitories|C|Good</v>
      </c>
      <c r="J2645" t="s">
        <v>953</v>
      </c>
    </row>
    <row r="2646" spans="2:10">
      <c r="B2646" t="s">
        <v>950</v>
      </c>
      <c r="C2646" t="s">
        <v>951</v>
      </c>
      <c r="D2646" t="s">
        <v>260</v>
      </c>
      <c r="E2646" t="s">
        <v>952</v>
      </c>
      <c r="F2646" t="s">
        <v>209</v>
      </c>
      <c r="G2646" t="s">
        <v>44</v>
      </c>
      <c r="H2646">
        <v>55</v>
      </c>
      <c r="I2646" t="str">
        <f t="shared" si="40"/>
        <v>Farm Labor Housing – Dormitories|C|Average</v>
      </c>
      <c r="J2646" t="s">
        <v>953</v>
      </c>
    </row>
    <row r="2647" spans="2:10">
      <c r="B2647" t="s">
        <v>950</v>
      </c>
      <c r="C2647" t="s">
        <v>951</v>
      </c>
      <c r="D2647" t="s">
        <v>260</v>
      </c>
      <c r="E2647" t="s">
        <v>952</v>
      </c>
      <c r="F2647" t="s">
        <v>209</v>
      </c>
      <c r="G2647" t="s">
        <v>226</v>
      </c>
      <c r="H2647">
        <v>43</v>
      </c>
      <c r="I2647" t="str">
        <f t="shared" si="40"/>
        <v>Farm Labor Housing – Dormitories|C|Low Cost</v>
      </c>
      <c r="J2647" t="s">
        <v>953</v>
      </c>
    </row>
    <row r="2648" spans="2:10">
      <c r="B2648" t="s">
        <v>950</v>
      </c>
      <c r="C2648" t="s">
        <v>951</v>
      </c>
      <c r="D2648" t="s">
        <v>260</v>
      </c>
      <c r="E2648" t="s">
        <v>952</v>
      </c>
      <c r="F2648" t="s">
        <v>214</v>
      </c>
      <c r="G2648" t="s">
        <v>229</v>
      </c>
      <c r="H2648">
        <v>66</v>
      </c>
      <c r="I2648" t="str">
        <f t="shared" si="40"/>
        <v>Farm Labor Housing – Dormitories|D|Good</v>
      </c>
      <c r="J2648" t="s">
        <v>953</v>
      </c>
    </row>
    <row r="2649" spans="2:10">
      <c r="B2649" t="s">
        <v>950</v>
      </c>
      <c r="C2649" t="s">
        <v>951</v>
      </c>
      <c r="D2649" t="s">
        <v>260</v>
      </c>
      <c r="E2649" t="s">
        <v>952</v>
      </c>
      <c r="F2649" t="s">
        <v>214</v>
      </c>
      <c r="G2649" t="s">
        <v>44</v>
      </c>
      <c r="H2649">
        <v>49</v>
      </c>
      <c r="I2649" t="str">
        <f t="shared" si="40"/>
        <v>Farm Labor Housing – Dormitories|D|Average</v>
      </c>
      <c r="J2649" t="s">
        <v>953</v>
      </c>
    </row>
    <row r="2650" spans="2:10">
      <c r="B2650" t="s">
        <v>950</v>
      </c>
      <c r="C2650" t="s">
        <v>951</v>
      </c>
      <c r="D2650" t="s">
        <v>260</v>
      </c>
      <c r="E2650" t="s">
        <v>952</v>
      </c>
      <c r="F2650" t="s">
        <v>214</v>
      </c>
      <c r="G2650" t="s">
        <v>226</v>
      </c>
      <c r="H2650">
        <v>36.25</v>
      </c>
      <c r="I2650" t="str">
        <f t="shared" si="40"/>
        <v>Farm Labor Housing – Dormitories|D|Low Cost</v>
      </c>
      <c r="J2650" t="s">
        <v>953</v>
      </c>
    </row>
    <row r="2651" spans="2:10">
      <c r="B2651" t="s">
        <v>950</v>
      </c>
      <c r="C2651" t="s">
        <v>951</v>
      </c>
      <c r="D2651" t="s">
        <v>260</v>
      </c>
      <c r="E2651" t="s">
        <v>952</v>
      </c>
      <c r="F2651" t="s">
        <v>219</v>
      </c>
      <c r="G2651" t="s">
        <v>229</v>
      </c>
      <c r="H2651">
        <v>67</v>
      </c>
      <c r="I2651" t="str">
        <f t="shared" si="40"/>
        <v>Farm Labor Housing – Dormitories|S|Good</v>
      </c>
      <c r="J2651" t="s">
        <v>953</v>
      </c>
    </row>
    <row r="2652" spans="2:10">
      <c r="B2652" t="s">
        <v>950</v>
      </c>
      <c r="C2652" t="s">
        <v>951</v>
      </c>
      <c r="D2652" t="s">
        <v>260</v>
      </c>
      <c r="E2652" t="s">
        <v>952</v>
      </c>
      <c r="F2652" t="s">
        <v>219</v>
      </c>
      <c r="G2652" t="s">
        <v>44</v>
      </c>
      <c r="H2652">
        <v>50.5</v>
      </c>
      <c r="I2652" t="str">
        <f t="shared" si="40"/>
        <v>Farm Labor Housing – Dormitories|S|Average</v>
      </c>
      <c r="J2652" t="s">
        <v>953</v>
      </c>
    </row>
    <row r="2653" spans="2:10">
      <c r="B2653" t="s">
        <v>954</v>
      </c>
      <c r="C2653" t="s">
        <v>955</v>
      </c>
      <c r="D2653" t="s">
        <v>260</v>
      </c>
      <c r="E2653" t="s">
        <v>952</v>
      </c>
      <c r="F2653" t="s">
        <v>214</v>
      </c>
      <c r="G2653" t="s">
        <v>44</v>
      </c>
      <c r="H2653">
        <v>45.75</v>
      </c>
      <c r="I2653" t="str">
        <f t="shared" si="40"/>
        <v>Transient Labor Cabins|D|Average</v>
      </c>
      <c r="J2653" t="s">
        <v>953</v>
      </c>
    </row>
    <row r="2654" spans="2:10">
      <c r="B2654" t="s">
        <v>956</v>
      </c>
      <c r="C2654" t="s">
        <v>957</v>
      </c>
      <c r="D2654" t="s">
        <v>260</v>
      </c>
      <c r="E2654" t="s">
        <v>952</v>
      </c>
      <c r="F2654" t="s">
        <v>214</v>
      </c>
      <c r="G2654" t="s">
        <v>229</v>
      </c>
      <c r="H2654">
        <v>30.5</v>
      </c>
      <c r="I2654" t="str">
        <f t="shared" ref="I2654:I2717" si="41">B2654&amp;"|"&amp;F2654&amp;"|"&amp;G2654</f>
        <v>Hunting Shelters|D|Good</v>
      </c>
      <c r="J2654" t="s">
        <v>953</v>
      </c>
    </row>
    <row r="2655" spans="2:10">
      <c r="B2655" t="s">
        <v>956</v>
      </c>
      <c r="C2655" t="s">
        <v>957</v>
      </c>
      <c r="D2655" t="s">
        <v>260</v>
      </c>
      <c r="E2655" t="s">
        <v>952</v>
      </c>
      <c r="F2655" t="s">
        <v>214</v>
      </c>
      <c r="G2655" t="s">
        <v>44</v>
      </c>
      <c r="H2655">
        <v>22.55</v>
      </c>
      <c r="I2655" t="str">
        <f t="shared" si="41"/>
        <v>Hunting Shelters|D|Average</v>
      </c>
      <c r="J2655" t="s">
        <v>953</v>
      </c>
    </row>
    <row r="2656" spans="2:10">
      <c r="B2656" t="s">
        <v>956</v>
      </c>
      <c r="C2656" t="s">
        <v>957</v>
      </c>
      <c r="D2656" t="s">
        <v>260</v>
      </c>
      <c r="E2656" t="s">
        <v>952</v>
      </c>
      <c r="F2656" t="s">
        <v>214</v>
      </c>
      <c r="G2656" t="s">
        <v>226</v>
      </c>
      <c r="H2656">
        <v>16.649999999999999</v>
      </c>
      <c r="I2656" t="str">
        <f t="shared" si="41"/>
        <v>Hunting Shelters|D|Low Cost</v>
      </c>
      <c r="J2656" t="s">
        <v>953</v>
      </c>
    </row>
    <row r="2657" spans="2:10">
      <c r="B2657" t="s">
        <v>956</v>
      </c>
      <c r="C2657" t="s">
        <v>957</v>
      </c>
      <c r="D2657" t="s">
        <v>260</v>
      </c>
      <c r="E2657" t="s">
        <v>952</v>
      </c>
      <c r="F2657" t="s">
        <v>214</v>
      </c>
      <c r="G2657" t="s">
        <v>314</v>
      </c>
      <c r="H2657">
        <v>12.3</v>
      </c>
      <c r="I2657" t="str">
        <f t="shared" si="41"/>
        <v>Hunting Shelters|D|Cheap</v>
      </c>
      <c r="J2657" t="s">
        <v>953</v>
      </c>
    </row>
    <row r="2658" spans="2:10">
      <c r="B2658" t="s">
        <v>958</v>
      </c>
      <c r="C2658" t="s">
        <v>959</v>
      </c>
      <c r="D2658" t="s">
        <v>264</v>
      </c>
      <c r="E2658" t="s">
        <v>338</v>
      </c>
      <c r="F2658" t="s">
        <v>202</v>
      </c>
      <c r="G2658" t="s">
        <v>231</v>
      </c>
      <c r="H2658">
        <v>407</v>
      </c>
      <c r="I2658" t="str">
        <f t="shared" si="41"/>
        <v>High Schools|A|Excellent</v>
      </c>
      <c r="J2658" t="s">
        <v>960</v>
      </c>
    </row>
    <row r="2659" spans="2:10">
      <c r="B2659" t="s">
        <v>958</v>
      </c>
      <c r="C2659" t="s">
        <v>959</v>
      </c>
      <c r="D2659" t="s">
        <v>264</v>
      </c>
      <c r="E2659" t="s">
        <v>338</v>
      </c>
      <c r="F2659" t="s">
        <v>202</v>
      </c>
      <c r="G2659" t="s">
        <v>229</v>
      </c>
      <c r="H2659">
        <v>334</v>
      </c>
      <c r="I2659" t="str">
        <f t="shared" si="41"/>
        <v>High Schools|A|Good</v>
      </c>
      <c r="J2659" t="s">
        <v>960</v>
      </c>
    </row>
    <row r="2660" spans="2:10">
      <c r="B2660" t="s">
        <v>958</v>
      </c>
      <c r="C2660" t="s">
        <v>959</v>
      </c>
      <c r="D2660" t="s">
        <v>264</v>
      </c>
      <c r="E2660" t="s">
        <v>338</v>
      </c>
      <c r="F2660" t="s">
        <v>202</v>
      </c>
      <c r="G2660" t="s">
        <v>44</v>
      </c>
      <c r="H2660">
        <v>261</v>
      </c>
      <c r="I2660" t="str">
        <f t="shared" si="41"/>
        <v>High Schools|A|Average</v>
      </c>
      <c r="J2660" t="s">
        <v>960</v>
      </c>
    </row>
    <row r="2661" spans="2:10">
      <c r="B2661" t="s">
        <v>958</v>
      </c>
      <c r="C2661" t="s">
        <v>959</v>
      </c>
      <c r="D2661" t="s">
        <v>264</v>
      </c>
      <c r="E2661" t="s">
        <v>338</v>
      </c>
      <c r="F2661" t="s">
        <v>207</v>
      </c>
      <c r="G2661" t="s">
        <v>231</v>
      </c>
      <c r="H2661">
        <v>372</v>
      </c>
      <c r="I2661" t="str">
        <f t="shared" si="41"/>
        <v>High Schools|B|Excellent</v>
      </c>
      <c r="J2661" t="s">
        <v>960</v>
      </c>
    </row>
    <row r="2662" spans="2:10">
      <c r="B2662" t="s">
        <v>958</v>
      </c>
      <c r="C2662" t="s">
        <v>959</v>
      </c>
      <c r="D2662" t="s">
        <v>264</v>
      </c>
      <c r="E2662" t="s">
        <v>338</v>
      </c>
      <c r="F2662" t="s">
        <v>207</v>
      </c>
      <c r="G2662" t="s">
        <v>229</v>
      </c>
      <c r="H2662">
        <v>307</v>
      </c>
      <c r="I2662" t="str">
        <f t="shared" si="41"/>
        <v>High Schools|B|Good</v>
      </c>
      <c r="J2662" t="s">
        <v>960</v>
      </c>
    </row>
    <row r="2663" spans="2:10">
      <c r="B2663" t="s">
        <v>958</v>
      </c>
      <c r="C2663" t="s">
        <v>959</v>
      </c>
      <c r="D2663" t="s">
        <v>264</v>
      </c>
      <c r="E2663" t="s">
        <v>338</v>
      </c>
      <c r="F2663" t="s">
        <v>207</v>
      </c>
      <c r="G2663" t="s">
        <v>44</v>
      </c>
      <c r="H2663">
        <v>241</v>
      </c>
      <c r="I2663" t="str">
        <f t="shared" si="41"/>
        <v>High Schools|B|Average</v>
      </c>
      <c r="J2663" t="s">
        <v>960</v>
      </c>
    </row>
    <row r="2664" spans="2:10">
      <c r="B2664" t="s">
        <v>958</v>
      </c>
      <c r="C2664" t="s">
        <v>959</v>
      </c>
      <c r="D2664" t="s">
        <v>264</v>
      </c>
      <c r="E2664" t="s">
        <v>338</v>
      </c>
      <c r="F2664" t="s">
        <v>209</v>
      </c>
      <c r="G2664" t="s">
        <v>231</v>
      </c>
      <c r="H2664">
        <v>308</v>
      </c>
      <c r="I2664" t="str">
        <f t="shared" si="41"/>
        <v>High Schools|C|Excellent</v>
      </c>
      <c r="J2664" t="s">
        <v>960</v>
      </c>
    </row>
    <row r="2665" spans="2:10">
      <c r="B2665" t="s">
        <v>958</v>
      </c>
      <c r="C2665" t="s">
        <v>959</v>
      </c>
      <c r="D2665" t="s">
        <v>264</v>
      </c>
      <c r="E2665" t="s">
        <v>338</v>
      </c>
      <c r="F2665" t="s">
        <v>209</v>
      </c>
      <c r="G2665" t="s">
        <v>229</v>
      </c>
      <c r="H2665">
        <v>242</v>
      </c>
      <c r="I2665" t="str">
        <f t="shared" si="41"/>
        <v>High Schools|C|Good</v>
      </c>
      <c r="J2665" t="s">
        <v>960</v>
      </c>
    </row>
    <row r="2666" spans="2:10">
      <c r="B2666" t="s">
        <v>958</v>
      </c>
      <c r="C2666" t="s">
        <v>959</v>
      </c>
      <c r="D2666" t="s">
        <v>264</v>
      </c>
      <c r="E2666" t="s">
        <v>338</v>
      </c>
      <c r="F2666" t="s">
        <v>209</v>
      </c>
      <c r="G2666" t="s">
        <v>44</v>
      </c>
      <c r="H2666">
        <v>196</v>
      </c>
      <c r="I2666" t="str">
        <f t="shared" si="41"/>
        <v>High Schools|C|Average</v>
      </c>
      <c r="J2666" t="s">
        <v>960</v>
      </c>
    </row>
    <row r="2667" spans="2:10">
      <c r="B2667" t="s">
        <v>958</v>
      </c>
      <c r="C2667" t="s">
        <v>959</v>
      </c>
      <c r="D2667" t="s">
        <v>264</v>
      </c>
      <c r="E2667" t="s">
        <v>338</v>
      </c>
      <c r="F2667" t="s">
        <v>209</v>
      </c>
      <c r="G2667" t="s">
        <v>226</v>
      </c>
      <c r="H2667">
        <v>157</v>
      </c>
      <c r="I2667" t="str">
        <f t="shared" si="41"/>
        <v>High Schools|C|Low Cost</v>
      </c>
      <c r="J2667" t="s">
        <v>960</v>
      </c>
    </row>
    <row r="2668" spans="2:10">
      <c r="B2668" t="s">
        <v>958</v>
      </c>
      <c r="C2668" t="s">
        <v>959</v>
      </c>
      <c r="D2668" t="s">
        <v>264</v>
      </c>
      <c r="E2668" t="s">
        <v>338</v>
      </c>
      <c r="F2668" t="s">
        <v>214</v>
      </c>
      <c r="G2668" t="s">
        <v>231</v>
      </c>
      <c r="H2668">
        <v>303</v>
      </c>
      <c r="I2668" t="str">
        <f t="shared" si="41"/>
        <v>High Schools|D|Excellent</v>
      </c>
      <c r="J2668" t="s">
        <v>960</v>
      </c>
    </row>
    <row r="2669" spans="2:10">
      <c r="B2669" t="s">
        <v>958</v>
      </c>
      <c r="C2669" t="s">
        <v>959</v>
      </c>
      <c r="D2669" t="s">
        <v>264</v>
      </c>
      <c r="E2669" t="s">
        <v>338</v>
      </c>
      <c r="F2669" t="s">
        <v>214</v>
      </c>
      <c r="G2669" t="s">
        <v>229</v>
      </c>
      <c r="H2669">
        <v>237</v>
      </c>
      <c r="I2669" t="str">
        <f t="shared" si="41"/>
        <v>High Schools|D|Good</v>
      </c>
      <c r="J2669" t="s">
        <v>960</v>
      </c>
    </row>
    <row r="2670" spans="2:10">
      <c r="B2670" t="s">
        <v>958</v>
      </c>
      <c r="C2670" t="s">
        <v>959</v>
      </c>
      <c r="D2670" t="s">
        <v>264</v>
      </c>
      <c r="E2670" t="s">
        <v>338</v>
      </c>
      <c r="F2670" t="s">
        <v>214</v>
      </c>
      <c r="G2670" t="s">
        <v>44</v>
      </c>
      <c r="H2670">
        <v>190</v>
      </c>
      <c r="I2670" t="str">
        <f t="shared" si="41"/>
        <v>High Schools|D|Average</v>
      </c>
      <c r="J2670" t="s">
        <v>960</v>
      </c>
    </row>
    <row r="2671" spans="2:10">
      <c r="B2671" t="s">
        <v>958</v>
      </c>
      <c r="C2671" t="s">
        <v>959</v>
      </c>
      <c r="D2671" t="s">
        <v>264</v>
      </c>
      <c r="E2671" t="s">
        <v>338</v>
      </c>
      <c r="F2671" t="s">
        <v>214</v>
      </c>
      <c r="G2671" t="s">
        <v>226</v>
      </c>
      <c r="H2671">
        <v>151</v>
      </c>
      <c r="I2671" t="str">
        <f t="shared" si="41"/>
        <v>High Schools|D|Low Cost</v>
      </c>
      <c r="J2671" t="s">
        <v>960</v>
      </c>
    </row>
    <row r="2672" spans="2:10">
      <c r="B2672" t="s">
        <v>958</v>
      </c>
      <c r="C2672" t="s">
        <v>959</v>
      </c>
      <c r="D2672" t="s">
        <v>264</v>
      </c>
      <c r="E2672" t="s">
        <v>338</v>
      </c>
      <c r="F2672" t="s">
        <v>313</v>
      </c>
      <c r="G2672" t="s">
        <v>44</v>
      </c>
      <c r="H2672">
        <v>183</v>
      </c>
      <c r="I2672" t="str">
        <f t="shared" si="41"/>
        <v>High Schools|DPOLE|Average</v>
      </c>
      <c r="J2672" t="s">
        <v>960</v>
      </c>
    </row>
    <row r="2673" spans="2:10">
      <c r="B2673" t="s">
        <v>958</v>
      </c>
      <c r="C2673" t="s">
        <v>959</v>
      </c>
      <c r="D2673" t="s">
        <v>264</v>
      </c>
      <c r="E2673" t="s">
        <v>338</v>
      </c>
      <c r="F2673" t="s">
        <v>313</v>
      </c>
      <c r="G2673" t="s">
        <v>226</v>
      </c>
      <c r="H2673">
        <v>145</v>
      </c>
      <c r="I2673" t="str">
        <f t="shared" si="41"/>
        <v>High Schools|DPOLE|Low Cost</v>
      </c>
      <c r="J2673" t="s">
        <v>960</v>
      </c>
    </row>
    <row r="2674" spans="2:10">
      <c r="B2674" t="s">
        <v>958</v>
      </c>
      <c r="C2674" t="s">
        <v>959</v>
      </c>
      <c r="D2674" t="s">
        <v>264</v>
      </c>
      <c r="E2674" t="s">
        <v>338</v>
      </c>
      <c r="F2674" t="s">
        <v>219</v>
      </c>
      <c r="G2674" t="s">
        <v>229</v>
      </c>
      <c r="H2674">
        <v>232</v>
      </c>
      <c r="I2674" t="str">
        <f t="shared" si="41"/>
        <v>High Schools|S|Good</v>
      </c>
      <c r="J2674" t="s">
        <v>960</v>
      </c>
    </row>
    <row r="2675" spans="2:10">
      <c r="B2675" t="s">
        <v>958</v>
      </c>
      <c r="C2675" t="s">
        <v>959</v>
      </c>
      <c r="D2675" t="s">
        <v>264</v>
      </c>
      <c r="E2675" t="s">
        <v>338</v>
      </c>
      <c r="F2675" t="s">
        <v>219</v>
      </c>
      <c r="G2675" t="s">
        <v>44</v>
      </c>
      <c r="H2675">
        <v>185</v>
      </c>
      <c r="I2675" t="str">
        <f t="shared" si="41"/>
        <v>High Schools|S|Average</v>
      </c>
      <c r="J2675" t="s">
        <v>960</v>
      </c>
    </row>
    <row r="2676" spans="2:10">
      <c r="B2676" t="s">
        <v>958</v>
      </c>
      <c r="C2676" t="s">
        <v>959</v>
      </c>
      <c r="D2676" t="s">
        <v>264</v>
      </c>
      <c r="E2676" t="s">
        <v>338</v>
      </c>
      <c r="F2676" t="s">
        <v>219</v>
      </c>
      <c r="G2676" t="s">
        <v>226</v>
      </c>
      <c r="H2676">
        <v>146</v>
      </c>
      <c r="I2676" t="str">
        <f t="shared" si="41"/>
        <v>High Schools|S|Low Cost</v>
      </c>
      <c r="J2676" t="s">
        <v>960</v>
      </c>
    </row>
    <row r="2677" spans="2:10">
      <c r="B2677" t="s">
        <v>961</v>
      </c>
      <c r="C2677" t="s">
        <v>962</v>
      </c>
      <c r="D2677" t="s">
        <v>264</v>
      </c>
      <c r="E2677" t="s">
        <v>342</v>
      </c>
      <c r="F2677" t="s">
        <v>202</v>
      </c>
      <c r="G2677" t="s">
        <v>231</v>
      </c>
      <c r="H2677">
        <v>380</v>
      </c>
      <c r="I2677" t="str">
        <f t="shared" si="41"/>
        <v>Middle (Junior High) Schools|A|Excellent</v>
      </c>
      <c r="J2677" t="s">
        <v>963</v>
      </c>
    </row>
    <row r="2678" spans="2:10">
      <c r="B2678" t="s">
        <v>961</v>
      </c>
      <c r="C2678" t="s">
        <v>962</v>
      </c>
      <c r="D2678" t="s">
        <v>264</v>
      </c>
      <c r="E2678" t="s">
        <v>342</v>
      </c>
      <c r="F2678" t="s">
        <v>202</v>
      </c>
      <c r="G2678" t="s">
        <v>229</v>
      </c>
      <c r="H2678">
        <v>316</v>
      </c>
      <c r="I2678" t="str">
        <f t="shared" si="41"/>
        <v>Middle (Junior High) Schools|A|Good</v>
      </c>
      <c r="J2678" t="s">
        <v>963</v>
      </c>
    </row>
    <row r="2679" spans="2:10">
      <c r="B2679" t="s">
        <v>961</v>
      </c>
      <c r="C2679" t="s">
        <v>962</v>
      </c>
      <c r="D2679" t="s">
        <v>264</v>
      </c>
      <c r="E2679" t="s">
        <v>342</v>
      </c>
      <c r="F2679" t="s">
        <v>202</v>
      </c>
      <c r="G2679" t="s">
        <v>44</v>
      </c>
      <c r="H2679">
        <v>249</v>
      </c>
      <c r="I2679" t="str">
        <f t="shared" si="41"/>
        <v>Middle (Junior High) Schools|A|Average</v>
      </c>
      <c r="J2679" t="s">
        <v>963</v>
      </c>
    </row>
    <row r="2680" spans="2:10">
      <c r="B2680" t="s">
        <v>961</v>
      </c>
      <c r="C2680" t="s">
        <v>962</v>
      </c>
      <c r="D2680" t="s">
        <v>264</v>
      </c>
      <c r="E2680" t="s">
        <v>342</v>
      </c>
      <c r="F2680" t="s">
        <v>207</v>
      </c>
      <c r="G2680" t="s">
        <v>231</v>
      </c>
      <c r="H2680">
        <v>347</v>
      </c>
      <c r="I2680" t="str">
        <f t="shared" si="41"/>
        <v>Middle (Junior High) Schools|B|Excellent</v>
      </c>
      <c r="J2680" t="s">
        <v>963</v>
      </c>
    </row>
    <row r="2681" spans="2:10">
      <c r="B2681" t="s">
        <v>961</v>
      </c>
      <c r="C2681" t="s">
        <v>962</v>
      </c>
      <c r="D2681" t="s">
        <v>264</v>
      </c>
      <c r="E2681" t="s">
        <v>342</v>
      </c>
      <c r="F2681" t="s">
        <v>207</v>
      </c>
      <c r="G2681" t="s">
        <v>229</v>
      </c>
      <c r="H2681">
        <v>290</v>
      </c>
      <c r="I2681" t="str">
        <f t="shared" si="41"/>
        <v>Middle (Junior High) Schools|B|Good</v>
      </c>
      <c r="J2681" t="s">
        <v>963</v>
      </c>
    </row>
    <row r="2682" spans="2:10">
      <c r="B2682" t="s">
        <v>961</v>
      </c>
      <c r="C2682" t="s">
        <v>962</v>
      </c>
      <c r="D2682" t="s">
        <v>264</v>
      </c>
      <c r="E2682" t="s">
        <v>342</v>
      </c>
      <c r="F2682" t="s">
        <v>207</v>
      </c>
      <c r="G2682" t="s">
        <v>44</v>
      </c>
      <c r="H2682">
        <v>230</v>
      </c>
      <c r="I2682" t="str">
        <f t="shared" si="41"/>
        <v>Middle (Junior High) Schools|B|Average</v>
      </c>
      <c r="J2682" t="s">
        <v>963</v>
      </c>
    </row>
    <row r="2683" spans="2:10">
      <c r="B2683" t="s">
        <v>961</v>
      </c>
      <c r="C2683" t="s">
        <v>962</v>
      </c>
      <c r="D2683" t="s">
        <v>264</v>
      </c>
      <c r="E2683" t="s">
        <v>342</v>
      </c>
      <c r="F2683" t="s">
        <v>209</v>
      </c>
      <c r="G2683" t="s">
        <v>231</v>
      </c>
      <c r="H2683">
        <v>291</v>
      </c>
      <c r="I2683" t="str">
        <f t="shared" si="41"/>
        <v>Middle (Junior High) Schools|C|Excellent</v>
      </c>
      <c r="J2683" t="s">
        <v>963</v>
      </c>
    </row>
    <row r="2684" spans="2:10">
      <c r="B2684" t="s">
        <v>961</v>
      </c>
      <c r="C2684" t="s">
        <v>962</v>
      </c>
      <c r="D2684" t="s">
        <v>264</v>
      </c>
      <c r="E2684" t="s">
        <v>342</v>
      </c>
      <c r="F2684" t="s">
        <v>209</v>
      </c>
      <c r="G2684" t="s">
        <v>229</v>
      </c>
      <c r="H2684">
        <v>232</v>
      </c>
      <c r="I2684" t="str">
        <f t="shared" si="41"/>
        <v>Middle (Junior High) Schools|C|Good</v>
      </c>
      <c r="J2684" t="s">
        <v>963</v>
      </c>
    </row>
    <row r="2685" spans="2:10">
      <c r="B2685" t="s">
        <v>961</v>
      </c>
      <c r="C2685" t="s">
        <v>962</v>
      </c>
      <c r="D2685" t="s">
        <v>264</v>
      </c>
      <c r="E2685" t="s">
        <v>342</v>
      </c>
      <c r="F2685" t="s">
        <v>209</v>
      </c>
      <c r="G2685" t="s">
        <v>44</v>
      </c>
      <c r="H2685">
        <v>190</v>
      </c>
      <c r="I2685" t="str">
        <f t="shared" si="41"/>
        <v>Middle (Junior High) Schools|C|Average</v>
      </c>
      <c r="J2685" t="s">
        <v>963</v>
      </c>
    </row>
    <row r="2686" spans="2:10">
      <c r="B2686" t="s">
        <v>961</v>
      </c>
      <c r="C2686" t="s">
        <v>962</v>
      </c>
      <c r="D2686" t="s">
        <v>264</v>
      </c>
      <c r="E2686" t="s">
        <v>342</v>
      </c>
      <c r="F2686" t="s">
        <v>209</v>
      </c>
      <c r="G2686" t="s">
        <v>226</v>
      </c>
      <c r="H2686">
        <v>154</v>
      </c>
      <c r="I2686" t="str">
        <f t="shared" si="41"/>
        <v>Middle (Junior High) Schools|C|Low Cost</v>
      </c>
      <c r="J2686" t="s">
        <v>963</v>
      </c>
    </row>
    <row r="2687" spans="2:10">
      <c r="B2687" t="s">
        <v>961</v>
      </c>
      <c r="C2687" t="s">
        <v>962</v>
      </c>
      <c r="D2687" t="s">
        <v>264</v>
      </c>
      <c r="E2687" t="s">
        <v>342</v>
      </c>
      <c r="F2687" t="s">
        <v>214</v>
      </c>
      <c r="G2687" t="s">
        <v>231</v>
      </c>
      <c r="H2687">
        <v>285</v>
      </c>
      <c r="I2687" t="str">
        <f t="shared" si="41"/>
        <v>Middle (Junior High) Schools|D|Excellent</v>
      </c>
      <c r="J2687" t="s">
        <v>963</v>
      </c>
    </row>
    <row r="2688" spans="2:10">
      <c r="B2688" t="s">
        <v>961</v>
      </c>
      <c r="C2688" t="s">
        <v>962</v>
      </c>
      <c r="D2688" t="s">
        <v>264</v>
      </c>
      <c r="E2688" t="s">
        <v>342</v>
      </c>
      <c r="F2688" t="s">
        <v>214</v>
      </c>
      <c r="G2688" t="s">
        <v>229</v>
      </c>
      <c r="H2688">
        <v>226</v>
      </c>
      <c r="I2688" t="str">
        <f t="shared" si="41"/>
        <v>Middle (Junior High) Schools|D|Good</v>
      </c>
      <c r="J2688" t="s">
        <v>963</v>
      </c>
    </row>
    <row r="2689" spans="2:10">
      <c r="B2689" t="s">
        <v>961</v>
      </c>
      <c r="C2689" t="s">
        <v>962</v>
      </c>
      <c r="D2689" t="s">
        <v>264</v>
      </c>
      <c r="E2689" t="s">
        <v>342</v>
      </c>
      <c r="F2689" t="s">
        <v>214</v>
      </c>
      <c r="G2689" t="s">
        <v>44</v>
      </c>
      <c r="H2689">
        <v>184</v>
      </c>
      <c r="I2689" t="str">
        <f t="shared" si="41"/>
        <v>Middle (Junior High) Schools|D|Average</v>
      </c>
      <c r="J2689" t="s">
        <v>963</v>
      </c>
    </row>
    <row r="2690" spans="2:10">
      <c r="B2690" t="s">
        <v>961</v>
      </c>
      <c r="C2690" t="s">
        <v>962</v>
      </c>
      <c r="D2690" t="s">
        <v>264</v>
      </c>
      <c r="E2690" t="s">
        <v>342</v>
      </c>
      <c r="F2690" t="s">
        <v>214</v>
      </c>
      <c r="G2690" t="s">
        <v>226</v>
      </c>
      <c r="H2690">
        <v>149</v>
      </c>
      <c r="I2690" t="str">
        <f t="shared" si="41"/>
        <v>Middle (Junior High) Schools|D|Low Cost</v>
      </c>
      <c r="J2690" t="s">
        <v>963</v>
      </c>
    </row>
    <row r="2691" spans="2:10">
      <c r="B2691" t="s">
        <v>961</v>
      </c>
      <c r="C2691" t="s">
        <v>962</v>
      </c>
      <c r="D2691" t="s">
        <v>264</v>
      </c>
      <c r="E2691" t="s">
        <v>342</v>
      </c>
      <c r="F2691" t="s">
        <v>313</v>
      </c>
      <c r="G2691" t="s">
        <v>44</v>
      </c>
      <c r="H2691">
        <v>178</v>
      </c>
      <c r="I2691" t="str">
        <f t="shared" si="41"/>
        <v>Middle (Junior High) Schools|DPOLE|Average</v>
      </c>
      <c r="J2691" t="s">
        <v>963</v>
      </c>
    </row>
    <row r="2692" spans="2:10">
      <c r="B2692" t="s">
        <v>961</v>
      </c>
      <c r="C2692" t="s">
        <v>962</v>
      </c>
      <c r="D2692" t="s">
        <v>264</v>
      </c>
      <c r="E2692" t="s">
        <v>342</v>
      </c>
      <c r="F2692" t="s">
        <v>313</v>
      </c>
      <c r="G2692" t="s">
        <v>226</v>
      </c>
      <c r="H2692">
        <v>143</v>
      </c>
      <c r="I2692" t="str">
        <f t="shared" si="41"/>
        <v>Middle (Junior High) Schools|DPOLE|Low Cost</v>
      </c>
      <c r="J2692" t="s">
        <v>963</v>
      </c>
    </row>
    <row r="2693" spans="2:10">
      <c r="B2693" t="s">
        <v>961</v>
      </c>
      <c r="C2693" t="s">
        <v>962</v>
      </c>
      <c r="D2693" t="s">
        <v>264</v>
      </c>
      <c r="E2693" t="s">
        <v>342</v>
      </c>
      <c r="F2693" t="s">
        <v>219</v>
      </c>
      <c r="G2693" t="s">
        <v>229</v>
      </c>
      <c r="H2693">
        <v>223</v>
      </c>
      <c r="I2693" t="str">
        <f t="shared" si="41"/>
        <v>Middle (Junior High) Schools|S|Good</v>
      </c>
      <c r="J2693" t="s">
        <v>963</v>
      </c>
    </row>
    <row r="2694" spans="2:10">
      <c r="B2694" t="s">
        <v>961</v>
      </c>
      <c r="C2694" t="s">
        <v>962</v>
      </c>
      <c r="D2694" t="s">
        <v>264</v>
      </c>
      <c r="E2694" t="s">
        <v>342</v>
      </c>
      <c r="F2694" t="s">
        <v>219</v>
      </c>
      <c r="G2694" t="s">
        <v>44</v>
      </c>
      <c r="H2694">
        <v>180</v>
      </c>
      <c r="I2694" t="str">
        <f t="shared" si="41"/>
        <v>Middle (Junior High) Schools|S|Average</v>
      </c>
      <c r="J2694" t="s">
        <v>963</v>
      </c>
    </row>
    <row r="2695" spans="2:10">
      <c r="B2695" t="s">
        <v>961</v>
      </c>
      <c r="C2695" t="s">
        <v>962</v>
      </c>
      <c r="D2695" t="s">
        <v>264</v>
      </c>
      <c r="E2695" t="s">
        <v>342</v>
      </c>
      <c r="F2695" t="s">
        <v>219</v>
      </c>
      <c r="G2695" t="s">
        <v>226</v>
      </c>
      <c r="H2695">
        <v>144</v>
      </c>
      <c r="I2695" t="str">
        <f t="shared" si="41"/>
        <v>Middle (Junior High) Schools|S|Low Cost</v>
      </c>
      <c r="J2695" t="s">
        <v>963</v>
      </c>
    </row>
    <row r="2696" spans="2:10">
      <c r="B2696" t="s">
        <v>964</v>
      </c>
      <c r="C2696" t="s">
        <v>965</v>
      </c>
      <c r="D2696" t="s">
        <v>264</v>
      </c>
      <c r="E2696" t="s">
        <v>243</v>
      </c>
      <c r="F2696" t="s">
        <v>270</v>
      </c>
      <c r="G2696" t="s">
        <v>231</v>
      </c>
      <c r="H2696">
        <v>391</v>
      </c>
      <c r="I2696" t="str">
        <f t="shared" si="41"/>
        <v>Elementary Schools|A-B|Excellent</v>
      </c>
      <c r="J2696" t="s">
        <v>966</v>
      </c>
    </row>
    <row r="2697" spans="2:10">
      <c r="B2697" t="s">
        <v>964</v>
      </c>
      <c r="C2697" t="s">
        <v>965</v>
      </c>
      <c r="D2697" t="s">
        <v>264</v>
      </c>
      <c r="E2697" t="s">
        <v>243</v>
      </c>
      <c r="F2697" t="s">
        <v>270</v>
      </c>
      <c r="G2697" t="s">
        <v>229</v>
      </c>
      <c r="H2697">
        <v>309</v>
      </c>
      <c r="I2697" t="str">
        <f t="shared" si="41"/>
        <v>Elementary Schools|A-B|Good</v>
      </c>
      <c r="J2697" t="s">
        <v>966</v>
      </c>
    </row>
    <row r="2698" spans="2:10">
      <c r="B2698" t="s">
        <v>964</v>
      </c>
      <c r="C2698" t="s">
        <v>965</v>
      </c>
      <c r="D2698" t="s">
        <v>264</v>
      </c>
      <c r="E2698" t="s">
        <v>243</v>
      </c>
      <c r="F2698" t="s">
        <v>270</v>
      </c>
      <c r="G2698" t="s">
        <v>44</v>
      </c>
      <c r="H2698">
        <v>255</v>
      </c>
      <c r="I2698" t="str">
        <f t="shared" si="41"/>
        <v>Elementary Schools|A-B|Average</v>
      </c>
      <c r="J2698" t="s">
        <v>966</v>
      </c>
    </row>
    <row r="2699" spans="2:10">
      <c r="B2699" t="s">
        <v>964</v>
      </c>
      <c r="C2699" t="s">
        <v>965</v>
      </c>
      <c r="D2699" t="s">
        <v>264</v>
      </c>
      <c r="E2699" t="s">
        <v>243</v>
      </c>
      <c r="F2699" t="s">
        <v>209</v>
      </c>
      <c r="G2699" t="s">
        <v>231</v>
      </c>
      <c r="H2699">
        <v>329</v>
      </c>
      <c r="I2699" t="str">
        <f t="shared" si="41"/>
        <v>Elementary Schools|C|Excellent</v>
      </c>
      <c r="J2699" t="s">
        <v>966</v>
      </c>
    </row>
    <row r="2700" spans="2:10">
      <c r="B2700" t="s">
        <v>964</v>
      </c>
      <c r="C2700" t="s">
        <v>965</v>
      </c>
      <c r="D2700" t="s">
        <v>264</v>
      </c>
      <c r="E2700" t="s">
        <v>243</v>
      </c>
      <c r="F2700" t="s">
        <v>209</v>
      </c>
      <c r="G2700" t="s">
        <v>229</v>
      </c>
      <c r="H2700">
        <v>256</v>
      </c>
      <c r="I2700" t="str">
        <f t="shared" si="41"/>
        <v>Elementary Schools|C|Good</v>
      </c>
      <c r="J2700" t="s">
        <v>966</v>
      </c>
    </row>
    <row r="2701" spans="2:10">
      <c r="B2701" t="s">
        <v>964</v>
      </c>
      <c r="C2701" t="s">
        <v>965</v>
      </c>
      <c r="D2701" t="s">
        <v>264</v>
      </c>
      <c r="E2701" t="s">
        <v>243</v>
      </c>
      <c r="F2701" t="s">
        <v>209</v>
      </c>
      <c r="G2701" t="s">
        <v>44</v>
      </c>
      <c r="H2701">
        <v>199</v>
      </c>
      <c r="I2701" t="str">
        <f t="shared" si="41"/>
        <v>Elementary Schools|C|Average</v>
      </c>
      <c r="J2701" t="s">
        <v>966</v>
      </c>
    </row>
    <row r="2702" spans="2:10">
      <c r="B2702" t="s">
        <v>964</v>
      </c>
      <c r="C2702" t="s">
        <v>965</v>
      </c>
      <c r="D2702" t="s">
        <v>264</v>
      </c>
      <c r="E2702" t="s">
        <v>243</v>
      </c>
      <c r="F2702" t="s">
        <v>209</v>
      </c>
      <c r="G2702" t="s">
        <v>226</v>
      </c>
      <c r="H2702">
        <v>158</v>
      </c>
      <c r="I2702" t="str">
        <f t="shared" si="41"/>
        <v>Elementary Schools|C|Low Cost</v>
      </c>
      <c r="J2702" t="s">
        <v>966</v>
      </c>
    </row>
    <row r="2703" spans="2:10">
      <c r="B2703" t="s">
        <v>964</v>
      </c>
      <c r="C2703" t="s">
        <v>965</v>
      </c>
      <c r="D2703" t="s">
        <v>264</v>
      </c>
      <c r="E2703" t="s">
        <v>243</v>
      </c>
      <c r="F2703" t="s">
        <v>214</v>
      </c>
      <c r="G2703" t="s">
        <v>231</v>
      </c>
      <c r="H2703">
        <v>323</v>
      </c>
      <c r="I2703" t="str">
        <f t="shared" si="41"/>
        <v>Elementary Schools|D|Excellent</v>
      </c>
      <c r="J2703" t="s">
        <v>966</v>
      </c>
    </row>
    <row r="2704" spans="2:10">
      <c r="B2704" t="s">
        <v>964</v>
      </c>
      <c r="C2704" t="s">
        <v>965</v>
      </c>
      <c r="D2704" t="s">
        <v>264</v>
      </c>
      <c r="E2704" t="s">
        <v>243</v>
      </c>
      <c r="F2704" t="s">
        <v>214</v>
      </c>
      <c r="G2704" t="s">
        <v>229</v>
      </c>
      <c r="H2704">
        <v>250</v>
      </c>
      <c r="I2704" t="str">
        <f t="shared" si="41"/>
        <v>Elementary Schools|D|Good</v>
      </c>
      <c r="J2704" t="s">
        <v>966</v>
      </c>
    </row>
    <row r="2705" spans="2:10">
      <c r="B2705" t="s">
        <v>964</v>
      </c>
      <c r="C2705" t="s">
        <v>965</v>
      </c>
      <c r="D2705" t="s">
        <v>264</v>
      </c>
      <c r="E2705" t="s">
        <v>243</v>
      </c>
      <c r="F2705" t="s">
        <v>214</v>
      </c>
      <c r="G2705" t="s">
        <v>44</v>
      </c>
      <c r="H2705">
        <v>193</v>
      </c>
      <c r="I2705" t="str">
        <f t="shared" si="41"/>
        <v>Elementary Schools|D|Average</v>
      </c>
      <c r="J2705" t="s">
        <v>966</v>
      </c>
    </row>
    <row r="2706" spans="2:10">
      <c r="B2706" t="s">
        <v>964</v>
      </c>
      <c r="C2706" t="s">
        <v>965</v>
      </c>
      <c r="D2706" t="s">
        <v>264</v>
      </c>
      <c r="E2706" t="s">
        <v>243</v>
      </c>
      <c r="F2706" t="s">
        <v>214</v>
      </c>
      <c r="G2706" t="s">
        <v>226</v>
      </c>
      <c r="H2706">
        <v>152</v>
      </c>
      <c r="I2706" t="str">
        <f t="shared" si="41"/>
        <v>Elementary Schools|D|Low Cost</v>
      </c>
      <c r="J2706" t="s">
        <v>966</v>
      </c>
    </row>
    <row r="2707" spans="2:10">
      <c r="B2707" t="s">
        <v>964</v>
      </c>
      <c r="C2707" t="s">
        <v>965</v>
      </c>
      <c r="D2707" t="s">
        <v>264</v>
      </c>
      <c r="E2707" t="s">
        <v>243</v>
      </c>
      <c r="F2707" t="s">
        <v>313</v>
      </c>
      <c r="G2707" t="s">
        <v>44</v>
      </c>
      <c r="H2707">
        <v>186</v>
      </c>
      <c r="I2707" t="str">
        <f t="shared" si="41"/>
        <v>Elementary Schools|DPOLE|Average</v>
      </c>
      <c r="J2707" t="s">
        <v>966</v>
      </c>
    </row>
    <row r="2708" spans="2:10">
      <c r="B2708" t="s">
        <v>964</v>
      </c>
      <c r="C2708" t="s">
        <v>965</v>
      </c>
      <c r="D2708" t="s">
        <v>264</v>
      </c>
      <c r="E2708" t="s">
        <v>243</v>
      </c>
      <c r="F2708" t="s">
        <v>313</v>
      </c>
      <c r="G2708" t="s">
        <v>226</v>
      </c>
      <c r="H2708">
        <v>146</v>
      </c>
      <c r="I2708" t="str">
        <f t="shared" si="41"/>
        <v>Elementary Schools|DPOLE|Low Cost</v>
      </c>
      <c r="J2708" t="s">
        <v>966</v>
      </c>
    </row>
    <row r="2709" spans="2:10">
      <c r="B2709" t="s">
        <v>964</v>
      </c>
      <c r="C2709" t="s">
        <v>965</v>
      </c>
      <c r="D2709" t="s">
        <v>264</v>
      </c>
      <c r="E2709" t="s">
        <v>243</v>
      </c>
      <c r="F2709" t="s">
        <v>219</v>
      </c>
      <c r="G2709" t="s">
        <v>229</v>
      </c>
      <c r="H2709">
        <v>246</v>
      </c>
      <c r="I2709" t="str">
        <f t="shared" si="41"/>
        <v>Elementary Schools|S|Good</v>
      </c>
      <c r="J2709" t="s">
        <v>966</v>
      </c>
    </row>
    <row r="2710" spans="2:10">
      <c r="B2710" t="s">
        <v>964</v>
      </c>
      <c r="C2710" t="s">
        <v>965</v>
      </c>
      <c r="D2710" t="s">
        <v>264</v>
      </c>
      <c r="E2710" t="s">
        <v>243</v>
      </c>
      <c r="F2710" t="s">
        <v>219</v>
      </c>
      <c r="G2710" t="s">
        <v>44</v>
      </c>
      <c r="H2710">
        <v>187</v>
      </c>
      <c r="I2710" t="str">
        <f t="shared" si="41"/>
        <v>Elementary Schools|S|Average</v>
      </c>
      <c r="J2710" t="s">
        <v>966</v>
      </c>
    </row>
    <row r="2711" spans="2:10">
      <c r="B2711" t="s">
        <v>964</v>
      </c>
      <c r="C2711" t="s">
        <v>965</v>
      </c>
      <c r="D2711" t="s">
        <v>264</v>
      </c>
      <c r="E2711" t="s">
        <v>243</v>
      </c>
      <c r="F2711" t="s">
        <v>219</v>
      </c>
      <c r="G2711" t="s">
        <v>226</v>
      </c>
      <c r="H2711">
        <v>147</v>
      </c>
      <c r="I2711" t="str">
        <f t="shared" si="41"/>
        <v>Elementary Schools|S|Low Cost</v>
      </c>
      <c r="J2711" t="s">
        <v>966</v>
      </c>
    </row>
    <row r="2712" spans="2:10">
      <c r="B2712" t="s">
        <v>967</v>
      </c>
      <c r="C2712" t="s">
        <v>968</v>
      </c>
      <c r="D2712" t="s">
        <v>264</v>
      </c>
      <c r="E2712" t="s">
        <v>337</v>
      </c>
      <c r="F2712" t="s">
        <v>202</v>
      </c>
      <c r="G2712" t="s">
        <v>229</v>
      </c>
      <c r="H2712">
        <v>320</v>
      </c>
      <c r="I2712" t="str">
        <f t="shared" si="41"/>
        <v>Vocational Schools|A|Good</v>
      </c>
      <c r="J2712" t="s">
        <v>969</v>
      </c>
    </row>
    <row r="2713" spans="2:10">
      <c r="B2713" t="s">
        <v>967</v>
      </c>
      <c r="C2713" t="s">
        <v>968</v>
      </c>
      <c r="D2713" t="s">
        <v>264</v>
      </c>
      <c r="E2713" t="s">
        <v>337</v>
      </c>
      <c r="F2713" t="s">
        <v>202</v>
      </c>
      <c r="G2713" t="s">
        <v>44</v>
      </c>
      <c r="H2713">
        <v>242</v>
      </c>
      <c r="I2713" t="str">
        <f t="shared" si="41"/>
        <v>Vocational Schools|A|Average</v>
      </c>
      <c r="J2713" t="s">
        <v>969</v>
      </c>
    </row>
    <row r="2714" spans="2:10">
      <c r="B2714" t="s">
        <v>967</v>
      </c>
      <c r="C2714" t="s">
        <v>968</v>
      </c>
      <c r="D2714" t="s">
        <v>264</v>
      </c>
      <c r="E2714" t="s">
        <v>337</v>
      </c>
      <c r="F2714" t="s">
        <v>207</v>
      </c>
      <c r="G2714" t="s">
        <v>229</v>
      </c>
      <c r="H2714">
        <v>293</v>
      </c>
      <c r="I2714" t="str">
        <f t="shared" si="41"/>
        <v>Vocational Schools|B|Good</v>
      </c>
      <c r="J2714" t="s">
        <v>969</v>
      </c>
    </row>
    <row r="2715" spans="2:10">
      <c r="B2715" t="s">
        <v>967</v>
      </c>
      <c r="C2715" t="s">
        <v>968</v>
      </c>
      <c r="D2715" t="s">
        <v>264</v>
      </c>
      <c r="E2715" t="s">
        <v>337</v>
      </c>
      <c r="F2715" t="s">
        <v>207</v>
      </c>
      <c r="G2715" t="s">
        <v>44</v>
      </c>
      <c r="H2715">
        <v>222</v>
      </c>
      <c r="I2715" t="str">
        <f t="shared" si="41"/>
        <v>Vocational Schools|B|Average</v>
      </c>
      <c r="J2715" t="s">
        <v>969</v>
      </c>
    </row>
    <row r="2716" spans="2:10">
      <c r="B2716" t="s">
        <v>967</v>
      </c>
      <c r="C2716" t="s">
        <v>968</v>
      </c>
      <c r="D2716" t="s">
        <v>264</v>
      </c>
      <c r="E2716" t="s">
        <v>337</v>
      </c>
      <c r="F2716" t="s">
        <v>209</v>
      </c>
      <c r="G2716" t="s">
        <v>231</v>
      </c>
      <c r="H2716">
        <v>304</v>
      </c>
      <c r="I2716" t="str">
        <f t="shared" si="41"/>
        <v>Vocational Schools|C|Excellent</v>
      </c>
      <c r="J2716" t="s">
        <v>969</v>
      </c>
    </row>
    <row r="2717" spans="2:10">
      <c r="B2717" t="s">
        <v>967</v>
      </c>
      <c r="C2717" t="s">
        <v>968</v>
      </c>
      <c r="D2717" t="s">
        <v>264</v>
      </c>
      <c r="E2717" t="s">
        <v>337</v>
      </c>
      <c r="F2717" t="s">
        <v>209</v>
      </c>
      <c r="G2717" t="s">
        <v>229</v>
      </c>
      <c r="H2717">
        <v>228</v>
      </c>
      <c r="I2717" t="str">
        <f t="shared" si="41"/>
        <v>Vocational Schools|C|Good</v>
      </c>
      <c r="J2717" t="s">
        <v>969</v>
      </c>
    </row>
    <row r="2718" spans="2:10">
      <c r="B2718" t="s">
        <v>967</v>
      </c>
      <c r="C2718" t="s">
        <v>968</v>
      </c>
      <c r="D2718" t="s">
        <v>264</v>
      </c>
      <c r="E2718" t="s">
        <v>337</v>
      </c>
      <c r="F2718" t="s">
        <v>209</v>
      </c>
      <c r="G2718" t="s">
        <v>44</v>
      </c>
      <c r="H2718">
        <v>170</v>
      </c>
      <c r="I2718" t="str">
        <f t="shared" ref="I2718:I2781" si="42">B2718&amp;"|"&amp;F2718&amp;"|"&amp;G2718</f>
        <v>Vocational Schools|C|Average</v>
      </c>
      <c r="J2718" t="s">
        <v>969</v>
      </c>
    </row>
    <row r="2719" spans="2:10">
      <c r="B2719" t="s">
        <v>967</v>
      </c>
      <c r="C2719" t="s">
        <v>968</v>
      </c>
      <c r="D2719" t="s">
        <v>264</v>
      </c>
      <c r="E2719" t="s">
        <v>337</v>
      </c>
      <c r="F2719" t="s">
        <v>209</v>
      </c>
      <c r="G2719" t="s">
        <v>226</v>
      </c>
      <c r="H2719">
        <v>131</v>
      </c>
      <c r="I2719" t="str">
        <f t="shared" si="42"/>
        <v>Vocational Schools|C|Low Cost</v>
      </c>
      <c r="J2719" t="s">
        <v>969</v>
      </c>
    </row>
    <row r="2720" spans="2:10">
      <c r="B2720" t="s">
        <v>967</v>
      </c>
      <c r="C2720" t="s">
        <v>968</v>
      </c>
      <c r="D2720" t="s">
        <v>264</v>
      </c>
      <c r="E2720" t="s">
        <v>337</v>
      </c>
      <c r="F2720" t="s">
        <v>214</v>
      </c>
      <c r="G2720" t="s">
        <v>231</v>
      </c>
      <c r="H2720">
        <v>300</v>
      </c>
      <c r="I2720" t="str">
        <f t="shared" si="42"/>
        <v>Vocational Schools|D|Excellent</v>
      </c>
      <c r="J2720" t="s">
        <v>969</v>
      </c>
    </row>
    <row r="2721" spans="2:10">
      <c r="B2721" t="s">
        <v>967</v>
      </c>
      <c r="C2721" t="s">
        <v>968</v>
      </c>
      <c r="D2721" t="s">
        <v>264</v>
      </c>
      <c r="E2721" t="s">
        <v>337</v>
      </c>
      <c r="F2721" t="s">
        <v>214</v>
      </c>
      <c r="G2721" t="s">
        <v>229</v>
      </c>
      <c r="H2721">
        <v>223</v>
      </c>
      <c r="I2721" t="str">
        <f t="shared" si="42"/>
        <v>Vocational Schools|D|Good</v>
      </c>
      <c r="J2721" t="s">
        <v>969</v>
      </c>
    </row>
    <row r="2722" spans="2:10">
      <c r="B2722" t="s">
        <v>967</v>
      </c>
      <c r="C2722" t="s">
        <v>968</v>
      </c>
      <c r="D2722" t="s">
        <v>264</v>
      </c>
      <c r="E2722" t="s">
        <v>337</v>
      </c>
      <c r="F2722" t="s">
        <v>214</v>
      </c>
      <c r="G2722" t="s">
        <v>44</v>
      </c>
      <c r="H2722">
        <v>165</v>
      </c>
      <c r="I2722" t="str">
        <f t="shared" si="42"/>
        <v>Vocational Schools|D|Average</v>
      </c>
      <c r="J2722" t="s">
        <v>969</v>
      </c>
    </row>
    <row r="2723" spans="2:10">
      <c r="B2723" t="s">
        <v>967</v>
      </c>
      <c r="C2723" t="s">
        <v>968</v>
      </c>
      <c r="D2723" t="s">
        <v>264</v>
      </c>
      <c r="E2723" t="s">
        <v>337</v>
      </c>
      <c r="F2723" t="s">
        <v>214</v>
      </c>
      <c r="G2723" t="s">
        <v>226</v>
      </c>
      <c r="H2723">
        <v>126</v>
      </c>
      <c r="I2723" t="str">
        <f t="shared" si="42"/>
        <v>Vocational Schools|D|Low Cost</v>
      </c>
      <c r="J2723" t="s">
        <v>969</v>
      </c>
    </row>
    <row r="2724" spans="2:10">
      <c r="B2724" t="s">
        <v>967</v>
      </c>
      <c r="C2724" t="s">
        <v>968</v>
      </c>
      <c r="D2724" t="s">
        <v>264</v>
      </c>
      <c r="E2724" t="s">
        <v>337</v>
      </c>
      <c r="F2724" t="s">
        <v>313</v>
      </c>
      <c r="G2724" t="s">
        <v>229</v>
      </c>
      <c r="H2724">
        <v>214</v>
      </c>
      <c r="I2724" t="str">
        <f t="shared" si="42"/>
        <v>Vocational Schools|DPOLE|Good</v>
      </c>
      <c r="J2724" t="s">
        <v>969</v>
      </c>
    </row>
    <row r="2725" spans="2:10">
      <c r="B2725" t="s">
        <v>967</v>
      </c>
      <c r="C2725" t="s">
        <v>968</v>
      </c>
      <c r="D2725" t="s">
        <v>264</v>
      </c>
      <c r="E2725" t="s">
        <v>337</v>
      </c>
      <c r="F2725" t="s">
        <v>313</v>
      </c>
      <c r="G2725" t="s">
        <v>44</v>
      </c>
      <c r="H2725">
        <v>157</v>
      </c>
      <c r="I2725" t="str">
        <f t="shared" si="42"/>
        <v>Vocational Schools|DPOLE|Average</v>
      </c>
      <c r="J2725" t="s">
        <v>969</v>
      </c>
    </row>
    <row r="2726" spans="2:10">
      <c r="B2726" t="s">
        <v>967</v>
      </c>
      <c r="C2726" t="s">
        <v>968</v>
      </c>
      <c r="D2726" t="s">
        <v>264</v>
      </c>
      <c r="E2726" t="s">
        <v>337</v>
      </c>
      <c r="F2726" t="s">
        <v>313</v>
      </c>
      <c r="G2726" t="s">
        <v>226</v>
      </c>
      <c r="H2726">
        <v>119</v>
      </c>
      <c r="I2726" t="str">
        <f t="shared" si="42"/>
        <v>Vocational Schools|DPOLE|Low Cost</v>
      </c>
      <c r="J2726" t="s">
        <v>969</v>
      </c>
    </row>
    <row r="2727" spans="2:10">
      <c r="B2727" t="s">
        <v>967</v>
      </c>
      <c r="C2727" t="s">
        <v>968</v>
      </c>
      <c r="D2727" t="s">
        <v>264</v>
      </c>
      <c r="E2727" t="s">
        <v>337</v>
      </c>
      <c r="F2727" t="s">
        <v>219</v>
      </c>
      <c r="G2727" t="s">
        <v>229</v>
      </c>
      <c r="H2727">
        <v>217</v>
      </c>
      <c r="I2727" t="str">
        <f t="shared" si="42"/>
        <v>Vocational Schools|S|Good</v>
      </c>
      <c r="J2727" t="s">
        <v>969</v>
      </c>
    </row>
    <row r="2728" spans="2:10">
      <c r="B2728" t="s">
        <v>967</v>
      </c>
      <c r="C2728" t="s">
        <v>968</v>
      </c>
      <c r="D2728" t="s">
        <v>264</v>
      </c>
      <c r="E2728" t="s">
        <v>337</v>
      </c>
      <c r="F2728" t="s">
        <v>219</v>
      </c>
      <c r="G2728" t="s">
        <v>44</v>
      </c>
      <c r="H2728">
        <v>159</v>
      </c>
      <c r="I2728" t="str">
        <f t="shared" si="42"/>
        <v>Vocational Schools|S|Average</v>
      </c>
      <c r="J2728" t="s">
        <v>969</v>
      </c>
    </row>
    <row r="2729" spans="2:10">
      <c r="B2729" t="s">
        <v>967</v>
      </c>
      <c r="C2729" t="s">
        <v>968</v>
      </c>
      <c r="D2729" t="s">
        <v>264</v>
      </c>
      <c r="E2729" t="s">
        <v>337</v>
      </c>
      <c r="F2729" t="s">
        <v>219</v>
      </c>
      <c r="G2729" t="s">
        <v>226</v>
      </c>
      <c r="H2729">
        <v>121</v>
      </c>
      <c r="I2729" t="str">
        <f t="shared" si="42"/>
        <v>Vocational Schools|S|Low Cost</v>
      </c>
      <c r="J2729" t="s">
        <v>969</v>
      </c>
    </row>
    <row r="2730" spans="2:10">
      <c r="B2730" t="s">
        <v>970</v>
      </c>
      <c r="C2730" t="s">
        <v>971</v>
      </c>
      <c r="D2730" t="s">
        <v>264</v>
      </c>
      <c r="E2730" t="s">
        <v>244</v>
      </c>
      <c r="F2730" t="s">
        <v>270</v>
      </c>
      <c r="G2730" t="s">
        <v>44</v>
      </c>
      <c r="H2730">
        <v>255</v>
      </c>
      <c r="I2730" t="str">
        <f t="shared" si="42"/>
        <v>Alternative (High) Schools|A-B|Average</v>
      </c>
      <c r="J2730" t="s">
        <v>972</v>
      </c>
    </row>
    <row r="2731" spans="2:10">
      <c r="B2731" t="s">
        <v>970</v>
      </c>
      <c r="C2731" t="s">
        <v>971</v>
      </c>
      <c r="D2731" t="s">
        <v>264</v>
      </c>
      <c r="E2731" t="s">
        <v>244</v>
      </c>
      <c r="F2731" t="s">
        <v>209</v>
      </c>
      <c r="G2731" t="s">
        <v>231</v>
      </c>
      <c r="H2731">
        <v>313</v>
      </c>
      <c r="I2731" t="str">
        <f t="shared" si="42"/>
        <v>Alternative (High) Schools|C|Excellent</v>
      </c>
      <c r="J2731" t="s">
        <v>972</v>
      </c>
    </row>
    <row r="2732" spans="2:10">
      <c r="B2732" t="s">
        <v>970</v>
      </c>
      <c r="C2732" t="s">
        <v>971</v>
      </c>
      <c r="D2732" t="s">
        <v>264</v>
      </c>
      <c r="E2732" t="s">
        <v>244</v>
      </c>
      <c r="F2732" t="s">
        <v>209</v>
      </c>
      <c r="G2732" t="s">
        <v>229</v>
      </c>
      <c r="H2732">
        <v>248</v>
      </c>
      <c r="I2732" t="str">
        <f t="shared" si="42"/>
        <v>Alternative (High) Schools|C|Good</v>
      </c>
      <c r="J2732" t="s">
        <v>972</v>
      </c>
    </row>
    <row r="2733" spans="2:10">
      <c r="B2733" t="s">
        <v>970</v>
      </c>
      <c r="C2733" t="s">
        <v>971</v>
      </c>
      <c r="D2733" t="s">
        <v>264</v>
      </c>
      <c r="E2733" t="s">
        <v>244</v>
      </c>
      <c r="F2733" t="s">
        <v>209</v>
      </c>
      <c r="G2733" t="s">
        <v>44</v>
      </c>
      <c r="H2733">
        <v>195</v>
      </c>
      <c r="I2733" t="str">
        <f t="shared" si="42"/>
        <v>Alternative (High) Schools|C|Average</v>
      </c>
      <c r="J2733" t="s">
        <v>972</v>
      </c>
    </row>
    <row r="2734" spans="2:10">
      <c r="B2734" t="s">
        <v>970</v>
      </c>
      <c r="C2734" t="s">
        <v>971</v>
      </c>
      <c r="D2734" t="s">
        <v>264</v>
      </c>
      <c r="E2734" t="s">
        <v>244</v>
      </c>
      <c r="F2734" t="s">
        <v>214</v>
      </c>
      <c r="G2734" t="s">
        <v>231</v>
      </c>
      <c r="H2734">
        <v>308</v>
      </c>
      <c r="I2734" t="str">
        <f t="shared" si="42"/>
        <v>Alternative (High) Schools|D|Excellent</v>
      </c>
      <c r="J2734" t="s">
        <v>972</v>
      </c>
    </row>
    <row r="2735" spans="2:10">
      <c r="B2735" t="s">
        <v>970</v>
      </c>
      <c r="C2735" t="s">
        <v>971</v>
      </c>
      <c r="D2735" t="s">
        <v>264</v>
      </c>
      <c r="E2735" t="s">
        <v>244</v>
      </c>
      <c r="F2735" t="s">
        <v>214</v>
      </c>
      <c r="G2735" t="s">
        <v>229</v>
      </c>
      <c r="H2735">
        <v>242</v>
      </c>
      <c r="I2735" t="str">
        <f t="shared" si="42"/>
        <v>Alternative (High) Schools|D|Good</v>
      </c>
      <c r="J2735" t="s">
        <v>972</v>
      </c>
    </row>
    <row r="2736" spans="2:10">
      <c r="B2736" t="s">
        <v>970</v>
      </c>
      <c r="C2736" t="s">
        <v>971</v>
      </c>
      <c r="D2736" t="s">
        <v>264</v>
      </c>
      <c r="E2736" t="s">
        <v>244</v>
      </c>
      <c r="F2736" t="s">
        <v>214</v>
      </c>
      <c r="G2736" t="s">
        <v>44</v>
      </c>
      <c r="H2736">
        <v>189</v>
      </c>
      <c r="I2736" t="str">
        <f t="shared" si="42"/>
        <v>Alternative (High) Schools|D|Average</v>
      </c>
      <c r="J2736" t="s">
        <v>972</v>
      </c>
    </row>
    <row r="2737" spans="2:10">
      <c r="B2737" t="s">
        <v>970</v>
      </c>
      <c r="C2737" t="s">
        <v>971</v>
      </c>
      <c r="D2737" t="s">
        <v>264</v>
      </c>
      <c r="E2737" t="s">
        <v>244</v>
      </c>
      <c r="F2737" t="s">
        <v>313</v>
      </c>
      <c r="G2737" t="s">
        <v>44</v>
      </c>
      <c r="H2737">
        <v>183</v>
      </c>
      <c r="I2737" t="str">
        <f t="shared" si="42"/>
        <v>Alternative (High) Schools|DPOLE|Average</v>
      </c>
      <c r="J2737" t="s">
        <v>972</v>
      </c>
    </row>
    <row r="2738" spans="2:10">
      <c r="B2738" t="s">
        <v>970</v>
      </c>
      <c r="C2738" t="s">
        <v>971</v>
      </c>
      <c r="D2738" t="s">
        <v>264</v>
      </c>
      <c r="E2738" t="s">
        <v>244</v>
      </c>
      <c r="F2738" t="s">
        <v>219</v>
      </c>
      <c r="G2738" t="s">
        <v>229</v>
      </c>
      <c r="H2738">
        <v>238</v>
      </c>
      <c r="I2738" t="str">
        <f t="shared" si="42"/>
        <v>Alternative (High) Schools|S|Good</v>
      </c>
      <c r="J2738" t="s">
        <v>972</v>
      </c>
    </row>
    <row r="2739" spans="2:10">
      <c r="B2739" t="s">
        <v>970</v>
      </c>
      <c r="C2739" t="s">
        <v>971</v>
      </c>
      <c r="D2739" t="s">
        <v>264</v>
      </c>
      <c r="E2739" t="s">
        <v>244</v>
      </c>
      <c r="F2739" t="s">
        <v>219</v>
      </c>
      <c r="G2739" t="s">
        <v>44</v>
      </c>
      <c r="H2739">
        <v>184</v>
      </c>
      <c r="I2739" t="str">
        <f t="shared" si="42"/>
        <v>Alternative (High) Schools|S|Average</v>
      </c>
      <c r="J2739" t="s">
        <v>972</v>
      </c>
    </row>
    <row r="2740" spans="2:10">
      <c r="B2740" t="s">
        <v>973</v>
      </c>
      <c r="C2740" t="s">
        <v>974</v>
      </c>
      <c r="D2740" t="s">
        <v>264</v>
      </c>
      <c r="E2740" t="s">
        <v>244</v>
      </c>
      <c r="F2740" t="s">
        <v>270</v>
      </c>
      <c r="G2740" t="s">
        <v>44</v>
      </c>
      <c r="H2740">
        <v>229</v>
      </c>
      <c r="I2740" t="str">
        <f t="shared" si="42"/>
        <v>Day Care Centers|A-B|Average</v>
      </c>
      <c r="J2740" t="s">
        <v>972</v>
      </c>
    </row>
    <row r="2741" spans="2:10">
      <c r="B2741" t="s">
        <v>973</v>
      </c>
      <c r="C2741" t="s">
        <v>974</v>
      </c>
      <c r="D2741" t="s">
        <v>264</v>
      </c>
      <c r="E2741" t="s">
        <v>244</v>
      </c>
      <c r="F2741" t="s">
        <v>209</v>
      </c>
      <c r="G2741" t="s">
        <v>231</v>
      </c>
      <c r="H2741">
        <v>294</v>
      </c>
      <c r="I2741" t="str">
        <f t="shared" si="42"/>
        <v>Day Care Centers|C|Excellent</v>
      </c>
      <c r="J2741" t="s">
        <v>972</v>
      </c>
    </row>
    <row r="2742" spans="2:10">
      <c r="B2742" t="s">
        <v>973</v>
      </c>
      <c r="C2742" t="s">
        <v>974</v>
      </c>
      <c r="D2742" t="s">
        <v>264</v>
      </c>
      <c r="E2742" t="s">
        <v>244</v>
      </c>
      <c r="F2742" t="s">
        <v>209</v>
      </c>
      <c r="G2742" t="s">
        <v>229</v>
      </c>
      <c r="H2742">
        <v>225</v>
      </c>
      <c r="I2742" t="str">
        <f t="shared" si="42"/>
        <v>Day Care Centers|C|Good</v>
      </c>
      <c r="J2742" t="s">
        <v>972</v>
      </c>
    </row>
    <row r="2743" spans="2:10">
      <c r="B2743" t="s">
        <v>973</v>
      </c>
      <c r="C2743" t="s">
        <v>974</v>
      </c>
      <c r="D2743" t="s">
        <v>264</v>
      </c>
      <c r="E2743" t="s">
        <v>244</v>
      </c>
      <c r="F2743" t="s">
        <v>209</v>
      </c>
      <c r="G2743" t="s">
        <v>44</v>
      </c>
      <c r="H2743">
        <v>173</v>
      </c>
      <c r="I2743" t="str">
        <f t="shared" si="42"/>
        <v>Day Care Centers|C|Average</v>
      </c>
      <c r="J2743" t="s">
        <v>972</v>
      </c>
    </row>
    <row r="2744" spans="2:10">
      <c r="B2744" t="s">
        <v>973</v>
      </c>
      <c r="C2744" t="s">
        <v>974</v>
      </c>
      <c r="D2744" t="s">
        <v>264</v>
      </c>
      <c r="E2744" t="s">
        <v>244</v>
      </c>
      <c r="F2744" t="s">
        <v>209</v>
      </c>
      <c r="G2744" t="s">
        <v>226</v>
      </c>
      <c r="H2744">
        <v>128</v>
      </c>
      <c r="I2744" t="str">
        <f t="shared" si="42"/>
        <v>Day Care Centers|C|Low Cost</v>
      </c>
      <c r="J2744" t="s">
        <v>972</v>
      </c>
    </row>
    <row r="2745" spans="2:10">
      <c r="B2745" t="s">
        <v>973</v>
      </c>
      <c r="C2745" t="s">
        <v>974</v>
      </c>
      <c r="D2745" t="s">
        <v>264</v>
      </c>
      <c r="E2745" t="s">
        <v>244</v>
      </c>
      <c r="F2745" t="s">
        <v>214</v>
      </c>
      <c r="G2745" t="s">
        <v>231</v>
      </c>
      <c r="H2745">
        <v>290</v>
      </c>
      <c r="I2745" t="str">
        <f t="shared" si="42"/>
        <v>Day Care Centers|D|Excellent</v>
      </c>
      <c r="J2745" t="s">
        <v>972</v>
      </c>
    </row>
    <row r="2746" spans="2:10">
      <c r="B2746" t="s">
        <v>973</v>
      </c>
      <c r="C2746" t="s">
        <v>974</v>
      </c>
      <c r="D2746" t="s">
        <v>264</v>
      </c>
      <c r="E2746" t="s">
        <v>244</v>
      </c>
      <c r="F2746" t="s">
        <v>214</v>
      </c>
      <c r="G2746" t="s">
        <v>229</v>
      </c>
      <c r="H2746">
        <v>220</v>
      </c>
      <c r="I2746" t="str">
        <f t="shared" si="42"/>
        <v>Day Care Centers|D|Good</v>
      </c>
      <c r="J2746" t="s">
        <v>972</v>
      </c>
    </row>
    <row r="2747" spans="2:10">
      <c r="B2747" t="s">
        <v>973</v>
      </c>
      <c r="C2747" t="s">
        <v>974</v>
      </c>
      <c r="D2747" t="s">
        <v>264</v>
      </c>
      <c r="E2747" t="s">
        <v>244</v>
      </c>
      <c r="F2747" t="s">
        <v>214</v>
      </c>
      <c r="G2747" t="s">
        <v>44</v>
      </c>
      <c r="H2747">
        <v>168</v>
      </c>
      <c r="I2747" t="str">
        <f t="shared" si="42"/>
        <v>Day Care Centers|D|Average</v>
      </c>
      <c r="J2747" t="s">
        <v>972</v>
      </c>
    </row>
    <row r="2748" spans="2:10">
      <c r="B2748" t="s">
        <v>973</v>
      </c>
      <c r="C2748" t="s">
        <v>974</v>
      </c>
      <c r="D2748" t="s">
        <v>264</v>
      </c>
      <c r="E2748" t="s">
        <v>244</v>
      </c>
      <c r="F2748" t="s">
        <v>214</v>
      </c>
      <c r="G2748" t="s">
        <v>226</v>
      </c>
      <c r="H2748">
        <v>122</v>
      </c>
      <c r="I2748" t="str">
        <f t="shared" si="42"/>
        <v>Day Care Centers|D|Low Cost</v>
      </c>
      <c r="J2748" t="s">
        <v>972</v>
      </c>
    </row>
    <row r="2749" spans="2:10">
      <c r="B2749" t="s">
        <v>973</v>
      </c>
      <c r="C2749" t="s">
        <v>974</v>
      </c>
      <c r="D2749" t="s">
        <v>264</v>
      </c>
      <c r="E2749" t="s">
        <v>244</v>
      </c>
      <c r="F2749" t="s">
        <v>313</v>
      </c>
      <c r="G2749" t="s">
        <v>44</v>
      </c>
      <c r="H2749">
        <v>160</v>
      </c>
      <c r="I2749" t="str">
        <f t="shared" si="42"/>
        <v>Day Care Centers|DPOLE|Average</v>
      </c>
      <c r="J2749" t="s">
        <v>972</v>
      </c>
    </row>
    <row r="2750" spans="2:10">
      <c r="B2750" t="s">
        <v>973</v>
      </c>
      <c r="C2750" t="s">
        <v>974</v>
      </c>
      <c r="D2750" t="s">
        <v>264</v>
      </c>
      <c r="E2750" t="s">
        <v>244</v>
      </c>
      <c r="F2750" t="s">
        <v>313</v>
      </c>
      <c r="G2750" t="s">
        <v>226</v>
      </c>
      <c r="H2750">
        <v>116</v>
      </c>
      <c r="I2750" t="str">
        <f t="shared" si="42"/>
        <v>Day Care Centers|DPOLE|Low Cost</v>
      </c>
      <c r="J2750" t="s">
        <v>972</v>
      </c>
    </row>
    <row r="2751" spans="2:10">
      <c r="B2751" t="s">
        <v>973</v>
      </c>
      <c r="C2751" t="s">
        <v>974</v>
      </c>
      <c r="D2751" t="s">
        <v>264</v>
      </c>
      <c r="E2751" t="s">
        <v>244</v>
      </c>
      <c r="F2751" t="s">
        <v>219</v>
      </c>
      <c r="G2751" t="s">
        <v>44</v>
      </c>
      <c r="H2751">
        <v>162</v>
      </c>
      <c r="I2751" t="str">
        <f t="shared" si="42"/>
        <v>Day Care Centers|S|Average</v>
      </c>
      <c r="J2751" t="s">
        <v>972</v>
      </c>
    </row>
    <row r="2752" spans="2:10">
      <c r="B2752" t="s">
        <v>973</v>
      </c>
      <c r="C2752" t="s">
        <v>974</v>
      </c>
      <c r="D2752" t="s">
        <v>264</v>
      </c>
      <c r="E2752" t="s">
        <v>244</v>
      </c>
      <c r="F2752" t="s">
        <v>219</v>
      </c>
      <c r="G2752" t="s">
        <v>226</v>
      </c>
      <c r="H2752">
        <v>118</v>
      </c>
      <c r="I2752" t="str">
        <f t="shared" si="42"/>
        <v>Day Care Centers|S|Low Cost</v>
      </c>
      <c r="J2752" t="s">
        <v>972</v>
      </c>
    </row>
    <row r="2753" spans="2:10">
      <c r="B2753" t="s">
        <v>975</v>
      </c>
      <c r="C2753" t="s">
        <v>976</v>
      </c>
      <c r="D2753" t="s">
        <v>264</v>
      </c>
      <c r="E2753" t="s">
        <v>248</v>
      </c>
      <c r="F2753" t="s">
        <v>270</v>
      </c>
      <c r="G2753" t="s">
        <v>231</v>
      </c>
      <c r="H2753">
        <v>357</v>
      </c>
      <c r="I2753" t="str">
        <f t="shared" si="42"/>
        <v>Classrooms|A-B|Excellent</v>
      </c>
      <c r="J2753" t="s">
        <v>977</v>
      </c>
    </row>
    <row r="2754" spans="2:10">
      <c r="B2754" t="s">
        <v>975</v>
      </c>
      <c r="C2754" t="s">
        <v>976</v>
      </c>
      <c r="D2754" t="s">
        <v>264</v>
      </c>
      <c r="E2754" t="s">
        <v>248</v>
      </c>
      <c r="F2754" t="s">
        <v>270</v>
      </c>
      <c r="G2754" t="s">
        <v>229</v>
      </c>
      <c r="H2754">
        <v>291</v>
      </c>
      <c r="I2754" t="str">
        <f t="shared" si="42"/>
        <v>Classrooms|A-B|Good</v>
      </c>
      <c r="J2754" t="s">
        <v>977</v>
      </c>
    </row>
    <row r="2755" spans="2:10">
      <c r="B2755" t="s">
        <v>975</v>
      </c>
      <c r="C2755" t="s">
        <v>976</v>
      </c>
      <c r="D2755" t="s">
        <v>264</v>
      </c>
      <c r="E2755" t="s">
        <v>248</v>
      </c>
      <c r="F2755" t="s">
        <v>270</v>
      </c>
      <c r="G2755" t="s">
        <v>44</v>
      </c>
      <c r="H2755">
        <v>224</v>
      </c>
      <c r="I2755" t="str">
        <f t="shared" si="42"/>
        <v>Classrooms|A-B|Average</v>
      </c>
      <c r="J2755" t="s">
        <v>977</v>
      </c>
    </row>
    <row r="2756" spans="2:10">
      <c r="B2756" t="s">
        <v>975</v>
      </c>
      <c r="C2756" t="s">
        <v>976</v>
      </c>
      <c r="D2756" t="s">
        <v>264</v>
      </c>
      <c r="E2756" t="s">
        <v>248</v>
      </c>
      <c r="F2756" t="s">
        <v>270</v>
      </c>
      <c r="G2756" t="s">
        <v>226</v>
      </c>
      <c r="H2756">
        <v>172</v>
      </c>
      <c r="I2756" t="str">
        <f t="shared" si="42"/>
        <v>Classrooms|A-B|Low Cost</v>
      </c>
      <c r="J2756" t="s">
        <v>977</v>
      </c>
    </row>
    <row r="2757" spans="2:10">
      <c r="B2757" t="s">
        <v>975</v>
      </c>
      <c r="C2757" t="s">
        <v>976</v>
      </c>
      <c r="D2757" t="s">
        <v>264</v>
      </c>
      <c r="E2757" t="s">
        <v>248</v>
      </c>
      <c r="F2757" t="s">
        <v>209</v>
      </c>
      <c r="G2757" t="s">
        <v>231</v>
      </c>
      <c r="H2757">
        <v>288</v>
      </c>
      <c r="I2757" t="str">
        <f t="shared" si="42"/>
        <v>Classrooms|C|Excellent</v>
      </c>
      <c r="J2757" t="s">
        <v>977</v>
      </c>
    </row>
    <row r="2758" spans="2:10">
      <c r="B2758" t="s">
        <v>975</v>
      </c>
      <c r="C2758" t="s">
        <v>976</v>
      </c>
      <c r="D2758" t="s">
        <v>264</v>
      </c>
      <c r="E2758" t="s">
        <v>248</v>
      </c>
      <c r="F2758" t="s">
        <v>209</v>
      </c>
      <c r="G2758" t="s">
        <v>229</v>
      </c>
      <c r="H2758">
        <v>223</v>
      </c>
      <c r="I2758" t="str">
        <f t="shared" si="42"/>
        <v>Classrooms|C|Good</v>
      </c>
      <c r="J2758" t="s">
        <v>977</v>
      </c>
    </row>
    <row r="2759" spans="2:10">
      <c r="B2759" t="s">
        <v>975</v>
      </c>
      <c r="C2759" t="s">
        <v>976</v>
      </c>
      <c r="D2759" t="s">
        <v>264</v>
      </c>
      <c r="E2759" t="s">
        <v>248</v>
      </c>
      <c r="F2759" t="s">
        <v>209</v>
      </c>
      <c r="G2759" t="s">
        <v>44</v>
      </c>
      <c r="H2759">
        <v>171</v>
      </c>
      <c r="I2759" t="str">
        <f t="shared" si="42"/>
        <v>Classrooms|C|Average</v>
      </c>
      <c r="J2759" t="s">
        <v>977</v>
      </c>
    </row>
    <row r="2760" spans="2:10">
      <c r="B2760" t="s">
        <v>975</v>
      </c>
      <c r="C2760" t="s">
        <v>976</v>
      </c>
      <c r="D2760" t="s">
        <v>264</v>
      </c>
      <c r="E2760" t="s">
        <v>248</v>
      </c>
      <c r="F2760" t="s">
        <v>209</v>
      </c>
      <c r="G2760" t="s">
        <v>226</v>
      </c>
      <c r="H2760">
        <v>136</v>
      </c>
      <c r="I2760" t="str">
        <f t="shared" si="42"/>
        <v>Classrooms|C|Low Cost</v>
      </c>
      <c r="J2760" t="s">
        <v>977</v>
      </c>
    </row>
    <row r="2761" spans="2:10">
      <c r="B2761" t="s">
        <v>975</v>
      </c>
      <c r="C2761" t="s">
        <v>976</v>
      </c>
      <c r="D2761" t="s">
        <v>264</v>
      </c>
      <c r="E2761" t="s">
        <v>248</v>
      </c>
      <c r="F2761" t="s">
        <v>209</v>
      </c>
      <c r="G2761" t="s">
        <v>314</v>
      </c>
      <c r="H2761">
        <v>98</v>
      </c>
      <c r="I2761" t="str">
        <f t="shared" si="42"/>
        <v>Classrooms|C|Cheap</v>
      </c>
      <c r="J2761" t="s">
        <v>977</v>
      </c>
    </row>
    <row r="2762" spans="2:10">
      <c r="B2762" t="s">
        <v>975</v>
      </c>
      <c r="C2762" t="s">
        <v>976</v>
      </c>
      <c r="D2762" t="s">
        <v>264</v>
      </c>
      <c r="E2762" t="s">
        <v>248</v>
      </c>
      <c r="F2762" t="s">
        <v>214</v>
      </c>
      <c r="G2762" t="s">
        <v>231</v>
      </c>
      <c r="H2762">
        <v>283</v>
      </c>
      <c r="I2762" t="str">
        <f t="shared" si="42"/>
        <v>Classrooms|D|Excellent</v>
      </c>
      <c r="J2762" t="s">
        <v>977</v>
      </c>
    </row>
    <row r="2763" spans="2:10">
      <c r="B2763" t="s">
        <v>975</v>
      </c>
      <c r="C2763" t="s">
        <v>976</v>
      </c>
      <c r="D2763" t="s">
        <v>264</v>
      </c>
      <c r="E2763" t="s">
        <v>248</v>
      </c>
      <c r="F2763" t="s">
        <v>214</v>
      </c>
      <c r="G2763" t="s">
        <v>229</v>
      </c>
      <c r="H2763">
        <v>217</v>
      </c>
      <c r="I2763" t="str">
        <f t="shared" si="42"/>
        <v>Classrooms|D|Good</v>
      </c>
      <c r="J2763" t="s">
        <v>977</v>
      </c>
    </row>
    <row r="2764" spans="2:10">
      <c r="B2764" t="s">
        <v>975</v>
      </c>
      <c r="C2764" t="s">
        <v>976</v>
      </c>
      <c r="D2764" t="s">
        <v>264</v>
      </c>
      <c r="E2764" t="s">
        <v>248</v>
      </c>
      <c r="F2764" t="s">
        <v>214</v>
      </c>
      <c r="G2764" t="s">
        <v>44</v>
      </c>
      <c r="H2764">
        <v>166</v>
      </c>
      <c r="I2764" t="str">
        <f t="shared" si="42"/>
        <v>Classrooms|D|Average</v>
      </c>
      <c r="J2764" t="s">
        <v>977</v>
      </c>
    </row>
    <row r="2765" spans="2:10">
      <c r="B2765" t="s">
        <v>975</v>
      </c>
      <c r="C2765" t="s">
        <v>976</v>
      </c>
      <c r="D2765" t="s">
        <v>264</v>
      </c>
      <c r="E2765" t="s">
        <v>248</v>
      </c>
      <c r="F2765" t="s">
        <v>214</v>
      </c>
      <c r="G2765" t="s">
        <v>226</v>
      </c>
      <c r="H2765">
        <v>130</v>
      </c>
      <c r="I2765" t="str">
        <f t="shared" si="42"/>
        <v>Classrooms|D|Low Cost</v>
      </c>
      <c r="J2765" t="s">
        <v>977</v>
      </c>
    </row>
    <row r="2766" spans="2:10">
      <c r="B2766" t="s">
        <v>975</v>
      </c>
      <c r="C2766" t="s">
        <v>976</v>
      </c>
      <c r="D2766" t="s">
        <v>264</v>
      </c>
      <c r="E2766" t="s">
        <v>248</v>
      </c>
      <c r="F2766" t="s">
        <v>214</v>
      </c>
      <c r="G2766" t="s">
        <v>314</v>
      </c>
      <c r="H2766">
        <v>93</v>
      </c>
      <c r="I2766" t="str">
        <f t="shared" si="42"/>
        <v>Classrooms|D|Cheap</v>
      </c>
      <c r="J2766" t="s">
        <v>977</v>
      </c>
    </row>
    <row r="2767" spans="2:10">
      <c r="B2767" t="s">
        <v>975</v>
      </c>
      <c r="C2767" t="s">
        <v>976</v>
      </c>
      <c r="D2767" t="s">
        <v>264</v>
      </c>
      <c r="E2767" t="s">
        <v>248</v>
      </c>
      <c r="F2767" t="s">
        <v>313</v>
      </c>
      <c r="G2767" t="s">
        <v>229</v>
      </c>
      <c r="H2767">
        <v>210</v>
      </c>
      <c r="I2767" t="str">
        <f t="shared" si="42"/>
        <v>Classrooms|DPOLE|Good</v>
      </c>
      <c r="J2767" t="s">
        <v>977</v>
      </c>
    </row>
    <row r="2768" spans="2:10">
      <c r="B2768" t="s">
        <v>975</v>
      </c>
      <c r="C2768" t="s">
        <v>976</v>
      </c>
      <c r="D2768" t="s">
        <v>264</v>
      </c>
      <c r="E2768" t="s">
        <v>248</v>
      </c>
      <c r="F2768" t="s">
        <v>313</v>
      </c>
      <c r="G2768" t="s">
        <v>44</v>
      </c>
      <c r="H2768">
        <v>159</v>
      </c>
      <c r="I2768" t="str">
        <f t="shared" si="42"/>
        <v>Classrooms|DPOLE|Average</v>
      </c>
      <c r="J2768" t="s">
        <v>977</v>
      </c>
    </row>
    <row r="2769" spans="2:10">
      <c r="B2769" t="s">
        <v>975</v>
      </c>
      <c r="C2769" t="s">
        <v>976</v>
      </c>
      <c r="D2769" t="s">
        <v>264</v>
      </c>
      <c r="E2769" t="s">
        <v>248</v>
      </c>
      <c r="F2769" t="s">
        <v>313</v>
      </c>
      <c r="G2769" t="s">
        <v>226</v>
      </c>
      <c r="H2769">
        <v>124</v>
      </c>
      <c r="I2769" t="str">
        <f t="shared" si="42"/>
        <v>Classrooms|DPOLE|Low Cost</v>
      </c>
      <c r="J2769" t="s">
        <v>977</v>
      </c>
    </row>
    <row r="2770" spans="2:10">
      <c r="B2770" t="s">
        <v>975</v>
      </c>
      <c r="C2770" t="s">
        <v>976</v>
      </c>
      <c r="D2770" t="s">
        <v>264</v>
      </c>
      <c r="E2770" t="s">
        <v>248</v>
      </c>
      <c r="F2770" t="s">
        <v>313</v>
      </c>
      <c r="G2770" t="s">
        <v>314</v>
      </c>
      <c r="H2770">
        <v>87.5</v>
      </c>
      <c r="I2770" t="str">
        <f t="shared" si="42"/>
        <v>Classrooms|DPOLE|Cheap</v>
      </c>
      <c r="J2770" t="s">
        <v>977</v>
      </c>
    </row>
    <row r="2771" spans="2:10">
      <c r="B2771" t="s">
        <v>975</v>
      </c>
      <c r="C2771" t="s">
        <v>976</v>
      </c>
      <c r="D2771" t="s">
        <v>264</v>
      </c>
      <c r="E2771" t="s">
        <v>248</v>
      </c>
      <c r="F2771" t="s">
        <v>219</v>
      </c>
      <c r="G2771" t="s">
        <v>229</v>
      </c>
      <c r="H2771">
        <v>212</v>
      </c>
      <c r="I2771" t="str">
        <f t="shared" si="42"/>
        <v>Classrooms|S|Good</v>
      </c>
      <c r="J2771" t="s">
        <v>977</v>
      </c>
    </row>
    <row r="2772" spans="2:10">
      <c r="B2772" t="s">
        <v>975</v>
      </c>
      <c r="C2772" t="s">
        <v>976</v>
      </c>
      <c r="D2772" t="s">
        <v>264</v>
      </c>
      <c r="E2772" t="s">
        <v>248</v>
      </c>
      <c r="F2772" t="s">
        <v>219</v>
      </c>
      <c r="G2772" t="s">
        <v>44</v>
      </c>
      <c r="H2772">
        <v>160</v>
      </c>
      <c r="I2772" t="str">
        <f t="shared" si="42"/>
        <v>Classrooms|S|Average</v>
      </c>
      <c r="J2772" t="s">
        <v>977</v>
      </c>
    </row>
    <row r="2773" spans="2:10">
      <c r="B2773" t="s">
        <v>975</v>
      </c>
      <c r="C2773" t="s">
        <v>976</v>
      </c>
      <c r="D2773" t="s">
        <v>264</v>
      </c>
      <c r="E2773" t="s">
        <v>248</v>
      </c>
      <c r="F2773" t="s">
        <v>219</v>
      </c>
      <c r="G2773" t="s">
        <v>226</v>
      </c>
      <c r="H2773">
        <v>125</v>
      </c>
      <c r="I2773" t="str">
        <f t="shared" si="42"/>
        <v>Classrooms|S|Low Cost</v>
      </c>
      <c r="J2773" t="s">
        <v>977</v>
      </c>
    </row>
    <row r="2774" spans="2:10">
      <c r="B2774" t="s">
        <v>975</v>
      </c>
      <c r="C2774" t="s">
        <v>976</v>
      </c>
      <c r="D2774" t="s">
        <v>264</v>
      </c>
      <c r="E2774" t="s">
        <v>248</v>
      </c>
      <c r="F2774" t="s">
        <v>219</v>
      </c>
      <c r="G2774" t="s">
        <v>314</v>
      </c>
      <c r="H2774">
        <v>88</v>
      </c>
      <c r="I2774" t="str">
        <f t="shared" si="42"/>
        <v>Classrooms|S|Cheap</v>
      </c>
      <c r="J2774" t="s">
        <v>977</v>
      </c>
    </row>
    <row r="2775" spans="2:10">
      <c r="B2775" t="s">
        <v>978</v>
      </c>
      <c r="C2775" t="s">
        <v>979</v>
      </c>
      <c r="D2775" t="s">
        <v>264</v>
      </c>
      <c r="E2775" t="s">
        <v>253</v>
      </c>
      <c r="F2775" t="s">
        <v>270</v>
      </c>
      <c r="G2775" t="s">
        <v>229</v>
      </c>
      <c r="H2775">
        <v>324</v>
      </c>
      <c r="I2775" t="str">
        <f t="shared" si="42"/>
        <v>Special Education Classrooms|A-B|Good</v>
      </c>
      <c r="J2775" t="s">
        <v>980</v>
      </c>
    </row>
    <row r="2776" spans="2:10">
      <c r="B2776" t="s">
        <v>978</v>
      </c>
      <c r="C2776" t="s">
        <v>979</v>
      </c>
      <c r="D2776" t="s">
        <v>264</v>
      </c>
      <c r="E2776" t="s">
        <v>253</v>
      </c>
      <c r="F2776" t="s">
        <v>270</v>
      </c>
      <c r="G2776" t="s">
        <v>44</v>
      </c>
      <c r="H2776">
        <v>242</v>
      </c>
      <c r="I2776" t="str">
        <f t="shared" si="42"/>
        <v>Special Education Classrooms|A-B|Average</v>
      </c>
      <c r="J2776" t="s">
        <v>980</v>
      </c>
    </row>
    <row r="2777" spans="2:10">
      <c r="B2777" t="s">
        <v>978</v>
      </c>
      <c r="C2777" t="s">
        <v>979</v>
      </c>
      <c r="D2777" t="s">
        <v>264</v>
      </c>
      <c r="E2777" t="s">
        <v>253</v>
      </c>
      <c r="F2777" t="s">
        <v>209</v>
      </c>
      <c r="G2777" t="s">
        <v>231</v>
      </c>
      <c r="H2777">
        <v>321</v>
      </c>
      <c r="I2777" t="str">
        <f t="shared" si="42"/>
        <v>Special Education Classrooms|C|Excellent</v>
      </c>
      <c r="J2777" t="s">
        <v>980</v>
      </c>
    </row>
    <row r="2778" spans="2:10">
      <c r="B2778" t="s">
        <v>978</v>
      </c>
      <c r="C2778" t="s">
        <v>979</v>
      </c>
      <c r="D2778" t="s">
        <v>264</v>
      </c>
      <c r="E2778" t="s">
        <v>253</v>
      </c>
      <c r="F2778" t="s">
        <v>209</v>
      </c>
      <c r="G2778" t="s">
        <v>229</v>
      </c>
      <c r="H2778">
        <v>242</v>
      </c>
      <c r="I2778" t="str">
        <f t="shared" si="42"/>
        <v>Special Education Classrooms|C|Good</v>
      </c>
      <c r="J2778" t="s">
        <v>980</v>
      </c>
    </row>
    <row r="2779" spans="2:10">
      <c r="B2779" t="s">
        <v>978</v>
      </c>
      <c r="C2779" t="s">
        <v>979</v>
      </c>
      <c r="D2779" t="s">
        <v>264</v>
      </c>
      <c r="E2779" t="s">
        <v>253</v>
      </c>
      <c r="F2779" t="s">
        <v>209</v>
      </c>
      <c r="G2779" t="s">
        <v>44</v>
      </c>
      <c r="H2779">
        <v>181</v>
      </c>
      <c r="I2779" t="str">
        <f t="shared" si="42"/>
        <v>Special Education Classrooms|C|Average</v>
      </c>
      <c r="J2779" t="s">
        <v>980</v>
      </c>
    </row>
    <row r="2780" spans="2:10">
      <c r="B2780" t="s">
        <v>978</v>
      </c>
      <c r="C2780" t="s">
        <v>979</v>
      </c>
      <c r="D2780" t="s">
        <v>264</v>
      </c>
      <c r="E2780" t="s">
        <v>253</v>
      </c>
      <c r="F2780" t="s">
        <v>214</v>
      </c>
      <c r="G2780" t="s">
        <v>231</v>
      </c>
      <c r="H2780">
        <v>317</v>
      </c>
      <c r="I2780" t="str">
        <f t="shared" si="42"/>
        <v>Special Education Classrooms|D|Excellent</v>
      </c>
      <c r="J2780" t="s">
        <v>980</v>
      </c>
    </row>
    <row r="2781" spans="2:10">
      <c r="B2781" t="s">
        <v>978</v>
      </c>
      <c r="C2781" t="s">
        <v>979</v>
      </c>
      <c r="D2781" t="s">
        <v>264</v>
      </c>
      <c r="E2781" t="s">
        <v>253</v>
      </c>
      <c r="F2781" t="s">
        <v>214</v>
      </c>
      <c r="G2781" t="s">
        <v>229</v>
      </c>
      <c r="H2781">
        <v>237</v>
      </c>
      <c r="I2781" t="str">
        <f t="shared" si="42"/>
        <v>Special Education Classrooms|D|Good</v>
      </c>
      <c r="J2781" t="s">
        <v>980</v>
      </c>
    </row>
    <row r="2782" spans="2:10">
      <c r="B2782" t="s">
        <v>978</v>
      </c>
      <c r="C2782" t="s">
        <v>979</v>
      </c>
      <c r="D2782" t="s">
        <v>264</v>
      </c>
      <c r="E2782" t="s">
        <v>253</v>
      </c>
      <c r="F2782" t="s">
        <v>214</v>
      </c>
      <c r="G2782" t="s">
        <v>44</v>
      </c>
      <c r="H2782">
        <v>176</v>
      </c>
      <c r="I2782" t="str">
        <f t="shared" ref="I2782:I2845" si="43">B2782&amp;"|"&amp;F2782&amp;"|"&amp;G2782</f>
        <v>Special Education Classrooms|D|Average</v>
      </c>
      <c r="J2782" t="s">
        <v>980</v>
      </c>
    </row>
    <row r="2783" spans="2:10">
      <c r="B2783" t="s">
        <v>978</v>
      </c>
      <c r="C2783" t="s">
        <v>979</v>
      </c>
      <c r="D2783" t="s">
        <v>264</v>
      </c>
      <c r="E2783" t="s">
        <v>253</v>
      </c>
      <c r="F2783" t="s">
        <v>313</v>
      </c>
      <c r="G2783" t="s">
        <v>229</v>
      </c>
      <c r="H2783">
        <v>230</v>
      </c>
      <c r="I2783" t="str">
        <f t="shared" si="43"/>
        <v>Special Education Classrooms|DPOLE|Good</v>
      </c>
      <c r="J2783" t="s">
        <v>980</v>
      </c>
    </row>
    <row r="2784" spans="2:10">
      <c r="B2784" t="s">
        <v>978</v>
      </c>
      <c r="C2784" t="s">
        <v>979</v>
      </c>
      <c r="D2784" t="s">
        <v>264</v>
      </c>
      <c r="E2784" t="s">
        <v>253</v>
      </c>
      <c r="F2784" t="s">
        <v>313</v>
      </c>
      <c r="G2784" t="s">
        <v>44</v>
      </c>
      <c r="H2784">
        <v>169</v>
      </c>
      <c r="I2784" t="str">
        <f t="shared" si="43"/>
        <v>Special Education Classrooms|DPOLE|Average</v>
      </c>
      <c r="J2784" t="s">
        <v>980</v>
      </c>
    </row>
    <row r="2785" spans="2:10">
      <c r="B2785" t="s">
        <v>978</v>
      </c>
      <c r="C2785" t="s">
        <v>979</v>
      </c>
      <c r="D2785" t="s">
        <v>264</v>
      </c>
      <c r="E2785" t="s">
        <v>253</v>
      </c>
      <c r="F2785" t="s">
        <v>219</v>
      </c>
      <c r="G2785" t="s">
        <v>229</v>
      </c>
      <c r="H2785">
        <v>232</v>
      </c>
      <c r="I2785" t="str">
        <f t="shared" si="43"/>
        <v>Special Education Classrooms|S|Good</v>
      </c>
      <c r="J2785" t="s">
        <v>980</v>
      </c>
    </row>
    <row r="2786" spans="2:10">
      <c r="B2786" t="s">
        <v>978</v>
      </c>
      <c r="C2786" t="s">
        <v>979</v>
      </c>
      <c r="D2786" t="s">
        <v>264</v>
      </c>
      <c r="E2786" t="s">
        <v>253</v>
      </c>
      <c r="F2786" t="s">
        <v>219</v>
      </c>
      <c r="G2786" t="s">
        <v>44</v>
      </c>
      <c r="H2786">
        <v>171</v>
      </c>
      <c r="I2786" t="str">
        <f t="shared" si="43"/>
        <v>Special Education Classrooms|S|Average</v>
      </c>
      <c r="J2786" t="s">
        <v>980</v>
      </c>
    </row>
    <row r="2787" spans="2:10">
      <c r="B2787" t="s">
        <v>981</v>
      </c>
      <c r="C2787" t="s">
        <v>982</v>
      </c>
      <c r="D2787" t="s">
        <v>264</v>
      </c>
      <c r="E2787" t="s">
        <v>253</v>
      </c>
      <c r="F2787" t="s">
        <v>214</v>
      </c>
      <c r="G2787" t="s">
        <v>231</v>
      </c>
      <c r="H2787">
        <v>198</v>
      </c>
      <c r="I2787" t="str">
        <f t="shared" si="43"/>
        <v>Relocatable Classrooms|D|Excellent</v>
      </c>
      <c r="J2787" t="s">
        <v>980</v>
      </c>
    </row>
    <row r="2788" spans="2:10">
      <c r="B2788" t="s">
        <v>981</v>
      </c>
      <c r="C2788" t="s">
        <v>982</v>
      </c>
      <c r="D2788" t="s">
        <v>264</v>
      </c>
      <c r="E2788" t="s">
        <v>253</v>
      </c>
      <c r="F2788" t="s">
        <v>214</v>
      </c>
      <c r="G2788" t="s">
        <v>229</v>
      </c>
      <c r="H2788">
        <v>158</v>
      </c>
      <c r="I2788" t="str">
        <f t="shared" si="43"/>
        <v>Relocatable Classrooms|D|Good</v>
      </c>
      <c r="J2788" t="s">
        <v>980</v>
      </c>
    </row>
    <row r="2789" spans="2:10">
      <c r="B2789" t="s">
        <v>981</v>
      </c>
      <c r="C2789" t="s">
        <v>982</v>
      </c>
      <c r="D2789" t="s">
        <v>264</v>
      </c>
      <c r="E2789" t="s">
        <v>253</v>
      </c>
      <c r="F2789" t="s">
        <v>214</v>
      </c>
      <c r="G2789" t="s">
        <v>44</v>
      </c>
      <c r="H2789">
        <v>131</v>
      </c>
      <c r="I2789" t="str">
        <f t="shared" si="43"/>
        <v>Relocatable Classrooms|D|Average</v>
      </c>
      <c r="J2789" t="s">
        <v>980</v>
      </c>
    </row>
    <row r="2790" spans="2:10">
      <c r="B2790" t="s">
        <v>981</v>
      </c>
      <c r="C2790" t="s">
        <v>982</v>
      </c>
      <c r="D2790" t="s">
        <v>264</v>
      </c>
      <c r="E2790" t="s">
        <v>253</v>
      </c>
      <c r="F2790" t="s">
        <v>214</v>
      </c>
      <c r="G2790" t="s">
        <v>226</v>
      </c>
      <c r="H2790">
        <v>109</v>
      </c>
      <c r="I2790" t="str">
        <f t="shared" si="43"/>
        <v>Relocatable Classrooms|D|Low Cost</v>
      </c>
      <c r="J2790" t="s">
        <v>980</v>
      </c>
    </row>
    <row r="2791" spans="2:10">
      <c r="B2791" t="s">
        <v>981</v>
      </c>
      <c r="C2791" t="s">
        <v>982</v>
      </c>
      <c r="D2791" t="s">
        <v>264</v>
      </c>
      <c r="E2791" t="s">
        <v>253</v>
      </c>
      <c r="F2791" t="s">
        <v>214</v>
      </c>
      <c r="G2791" t="s">
        <v>314</v>
      </c>
      <c r="H2791">
        <v>82</v>
      </c>
      <c r="I2791" t="str">
        <f t="shared" si="43"/>
        <v>Relocatable Classrooms|D|Cheap</v>
      </c>
      <c r="J2791" t="s">
        <v>980</v>
      </c>
    </row>
    <row r="2792" spans="2:10">
      <c r="B2792" t="s">
        <v>983</v>
      </c>
      <c r="C2792" t="s">
        <v>984</v>
      </c>
      <c r="D2792" t="s">
        <v>264</v>
      </c>
      <c r="E2792" t="s">
        <v>258</v>
      </c>
      <c r="F2792" t="s">
        <v>270</v>
      </c>
      <c r="G2792" t="s">
        <v>44</v>
      </c>
      <c r="H2792">
        <v>204</v>
      </c>
      <c r="I2792" t="str">
        <f t="shared" si="43"/>
        <v>Manual Arts (Shop) Buildings|A-B|Average</v>
      </c>
      <c r="J2792" t="s">
        <v>985</v>
      </c>
    </row>
    <row r="2793" spans="2:10">
      <c r="B2793" t="s">
        <v>983</v>
      </c>
      <c r="C2793" t="s">
        <v>984</v>
      </c>
      <c r="D2793" t="s">
        <v>264</v>
      </c>
      <c r="E2793" t="s">
        <v>258</v>
      </c>
      <c r="F2793" t="s">
        <v>270</v>
      </c>
      <c r="G2793" t="s">
        <v>226</v>
      </c>
      <c r="H2793">
        <v>153</v>
      </c>
      <c r="I2793" t="str">
        <f t="shared" si="43"/>
        <v>Manual Arts (Shop) Buildings|A-B|Low Cost</v>
      </c>
      <c r="J2793" t="s">
        <v>985</v>
      </c>
    </row>
    <row r="2794" spans="2:10">
      <c r="B2794" t="s">
        <v>983</v>
      </c>
      <c r="C2794" t="s">
        <v>984</v>
      </c>
      <c r="D2794" t="s">
        <v>264</v>
      </c>
      <c r="E2794" t="s">
        <v>258</v>
      </c>
      <c r="F2794" t="s">
        <v>209</v>
      </c>
      <c r="G2794" t="s">
        <v>229</v>
      </c>
      <c r="H2794">
        <v>207</v>
      </c>
      <c r="I2794" t="str">
        <f t="shared" si="43"/>
        <v>Manual Arts (Shop) Buildings|C|Good</v>
      </c>
      <c r="J2794" t="s">
        <v>985</v>
      </c>
    </row>
    <row r="2795" spans="2:10">
      <c r="B2795" t="s">
        <v>983</v>
      </c>
      <c r="C2795" t="s">
        <v>984</v>
      </c>
      <c r="D2795" t="s">
        <v>264</v>
      </c>
      <c r="E2795" t="s">
        <v>258</v>
      </c>
      <c r="F2795" t="s">
        <v>209</v>
      </c>
      <c r="G2795" t="s">
        <v>44</v>
      </c>
      <c r="H2795">
        <v>155</v>
      </c>
      <c r="I2795" t="str">
        <f t="shared" si="43"/>
        <v>Manual Arts (Shop) Buildings|C|Average</v>
      </c>
      <c r="J2795" t="s">
        <v>985</v>
      </c>
    </row>
    <row r="2796" spans="2:10">
      <c r="B2796" t="s">
        <v>983</v>
      </c>
      <c r="C2796" t="s">
        <v>984</v>
      </c>
      <c r="D2796" t="s">
        <v>264</v>
      </c>
      <c r="E2796" t="s">
        <v>258</v>
      </c>
      <c r="F2796" t="s">
        <v>209</v>
      </c>
      <c r="G2796" t="s">
        <v>226</v>
      </c>
      <c r="H2796">
        <v>110</v>
      </c>
      <c r="I2796" t="str">
        <f t="shared" si="43"/>
        <v>Manual Arts (Shop) Buildings|C|Low Cost</v>
      </c>
      <c r="J2796" t="s">
        <v>985</v>
      </c>
    </row>
    <row r="2797" spans="2:10">
      <c r="B2797" t="s">
        <v>983</v>
      </c>
      <c r="C2797" t="s">
        <v>984</v>
      </c>
      <c r="D2797" t="s">
        <v>264</v>
      </c>
      <c r="E2797" t="s">
        <v>258</v>
      </c>
      <c r="F2797" t="s">
        <v>214</v>
      </c>
      <c r="G2797" t="s">
        <v>229</v>
      </c>
      <c r="H2797">
        <v>200</v>
      </c>
      <c r="I2797" t="str">
        <f t="shared" si="43"/>
        <v>Manual Arts (Shop) Buildings|D|Good</v>
      </c>
      <c r="J2797" t="s">
        <v>985</v>
      </c>
    </row>
    <row r="2798" spans="2:10">
      <c r="B2798" t="s">
        <v>983</v>
      </c>
      <c r="C2798" t="s">
        <v>984</v>
      </c>
      <c r="D2798" t="s">
        <v>264</v>
      </c>
      <c r="E2798" t="s">
        <v>258</v>
      </c>
      <c r="F2798" t="s">
        <v>214</v>
      </c>
      <c r="G2798" t="s">
        <v>44</v>
      </c>
      <c r="H2798">
        <v>149</v>
      </c>
      <c r="I2798" t="str">
        <f t="shared" si="43"/>
        <v>Manual Arts (Shop) Buildings|D|Average</v>
      </c>
      <c r="J2798" t="s">
        <v>985</v>
      </c>
    </row>
    <row r="2799" spans="2:10">
      <c r="B2799" t="s">
        <v>983</v>
      </c>
      <c r="C2799" t="s">
        <v>984</v>
      </c>
      <c r="D2799" t="s">
        <v>264</v>
      </c>
      <c r="E2799" t="s">
        <v>258</v>
      </c>
      <c r="F2799" t="s">
        <v>214</v>
      </c>
      <c r="G2799" t="s">
        <v>226</v>
      </c>
      <c r="H2799">
        <v>104</v>
      </c>
      <c r="I2799" t="str">
        <f t="shared" si="43"/>
        <v>Manual Arts (Shop) Buildings|D|Low Cost</v>
      </c>
      <c r="J2799" t="s">
        <v>985</v>
      </c>
    </row>
    <row r="2800" spans="2:10">
      <c r="B2800" t="s">
        <v>983</v>
      </c>
      <c r="C2800" t="s">
        <v>984</v>
      </c>
      <c r="D2800" t="s">
        <v>264</v>
      </c>
      <c r="E2800" t="s">
        <v>258</v>
      </c>
      <c r="F2800" t="s">
        <v>313</v>
      </c>
      <c r="G2800" t="s">
        <v>44</v>
      </c>
      <c r="H2800">
        <v>129</v>
      </c>
      <c r="I2800" t="str">
        <f t="shared" si="43"/>
        <v>Manual Arts (Shop) Buildings|DPOLE|Average</v>
      </c>
      <c r="J2800" t="s">
        <v>985</v>
      </c>
    </row>
    <row r="2801" spans="2:10">
      <c r="B2801" t="s">
        <v>983</v>
      </c>
      <c r="C2801" t="s">
        <v>984</v>
      </c>
      <c r="D2801" t="s">
        <v>264</v>
      </c>
      <c r="E2801" t="s">
        <v>258</v>
      </c>
      <c r="F2801" t="s">
        <v>313</v>
      </c>
      <c r="G2801" t="s">
        <v>226</v>
      </c>
      <c r="H2801">
        <v>89</v>
      </c>
      <c r="I2801" t="str">
        <f t="shared" si="43"/>
        <v>Manual Arts (Shop) Buildings|DPOLE|Low Cost</v>
      </c>
      <c r="J2801" t="s">
        <v>985</v>
      </c>
    </row>
    <row r="2802" spans="2:10">
      <c r="B2802" t="s">
        <v>983</v>
      </c>
      <c r="C2802" t="s">
        <v>984</v>
      </c>
      <c r="D2802" t="s">
        <v>264</v>
      </c>
      <c r="E2802" t="s">
        <v>258</v>
      </c>
      <c r="F2802" t="s">
        <v>219</v>
      </c>
      <c r="G2802" t="s">
        <v>44</v>
      </c>
      <c r="H2802">
        <v>131</v>
      </c>
      <c r="I2802" t="str">
        <f t="shared" si="43"/>
        <v>Manual Arts (Shop) Buildings|S|Average</v>
      </c>
      <c r="J2802" t="s">
        <v>985</v>
      </c>
    </row>
    <row r="2803" spans="2:10">
      <c r="B2803" t="s">
        <v>983</v>
      </c>
      <c r="C2803" t="s">
        <v>984</v>
      </c>
      <c r="D2803" t="s">
        <v>264</v>
      </c>
      <c r="E2803" t="s">
        <v>258</v>
      </c>
      <c r="F2803" t="s">
        <v>219</v>
      </c>
      <c r="G2803" t="s">
        <v>226</v>
      </c>
      <c r="H2803">
        <v>90.5</v>
      </c>
      <c r="I2803" t="str">
        <f t="shared" si="43"/>
        <v>Manual Arts (Shop) Buildings|S|Low Cost</v>
      </c>
      <c r="J2803" t="s">
        <v>985</v>
      </c>
    </row>
    <row r="2804" spans="2:10">
      <c r="B2804" t="s">
        <v>986</v>
      </c>
      <c r="C2804" t="s">
        <v>987</v>
      </c>
      <c r="D2804" t="s">
        <v>264</v>
      </c>
      <c r="E2804" t="s">
        <v>258</v>
      </c>
      <c r="F2804" t="s">
        <v>270</v>
      </c>
      <c r="G2804" t="s">
        <v>44</v>
      </c>
      <c r="H2804">
        <v>247</v>
      </c>
      <c r="I2804" t="str">
        <f t="shared" si="43"/>
        <v>Lecture Classrooms|A-B|Average</v>
      </c>
      <c r="J2804" t="s">
        <v>985</v>
      </c>
    </row>
    <row r="2805" spans="2:10">
      <c r="B2805" t="s">
        <v>986</v>
      </c>
      <c r="C2805" t="s">
        <v>987</v>
      </c>
      <c r="D2805" t="s">
        <v>264</v>
      </c>
      <c r="E2805" t="s">
        <v>258</v>
      </c>
      <c r="F2805" t="s">
        <v>209</v>
      </c>
      <c r="G2805" t="s">
        <v>229</v>
      </c>
      <c r="H2805">
        <v>262</v>
      </c>
      <c r="I2805" t="str">
        <f t="shared" si="43"/>
        <v>Lecture Classrooms|C|Good</v>
      </c>
      <c r="J2805" t="s">
        <v>985</v>
      </c>
    </row>
    <row r="2806" spans="2:10">
      <c r="B2806" t="s">
        <v>986</v>
      </c>
      <c r="C2806" t="s">
        <v>987</v>
      </c>
      <c r="D2806" t="s">
        <v>264</v>
      </c>
      <c r="E2806" t="s">
        <v>258</v>
      </c>
      <c r="F2806" t="s">
        <v>209</v>
      </c>
      <c r="G2806" t="s">
        <v>44</v>
      </c>
      <c r="H2806">
        <v>188</v>
      </c>
      <c r="I2806" t="str">
        <f t="shared" si="43"/>
        <v>Lecture Classrooms|C|Average</v>
      </c>
      <c r="J2806" t="s">
        <v>985</v>
      </c>
    </row>
    <row r="2807" spans="2:10">
      <c r="B2807" t="s">
        <v>986</v>
      </c>
      <c r="C2807" t="s">
        <v>987</v>
      </c>
      <c r="D2807" t="s">
        <v>264</v>
      </c>
      <c r="E2807" t="s">
        <v>258</v>
      </c>
      <c r="F2807" t="s">
        <v>214</v>
      </c>
      <c r="G2807" t="s">
        <v>229</v>
      </c>
      <c r="H2807">
        <v>233</v>
      </c>
      <c r="I2807" t="str">
        <f t="shared" si="43"/>
        <v>Lecture Classrooms|D|Good</v>
      </c>
      <c r="J2807" t="s">
        <v>985</v>
      </c>
    </row>
    <row r="2808" spans="2:10">
      <c r="B2808" t="s">
        <v>986</v>
      </c>
      <c r="C2808" t="s">
        <v>987</v>
      </c>
      <c r="D2808" t="s">
        <v>264</v>
      </c>
      <c r="E2808" t="s">
        <v>258</v>
      </c>
      <c r="F2808" t="s">
        <v>214</v>
      </c>
      <c r="G2808" t="s">
        <v>44</v>
      </c>
      <c r="H2808">
        <v>173</v>
      </c>
      <c r="I2808" t="str">
        <f t="shared" si="43"/>
        <v>Lecture Classrooms|D|Average</v>
      </c>
      <c r="J2808" t="s">
        <v>985</v>
      </c>
    </row>
    <row r="2809" spans="2:10">
      <c r="B2809" t="s">
        <v>986</v>
      </c>
      <c r="C2809" t="s">
        <v>987</v>
      </c>
      <c r="D2809" t="s">
        <v>264</v>
      </c>
      <c r="E2809" t="s">
        <v>258</v>
      </c>
      <c r="F2809" t="s">
        <v>219</v>
      </c>
      <c r="G2809" t="s">
        <v>44</v>
      </c>
      <c r="H2809">
        <v>168</v>
      </c>
      <c r="I2809" t="str">
        <f t="shared" si="43"/>
        <v>Lecture Classrooms|S|Average</v>
      </c>
      <c r="J2809" t="s">
        <v>985</v>
      </c>
    </row>
    <row r="2810" spans="2:10">
      <c r="B2810" t="s">
        <v>988</v>
      </c>
      <c r="C2810" t="s">
        <v>989</v>
      </c>
      <c r="D2810" t="s">
        <v>264</v>
      </c>
      <c r="E2810" t="s">
        <v>260</v>
      </c>
      <c r="F2810" t="s">
        <v>270</v>
      </c>
      <c r="G2810" t="s">
        <v>229</v>
      </c>
      <c r="H2810">
        <v>316</v>
      </c>
      <c r="I2810" t="str">
        <f t="shared" si="43"/>
        <v>Multipurpose Buildings|A-B|Good</v>
      </c>
      <c r="J2810" t="s">
        <v>990</v>
      </c>
    </row>
    <row r="2811" spans="2:10">
      <c r="B2811" t="s">
        <v>988</v>
      </c>
      <c r="C2811" t="s">
        <v>989</v>
      </c>
      <c r="D2811" t="s">
        <v>264</v>
      </c>
      <c r="E2811" t="s">
        <v>260</v>
      </c>
      <c r="F2811" t="s">
        <v>270</v>
      </c>
      <c r="G2811" t="s">
        <v>44</v>
      </c>
      <c r="H2811">
        <v>237</v>
      </c>
      <c r="I2811" t="str">
        <f t="shared" si="43"/>
        <v>Multipurpose Buildings|A-B|Average</v>
      </c>
      <c r="J2811" t="s">
        <v>990</v>
      </c>
    </row>
    <row r="2812" spans="2:10">
      <c r="B2812" t="s">
        <v>988</v>
      </c>
      <c r="C2812" t="s">
        <v>989</v>
      </c>
      <c r="D2812" t="s">
        <v>264</v>
      </c>
      <c r="E2812" t="s">
        <v>260</v>
      </c>
      <c r="F2812" t="s">
        <v>209</v>
      </c>
      <c r="G2812" t="s">
        <v>231</v>
      </c>
      <c r="H2812">
        <v>317</v>
      </c>
      <c r="I2812" t="str">
        <f t="shared" si="43"/>
        <v>Multipurpose Buildings|C|Excellent</v>
      </c>
      <c r="J2812" t="s">
        <v>990</v>
      </c>
    </row>
    <row r="2813" spans="2:10">
      <c r="B2813" t="s">
        <v>988</v>
      </c>
      <c r="C2813" t="s">
        <v>989</v>
      </c>
      <c r="D2813" t="s">
        <v>264</v>
      </c>
      <c r="E2813" t="s">
        <v>260</v>
      </c>
      <c r="F2813" t="s">
        <v>209</v>
      </c>
      <c r="G2813" t="s">
        <v>229</v>
      </c>
      <c r="H2813">
        <v>233</v>
      </c>
      <c r="I2813" t="str">
        <f t="shared" si="43"/>
        <v>Multipurpose Buildings|C|Good</v>
      </c>
      <c r="J2813" t="s">
        <v>990</v>
      </c>
    </row>
    <row r="2814" spans="2:10">
      <c r="B2814" t="s">
        <v>988</v>
      </c>
      <c r="C2814" t="s">
        <v>989</v>
      </c>
      <c r="D2814" t="s">
        <v>264</v>
      </c>
      <c r="E2814" t="s">
        <v>260</v>
      </c>
      <c r="F2814" t="s">
        <v>209</v>
      </c>
      <c r="G2814" t="s">
        <v>44</v>
      </c>
      <c r="H2814">
        <v>175</v>
      </c>
      <c r="I2814" t="str">
        <f t="shared" si="43"/>
        <v>Multipurpose Buildings|C|Average</v>
      </c>
      <c r="J2814" t="s">
        <v>990</v>
      </c>
    </row>
    <row r="2815" spans="2:10">
      <c r="B2815" t="s">
        <v>988</v>
      </c>
      <c r="C2815" t="s">
        <v>989</v>
      </c>
      <c r="D2815" t="s">
        <v>264</v>
      </c>
      <c r="E2815" t="s">
        <v>260</v>
      </c>
      <c r="F2815" t="s">
        <v>209</v>
      </c>
      <c r="G2815" t="s">
        <v>226</v>
      </c>
      <c r="H2815">
        <v>126</v>
      </c>
      <c r="I2815" t="str">
        <f t="shared" si="43"/>
        <v>Multipurpose Buildings|C|Low Cost</v>
      </c>
      <c r="J2815" t="s">
        <v>990</v>
      </c>
    </row>
    <row r="2816" spans="2:10">
      <c r="B2816" t="s">
        <v>988</v>
      </c>
      <c r="C2816" t="s">
        <v>989</v>
      </c>
      <c r="D2816" t="s">
        <v>264</v>
      </c>
      <c r="E2816" t="s">
        <v>260</v>
      </c>
      <c r="F2816" t="s">
        <v>214</v>
      </c>
      <c r="G2816" t="s">
        <v>229</v>
      </c>
      <c r="H2816">
        <v>228</v>
      </c>
      <c r="I2816" t="str">
        <f t="shared" si="43"/>
        <v>Multipurpose Buildings|D|Good</v>
      </c>
      <c r="J2816" t="s">
        <v>990</v>
      </c>
    </row>
    <row r="2817" spans="2:10">
      <c r="B2817" t="s">
        <v>988</v>
      </c>
      <c r="C2817" t="s">
        <v>989</v>
      </c>
      <c r="D2817" t="s">
        <v>264</v>
      </c>
      <c r="E2817" t="s">
        <v>260</v>
      </c>
      <c r="F2817" t="s">
        <v>214</v>
      </c>
      <c r="G2817" t="s">
        <v>44</v>
      </c>
      <c r="H2817">
        <v>170</v>
      </c>
      <c r="I2817" t="str">
        <f t="shared" si="43"/>
        <v>Multipurpose Buildings|D|Average</v>
      </c>
      <c r="J2817" t="s">
        <v>990</v>
      </c>
    </row>
    <row r="2818" spans="2:10">
      <c r="B2818" t="s">
        <v>988</v>
      </c>
      <c r="C2818" t="s">
        <v>989</v>
      </c>
      <c r="D2818" t="s">
        <v>264</v>
      </c>
      <c r="E2818" t="s">
        <v>260</v>
      </c>
      <c r="F2818" t="s">
        <v>214</v>
      </c>
      <c r="G2818" t="s">
        <v>226</v>
      </c>
      <c r="H2818">
        <v>121</v>
      </c>
      <c r="I2818" t="str">
        <f t="shared" si="43"/>
        <v>Multipurpose Buildings|D|Low Cost</v>
      </c>
      <c r="J2818" t="s">
        <v>990</v>
      </c>
    </row>
    <row r="2819" spans="2:10">
      <c r="B2819" t="s">
        <v>988</v>
      </c>
      <c r="C2819" t="s">
        <v>989</v>
      </c>
      <c r="D2819" t="s">
        <v>264</v>
      </c>
      <c r="E2819" t="s">
        <v>260</v>
      </c>
      <c r="F2819" t="s">
        <v>313</v>
      </c>
      <c r="G2819" t="s">
        <v>44</v>
      </c>
      <c r="H2819">
        <v>163</v>
      </c>
      <c r="I2819" t="str">
        <f t="shared" si="43"/>
        <v>Multipurpose Buildings|DPOLE|Average</v>
      </c>
      <c r="J2819" t="s">
        <v>990</v>
      </c>
    </row>
    <row r="2820" spans="2:10">
      <c r="B2820" t="s">
        <v>988</v>
      </c>
      <c r="C2820" t="s">
        <v>989</v>
      </c>
      <c r="D2820" t="s">
        <v>264</v>
      </c>
      <c r="E2820" t="s">
        <v>260</v>
      </c>
      <c r="F2820" t="s">
        <v>313</v>
      </c>
      <c r="G2820" t="s">
        <v>226</v>
      </c>
      <c r="H2820">
        <v>115</v>
      </c>
      <c r="I2820" t="str">
        <f t="shared" si="43"/>
        <v>Multipurpose Buildings|DPOLE|Low Cost</v>
      </c>
      <c r="J2820" t="s">
        <v>990</v>
      </c>
    </row>
    <row r="2821" spans="2:10">
      <c r="B2821" t="s">
        <v>988</v>
      </c>
      <c r="C2821" t="s">
        <v>989</v>
      </c>
      <c r="D2821" t="s">
        <v>264</v>
      </c>
      <c r="E2821" t="s">
        <v>260</v>
      </c>
      <c r="F2821" t="s">
        <v>219</v>
      </c>
      <c r="G2821" t="s">
        <v>44</v>
      </c>
      <c r="H2821">
        <v>164</v>
      </c>
      <c r="I2821" t="str">
        <f t="shared" si="43"/>
        <v>Multipurpose Buildings|S|Average</v>
      </c>
      <c r="J2821" t="s">
        <v>990</v>
      </c>
    </row>
    <row r="2822" spans="2:10">
      <c r="B2822" t="s">
        <v>988</v>
      </c>
      <c r="C2822" t="s">
        <v>989</v>
      </c>
      <c r="D2822" t="s">
        <v>264</v>
      </c>
      <c r="E2822" t="s">
        <v>260</v>
      </c>
      <c r="F2822" t="s">
        <v>219</v>
      </c>
      <c r="G2822" t="s">
        <v>226</v>
      </c>
      <c r="H2822">
        <v>116</v>
      </c>
      <c r="I2822" t="str">
        <f t="shared" si="43"/>
        <v>Multipurpose Buildings|S|Low Cost</v>
      </c>
      <c r="J2822" t="s">
        <v>990</v>
      </c>
    </row>
    <row r="2823" spans="2:10">
      <c r="B2823" t="s">
        <v>991</v>
      </c>
      <c r="C2823" t="s">
        <v>992</v>
      </c>
      <c r="D2823" t="s">
        <v>264</v>
      </c>
      <c r="E2823" t="s">
        <v>260</v>
      </c>
      <c r="F2823" t="s">
        <v>270</v>
      </c>
      <c r="G2823" t="s">
        <v>229</v>
      </c>
      <c r="H2823">
        <v>328</v>
      </c>
      <c r="I2823" t="str">
        <f t="shared" si="43"/>
        <v>Laboratory Classrooms|A-B|Good</v>
      </c>
      <c r="J2823" t="s">
        <v>990</v>
      </c>
    </row>
    <row r="2824" spans="2:10">
      <c r="B2824" t="s">
        <v>991</v>
      </c>
      <c r="C2824" t="s">
        <v>992</v>
      </c>
      <c r="D2824" t="s">
        <v>264</v>
      </c>
      <c r="E2824" t="s">
        <v>260</v>
      </c>
      <c r="F2824" t="s">
        <v>270</v>
      </c>
      <c r="G2824" t="s">
        <v>44</v>
      </c>
      <c r="H2824">
        <v>246</v>
      </c>
      <c r="I2824" t="str">
        <f t="shared" si="43"/>
        <v>Laboratory Classrooms|A-B|Average</v>
      </c>
      <c r="J2824" t="s">
        <v>990</v>
      </c>
    </row>
    <row r="2825" spans="2:10">
      <c r="B2825" t="s">
        <v>991</v>
      </c>
      <c r="C2825" t="s">
        <v>992</v>
      </c>
      <c r="D2825" t="s">
        <v>264</v>
      </c>
      <c r="E2825" t="s">
        <v>260</v>
      </c>
      <c r="F2825" t="s">
        <v>209</v>
      </c>
      <c r="G2825" t="s">
        <v>231</v>
      </c>
      <c r="H2825">
        <v>312</v>
      </c>
      <c r="I2825" t="str">
        <f t="shared" si="43"/>
        <v>Laboratory Classrooms|C|Excellent</v>
      </c>
      <c r="J2825" t="s">
        <v>990</v>
      </c>
    </row>
    <row r="2826" spans="2:10">
      <c r="B2826" t="s">
        <v>991</v>
      </c>
      <c r="C2826" t="s">
        <v>992</v>
      </c>
      <c r="D2826" t="s">
        <v>264</v>
      </c>
      <c r="E2826" t="s">
        <v>260</v>
      </c>
      <c r="F2826" t="s">
        <v>209</v>
      </c>
      <c r="G2826" t="s">
        <v>229</v>
      </c>
      <c r="H2826">
        <v>246</v>
      </c>
      <c r="I2826" t="str">
        <f t="shared" si="43"/>
        <v>Laboratory Classrooms|C|Good</v>
      </c>
      <c r="J2826" t="s">
        <v>990</v>
      </c>
    </row>
    <row r="2827" spans="2:10">
      <c r="B2827" t="s">
        <v>991</v>
      </c>
      <c r="C2827" t="s">
        <v>992</v>
      </c>
      <c r="D2827" t="s">
        <v>264</v>
      </c>
      <c r="E2827" t="s">
        <v>260</v>
      </c>
      <c r="F2827" t="s">
        <v>209</v>
      </c>
      <c r="G2827" t="s">
        <v>44</v>
      </c>
      <c r="H2827">
        <v>184</v>
      </c>
      <c r="I2827" t="str">
        <f t="shared" si="43"/>
        <v>Laboratory Classrooms|C|Average</v>
      </c>
      <c r="J2827" t="s">
        <v>990</v>
      </c>
    </row>
    <row r="2828" spans="2:10">
      <c r="B2828" t="s">
        <v>991</v>
      </c>
      <c r="C2828" t="s">
        <v>992</v>
      </c>
      <c r="D2828" t="s">
        <v>264</v>
      </c>
      <c r="E2828" t="s">
        <v>260</v>
      </c>
      <c r="F2828" t="s">
        <v>214</v>
      </c>
      <c r="G2828" t="s">
        <v>231</v>
      </c>
      <c r="H2828">
        <v>308</v>
      </c>
      <c r="I2828" t="str">
        <f t="shared" si="43"/>
        <v>Laboratory Classrooms|D|Excellent</v>
      </c>
      <c r="J2828" t="s">
        <v>990</v>
      </c>
    </row>
    <row r="2829" spans="2:10">
      <c r="B2829" t="s">
        <v>991</v>
      </c>
      <c r="C2829" t="s">
        <v>992</v>
      </c>
      <c r="D2829" t="s">
        <v>264</v>
      </c>
      <c r="E2829" t="s">
        <v>260</v>
      </c>
      <c r="F2829" t="s">
        <v>214</v>
      </c>
      <c r="G2829" t="s">
        <v>229</v>
      </c>
      <c r="H2829">
        <v>240</v>
      </c>
      <c r="I2829" t="str">
        <f t="shared" si="43"/>
        <v>Laboratory Classrooms|D|Good</v>
      </c>
      <c r="J2829" t="s">
        <v>990</v>
      </c>
    </row>
    <row r="2830" spans="2:10">
      <c r="B2830" t="s">
        <v>991</v>
      </c>
      <c r="C2830" t="s">
        <v>992</v>
      </c>
      <c r="D2830" t="s">
        <v>264</v>
      </c>
      <c r="E2830" t="s">
        <v>260</v>
      </c>
      <c r="F2830" t="s">
        <v>214</v>
      </c>
      <c r="G2830" t="s">
        <v>44</v>
      </c>
      <c r="H2830">
        <v>178</v>
      </c>
      <c r="I2830" t="str">
        <f t="shared" si="43"/>
        <v>Laboratory Classrooms|D|Average</v>
      </c>
      <c r="J2830" t="s">
        <v>990</v>
      </c>
    </row>
    <row r="2831" spans="2:10">
      <c r="B2831" t="s">
        <v>991</v>
      </c>
      <c r="C2831" t="s">
        <v>992</v>
      </c>
      <c r="D2831" t="s">
        <v>264</v>
      </c>
      <c r="E2831" t="s">
        <v>260</v>
      </c>
      <c r="F2831" t="s">
        <v>313</v>
      </c>
      <c r="G2831" t="s">
        <v>44</v>
      </c>
      <c r="H2831">
        <v>172</v>
      </c>
      <c r="I2831" t="str">
        <f t="shared" si="43"/>
        <v>Laboratory Classrooms|DPOLE|Average</v>
      </c>
      <c r="J2831" t="s">
        <v>990</v>
      </c>
    </row>
    <row r="2832" spans="2:10">
      <c r="B2832" t="s">
        <v>991</v>
      </c>
      <c r="C2832" t="s">
        <v>992</v>
      </c>
      <c r="D2832" t="s">
        <v>264</v>
      </c>
      <c r="E2832" t="s">
        <v>260</v>
      </c>
      <c r="F2832" t="s">
        <v>219</v>
      </c>
      <c r="G2832" t="s">
        <v>229</v>
      </c>
      <c r="H2832">
        <v>235</v>
      </c>
      <c r="I2832" t="str">
        <f t="shared" si="43"/>
        <v>Laboratory Classrooms|S|Good</v>
      </c>
      <c r="J2832" t="s">
        <v>990</v>
      </c>
    </row>
    <row r="2833" spans="2:10">
      <c r="B2833" t="s">
        <v>991</v>
      </c>
      <c r="C2833" t="s">
        <v>992</v>
      </c>
      <c r="D2833" t="s">
        <v>264</v>
      </c>
      <c r="E2833" t="s">
        <v>260</v>
      </c>
      <c r="F2833" t="s">
        <v>219</v>
      </c>
      <c r="G2833" t="s">
        <v>44</v>
      </c>
      <c r="H2833">
        <v>173</v>
      </c>
      <c r="I2833" t="str">
        <f t="shared" si="43"/>
        <v>Laboratory Classrooms|S|Average</v>
      </c>
      <c r="J2833" t="s">
        <v>990</v>
      </c>
    </row>
    <row r="2834" spans="2:10">
      <c r="B2834" t="s">
        <v>993</v>
      </c>
      <c r="C2834" t="s">
        <v>994</v>
      </c>
      <c r="D2834" t="s">
        <v>264</v>
      </c>
      <c r="E2834" t="s">
        <v>264</v>
      </c>
      <c r="F2834" t="s">
        <v>270</v>
      </c>
      <c r="G2834" t="s">
        <v>229</v>
      </c>
      <c r="H2834">
        <v>322</v>
      </c>
      <c r="I2834" t="str">
        <f t="shared" si="43"/>
        <v>Elementary and Secondary Media Centers (Libraries)|A-B|Good</v>
      </c>
      <c r="J2834" t="s">
        <v>995</v>
      </c>
    </row>
    <row r="2835" spans="2:10">
      <c r="B2835" t="s">
        <v>993</v>
      </c>
      <c r="C2835" t="s">
        <v>994</v>
      </c>
      <c r="D2835" t="s">
        <v>264</v>
      </c>
      <c r="E2835" t="s">
        <v>264</v>
      </c>
      <c r="F2835" t="s">
        <v>270</v>
      </c>
      <c r="G2835" t="s">
        <v>44</v>
      </c>
      <c r="H2835">
        <v>240</v>
      </c>
      <c r="I2835" t="str">
        <f t="shared" si="43"/>
        <v>Elementary and Secondary Media Centers (Libraries)|A-B|Average</v>
      </c>
      <c r="J2835" t="s">
        <v>995</v>
      </c>
    </row>
    <row r="2836" spans="2:10">
      <c r="B2836" t="s">
        <v>993</v>
      </c>
      <c r="C2836" t="s">
        <v>994</v>
      </c>
      <c r="D2836" t="s">
        <v>264</v>
      </c>
      <c r="E2836" t="s">
        <v>264</v>
      </c>
      <c r="F2836" t="s">
        <v>270</v>
      </c>
      <c r="G2836" t="s">
        <v>226</v>
      </c>
      <c r="H2836">
        <v>184</v>
      </c>
      <c r="I2836" t="str">
        <f t="shared" si="43"/>
        <v>Elementary and Secondary Media Centers (Libraries)|A-B|Low Cost</v>
      </c>
      <c r="J2836" t="s">
        <v>995</v>
      </c>
    </row>
    <row r="2837" spans="2:10">
      <c r="B2837" t="s">
        <v>993</v>
      </c>
      <c r="C2837" t="s">
        <v>994</v>
      </c>
      <c r="D2837" t="s">
        <v>264</v>
      </c>
      <c r="E2837" t="s">
        <v>264</v>
      </c>
      <c r="F2837" t="s">
        <v>209</v>
      </c>
      <c r="G2837" t="s">
        <v>231</v>
      </c>
      <c r="H2837">
        <v>315</v>
      </c>
      <c r="I2837" t="str">
        <f t="shared" si="43"/>
        <v>Elementary and Secondary Media Centers (Libraries)|C|Excellent</v>
      </c>
      <c r="J2837" t="s">
        <v>995</v>
      </c>
    </row>
    <row r="2838" spans="2:10">
      <c r="B2838" t="s">
        <v>993</v>
      </c>
      <c r="C2838" t="s">
        <v>994</v>
      </c>
      <c r="D2838" t="s">
        <v>264</v>
      </c>
      <c r="E2838" t="s">
        <v>264</v>
      </c>
      <c r="F2838" t="s">
        <v>209</v>
      </c>
      <c r="G2838" t="s">
        <v>229</v>
      </c>
      <c r="H2838">
        <v>241</v>
      </c>
      <c r="I2838" t="str">
        <f t="shared" si="43"/>
        <v>Elementary and Secondary Media Centers (Libraries)|C|Good</v>
      </c>
      <c r="J2838" t="s">
        <v>995</v>
      </c>
    </row>
    <row r="2839" spans="2:10">
      <c r="B2839" t="s">
        <v>993</v>
      </c>
      <c r="C2839" t="s">
        <v>994</v>
      </c>
      <c r="D2839" t="s">
        <v>264</v>
      </c>
      <c r="E2839" t="s">
        <v>264</v>
      </c>
      <c r="F2839" t="s">
        <v>209</v>
      </c>
      <c r="G2839" t="s">
        <v>44</v>
      </c>
      <c r="H2839">
        <v>182</v>
      </c>
      <c r="I2839" t="str">
        <f t="shared" si="43"/>
        <v>Elementary and Secondary Media Centers (Libraries)|C|Average</v>
      </c>
      <c r="J2839" t="s">
        <v>995</v>
      </c>
    </row>
    <row r="2840" spans="2:10">
      <c r="B2840" t="s">
        <v>993</v>
      </c>
      <c r="C2840" t="s">
        <v>994</v>
      </c>
      <c r="D2840" t="s">
        <v>264</v>
      </c>
      <c r="E2840" t="s">
        <v>264</v>
      </c>
      <c r="F2840" t="s">
        <v>209</v>
      </c>
      <c r="G2840" t="s">
        <v>226</v>
      </c>
      <c r="H2840">
        <v>138</v>
      </c>
      <c r="I2840" t="str">
        <f t="shared" si="43"/>
        <v>Elementary and Secondary Media Centers (Libraries)|C|Low Cost</v>
      </c>
      <c r="J2840" t="s">
        <v>995</v>
      </c>
    </row>
    <row r="2841" spans="2:10">
      <c r="B2841" t="s">
        <v>993</v>
      </c>
      <c r="C2841" t="s">
        <v>994</v>
      </c>
      <c r="D2841" t="s">
        <v>264</v>
      </c>
      <c r="E2841" t="s">
        <v>264</v>
      </c>
      <c r="F2841" t="s">
        <v>214</v>
      </c>
      <c r="G2841" t="s">
        <v>231</v>
      </c>
      <c r="H2841">
        <v>313</v>
      </c>
      <c r="I2841" t="str">
        <f t="shared" si="43"/>
        <v>Elementary and Secondary Media Centers (Libraries)|D|Excellent</v>
      </c>
      <c r="J2841" t="s">
        <v>995</v>
      </c>
    </row>
    <row r="2842" spans="2:10">
      <c r="B2842" t="s">
        <v>993</v>
      </c>
      <c r="C2842" t="s">
        <v>994</v>
      </c>
      <c r="D2842" t="s">
        <v>264</v>
      </c>
      <c r="E2842" t="s">
        <v>264</v>
      </c>
      <c r="F2842" t="s">
        <v>214</v>
      </c>
      <c r="G2842" t="s">
        <v>229</v>
      </c>
      <c r="H2842">
        <v>236</v>
      </c>
      <c r="I2842" t="str">
        <f t="shared" si="43"/>
        <v>Elementary and Secondary Media Centers (Libraries)|D|Good</v>
      </c>
      <c r="J2842" t="s">
        <v>995</v>
      </c>
    </row>
    <row r="2843" spans="2:10">
      <c r="B2843" t="s">
        <v>993</v>
      </c>
      <c r="C2843" t="s">
        <v>994</v>
      </c>
      <c r="D2843" t="s">
        <v>264</v>
      </c>
      <c r="E2843" t="s">
        <v>264</v>
      </c>
      <c r="F2843" t="s">
        <v>214</v>
      </c>
      <c r="G2843" t="s">
        <v>44</v>
      </c>
      <c r="H2843">
        <v>176</v>
      </c>
      <c r="I2843" t="str">
        <f t="shared" si="43"/>
        <v>Elementary and Secondary Media Centers (Libraries)|D|Average</v>
      </c>
      <c r="J2843" t="s">
        <v>995</v>
      </c>
    </row>
    <row r="2844" spans="2:10">
      <c r="B2844" t="s">
        <v>993</v>
      </c>
      <c r="C2844" t="s">
        <v>994</v>
      </c>
      <c r="D2844" t="s">
        <v>264</v>
      </c>
      <c r="E2844" t="s">
        <v>264</v>
      </c>
      <c r="F2844" t="s">
        <v>214</v>
      </c>
      <c r="G2844" t="s">
        <v>226</v>
      </c>
      <c r="H2844">
        <v>133</v>
      </c>
      <c r="I2844" t="str">
        <f t="shared" si="43"/>
        <v>Elementary and Secondary Media Centers (Libraries)|D|Low Cost</v>
      </c>
      <c r="J2844" t="s">
        <v>995</v>
      </c>
    </row>
    <row r="2845" spans="2:10">
      <c r="B2845" t="s">
        <v>993</v>
      </c>
      <c r="C2845" t="s">
        <v>994</v>
      </c>
      <c r="D2845" t="s">
        <v>264</v>
      </c>
      <c r="E2845" t="s">
        <v>264</v>
      </c>
      <c r="F2845" t="s">
        <v>313</v>
      </c>
      <c r="G2845" t="s">
        <v>44</v>
      </c>
      <c r="H2845">
        <v>169</v>
      </c>
      <c r="I2845" t="str">
        <f t="shared" si="43"/>
        <v>Elementary and Secondary Media Centers (Libraries)|DPOLE|Average</v>
      </c>
      <c r="J2845" t="s">
        <v>995</v>
      </c>
    </row>
    <row r="2846" spans="2:10">
      <c r="B2846" t="s">
        <v>993</v>
      </c>
      <c r="C2846" t="s">
        <v>994</v>
      </c>
      <c r="D2846" t="s">
        <v>264</v>
      </c>
      <c r="E2846" t="s">
        <v>264</v>
      </c>
      <c r="F2846" t="s">
        <v>313</v>
      </c>
      <c r="G2846" t="s">
        <v>226</v>
      </c>
      <c r="H2846">
        <v>127</v>
      </c>
      <c r="I2846" t="str">
        <f t="shared" ref="I2846:I2909" si="44">B2846&amp;"|"&amp;F2846&amp;"|"&amp;G2846</f>
        <v>Elementary and Secondary Media Centers (Libraries)|DPOLE|Low Cost</v>
      </c>
      <c r="J2846" t="s">
        <v>995</v>
      </c>
    </row>
    <row r="2847" spans="2:10">
      <c r="B2847" t="s">
        <v>993</v>
      </c>
      <c r="C2847" t="s">
        <v>994</v>
      </c>
      <c r="D2847" t="s">
        <v>264</v>
      </c>
      <c r="E2847" t="s">
        <v>264</v>
      </c>
      <c r="F2847" t="s">
        <v>219</v>
      </c>
      <c r="G2847" t="s">
        <v>229</v>
      </c>
      <c r="H2847">
        <v>231</v>
      </c>
      <c r="I2847" t="str">
        <f t="shared" si="44"/>
        <v>Elementary and Secondary Media Centers (Libraries)|S|Good</v>
      </c>
      <c r="J2847" t="s">
        <v>995</v>
      </c>
    </row>
    <row r="2848" spans="2:10">
      <c r="B2848" t="s">
        <v>993</v>
      </c>
      <c r="C2848" t="s">
        <v>994</v>
      </c>
      <c r="D2848" t="s">
        <v>264</v>
      </c>
      <c r="E2848" t="s">
        <v>264</v>
      </c>
      <c r="F2848" t="s">
        <v>219</v>
      </c>
      <c r="G2848" t="s">
        <v>44</v>
      </c>
      <c r="H2848">
        <v>171</v>
      </c>
      <c r="I2848" t="str">
        <f t="shared" si="44"/>
        <v>Elementary and Secondary Media Centers (Libraries)|S|Average</v>
      </c>
      <c r="J2848" t="s">
        <v>995</v>
      </c>
    </row>
    <row r="2849" spans="2:10">
      <c r="B2849" t="s">
        <v>993</v>
      </c>
      <c r="C2849" t="s">
        <v>994</v>
      </c>
      <c r="D2849" t="s">
        <v>264</v>
      </c>
      <c r="E2849" t="s">
        <v>264</v>
      </c>
      <c r="F2849" t="s">
        <v>219</v>
      </c>
      <c r="G2849" t="s">
        <v>226</v>
      </c>
      <c r="H2849">
        <v>128</v>
      </c>
      <c r="I2849" t="str">
        <f t="shared" si="44"/>
        <v>Elementary and Secondary Media Centers (Libraries)|S|Low Cost</v>
      </c>
      <c r="J2849" t="s">
        <v>995</v>
      </c>
    </row>
    <row r="2850" spans="2:10">
      <c r="B2850" t="s">
        <v>996</v>
      </c>
      <c r="C2850" t="s">
        <v>997</v>
      </c>
      <c r="D2850" t="s">
        <v>264</v>
      </c>
      <c r="E2850" t="s">
        <v>269</v>
      </c>
      <c r="F2850" t="s">
        <v>270</v>
      </c>
      <c r="G2850" t="s">
        <v>231</v>
      </c>
      <c r="H2850">
        <v>456</v>
      </c>
      <c r="I2850" t="str">
        <f t="shared" si="44"/>
        <v>Academic (College) Libraries|A-B|Excellent</v>
      </c>
      <c r="J2850" t="s">
        <v>998</v>
      </c>
    </row>
    <row r="2851" spans="2:10">
      <c r="B2851" t="s">
        <v>996</v>
      </c>
      <c r="C2851" t="s">
        <v>997</v>
      </c>
      <c r="D2851" t="s">
        <v>264</v>
      </c>
      <c r="E2851" t="s">
        <v>269</v>
      </c>
      <c r="F2851" t="s">
        <v>270</v>
      </c>
      <c r="G2851" t="s">
        <v>229</v>
      </c>
      <c r="H2851">
        <v>354</v>
      </c>
      <c r="I2851" t="str">
        <f t="shared" si="44"/>
        <v>Academic (College) Libraries|A-B|Good</v>
      </c>
      <c r="J2851" t="s">
        <v>998</v>
      </c>
    </row>
    <row r="2852" spans="2:10">
      <c r="B2852" t="s">
        <v>996</v>
      </c>
      <c r="C2852" t="s">
        <v>997</v>
      </c>
      <c r="D2852" t="s">
        <v>264</v>
      </c>
      <c r="E2852" t="s">
        <v>269</v>
      </c>
      <c r="F2852" t="s">
        <v>270</v>
      </c>
      <c r="G2852" t="s">
        <v>44</v>
      </c>
      <c r="H2852">
        <v>262</v>
      </c>
      <c r="I2852" t="str">
        <f t="shared" si="44"/>
        <v>Academic (College) Libraries|A-B|Average</v>
      </c>
      <c r="J2852" t="s">
        <v>998</v>
      </c>
    </row>
    <row r="2853" spans="2:10">
      <c r="B2853" t="s">
        <v>996</v>
      </c>
      <c r="C2853" t="s">
        <v>997</v>
      </c>
      <c r="D2853" t="s">
        <v>264</v>
      </c>
      <c r="E2853" t="s">
        <v>269</v>
      </c>
      <c r="F2853" t="s">
        <v>270</v>
      </c>
      <c r="G2853" t="s">
        <v>226</v>
      </c>
      <c r="H2853">
        <v>202</v>
      </c>
      <c r="I2853" t="str">
        <f t="shared" si="44"/>
        <v>Academic (College) Libraries|A-B|Low Cost</v>
      </c>
      <c r="J2853" t="s">
        <v>998</v>
      </c>
    </row>
    <row r="2854" spans="2:10">
      <c r="B2854" t="s">
        <v>996</v>
      </c>
      <c r="C2854" t="s">
        <v>997</v>
      </c>
      <c r="D2854" t="s">
        <v>264</v>
      </c>
      <c r="E2854" t="s">
        <v>269</v>
      </c>
      <c r="F2854" t="s">
        <v>209</v>
      </c>
      <c r="G2854" t="s">
        <v>231</v>
      </c>
      <c r="H2854">
        <v>354</v>
      </c>
      <c r="I2854" t="str">
        <f t="shared" si="44"/>
        <v>Academic (College) Libraries|C|Excellent</v>
      </c>
      <c r="J2854" t="s">
        <v>998</v>
      </c>
    </row>
    <row r="2855" spans="2:10">
      <c r="B2855" t="s">
        <v>996</v>
      </c>
      <c r="C2855" t="s">
        <v>997</v>
      </c>
      <c r="D2855" t="s">
        <v>264</v>
      </c>
      <c r="E2855" t="s">
        <v>269</v>
      </c>
      <c r="F2855" t="s">
        <v>209</v>
      </c>
      <c r="G2855" t="s">
        <v>229</v>
      </c>
      <c r="H2855">
        <v>261</v>
      </c>
      <c r="I2855" t="str">
        <f t="shared" si="44"/>
        <v>Academic (College) Libraries|C|Good</v>
      </c>
      <c r="J2855" t="s">
        <v>998</v>
      </c>
    </row>
    <row r="2856" spans="2:10">
      <c r="B2856" t="s">
        <v>996</v>
      </c>
      <c r="C2856" t="s">
        <v>997</v>
      </c>
      <c r="D2856" t="s">
        <v>264</v>
      </c>
      <c r="E2856" t="s">
        <v>269</v>
      </c>
      <c r="F2856" t="s">
        <v>209</v>
      </c>
      <c r="G2856" t="s">
        <v>44</v>
      </c>
      <c r="H2856">
        <v>197</v>
      </c>
      <c r="I2856" t="str">
        <f t="shared" si="44"/>
        <v>Academic (College) Libraries|C|Average</v>
      </c>
      <c r="J2856" t="s">
        <v>998</v>
      </c>
    </row>
    <row r="2857" spans="2:10">
      <c r="B2857" t="s">
        <v>996</v>
      </c>
      <c r="C2857" t="s">
        <v>997</v>
      </c>
      <c r="D2857" t="s">
        <v>264</v>
      </c>
      <c r="E2857" t="s">
        <v>269</v>
      </c>
      <c r="F2857" t="s">
        <v>209</v>
      </c>
      <c r="G2857" t="s">
        <v>226</v>
      </c>
      <c r="H2857">
        <v>147</v>
      </c>
      <c r="I2857" t="str">
        <f t="shared" si="44"/>
        <v>Academic (College) Libraries|C|Low Cost</v>
      </c>
      <c r="J2857" t="s">
        <v>998</v>
      </c>
    </row>
    <row r="2858" spans="2:10">
      <c r="B2858" t="s">
        <v>996</v>
      </c>
      <c r="C2858" t="s">
        <v>997</v>
      </c>
      <c r="D2858" t="s">
        <v>264</v>
      </c>
      <c r="E2858" t="s">
        <v>269</v>
      </c>
      <c r="F2858" t="s">
        <v>214</v>
      </c>
      <c r="G2858" t="s">
        <v>231</v>
      </c>
      <c r="H2858">
        <v>349</v>
      </c>
      <c r="I2858" t="str">
        <f t="shared" si="44"/>
        <v>Academic (College) Libraries|D|Excellent</v>
      </c>
      <c r="J2858" t="s">
        <v>998</v>
      </c>
    </row>
    <row r="2859" spans="2:10">
      <c r="B2859" t="s">
        <v>996</v>
      </c>
      <c r="C2859" t="s">
        <v>997</v>
      </c>
      <c r="D2859" t="s">
        <v>264</v>
      </c>
      <c r="E2859" t="s">
        <v>269</v>
      </c>
      <c r="F2859" t="s">
        <v>214</v>
      </c>
      <c r="G2859" t="s">
        <v>229</v>
      </c>
      <c r="H2859">
        <v>256</v>
      </c>
      <c r="I2859" t="str">
        <f t="shared" si="44"/>
        <v>Academic (College) Libraries|D|Good</v>
      </c>
      <c r="J2859" t="s">
        <v>998</v>
      </c>
    </row>
    <row r="2860" spans="2:10">
      <c r="B2860" t="s">
        <v>996</v>
      </c>
      <c r="C2860" t="s">
        <v>997</v>
      </c>
      <c r="D2860" t="s">
        <v>264</v>
      </c>
      <c r="E2860" t="s">
        <v>269</v>
      </c>
      <c r="F2860" t="s">
        <v>214</v>
      </c>
      <c r="G2860" t="s">
        <v>44</v>
      </c>
      <c r="H2860">
        <v>191</v>
      </c>
      <c r="I2860" t="str">
        <f t="shared" si="44"/>
        <v>Academic (College) Libraries|D|Average</v>
      </c>
      <c r="J2860" t="s">
        <v>998</v>
      </c>
    </row>
    <row r="2861" spans="2:10">
      <c r="B2861" t="s">
        <v>996</v>
      </c>
      <c r="C2861" t="s">
        <v>997</v>
      </c>
      <c r="D2861" t="s">
        <v>264</v>
      </c>
      <c r="E2861" t="s">
        <v>269</v>
      </c>
      <c r="F2861" t="s">
        <v>214</v>
      </c>
      <c r="G2861" t="s">
        <v>226</v>
      </c>
      <c r="H2861">
        <v>142</v>
      </c>
      <c r="I2861" t="str">
        <f t="shared" si="44"/>
        <v>Academic (College) Libraries|D|Low Cost</v>
      </c>
      <c r="J2861" t="s">
        <v>998</v>
      </c>
    </row>
    <row r="2862" spans="2:10">
      <c r="B2862" t="s">
        <v>996</v>
      </c>
      <c r="C2862" t="s">
        <v>997</v>
      </c>
      <c r="D2862" t="s">
        <v>264</v>
      </c>
      <c r="E2862" t="s">
        <v>269</v>
      </c>
      <c r="F2862" t="s">
        <v>219</v>
      </c>
      <c r="G2862" t="s">
        <v>229</v>
      </c>
      <c r="H2862">
        <v>248</v>
      </c>
      <c r="I2862" t="str">
        <f t="shared" si="44"/>
        <v>Academic (College) Libraries|S|Good</v>
      </c>
      <c r="J2862" t="s">
        <v>998</v>
      </c>
    </row>
    <row r="2863" spans="2:10">
      <c r="B2863" t="s">
        <v>996</v>
      </c>
      <c r="C2863" t="s">
        <v>997</v>
      </c>
      <c r="D2863" t="s">
        <v>264</v>
      </c>
      <c r="E2863" t="s">
        <v>269</v>
      </c>
      <c r="F2863" t="s">
        <v>219</v>
      </c>
      <c r="G2863" t="s">
        <v>44</v>
      </c>
      <c r="H2863">
        <v>184</v>
      </c>
      <c r="I2863" t="str">
        <f t="shared" si="44"/>
        <v>Academic (College) Libraries|S|Average</v>
      </c>
      <c r="J2863" t="s">
        <v>998</v>
      </c>
    </row>
    <row r="2864" spans="2:10">
      <c r="B2864" t="s">
        <v>996</v>
      </c>
      <c r="C2864" t="s">
        <v>997</v>
      </c>
      <c r="D2864" t="s">
        <v>264</v>
      </c>
      <c r="E2864" t="s">
        <v>269</v>
      </c>
      <c r="F2864" t="s">
        <v>219</v>
      </c>
      <c r="G2864" t="s">
        <v>226</v>
      </c>
      <c r="H2864">
        <v>136</v>
      </c>
      <c r="I2864" t="str">
        <f t="shared" si="44"/>
        <v>Academic (College) Libraries|S|Low Cost</v>
      </c>
      <c r="J2864" t="s">
        <v>998</v>
      </c>
    </row>
    <row r="2865" spans="2:10">
      <c r="B2865" t="s">
        <v>999</v>
      </c>
      <c r="C2865" t="s">
        <v>1000</v>
      </c>
      <c r="D2865" t="s">
        <v>264</v>
      </c>
      <c r="E2865" t="s">
        <v>274</v>
      </c>
      <c r="F2865" t="s">
        <v>270</v>
      </c>
      <c r="G2865" t="s">
        <v>229</v>
      </c>
      <c r="H2865">
        <v>340</v>
      </c>
      <c r="I2865" t="str">
        <f t="shared" si="44"/>
        <v>Fine Arts Buildings|A-B|Good</v>
      </c>
      <c r="J2865" t="s">
        <v>1001</v>
      </c>
    </row>
    <row r="2866" spans="2:10">
      <c r="B2866" t="s">
        <v>999</v>
      </c>
      <c r="C2866" t="s">
        <v>1000</v>
      </c>
      <c r="D2866" t="s">
        <v>264</v>
      </c>
      <c r="E2866" t="s">
        <v>274</v>
      </c>
      <c r="F2866" t="s">
        <v>270</v>
      </c>
      <c r="G2866" t="s">
        <v>44</v>
      </c>
      <c r="H2866">
        <v>250</v>
      </c>
      <c r="I2866" t="str">
        <f t="shared" si="44"/>
        <v>Fine Arts Buildings|A-B|Average</v>
      </c>
      <c r="J2866" t="s">
        <v>1001</v>
      </c>
    </row>
    <row r="2867" spans="2:10">
      <c r="B2867" t="s">
        <v>999</v>
      </c>
      <c r="C2867" t="s">
        <v>1000</v>
      </c>
      <c r="D2867" t="s">
        <v>264</v>
      </c>
      <c r="E2867" t="s">
        <v>274</v>
      </c>
      <c r="F2867" t="s">
        <v>209</v>
      </c>
      <c r="G2867" t="s">
        <v>231</v>
      </c>
      <c r="H2867">
        <v>342</v>
      </c>
      <c r="I2867" t="str">
        <f t="shared" si="44"/>
        <v>Fine Arts Buildings|C|Excellent</v>
      </c>
      <c r="J2867" t="s">
        <v>1001</v>
      </c>
    </row>
    <row r="2868" spans="2:10">
      <c r="B2868" t="s">
        <v>999</v>
      </c>
      <c r="C2868" t="s">
        <v>1000</v>
      </c>
      <c r="D2868" t="s">
        <v>264</v>
      </c>
      <c r="E2868" t="s">
        <v>274</v>
      </c>
      <c r="F2868" t="s">
        <v>209</v>
      </c>
      <c r="G2868" t="s">
        <v>229</v>
      </c>
      <c r="H2868">
        <v>252</v>
      </c>
      <c r="I2868" t="str">
        <f t="shared" si="44"/>
        <v>Fine Arts Buildings|C|Good</v>
      </c>
      <c r="J2868" t="s">
        <v>1001</v>
      </c>
    </row>
    <row r="2869" spans="2:10">
      <c r="B2869" t="s">
        <v>999</v>
      </c>
      <c r="C2869" t="s">
        <v>1000</v>
      </c>
      <c r="D2869" t="s">
        <v>264</v>
      </c>
      <c r="E2869" t="s">
        <v>274</v>
      </c>
      <c r="F2869" t="s">
        <v>209</v>
      </c>
      <c r="G2869" t="s">
        <v>44</v>
      </c>
      <c r="H2869">
        <v>191</v>
      </c>
      <c r="I2869" t="str">
        <f t="shared" si="44"/>
        <v>Fine Arts Buildings|C|Average</v>
      </c>
      <c r="J2869" t="s">
        <v>1001</v>
      </c>
    </row>
    <row r="2870" spans="2:10">
      <c r="B2870" t="s">
        <v>999</v>
      </c>
      <c r="C2870" t="s">
        <v>1000</v>
      </c>
      <c r="D2870" t="s">
        <v>264</v>
      </c>
      <c r="E2870" t="s">
        <v>274</v>
      </c>
      <c r="F2870" t="s">
        <v>209</v>
      </c>
      <c r="G2870" t="s">
        <v>226</v>
      </c>
      <c r="H2870">
        <v>143</v>
      </c>
      <c r="I2870" t="str">
        <f t="shared" si="44"/>
        <v>Fine Arts Buildings|C|Low Cost</v>
      </c>
      <c r="J2870" t="s">
        <v>1001</v>
      </c>
    </row>
    <row r="2871" spans="2:10">
      <c r="B2871" t="s">
        <v>999</v>
      </c>
      <c r="C2871" t="s">
        <v>1000</v>
      </c>
      <c r="D2871" t="s">
        <v>264</v>
      </c>
      <c r="E2871" t="s">
        <v>274</v>
      </c>
      <c r="F2871" t="s">
        <v>214</v>
      </c>
      <c r="G2871" t="s">
        <v>229</v>
      </c>
      <c r="H2871">
        <v>247</v>
      </c>
      <c r="I2871" t="str">
        <f t="shared" si="44"/>
        <v>Fine Arts Buildings|D|Good</v>
      </c>
      <c r="J2871" t="s">
        <v>1001</v>
      </c>
    </row>
    <row r="2872" spans="2:10">
      <c r="B2872" t="s">
        <v>999</v>
      </c>
      <c r="C2872" t="s">
        <v>1000</v>
      </c>
      <c r="D2872" t="s">
        <v>264</v>
      </c>
      <c r="E2872" t="s">
        <v>274</v>
      </c>
      <c r="F2872" t="s">
        <v>214</v>
      </c>
      <c r="G2872" t="s">
        <v>44</v>
      </c>
      <c r="H2872">
        <v>185</v>
      </c>
      <c r="I2872" t="str">
        <f t="shared" si="44"/>
        <v>Fine Arts Buildings|D|Average</v>
      </c>
      <c r="J2872" t="s">
        <v>1001</v>
      </c>
    </row>
    <row r="2873" spans="2:10">
      <c r="B2873" t="s">
        <v>999</v>
      </c>
      <c r="C2873" t="s">
        <v>1000</v>
      </c>
      <c r="D2873" t="s">
        <v>264</v>
      </c>
      <c r="E2873" t="s">
        <v>274</v>
      </c>
      <c r="F2873" t="s">
        <v>214</v>
      </c>
      <c r="G2873" t="s">
        <v>226</v>
      </c>
      <c r="H2873">
        <v>137</v>
      </c>
      <c r="I2873" t="str">
        <f t="shared" si="44"/>
        <v>Fine Arts Buildings|D|Low Cost</v>
      </c>
      <c r="J2873" t="s">
        <v>1001</v>
      </c>
    </row>
    <row r="2874" spans="2:10">
      <c r="B2874" t="s">
        <v>999</v>
      </c>
      <c r="C2874" t="s">
        <v>1000</v>
      </c>
      <c r="D2874" t="s">
        <v>264</v>
      </c>
      <c r="E2874" t="s">
        <v>274</v>
      </c>
      <c r="F2874" t="s">
        <v>313</v>
      </c>
      <c r="G2874" t="s">
        <v>44</v>
      </c>
      <c r="H2874">
        <v>178</v>
      </c>
      <c r="I2874" t="str">
        <f t="shared" si="44"/>
        <v>Fine Arts Buildings|DPOLE|Average</v>
      </c>
      <c r="J2874" t="s">
        <v>1001</v>
      </c>
    </row>
    <row r="2875" spans="2:10">
      <c r="B2875" t="s">
        <v>999</v>
      </c>
      <c r="C2875" t="s">
        <v>1000</v>
      </c>
      <c r="D2875" t="s">
        <v>264</v>
      </c>
      <c r="E2875" t="s">
        <v>274</v>
      </c>
      <c r="F2875" t="s">
        <v>313</v>
      </c>
      <c r="G2875" t="s">
        <v>226</v>
      </c>
      <c r="H2875">
        <v>131</v>
      </c>
      <c r="I2875" t="str">
        <f t="shared" si="44"/>
        <v>Fine Arts Buildings|DPOLE|Low Cost</v>
      </c>
      <c r="J2875" t="s">
        <v>1001</v>
      </c>
    </row>
    <row r="2876" spans="2:10">
      <c r="B2876" t="s">
        <v>999</v>
      </c>
      <c r="C2876" t="s">
        <v>1000</v>
      </c>
      <c r="D2876" t="s">
        <v>264</v>
      </c>
      <c r="E2876" t="s">
        <v>274</v>
      </c>
      <c r="F2876" t="s">
        <v>219</v>
      </c>
      <c r="G2876" t="s">
        <v>229</v>
      </c>
      <c r="H2876">
        <v>243</v>
      </c>
      <c r="I2876" t="str">
        <f t="shared" si="44"/>
        <v>Fine Arts Buildings|S|Good</v>
      </c>
      <c r="J2876" t="s">
        <v>1001</v>
      </c>
    </row>
    <row r="2877" spans="2:10">
      <c r="B2877" t="s">
        <v>999</v>
      </c>
      <c r="C2877" t="s">
        <v>1000</v>
      </c>
      <c r="D2877" t="s">
        <v>264</v>
      </c>
      <c r="E2877" t="s">
        <v>274</v>
      </c>
      <c r="F2877" t="s">
        <v>219</v>
      </c>
      <c r="G2877" t="s">
        <v>44</v>
      </c>
      <c r="H2877">
        <v>181</v>
      </c>
      <c r="I2877" t="str">
        <f t="shared" si="44"/>
        <v>Fine Arts Buildings|S|Average</v>
      </c>
      <c r="J2877" t="s">
        <v>1001</v>
      </c>
    </row>
    <row r="2878" spans="2:10">
      <c r="B2878" t="s">
        <v>999</v>
      </c>
      <c r="C2878" t="s">
        <v>1000</v>
      </c>
      <c r="D2878" t="s">
        <v>264</v>
      </c>
      <c r="E2878" t="s">
        <v>274</v>
      </c>
      <c r="F2878" t="s">
        <v>219</v>
      </c>
      <c r="G2878" t="s">
        <v>226</v>
      </c>
      <c r="H2878">
        <v>133</v>
      </c>
      <c r="I2878" t="str">
        <f t="shared" si="44"/>
        <v>Fine Arts Buildings|S|Low Cost</v>
      </c>
      <c r="J2878" t="s">
        <v>1001</v>
      </c>
    </row>
    <row r="2879" spans="2:10">
      <c r="B2879" t="s">
        <v>1002</v>
      </c>
      <c r="C2879" t="s">
        <v>1003</v>
      </c>
      <c r="D2879" t="s">
        <v>264</v>
      </c>
      <c r="E2879" t="s">
        <v>274</v>
      </c>
      <c r="F2879" t="s">
        <v>270</v>
      </c>
      <c r="G2879" t="s">
        <v>44</v>
      </c>
      <c r="H2879">
        <v>168</v>
      </c>
      <c r="I2879" t="str">
        <f t="shared" si="44"/>
        <v>Book Stores|A-B|Average</v>
      </c>
      <c r="J2879" t="s">
        <v>1001</v>
      </c>
    </row>
    <row r="2880" spans="2:10">
      <c r="B2880" t="s">
        <v>1002</v>
      </c>
      <c r="C2880" t="s">
        <v>1003</v>
      </c>
      <c r="D2880" t="s">
        <v>264</v>
      </c>
      <c r="E2880" t="s">
        <v>274</v>
      </c>
      <c r="F2880" t="s">
        <v>270</v>
      </c>
      <c r="G2880" t="s">
        <v>226</v>
      </c>
      <c r="H2880">
        <v>130</v>
      </c>
      <c r="I2880" t="str">
        <f t="shared" si="44"/>
        <v>Book Stores|A-B|Low Cost</v>
      </c>
      <c r="J2880" t="s">
        <v>1001</v>
      </c>
    </row>
    <row r="2881" spans="2:10">
      <c r="B2881" t="s">
        <v>1002</v>
      </c>
      <c r="C2881" t="s">
        <v>1003</v>
      </c>
      <c r="D2881" t="s">
        <v>264</v>
      </c>
      <c r="E2881" t="s">
        <v>274</v>
      </c>
      <c r="F2881" t="s">
        <v>209</v>
      </c>
      <c r="G2881" t="s">
        <v>229</v>
      </c>
      <c r="H2881">
        <v>172</v>
      </c>
      <c r="I2881" t="str">
        <f t="shared" si="44"/>
        <v>Book Stores|C|Good</v>
      </c>
      <c r="J2881" t="s">
        <v>1001</v>
      </c>
    </row>
    <row r="2882" spans="2:10">
      <c r="B2882" t="s">
        <v>1002</v>
      </c>
      <c r="C2882" t="s">
        <v>1003</v>
      </c>
      <c r="D2882" t="s">
        <v>264</v>
      </c>
      <c r="E2882" t="s">
        <v>274</v>
      </c>
      <c r="F2882" t="s">
        <v>209</v>
      </c>
      <c r="G2882" t="s">
        <v>44</v>
      </c>
      <c r="H2882">
        <v>132</v>
      </c>
      <c r="I2882" t="str">
        <f t="shared" si="44"/>
        <v>Book Stores|C|Average</v>
      </c>
      <c r="J2882" t="s">
        <v>1001</v>
      </c>
    </row>
    <row r="2883" spans="2:10">
      <c r="B2883" t="s">
        <v>1002</v>
      </c>
      <c r="C2883" t="s">
        <v>1003</v>
      </c>
      <c r="D2883" t="s">
        <v>264</v>
      </c>
      <c r="E2883" t="s">
        <v>274</v>
      </c>
      <c r="F2883" t="s">
        <v>209</v>
      </c>
      <c r="G2883" t="s">
        <v>226</v>
      </c>
      <c r="H2883">
        <v>102</v>
      </c>
      <c r="I2883" t="str">
        <f t="shared" si="44"/>
        <v>Book Stores|C|Low Cost</v>
      </c>
      <c r="J2883" t="s">
        <v>1001</v>
      </c>
    </row>
    <row r="2884" spans="2:10">
      <c r="B2884" t="s">
        <v>1002</v>
      </c>
      <c r="C2884" t="s">
        <v>1003</v>
      </c>
      <c r="D2884" t="s">
        <v>264</v>
      </c>
      <c r="E2884" t="s">
        <v>274</v>
      </c>
      <c r="F2884" t="s">
        <v>214</v>
      </c>
      <c r="G2884" t="s">
        <v>229</v>
      </c>
      <c r="H2884">
        <v>168</v>
      </c>
      <c r="I2884" t="str">
        <f t="shared" si="44"/>
        <v>Book Stores|D|Good</v>
      </c>
      <c r="J2884" t="s">
        <v>1001</v>
      </c>
    </row>
    <row r="2885" spans="2:10">
      <c r="B2885" t="s">
        <v>1002</v>
      </c>
      <c r="C2885" t="s">
        <v>1003</v>
      </c>
      <c r="D2885" t="s">
        <v>264</v>
      </c>
      <c r="E2885" t="s">
        <v>274</v>
      </c>
      <c r="F2885" t="s">
        <v>214</v>
      </c>
      <c r="G2885" t="s">
        <v>44</v>
      </c>
      <c r="H2885">
        <v>127</v>
      </c>
      <c r="I2885" t="str">
        <f t="shared" si="44"/>
        <v>Book Stores|D|Average</v>
      </c>
      <c r="J2885" t="s">
        <v>1001</v>
      </c>
    </row>
    <row r="2886" spans="2:10">
      <c r="B2886" t="s">
        <v>1002</v>
      </c>
      <c r="C2886" t="s">
        <v>1003</v>
      </c>
      <c r="D2886" t="s">
        <v>264</v>
      </c>
      <c r="E2886" t="s">
        <v>274</v>
      </c>
      <c r="F2886" t="s">
        <v>214</v>
      </c>
      <c r="G2886" t="s">
        <v>226</v>
      </c>
      <c r="H2886">
        <v>97</v>
      </c>
      <c r="I2886" t="str">
        <f t="shared" si="44"/>
        <v>Book Stores|D|Low Cost</v>
      </c>
      <c r="J2886" t="s">
        <v>1001</v>
      </c>
    </row>
    <row r="2887" spans="2:10">
      <c r="B2887" t="s">
        <v>1002</v>
      </c>
      <c r="C2887" t="s">
        <v>1003</v>
      </c>
      <c r="D2887" t="s">
        <v>264</v>
      </c>
      <c r="E2887" t="s">
        <v>274</v>
      </c>
      <c r="F2887" t="s">
        <v>313</v>
      </c>
      <c r="G2887" t="s">
        <v>226</v>
      </c>
      <c r="H2887">
        <v>89</v>
      </c>
      <c r="I2887" t="str">
        <f t="shared" si="44"/>
        <v>Book Stores|DPOLE|Low Cost</v>
      </c>
      <c r="J2887" t="s">
        <v>1001</v>
      </c>
    </row>
    <row r="2888" spans="2:10">
      <c r="B2888" t="s">
        <v>1002</v>
      </c>
      <c r="C2888" t="s">
        <v>1003</v>
      </c>
      <c r="D2888" t="s">
        <v>264</v>
      </c>
      <c r="E2888" t="s">
        <v>274</v>
      </c>
      <c r="F2888" t="s">
        <v>219</v>
      </c>
      <c r="G2888" t="s">
        <v>226</v>
      </c>
      <c r="H2888">
        <v>90.5</v>
      </c>
      <c r="I2888" t="str">
        <f t="shared" si="44"/>
        <v>Book Stores|S|Low Cost</v>
      </c>
      <c r="J2888" t="s">
        <v>1001</v>
      </c>
    </row>
    <row r="2889" spans="2:10">
      <c r="B2889" t="s">
        <v>1004</v>
      </c>
      <c r="C2889" t="s">
        <v>1005</v>
      </c>
      <c r="D2889" t="s">
        <v>264</v>
      </c>
      <c r="E2889" t="s">
        <v>276</v>
      </c>
      <c r="F2889" t="s">
        <v>270</v>
      </c>
      <c r="G2889" t="s">
        <v>44</v>
      </c>
      <c r="H2889">
        <v>270</v>
      </c>
      <c r="I2889" t="str">
        <f t="shared" si="44"/>
        <v>Restroom Buildings|A-B|Average</v>
      </c>
      <c r="J2889" t="s">
        <v>1006</v>
      </c>
    </row>
    <row r="2890" spans="2:10">
      <c r="B2890" t="s">
        <v>1004</v>
      </c>
      <c r="C2890" t="s">
        <v>1005</v>
      </c>
      <c r="D2890" t="s">
        <v>264</v>
      </c>
      <c r="E2890" t="s">
        <v>276</v>
      </c>
      <c r="F2890" t="s">
        <v>209</v>
      </c>
      <c r="G2890" t="s">
        <v>231</v>
      </c>
      <c r="H2890">
        <v>392</v>
      </c>
      <c r="I2890" t="str">
        <f t="shared" si="44"/>
        <v>Restroom Buildings|C|Excellent</v>
      </c>
      <c r="J2890" t="s">
        <v>1006</v>
      </c>
    </row>
    <row r="2891" spans="2:10">
      <c r="B2891" t="s">
        <v>1004</v>
      </c>
      <c r="C2891" t="s">
        <v>1005</v>
      </c>
      <c r="D2891" t="s">
        <v>264</v>
      </c>
      <c r="E2891" t="s">
        <v>276</v>
      </c>
      <c r="F2891" t="s">
        <v>209</v>
      </c>
      <c r="G2891" t="s">
        <v>229</v>
      </c>
      <c r="H2891">
        <v>286</v>
      </c>
      <c r="I2891" t="str">
        <f t="shared" si="44"/>
        <v>Restroom Buildings|C|Good</v>
      </c>
      <c r="J2891" t="s">
        <v>1006</v>
      </c>
    </row>
    <row r="2892" spans="2:10">
      <c r="B2892" t="s">
        <v>1004</v>
      </c>
      <c r="C2892" t="s">
        <v>1005</v>
      </c>
      <c r="D2892" t="s">
        <v>264</v>
      </c>
      <c r="E2892" t="s">
        <v>276</v>
      </c>
      <c r="F2892" t="s">
        <v>209</v>
      </c>
      <c r="G2892" t="s">
        <v>44</v>
      </c>
      <c r="H2892">
        <v>209</v>
      </c>
      <c r="I2892" t="str">
        <f t="shared" si="44"/>
        <v>Restroom Buildings|C|Average</v>
      </c>
      <c r="J2892" t="s">
        <v>1006</v>
      </c>
    </row>
    <row r="2893" spans="2:10">
      <c r="B2893" t="s">
        <v>1004</v>
      </c>
      <c r="C2893" t="s">
        <v>1005</v>
      </c>
      <c r="D2893" t="s">
        <v>264</v>
      </c>
      <c r="E2893" t="s">
        <v>276</v>
      </c>
      <c r="F2893" t="s">
        <v>209</v>
      </c>
      <c r="G2893" t="s">
        <v>226</v>
      </c>
      <c r="H2893">
        <v>153</v>
      </c>
      <c r="I2893" t="str">
        <f t="shared" si="44"/>
        <v>Restroom Buildings|C|Low Cost</v>
      </c>
      <c r="J2893" t="s">
        <v>1006</v>
      </c>
    </row>
    <row r="2894" spans="2:10">
      <c r="B2894" t="s">
        <v>1004</v>
      </c>
      <c r="C2894" t="s">
        <v>1005</v>
      </c>
      <c r="D2894" t="s">
        <v>264</v>
      </c>
      <c r="E2894" t="s">
        <v>276</v>
      </c>
      <c r="F2894" t="s">
        <v>209</v>
      </c>
      <c r="G2894" t="s">
        <v>314</v>
      </c>
      <c r="H2894">
        <v>109</v>
      </c>
      <c r="I2894" t="str">
        <f t="shared" si="44"/>
        <v>Restroom Buildings|C|Cheap</v>
      </c>
      <c r="J2894" t="s">
        <v>1006</v>
      </c>
    </row>
    <row r="2895" spans="2:10">
      <c r="B2895" t="s">
        <v>1004</v>
      </c>
      <c r="C2895" t="s">
        <v>1005</v>
      </c>
      <c r="D2895" t="s">
        <v>264</v>
      </c>
      <c r="E2895" t="s">
        <v>276</v>
      </c>
      <c r="F2895" t="s">
        <v>214</v>
      </c>
      <c r="G2895" t="s">
        <v>231</v>
      </c>
      <c r="H2895">
        <v>364</v>
      </c>
      <c r="I2895" t="str">
        <f t="shared" si="44"/>
        <v>Restroom Buildings|D|Excellent</v>
      </c>
      <c r="J2895" t="s">
        <v>1006</v>
      </c>
    </row>
    <row r="2896" spans="2:10">
      <c r="B2896" t="s">
        <v>1004</v>
      </c>
      <c r="C2896" t="s">
        <v>1005</v>
      </c>
      <c r="D2896" t="s">
        <v>264</v>
      </c>
      <c r="E2896" t="s">
        <v>276</v>
      </c>
      <c r="F2896" t="s">
        <v>214</v>
      </c>
      <c r="G2896" t="s">
        <v>229</v>
      </c>
      <c r="H2896">
        <v>269</v>
      </c>
      <c r="I2896" t="str">
        <f t="shared" si="44"/>
        <v>Restroom Buildings|D|Good</v>
      </c>
      <c r="J2896" t="s">
        <v>1006</v>
      </c>
    </row>
    <row r="2897" spans="2:10">
      <c r="B2897" t="s">
        <v>1004</v>
      </c>
      <c r="C2897" t="s">
        <v>1005</v>
      </c>
      <c r="D2897" t="s">
        <v>264</v>
      </c>
      <c r="E2897" t="s">
        <v>276</v>
      </c>
      <c r="F2897" t="s">
        <v>214</v>
      </c>
      <c r="G2897" t="s">
        <v>44</v>
      </c>
      <c r="H2897">
        <v>198</v>
      </c>
      <c r="I2897" t="str">
        <f t="shared" si="44"/>
        <v>Restroom Buildings|D|Average</v>
      </c>
      <c r="J2897" t="s">
        <v>1006</v>
      </c>
    </row>
    <row r="2898" spans="2:10">
      <c r="B2898" t="s">
        <v>1004</v>
      </c>
      <c r="C2898" t="s">
        <v>1005</v>
      </c>
      <c r="D2898" t="s">
        <v>264</v>
      </c>
      <c r="E2898" t="s">
        <v>276</v>
      </c>
      <c r="F2898" t="s">
        <v>214</v>
      </c>
      <c r="G2898" t="s">
        <v>226</v>
      </c>
      <c r="H2898">
        <v>146</v>
      </c>
      <c r="I2898" t="str">
        <f t="shared" si="44"/>
        <v>Restroom Buildings|D|Low Cost</v>
      </c>
      <c r="J2898" t="s">
        <v>1006</v>
      </c>
    </row>
    <row r="2899" spans="2:10">
      <c r="B2899" t="s">
        <v>1004</v>
      </c>
      <c r="C2899" t="s">
        <v>1005</v>
      </c>
      <c r="D2899" t="s">
        <v>264</v>
      </c>
      <c r="E2899" t="s">
        <v>276</v>
      </c>
      <c r="F2899" t="s">
        <v>214</v>
      </c>
      <c r="G2899" t="s">
        <v>314</v>
      </c>
      <c r="H2899">
        <v>105</v>
      </c>
      <c r="I2899" t="str">
        <f t="shared" si="44"/>
        <v>Restroom Buildings|D|Cheap</v>
      </c>
      <c r="J2899" t="s">
        <v>1006</v>
      </c>
    </row>
    <row r="2900" spans="2:10">
      <c r="B2900" t="s">
        <v>1004</v>
      </c>
      <c r="C2900" t="s">
        <v>1005</v>
      </c>
      <c r="D2900" t="s">
        <v>264</v>
      </c>
      <c r="E2900" t="s">
        <v>276</v>
      </c>
      <c r="F2900" t="s">
        <v>313</v>
      </c>
      <c r="G2900" t="s">
        <v>226</v>
      </c>
      <c r="H2900">
        <v>139</v>
      </c>
      <c r="I2900" t="str">
        <f t="shared" si="44"/>
        <v>Restroom Buildings|DPOLE|Low Cost</v>
      </c>
      <c r="J2900" t="s">
        <v>1006</v>
      </c>
    </row>
    <row r="2901" spans="2:10">
      <c r="B2901" t="s">
        <v>1004</v>
      </c>
      <c r="C2901" t="s">
        <v>1005</v>
      </c>
      <c r="D2901" t="s">
        <v>264</v>
      </c>
      <c r="E2901" t="s">
        <v>276</v>
      </c>
      <c r="F2901" t="s">
        <v>313</v>
      </c>
      <c r="G2901" t="s">
        <v>314</v>
      </c>
      <c r="H2901">
        <v>107</v>
      </c>
      <c r="I2901" t="str">
        <f t="shared" si="44"/>
        <v>Restroom Buildings|DPOLE|Cheap</v>
      </c>
      <c r="J2901" t="s">
        <v>1006</v>
      </c>
    </row>
    <row r="2902" spans="2:10">
      <c r="B2902" t="s">
        <v>1004</v>
      </c>
      <c r="C2902" t="s">
        <v>1005</v>
      </c>
      <c r="D2902" t="s">
        <v>264</v>
      </c>
      <c r="E2902" t="s">
        <v>276</v>
      </c>
      <c r="F2902" t="s">
        <v>219</v>
      </c>
      <c r="G2902" t="s">
        <v>226</v>
      </c>
      <c r="H2902">
        <v>139</v>
      </c>
      <c r="I2902" t="str">
        <f t="shared" si="44"/>
        <v>Restroom Buildings|S|Low Cost</v>
      </c>
      <c r="J2902" t="s">
        <v>1006</v>
      </c>
    </row>
    <row r="2903" spans="2:10">
      <c r="B2903" t="s">
        <v>1004</v>
      </c>
      <c r="C2903" t="s">
        <v>1005</v>
      </c>
      <c r="D2903" t="s">
        <v>264</v>
      </c>
      <c r="E2903" t="s">
        <v>276</v>
      </c>
      <c r="F2903" t="s">
        <v>219</v>
      </c>
      <c r="G2903" t="s">
        <v>314</v>
      </c>
      <c r="H2903">
        <v>106</v>
      </c>
      <c r="I2903" t="str">
        <f t="shared" si="44"/>
        <v>Restroom Buildings|S|Cheap</v>
      </c>
      <c r="J2903" t="s">
        <v>1006</v>
      </c>
    </row>
    <row r="2904" spans="2:10">
      <c r="B2904" t="s">
        <v>1007</v>
      </c>
      <c r="C2904" t="s">
        <v>1008</v>
      </c>
      <c r="D2904" t="s">
        <v>264</v>
      </c>
      <c r="E2904" t="s">
        <v>276</v>
      </c>
      <c r="F2904" t="s">
        <v>209</v>
      </c>
      <c r="G2904" t="s">
        <v>229</v>
      </c>
      <c r="H2904">
        <v>109</v>
      </c>
      <c r="I2904" t="str">
        <f t="shared" si="44"/>
        <v>Maintenance (Storage) Buildings|C|Good</v>
      </c>
      <c r="J2904" t="s">
        <v>1006</v>
      </c>
    </row>
    <row r="2905" spans="2:10">
      <c r="B2905" t="s">
        <v>1007</v>
      </c>
      <c r="C2905" t="s">
        <v>1008</v>
      </c>
      <c r="D2905" t="s">
        <v>264</v>
      </c>
      <c r="E2905" t="s">
        <v>276</v>
      </c>
      <c r="F2905" t="s">
        <v>209</v>
      </c>
      <c r="G2905" t="s">
        <v>44</v>
      </c>
      <c r="H2905">
        <v>75.5</v>
      </c>
      <c r="I2905" t="str">
        <f t="shared" si="44"/>
        <v>Maintenance (Storage) Buildings|C|Average</v>
      </c>
      <c r="J2905" t="s">
        <v>1006</v>
      </c>
    </row>
    <row r="2906" spans="2:10">
      <c r="B2906" t="s">
        <v>1007</v>
      </c>
      <c r="C2906" t="s">
        <v>1008</v>
      </c>
      <c r="D2906" t="s">
        <v>264</v>
      </c>
      <c r="E2906" t="s">
        <v>276</v>
      </c>
      <c r="F2906" t="s">
        <v>214</v>
      </c>
      <c r="G2906" t="s">
        <v>229</v>
      </c>
      <c r="H2906">
        <v>100</v>
      </c>
      <c r="I2906" t="str">
        <f t="shared" si="44"/>
        <v>Maintenance (Storage) Buildings|D|Good</v>
      </c>
      <c r="J2906" t="s">
        <v>1006</v>
      </c>
    </row>
    <row r="2907" spans="2:10">
      <c r="B2907" t="s">
        <v>1007</v>
      </c>
      <c r="C2907" t="s">
        <v>1008</v>
      </c>
      <c r="D2907" t="s">
        <v>264</v>
      </c>
      <c r="E2907" t="s">
        <v>276</v>
      </c>
      <c r="F2907" t="s">
        <v>214</v>
      </c>
      <c r="G2907" t="s">
        <v>44</v>
      </c>
      <c r="H2907">
        <v>66</v>
      </c>
      <c r="I2907" t="str">
        <f t="shared" si="44"/>
        <v>Maintenance (Storage) Buildings|D|Average</v>
      </c>
      <c r="J2907" t="s">
        <v>1006</v>
      </c>
    </row>
    <row r="2908" spans="2:10">
      <c r="B2908" t="s">
        <v>1007</v>
      </c>
      <c r="C2908" t="s">
        <v>1008</v>
      </c>
      <c r="D2908" t="s">
        <v>264</v>
      </c>
      <c r="E2908" t="s">
        <v>276</v>
      </c>
      <c r="F2908" t="s">
        <v>313</v>
      </c>
      <c r="G2908" t="s">
        <v>229</v>
      </c>
      <c r="H2908">
        <v>89</v>
      </c>
      <c r="I2908" t="str">
        <f t="shared" si="44"/>
        <v>Maintenance (Storage) Buildings|DPOLE|Good</v>
      </c>
      <c r="J2908" t="s">
        <v>1006</v>
      </c>
    </row>
    <row r="2909" spans="2:10">
      <c r="B2909" t="s">
        <v>1007</v>
      </c>
      <c r="C2909" t="s">
        <v>1008</v>
      </c>
      <c r="D2909" t="s">
        <v>264</v>
      </c>
      <c r="E2909" t="s">
        <v>276</v>
      </c>
      <c r="F2909" t="s">
        <v>313</v>
      </c>
      <c r="G2909" t="s">
        <v>44</v>
      </c>
      <c r="H2909">
        <v>57.5</v>
      </c>
      <c r="I2909" t="str">
        <f t="shared" si="44"/>
        <v>Maintenance (Storage) Buildings|DPOLE|Average</v>
      </c>
      <c r="J2909" t="s">
        <v>1006</v>
      </c>
    </row>
    <row r="2910" spans="2:10">
      <c r="B2910" t="s">
        <v>1007</v>
      </c>
      <c r="C2910" t="s">
        <v>1008</v>
      </c>
      <c r="D2910" t="s">
        <v>264</v>
      </c>
      <c r="E2910" t="s">
        <v>276</v>
      </c>
      <c r="F2910" t="s">
        <v>219</v>
      </c>
      <c r="G2910" t="s">
        <v>229</v>
      </c>
      <c r="H2910">
        <v>93</v>
      </c>
      <c r="I2910" t="str">
        <f t="shared" ref="I2910:I2973" si="45">B2910&amp;"|"&amp;F2910&amp;"|"&amp;G2910</f>
        <v>Maintenance (Storage) Buildings|S|Good</v>
      </c>
      <c r="J2910" t="s">
        <v>1006</v>
      </c>
    </row>
    <row r="2911" spans="2:10">
      <c r="B2911" t="s">
        <v>1007</v>
      </c>
      <c r="C2911" t="s">
        <v>1008</v>
      </c>
      <c r="D2911" t="s">
        <v>264</v>
      </c>
      <c r="E2911" t="s">
        <v>276</v>
      </c>
      <c r="F2911" t="s">
        <v>219</v>
      </c>
      <c r="G2911" t="s">
        <v>44</v>
      </c>
      <c r="H2911">
        <v>61.5</v>
      </c>
      <c r="I2911" t="str">
        <f t="shared" si="45"/>
        <v>Maintenance (Storage) Buildings|S|Average</v>
      </c>
      <c r="J2911" t="s">
        <v>1006</v>
      </c>
    </row>
    <row r="2912" spans="2:10">
      <c r="B2912" t="s">
        <v>1009</v>
      </c>
      <c r="C2912" t="s">
        <v>1010</v>
      </c>
      <c r="D2912" t="s">
        <v>264</v>
      </c>
      <c r="E2912" t="s">
        <v>280</v>
      </c>
      <c r="F2912" t="s">
        <v>270</v>
      </c>
      <c r="G2912" t="s">
        <v>229</v>
      </c>
      <c r="H2912">
        <v>319</v>
      </c>
      <c r="I2912" t="str">
        <f t="shared" si="45"/>
        <v>Natatoriums|A-B|Good</v>
      </c>
      <c r="J2912" t="s">
        <v>1011</v>
      </c>
    </row>
    <row r="2913" spans="2:10">
      <c r="B2913" t="s">
        <v>1009</v>
      </c>
      <c r="C2913" t="s">
        <v>1010</v>
      </c>
      <c r="D2913" t="s">
        <v>264</v>
      </c>
      <c r="E2913" t="s">
        <v>280</v>
      </c>
      <c r="F2913" t="s">
        <v>270</v>
      </c>
      <c r="G2913" t="s">
        <v>44</v>
      </c>
      <c r="H2913">
        <v>234</v>
      </c>
      <c r="I2913" t="str">
        <f t="shared" si="45"/>
        <v>Natatoriums|A-B|Average</v>
      </c>
      <c r="J2913" t="s">
        <v>1011</v>
      </c>
    </row>
    <row r="2914" spans="2:10">
      <c r="B2914" t="s">
        <v>1009</v>
      </c>
      <c r="C2914" t="s">
        <v>1010</v>
      </c>
      <c r="D2914" t="s">
        <v>264</v>
      </c>
      <c r="E2914" t="s">
        <v>280</v>
      </c>
      <c r="F2914" t="s">
        <v>209</v>
      </c>
      <c r="G2914" t="s">
        <v>229</v>
      </c>
      <c r="H2914">
        <v>236</v>
      </c>
      <c r="I2914" t="str">
        <f t="shared" si="45"/>
        <v>Natatoriums|C|Good</v>
      </c>
      <c r="J2914" t="s">
        <v>1011</v>
      </c>
    </row>
    <row r="2915" spans="2:10">
      <c r="B2915" t="s">
        <v>1009</v>
      </c>
      <c r="C2915" t="s">
        <v>1010</v>
      </c>
      <c r="D2915" t="s">
        <v>264</v>
      </c>
      <c r="E2915" t="s">
        <v>280</v>
      </c>
      <c r="F2915" t="s">
        <v>209</v>
      </c>
      <c r="G2915" t="s">
        <v>44</v>
      </c>
      <c r="H2915">
        <v>170</v>
      </c>
      <c r="I2915" t="str">
        <f t="shared" si="45"/>
        <v>Natatoriums|C|Average</v>
      </c>
      <c r="J2915" t="s">
        <v>1011</v>
      </c>
    </row>
    <row r="2916" spans="2:10">
      <c r="B2916" t="s">
        <v>1009</v>
      </c>
      <c r="C2916" t="s">
        <v>1010</v>
      </c>
      <c r="D2916" t="s">
        <v>264</v>
      </c>
      <c r="E2916" t="s">
        <v>280</v>
      </c>
      <c r="F2916" t="s">
        <v>209</v>
      </c>
      <c r="G2916" t="s">
        <v>226</v>
      </c>
      <c r="H2916">
        <v>124</v>
      </c>
      <c r="I2916" t="str">
        <f t="shared" si="45"/>
        <v>Natatoriums|C|Low Cost</v>
      </c>
      <c r="J2916" t="s">
        <v>1011</v>
      </c>
    </row>
    <row r="2917" spans="2:10">
      <c r="B2917" t="s">
        <v>1009</v>
      </c>
      <c r="C2917" t="s">
        <v>1010</v>
      </c>
      <c r="D2917" t="s">
        <v>264</v>
      </c>
      <c r="E2917" t="s">
        <v>280</v>
      </c>
      <c r="F2917" t="s">
        <v>214</v>
      </c>
      <c r="G2917" t="s">
        <v>229</v>
      </c>
      <c r="H2917">
        <v>231</v>
      </c>
      <c r="I2917" t="str">
        <f t="shared" si="45"/>
        <v>Natatoriums|D|Good</v>
      </c>
      <c r="J2917" t="s">
        <v>1011</v>
      </c>
    </row>
    <row r="2918" spans="2:10">
      <c r="B2918" t="s">
        <v>1009</v>
      </c>
      <c r="C2918" t="s">
        <v>1010</v>
      </c>
      <c r="D2918" t="s">
        <v>264</v>
      </c>
      <c r="E2918" t="s">
        <v>280</v>
      </c>
      <c r="F2918" t="s">
        <v>214</v>
      </c>
      <c r="G2918" t="s">
        <v>44</v>
      </c>
      <c r="H2918">
        <v>165</v>
      </c>
      <c r="I2918" t="str">
        <f t="shared" si="45"/>
        <v>Natatoriums|D|Average</v>
      </c>
      <c r="J2918" t="s">
        <v>1011</v>
      </c>
    </row>
    <row r="2919" spans="2:10">
      <c r="B2919" t="s">
        <v>1009</v>
      </c>
      <c r="C2919" t="s">
        <v>1010</v>
      </c>
      <c r="D2919" t="s">
        <v>264</v>
      </c>
      <c r="E2919" t="s">
        <v>280</v>
      </c>
      <c r="F2919" t="s">
        <v>214</v>
      </c>
      <c r="G2919" t="s">
        <v>226</v>
      </c>
      <c r="H2919">
        <v>119</v>
      </c>
      <c r="I2919" t="str">
        <f t="shared" si="45"/>
        <v>Natatoriums|D|Low Cost</v>
      </c>
      <c r="J2919" t="s">
        <v>1011</v>
      </c>
    </row>
    <row r="2920" spans="2:10">
      <c r="B2920" t="s">
        <v>1009</v>
      </c>
      <c r="C2920" t="s">
        <v>1010</v>
      </c>
      <c r="D2920" t="s">
        <v>264</v>
      </c>
      <c r="E2920" t="s">
        <v>280</v>
      </c>
      <c r="F2920" t="s">
        <v>313</v>
      </c>
      <c r="G2920" t="s">
        <v>226</v>
      </c>
      <c r="H2920">
        <v>112</v>
      </c>
      <c r="I2920" t="str">
        <f t="shared" si="45"/>
        <v>Natatoriums|DPOLE|Low Cost</v>
      </c>
      <c r="J2920" t="s">
        <v>1011</v>
      </c>
    </row>
    <row r="2921" spans="2:10">
      <c r="B2921" t="s">
        <v>1009</v>
      </c>
      <c r="C2921" t="s">
        <v>1010</v>
      </c>
      <c r="D2921" t="s">
        <v>264</v>
      </c>
      <c r="E2921" t="s">
        <v>280</v>
      </c>
      <c r="F2921" t="s">
        <v>219</v>
      </c>
      <c r="G2921" t="s">
        <v>44</v>
      </c>
      <c r="H2921">
        <v>159</v>
      </c>
      <c r="I2921" t="str">
        <f t="shared" si="45"/>
        <v>Natatoriums|S|Average</v>
      </c>
      <c r="J2921" t="s">
        <v>1011</v>
      </c>
    </row>
    <row r="2922" spans="2:10">
      <c r="B2922" t="s">
        <v>1009</v>
      </c>
      <c r="C2922" t="s">
        <v>1010</v>
      </c>
      <c r="D2922" t="s">
        <v>264</v>
      </c>
      <c r="E2922" t="s">
        <v>280</v>
      </c>
      <c r="F2922" t="s">
        <v>219</v>
      </c>
      <c r="G2922" t="s">
        <v>226</v>
      </c>
      <c r="H2922">
        <v>114</v>
      </c>
      <c r="I2922" t="str">
        <f t="shared" si="45"/>
        <v>Natatoriums|S|Low Cost</v>
      </c>
      <c r="J2922" t="s">
        <v>1011</v>
      </c>
    </row>
    <row r="2923" spans="2:10">
      <c r="B2923" t="s">
        <v>1012</v>
      </c>
      <c r="C2923" t="s">
        <v>1013</v>
      </c>
      <c r="D2923" t="s">
        <v>264</v>
      </c>
      <c r="E2923" t="s">
        <v>280</v>
      </c>
      <c r="F2923" t="s">
        <v>270</v>
      </c>
      <c r="G2923" t="s">
        <v>44</v>
      </c>
      <c r="H2923">
        <v>248</v>
      </c>
      <c r="I2923" t="str">
        <f t="shared" si="45"/>
        <v>Shower Room Buildings|A-B|Average</v>
      </c>
      <c r="J2923" t="s">
        <v>1011</v>
      </c>
    </row>
    <row r="2924" spans="2:10">
      <c r="B2924" t="s">
        <v>1012</v>
      </c>
      <c r="C2924" t="s">
        <v>1013</v>
      </c>
      <c r="D2924" t="s">
        <v>264</v>
      </c>
      <c r="E2924" t="s">
        <v>280</v>
      </c>
      <c r="F2924" t="s">
        <v>209</v>
      </c>
      <c r="G2924" t="s">
        <v>231</v>
      </c>
      <c r="H2924">
        <v>330</v>
      </c>
      <c r="I2924" t="str">
        <f t="shared" si="45"/>
        <v>Shower Room Buildings|C|Excellent</v>
      </c>
      <c r="J2924" t="s">
        <v>1011</v>
      </c>
    </row>
    <row r="2925" spans="2:10">
      <c r="B2925" t="s">
        <v>1012</v>
      </c>
      <c r="C2925" t="s">
        <v>1013</v>
      </c>
      <c r="D2925" t="s">
        <v>264</v>
      </c>
      <c r="E2925" t="s">
        <v>280</v>
      </c>
      <c r="F2925" t="s">
        <v>209</v>
      </c>
      <c r="G2925" t="s">
        <v>229</v>
      </c>
      <c r="H2925">
        <v>248</v>
      </c>
      <c r="I2925" t="str">
        <f t="shared" si="45"/>
        <v>Shower Room Buildings|C|Good</v>
      </c>
      <c r="J2925" t="s">
        <v>1011</v>
      </c>
    </row>
    <row r="2926" spans="2:10">
      <c r="B2926" t="s">
        <v>1012</v>
      </c>
      <c r="C2926" t="s">
        <v>1013</v>
      </c>
      <c r="D2926" t="s">
        <v>264</v>
      </c>
      <c r="E2926" t="s">
        <v>280</v>
      </c>
      <c r="F2926" t="s">
        <v>209</v>
      </c>
      <c r="G2926" t="s">
        <v>44</v>
      </c>
      <c r="H2926">
        <v>191</v>
      </c>
      <c r="I2926" t="str">
        <f t="shared" si="45"/>
        <v>Shower Room Buildings|C|Average</v>
      </c>
      <c r="J2926" t="s">
        <v>1011</v>
      </c>
    </row>
    <row r="2927" spans="2:10">
      <c r="B2927" t="s">
        <v>1012</v>
      </c>
      <c r="C2927" t="s">
        <v>1013</v>
      </c>
      <c r="D2927" t="s">
        <v>264</v>
      </c>
      <c r="E2927" t="s">
        <v>280</v>
      </c>
      <c r="F2927" t="s">
        <v>209</v>
      </c>
      <c r="G2927" t="s">
        <v>226</v>
      </c>
      <c r="H2927">
        <v>147</v>
      </c>
      <c r="I2927" t="str">
        <f t="shared" si="45"/>
        <v>Shower Room Buildings|C|Low Cost</v>
      </c>
      <c r="J2927" t="s">
        <v>1011</v>
      </c>
    </row>
    <row r="2928" spans="2:10">
      <c r="B2928" t="s">
        <v>1012</v>
      </c>
      <c r="C2928" t="s">
        <v>1013</v>
      </c>
      <c r="D2928" t="s">
        <v>264</v>
      </c>
      <c r="E2928" t="s">
        <v>280</v>
      </c>
      <c r="F2928" t="s">
        <v>209</v>
      </c>
      <c r="G2928" t="s">
        <v>314</v>
      </c>
      <c r="H2928">
        <v>105</v>
      </c>
      <c r="I2928" t="str">
        <f t="shared" si="45"/>
        <v>Shower Room Buildings|C|Cheap</v>
      </c>
      <c r="J2928" t="s">
        <v>1011</v>
      </c>
    </row>
    <row r="2929" spans="2:10">
      <c r="B2929" t="s">
        <v>1012</v>
      </c>
      <c r="C2929" t="s">
        <v>1013</v>
      </c>
      <c r="D2929" t="s">
        <v>264</v>
      </c>
      <c r="E2929" t="s">
        <v>280</v>
      </c>
      <c r="F2929" t="s">
        <v>214</v>
      </c>
      <c r="G2929" t="s">
        <v>229</v>
      </c>
      <c r="H2929">
        <v>242</v>
      </c>
      <c r="I2929" t="str">
        <f t="shared" si="45"/>
        <v>Shower Room Buildings|D|Good</v>
      </c>
      <c r="J2929" t="s">
        <v>1011</v>
      </c>
    </row>
    <row r="2930" spans="2:10">
      <c r="B2930" t="s">
        <v>1012</v>
      </c>
      <c r="C2930" t="s">
        <v>1013</v>
      </c>
      <c r="D2930" t="s">
        <v>264</v>
      </c>
      <c r="E2930" t="s">
        <v>280</v>
      </c>
      <c r="F2930" t="s">
        <v>214</v>
      </c>
      <c r="G2930" t="s">
        <v>44</v>
      </c>
      <c r="H2930">
        <v>184</v>
      </c>
      <c r="I2930" t="str">
        <f t="shared" si="45"/>
        <v>Shower Room Buildings|D|Average</v>
      </c>
      <c r="J2930" t="s">
        <v>1011</v>
      </c>
    </row>
    <row r="2931" spans="2:10">
      <c r="B2931" t="s">
        <v>1012</v>
      </c>
      <c r="C2931" t="s">
        <v>1013</v>
      </c>
      <c r="D2931" t="s">
        <v>264</v>
      </c>
      <c r="E2931" t="s">
        <v>280</v>
      </c>
      <c r="F2931" t="s">
        <v>214</v>
      </c>
      <c r="G2931" t="s">
        <v>226</v>
      </c>
      <c r="H2931">
        <v>141</v>
      </c>
      <c r="I2931" t="str">
        <f t="shared" si="45"/>
        <v>Shower Room Buildings|D|Low Cost</v>
      </c>
      <c r="J2931" t="s">
        <v>1011</v>
      </c>
    </row>
    <row r="2932" spans="2:10">
      <c r="B2932" t="s">
        <v>1012</v>
      </c>
      <c r="C2932" t="s">
        <v>1013</v>
      </c>
      <c r="D2932" t="s">
        <v>264</v>
      </c>
      <c r="E2932" t="s">
        <v>280</v>
      </c>
      <c r="F2932" t="s">
        <v>214</v>
      </c>
      <c r="G2932" t="s">
        <v>314</v>
      </c>
      <c r="H2932">
        <v>96</v>
      </c>
      <c r="I2932" t="str">
        <f t="shared" si="45"/>
        <v>Shower Room Buildings|D|Cheap</v>
      </c>
      <c r="J2932" t="s">
        <v>1011</v>
      </c>
    </row>
    <row r="2933" spans="2:10">
      <c r="B2933" t="s">
        <v>1012</v>
      </c>
      <c r="C2933" t="s">
        <v>1013</v>
      </c>
      <c r="D2933" t="s">
        <v>264</v>
      </c>
      <c r="E2933" t="s">
        <v>280</v>
      </c>
      <c r="F2933" t="s">
        <v>313</v>
      </c>
      <c r="G2933" t="s">
        <v>44</v>
      </c>
      <c r="H2933">
        <v>170</v>
      </c>
      <c r="I2933" t="str">
        <f t="shared" si="45"/>
        <v>Shower Room Buildings|DPOLE|Average</v>
      </c>
      <c r="J2933" t="s">
        <v>1011</v>
      </c>
    </row>
    <row r="2934" spans="2:10">
      <c r="B2934" t="s">
        <v>1012</v>
      </c>
      <c r="C2934" t="s">
        <v>1013</v>
      </c>
      <c r="D2934" t="s">
        <v>264</v>
      </c>
      <c r="E2934" t="s">
        <v>280</v>
      </c>
      <c r="F2934" t="s">
        <v>313</v>
      </c>
      <c r="G2934" t="s">
        <v>226</v>
      </c>
      <c r="H2934">
        <v>133</v>
      </c>
      <c r="I2934" t="str">
        <f t="shared" si="45"/>
        <v>Shower Room Buildings|DPOLE|Low Cost</v>
      </c>
      <c r="J2934" t="s">
        <v>1011</v>
      </c>
    </row>
    <row r="2935" spans="2:10">
      <c r="B2935" t="s">
        <v>1012</v>
      </c>
      <c r="C2935" t="s">
        <v>1013</v>
      </c>
      <c r="D2935" t="s">
        <v>264</v>
      </c>
      <c r="E2935" t="s">
        <v>280</v>
      </c>
      <c r="F2935" t="s">
        <v>219</v>
      </c>
      <c r="G2935" t="s">
        <v>44</v>
      </c>
      <c r="H2935">
        <v>171</v>
      </c>
      <c r="I2935" t="str">
        <f t="shared" si="45"/>
        <v>Shower Room Buildings|S|Average</v>
      </c>
      <c r="J2935" t="s">
        <v>1011</v>
      </c>
    </row>
    <row r="2936" spans="2:10">
      <c r="B2936" t="s">
        <v>1012</v>
      </c>
      <c r="C2936" t="s">
        <v>1013</v>
      </c>
      <c r="D2936" t="s">
        <v>264</v>
      </c>
      <c r="E2936" t="s">
        <v>280</v>
      </c>
      <c r="F2936" t="s">
        <v>219</v>
      </c>
      <c r="G2936" t="s">
        <v>226</v>
      </c>
      <c r="H2936">
        <v>134</v>
      </c>
      <c r="I2936" t="str">
        <f t="shared" si="45"/>
        <v>Shower Room Buildings|S|Low Cost</v>
      </c>
      <c r="J2936" t="s">
        <v>1011</v>
      </c>
    </row>
    <row r="2937" spans="2:10">
      <c r="B2937" t="s">
        <v>1014</v>
      </c>
      <c r="C2937" t="s">
        <v>1015</v>
      </c>
      <c r="D2937" t="s">
        <v>264</v>
      </c>
      <c r="E2937" t="s">
        <v>284</v>
      </c>
      <c r="F2937" t="s">
        <v>270</v>
      </c>
      <c r="G2937" t="s">
        <v>229</v>
      </c>
      <c r="H2937">
        <v>332</v>
      </c>
      <c r="I2937" t="str">
        <f t="shared" si="45"/>
        <v>Fieldhouses|A-B|Good</v>
      </c>
      <c r="J2937" t="s">
        <v>1016</v>
      </c>
    </row>
    <row r="2938" spans="2:10">
      <c r="B2938" t="s">
        <v>1014</v>
      </c>
      <c r="C2938" t="s">
        <v>1015</v>
      </c>
      <c r="D2938" t="s">
        <v>264</v>
      </c>
      <c r="E2938" t="s">
        <v>284</v>
      </c>
      <c r="F2938" t="s">
        <v>270</v>
      </c>
      <c r="G2938" t="s">
        <v>44</v>
      </c>
      <c r="H2938">
        <v>218</v>
      </c>
      <c r="I2938" t="str">
        <f t="shared" si="45"/>
        <v>Fieldhouses|A-B|Average</v>
      </c>
      <c r="J2938" t="s">
        <v>1016</v>
      </c>
    </row>
    <row r="2939" spans="2:10">
      <c r="B2939" t="s">
        <v>1014</v>
      </c>
      <c r="C2939" t="s">
        <v>1015</v>
      </c>
      <c r="D2939" t="s">
        <v>264</v>
      </c>
      <c r="E2939" t="s">
        <v>284</v>
      </c>
      <c r="F2939" t="s">
        <v>209</v>
      </c>
      <c r="G2939" t="s">
        <v>231</v>
      </c>
      <c r="H2939">
        <v>327</v>
      </c>
      <c r="I2939" t="str">
        <f t="shared" si="45"/>
        <v>Fieldhouses|C|Excellent</v>
      </c>
      <c r="J2939" t="s">
        <v>1016</v>
      </c>
    </row>
    <row r="2940" spans="2:10">
      <c r="B2940" t="s">
        <v>1014</v>
      </c>
      <c r="C2940" t="s">
        <v>1015</v>
      </c>
      <c r="D2940" t="s">
        <v>264</v>
      </c>
      <c r="E2940" t="s">
        <v>284</v>
      </c>
      <c r="F2940" t="s">
        <v>209</v>
      </c>
      <c r="G2940" t="s">
        <v>229</v>
      </c>
      <c r="H2940">
        <v>214</v>
      </c>
      <c r="I2940" t="str">
        <f t="shared" si="45"/>
        <v>Fieldhouses|C|Good</v>
      </c>
      <c r="J2940" t="s">
        <v>1016</v>
      </c>
    </row>
    <row r="2941" spans="2:10">
      <c r="B2941" t="s">
        <v>1014</v>
      </c>
      <c r="C2941" t="s">
        <v>1015</v>
      </c>
      <c r="D2941" t="s">
        <v>264</v>
      </c>
      <c r="E2941" t="s">
        <v>284</v>
      </c>
      <c r="F2941" t="s">
        <v>209</v>
      </c>
      <c r="G2941" t="s">
        <v>44</v>
      </c>
      <c r="H2941">
        <v>139</v>
      </c>
      <c r="I2941" t="str">
        <f t="shared" si="45"/>
        <v>Fieldhouses|C|Average</v>
      </c>
      <c r="J2941" t="s">
        <v>1016</v>
      </c>
    </row>
    <row r="2942" spans="2:10">
      <c r="B2942" t="s">
        <v>1014</v>
      </c>
      <c r="C2942" t="s">
        <v>1015</v>
      </c>
      <c r="D2942" t="s">
        <v>264</v>
      </c>
      <c r="E2942" t="s">
        <v>284</v>
      </c>
      <c r="F2942" t="s">
        <v>209</v>
      </c>
      <c r="G2942" t="s">
        <v>226</v>
      </c>
      <c r="H2942">
        <v>82.5</v>
      </c>
      <c r="I2942" t="str">
        <f t="shared" si="45"/>
        <v>Fieldhouses|C|Low Cost</v>
      </c>
      <c r="J2942" t="s">
        <v>1016</v>
      </c>
    </row>
    <row r="2943" spans="2:10">
      <c r="B2943" t="s">
        <v>1014</v>
      </c>
      <c r="C2943" t="s">
        <v>1015</v>
      </c>
      <c r="D2943" t="s">
        <v>264</v>
      </c>
      <c r="E2943" t="s">
        <v>284</v>
      </c>
      <c r="F2943" t="s">
        <v>214</v>
      </c>
      <c r="G2943" t="s">
        <v>231</v>
      </c>
      <c r="H2943">
        <v>323</v>
      </c>
      <c r="I2943" t="str">
        <f t="shared" si="45"/>
        <v>Fieldhouses|D|Excellent</v>
      </c>
      <c r="J2943" t="s">
        <v>1016</v>
      </c>
    </row>
    <row r="2944" spans="2:10">
      <c r="B2944" t="s">
        <v>1014</v>
      </c>
      <c r="C2944" t="s">
        <v>1015</v>
      </c>
      <c r="D2944" t="s">
        <v>264</v>
      </c>
      <c r="E2944" t="s">
        <v>284</v>
      </c>
      <c r="F2944" t="s">
        <v>214</v>
      </c>
      <c r="G2944" t="s">
        <v>229</v>
      </c>
      <c r="H2944">
        <v>208</v>
      </c>
      <c r="I2944" t="str">
        <f t="shared" si="45"/>
        <v>Fieldhouses|D|Good</v>
      </c>
      <c r="J2944" t="s">
        <v>1016</v>
      </c>
    </row>
    <row r="2945" spans="2:10">
      <c r="B2945" t="s">
        <v>1014</v>
      </c>
      <c r="C2945" t="s">
        <v>1015</v>
      </c>
      <c r="D2945" t="s">
        <v>264</v>
      </c>
      <c r="E2945" t="s">
        <v>284</v>
      </c>
      <c r="F2945" t="s">
        <v>214</v>
      </c>
      <c r="G2945" t="s">
        <v>44</v>
      </c>
      <c r="H2945">
        <v>133</v>
      </c>
      <c r="I2945" t="str">
        <f t="shared" si="45"/>
        <v>Fieldhouses|D|Average</v>
      </c>
      <c r="J2945" t="s">
        <v>1016</v>
      </c>
    </row>
    <row r="2946" spans="2:10">
      <c r="B2946" t="s">
        <v>1014</v>
      </c>
      <c r="C2946" t="s">
        <v>1015</v>
      </c>
      <c r="D2946" t="s">
        <v>264</v>
      </c>
      <c r="E2946" t="s">
        <v>284</v>
      </c>
      <c r="F2946" t="s">
        <v>214</v>
      </c>
      <c r="G2946" t="s">
        <v>226</v>
      </c>
      <c r="H2946">
        <v>77</v>
      </c>
      <c r="I2946" t="str">
        <f t="shared" si="45"/>
        <v>Fieldhouses|D|Low Cost</v>
      </c>
      <c r="J2946" t="s">
        <v>1016</v>
      </c>
    </row>
    <row r="2947" spans="2:10">
      <c r="B2947" t="s">
        <v>1014</v>
      </c>
      <c r="C2947" t="s">
        <v>1015</v>
      </c>
      <c r="D2947" t="s">
        <v>264</v>
      </c>
      <c r="E2947" t="s">
        <v>284</v>
      </c>
      <c r="F2947" t="s">
        <v>313</v>
      </c>
      <c r="G2947" t="s">
        <v>44</v>
      </c>
      <c r="H2947">
        <v>124</v>
      </c>
      <c r="I2947" t="str">
        <f t="shared" si="45"/>
        <v>Fieldhouses|DPOLE|Average</v>
      </c>
      <c r="J2947" t="s">
        <v>1016</v>
      </c>
    </row>
    <row r="2948" spans="2:10">
      <c r="B2948" t="s">
        <v>1014</v>
      </c>
      <c r="C2948" t="s">
        <v>1015</v>
      </c>
      <c r="D2948" t="s">
        <v>264</v>
      </c>
      <c r="E2948" t="s">
        <v>284</v>
      </c>
      <c r="F2948" t="s">
        <v>313</v>
      </c>
      <c r="G2948" t="s">
        <v>226</v>
      </c>
      <c r="H2948">
        <v>71</v>
      </c>
      <c r="I2948" t="str">
        <f t="shared" si="45"/>
        <v>Fieldhouses|DPOLE|Low Cost</v>
      </c>
      <c r="J2948" t="s">
        <v>1016</v>
      </c>
    </row>
    <row r="2949" spans="2:10">
      <c r="B2949" t="s">
        <v>1014</v>
      </c>
      <c r="C2949" t="s">
        <v>1015</v>
      </c>
      <c r="D2949" t="s">
        <v>264</v>
      </c>
      <c r="E2949" t="s">
        <v>284</v>
      </c>
      <c r="F2949" t="s">
        <v>313</v>
      </c>
      <c r="G2949" t="s">
        <v>314</v>
      </c>
      <c r="H2949">
        <v>55.5</v>
      </c>
      <c r="I2949" t="str">
        <f t="shared" si="45"/>
        <v>Fieldhouses|DPOLE|Cheap</v>
      </c>
      <c r="J2949" t="s">
        <v>1016</v>
      </c>
    </row>
    <row r="2950" spans="2:10">
      <c r="B2950" t="s">
        <v>1014</v>
      </c>
      <c r="C2950" t="s">
        <v>1015</v>
      </c>
      <c r="D2950" t="s">
        <v>264</v>
      </c>
      <c r="E2950" t="s">
        <v>284</v>
      </c>
      <c r="F2950" t="s">
        <v>219</v>
      </c>
      <c r="G2950" t="s">
        <v>229</v>
      </c>
      <c r="H2950">
        <v>202</v>
      </c>
      <c r="I2950" t="str">
        <f t="shared" si="45"/>
        <v>Fieldhouses|S|Good</v>
      </c>
      <c r="J2950" t="s">
        <v>1016</v>
      </c>
    </row>
    <row r="2951" spans="2:10">
      <c r="B2951" t="s">
        <v>1014</v>
      </c>
      <c r="C2951" t="s">
        <v>1015</v>
      </c>
      <c r="D2951" t="s">
        <v>264</v>
      </c>
      <c r="E2951" t="s">
        <v>284</v>
      </c>
      <c r="F2951" t="s">
        <v>219</v>
      </c>
      <c r="G2951" t="s">
        <v>44</v>
      </c>
      <c r="H2951">
        <v>127</v>
      </c>
      <c r="I2951" t="str">
        <f t="shared" si="45"/>
        <v>Fieldhouses|S|Average</v>
      </c>
      <c r="J2951" t="s">
        <v>1016</v>
      </c>
    </row>
    <row r="2952" spans="2:10">
      <c r="B2952" t="s">
        <v>1014</v>
      </c>
      <c r="C2952" t="s">
        <v>1015</v>
      </c>
      <c r="D2952" t="s">
        <v>264</v>
      </c>
      <c r="E2952" t="s">
        <v>284</v>
      </c>
      <c r="F2952" t="s">
        <v>219</v>
      </c>
      <c r="G2952" t="s">
        <v>226</v>
      </c>
      <c r="H2952">
        <v>72.5</v>
      </c>
      <c r="I2952" t="str">
        <f t="shared" si="45"/>
        <v>Fieldhouses|S|Low Cost</v>
      </c>
      <c r="J2952" t="s">
        <v>1016</v>
      </c>
    </row>
    <row r="2953" spans="2:10">
      <c r="B2953" t="s">
        <v>1014</v>
      </c>
      <c r="C2953" t="s">
        <v>1015</v>
      </c>
      <c r="D2953" t="s">
        <v>264</v>
      </c>
      <c r="E2953" t="s">
        <v>284</v>
      </c>
      <c r="F2953" t="s">
        <v>219</v>
      </c>
      <c r="G2953" t="s">
        <v>314</v>
      </c>
      <c r="H2953">
        <v>57</v>
      </c>
      <c r="I2953" t="str">
        <f t="shared" si="45"/>
        <v>Fieldhouses|S|Cheap</v>
      </c>
      <c r="J2953" t="s">
        <v>1016</v>
      </c>
    </row>
    <row r="2954" spans="2:10">
      <c r="B2954" t="s">
        <v>1017</v>
      </c>
      <c r="C2954" t="s">
        <v>1018</v>
      </c>
      <c r="D2954" t="s">
        <v>264</v>
      </c>
      <c r="E2954" t="s">
        <v>286</v>
      </c>
      <c r="F2954" t="s">
        <v>270</v>
      </c>
      <c r="G2954" t="s">
        <v>229</v>
      </c>
      <c r="H2954">
        <v>316</v>
      </c>
      <c r="I2954" t="str">
        <f t="shared" si="45"/>
        <v>Physical Education Buildings|A-B|Good</v>
      </c>
      <c r="J2954" t="s">
        <v>1019</v>
      </c>
    </row>
    <row r="2955" spans="2:10">
      <c r="B2955" t="s">
        <v>1017</v>
      </c>
      <c r="C2955" t="s">
        <v>1018</v>
      </c>
      <c r="D2955" t="s">
        <v>264</v>
      </c>
      <c r="E2955" t="s">
        <v>286</v>
      </c>
      <c r="F2955" t="s">
        <v>270</v>
      </c>
      <c r="G2955" t="s">
        <v>44</v>
      </c>
      <c r="H2955">
        <v>230</v>
      </c>
      <c r="I2955" t="str">
        <f t="shared" si="45"/>
        <v>Physical Education Buildings|A-B|Average</v>
      </c>
      <c r="J2955" t="s">
        <v>1019</v>
      </c>
    </row>
    <row r="2956" spans="2:10">
      <c r="B2956" t="s">
        <v>1017</v>
      </c>
      <c r="C2956" t="s">
        <v>1018</v>
      </c>
      <c r="D2956" t="s">
        <v>264</v>
      </c>
      <c r="E2956" t="s">
        <v>286</v>
      </c>
      <c r="F2956" t="s">
        <v>209</v>
      </c>
      <c r="G2956" t="s">
        <v>231</v>
      </c>
      <c r="H2956">
        <v>313</v>
      </c>
      <c r="I2956" t="str">
        <f t="shared" si="45"/>
        <v>Physical Education Buildings|C|Excellent</v>
      </c>
      <c r="J2956" t="s">
        <v>1019</v>
      </c>
    </row>
    <row r="2957" spans="2:10">
      <c r="B2957" t="s">
        <v>1017</v>
      </c>
      <c r="C2957" t="s">
        <v>1018</v>
      </c>
      <c r="D2957" t="s">
        <v>264</v>
      </c>
      <c r="E2957" t="s">
        <v>286</v>
      </c>
      <c r="F2957" t="s">
        <v>209</v>
      </c>
      <c r="G2957" t="s">
        <v>229</v>
      </c>
      <c r="H2957">
        <v>229</v>
      </c>
      <c r="I2957" t="str">
        <f t="shared" si="45"/>
        <v>Physical Education Buildings|C|Good</v>
      </c>
      <c r="J2957" t="s">
        <v>1019</v>
      </c>
    </row>
    <row r="2958" spans="2:10">
      <c r="B2958" t="s">
        <v>1017</v>
      </c>
      <c r="C2958" t="s">
        <v>1018</v>
      </c>
      <c r="D2958" t="s">
        <v>264</v>
      </c>
      <c r="E2958" t="s">
        <v>286</v>
      </c>
      <c r="F2958" t="s">
        <v>209</v>
      </c>
      <c r="G2958" t="s">
        <v>44</v>
      </c>
      <c r="H2958">
        <v>167</v>
      </c>
      <c r="I2958" t="str">
        <f t="shared" si="45"/>
        <v>Physical Education Buildings|C|Average</v>
      </c>
      <c r="J2958" t="s">
        <v>1019</v>
      </c>
    </row>
    <row r="2959" spans="2:10">
      <c r="B2959" t="s">
        <v>1017</v>
      </c>
      <c r="C2959" t="s">
        <v>1018</v>
      </c>
      <c r="D2959" t="s">
        <v>264</v>
      </c>
      <c r="E2959" t="s">
        <v>286</v>
      </c>
      <c r="F2959" t="s">
        <v>209</v>
      </c>
      <c r="G2959" t="s">
        <v>226</v>
      </c>
      <c r="H2959">
        <v>113</v>
      </c>
      <c r="I2959" t="str">
        <f t="shared" si="45"/>
        <v>Physical Education Buildings|C|Low Cost</v>
      </c>
      <c r="J2959" t="s">
        <v>1019</v>
      </c>
    </row>
    <row r="2960" spans="2:10">
      <c r="B2960" t="s">
        <v>1017</v>
      </c>
      <c r="C2960" t="s">
        <v>1018</v>
      </c>
      <c r="D2960" t="s">
        <v>264</v>
      </c>
      <c r="E2960" t="s">
        <v>286</v>
      </c>
      <c r="F2960" t="s">
        <v>214</v>
      </c>
      <c r="G2960" t="s">
        <v>231</v>
      </c>
      <c r="H2960">
        <v>308</v>
      </c>
      <c r="I2960" t="str">
        <f t="shared" si="45"/>
        <v>Physical Education Buildings|D|Excellent</v>
      </c>
      <c r="J2960" t="s">
        <v>1019</v>
      </c>
    </row>
    <row r="2961" spans="2:10">
      <c r="B2961" t="s">
        <v>1017</v>
      </c>
      <c r="C2961" t="s">
        <v>1018</v>
      </c>
      <c r="D2961" t="s">
        <v>264</v>
      </c>
      <c r="E2961" t="s">
        <v>286</v>
      </c>
      <c r="F2961" t="s">
        <v>214</v>
      </c>
      <c r="G2961" t="s">
        <v>229</v>
      </c>
      <c r="H2961">
        <v>224</v>
      </c>
      <c r="I2961" t="str">
        <f t="shared" si="45"/>
        <v>Physical Education Buildings|D|Good</v>
      </c>
      <c r="J2961" t="s">
        <v>1019</v>
      </c>
    </row>
    <row r="2962" spans="2:10">
      <c r="B2962" t="s">
        <v>1017</v>
      </c>
      <c r="C2962" t="s">
        <v>1018</v>
      </c>
      <c r="D2962" t="s">
        <v>264</v>
      </c>
      <c r="E2962" t="s">
        <v>286</v>
      </c>
      <c r="F2962" t="s">
        <v>214</v>
      </c>
      <c r="G2962" t="s">
        <v>44</v>
      </c>
      <c r="H2962">
        <v>161</v>
      </c>
      <c r="I2962" t="str">
        <f t="shared" si="45"/>
        <v>Physical Education Buildings|D|Average</v>
      </c>
      <c r="J2962" t="s">
        <v>1019</v>
      </c>
    </row>
    <row r="2963" spans="2:10">
      <c r="B2963" t="s">
        <v>1017</v>
      </c>
      <c r="C2963" t="s">
        <v>1018</v>
      </c>
      <c r="D2963" t="s">
        <v>264</v>
      </c>
      <c r="E2963" t="s">
        <v>286</v>
      </c>
      <c r="F2963" t="s">
        <v>214</v>
      </c>
      <c r="G2963" t="s">
        <v>226</v>
      </c>
      <c r="H2963">
        <v>108</v>
      </c>
      <c r="I2963" t="str">
        <f t="shared" si="45"/>
        <v>Physical Education Buildings|D|Low Cost</v>
      </c>
      <c r="J2963" t="s">
        <v>1019</v>
      </c>
    </row>
    <row r="2964" spans="2:10">
      <c r="B2964" t="s">
        <v>1017</v>
      </c>
      <c r="C2964" t="s">
        <v>1018</v>
      </c>
      <c r="D2964" t="s">
        <v>264</v>
      </c>
      <c r="E2964" t="s">
        <v>286</v>
      </c>
      <c r="F2964" t="s">
        <v>313</v>
      </c>
      <c r="G2964" t="s">
        <v>44</v>
      </c>
      <c r="H2964">
        <v>153</v>
      </c>
      <c r="I2964" t="str">
        <f t="shared" si="45"/>
        <v>Physical Education Buildings|DPOLE|Average</v>
      </c>
      <c r="J2964" t="s">
        <v>1019</v>
      </c>
    </row>
    <row r="2965" spans="2:10">
      <c r="B2965" t="s">
        <v>1017</v>
      </c>
      <c r="C2965" t="s">
        <v>1018</v>
      </c>
      <c r="D2965" t="s">
        <v>264</v>
      </c>
      <c r="E2965" t="s">
        <v>286</v>
      </c>
      <c r="F2965" t="s">
        <v>313</v>
      </c>
      <c r="G2965" t="s">
        <v>226</v>
      </c>
      <c r="H2965">
        <v>103</v>
      </c>
      <c r="I2965" t="str">
        <f t="shared" si="45"/>
        <v>Physical Education Buildings|DPOLE|Low Cost</v>
      </c>
      <c r="J2965" t="s">
        <v>1019</v>
      </c>
    </row>
    <row r="2966" spans="2:10">
      <c r="B2966" t="s">
        <v>1017</v>
      </c>
      <c r="C2966" t="s">
        <v>1018</v>
      </c>
      <c r="D2966" t="s">
        <v>264</v>
      </c>
      <c r="E2966" t="s">
        <v>286</v>
      </c>
      <c r="F2966" t="s">
        <v>219</v>
      </c>
      <c r="G2966" t="s">
        <v>229</v>
      </c>
      <c r="H2966">
        <v>218</v>
      </c>
      <c r="I2966" t="str">
        <f t="shared" si="45"/>
        <v>Physical Education Buildings|S|Good</v>
      </c>
      <c r="J2966" t="s">
        <v>1019</v>
      </c>
    </row>
    <row r="2967" spans="2:10">
      <c r="B2967" t="s">
        <v>1017</v>
      </c>
      <c r="C2967" t="s">
        <v>1018</v>
      </c>
      <c r="D2967" t="s">
        <v>264</v>
      </c>
      <c r="E2967" t="s">
        <v>286</v>
      </c>
      <c r="F2967" t="s">
        <v>219</v>
      </c>
      <c r="G2967" t="s">
        <v>44</v>
      </c>
      <c r="H2967">
        <v>156</v>
      </c>
      <c r="I2967" t="str">
        <f t="shared" si="45"/>
        <v>Physical Education Buildings|S|Average</v>
      </c>
      <c r="J2967" t="s">
        <v>1019</v>
      </c>
    </row>
    <row r="2968" spans="2:10">
      <c r="B2968" t="s">
        <v>1017</v>
      </c>
      <c r="C2968" t="s">
        <v>1018</v>
      </c>
      <c r="D2968" t="s">
        <v>264</v>
      </c>
      <c r="E2968" t="s">
        <v>286</v>
      </c>
      <c r="F2968" t="s">
        <v>219</v>
      </c>
      <c r="G2968" t="s">
        <v>226</v>
      </c>
      <c r="H2968">
        <v>104</v>
      </c>
      <c r="I2968" t="str">
        <f t="shared" si="45"/>
        <v>Physical Education Buildings|S|Low Cost</v>
      </c>
      <c r="J2968" t="s">
        <v>1019</v>
      </c>
    </row>
    <row r="2969" spans="2:10">
      <c r="B2969" t="s">
        <v>1020</v>
      </c>
      <c r="C2969" t="s">
        <v>1021</v>
      </c>
      <c r="D2969" t="s">
        <v>264</v>
      </c>
      <c r="E2969" t="s">
        <v>290</v>
      </c>
      <c r="F2969" t="s">
        <v>270</v>
      </c>
      <c r="G2969" t="s">
        <v>229</v>
      </c>
      <c r="H2969">
        <v>290</v>
      </c>
      <c r="I2969" t="str">
        <f t="shared" si="45"/>
        <v>Gymnasiums|A-B|Good</v>
      </c>
      <c r="J2969" t="s">
        <v>1022</v>
      </c>
    </row>
    <row r="2970" spans="2:10">
      <c r="B2970" t="s">
        <v>1020</v>
      </c>
      <c r="C2970" t="s">
        <v>1021</v>
      </c>
      <c r="D2970" t="s">
        <v>264</v>
      </c>
      <c r="E2970" t="s">
        <v>290</v>
      </c>
      <c r="F2970" t="s">
        <v>270</v>
      </c>
      <c r="G2970" t="s">
        <v>44</v>
      </c>
      <c r="H2970">
        <v>213</v>
      </c>
      <c r="I2970" t="str">
        <f t="shared" si="45"/>
        <v>Gymnasiums|A-B|Average</v>
      </c>
      <c r="J2970" t="s">
        <v>1022</v>
      </c>
    </row>
    <row r="2971" spans="2:10">
      <c r="B2971" t="s">
        <v>1020</v>
      </c>
      <c r="C2971" t="s">
        <v>1021</v>
      </c>
      <c r="D2971" t="s">
        <v>264</v>
      </c>
      <c r="E2971" t="s">
        <v>290</v>
      </c>
      <c r="F2971" t="s">
        <v>209</v>
      </c>
      <c r="G2971" t="s">
        <v>231</v>
      </c>
      <c r="H2971">
        <v>288</v>
      </c>
      <c r="I2971" t="str">
        <f t="shared" si="45"/>
        <v>Gymnasiums|C|Excellent</v>
      </c>
      <c r="J2971" t="s">
        <v>1022</v>
      </c>
    </row>
    <row r="2972" spans="2:10">
      <c r="B2972" t="s">
        <v>1020</v>
      </c>
      <c r="C2972" t="s">
        <v>1021</v>
      </c>
      <c r="D2972" t="s">
        <v>264</v>
      </c>
      <c r="E2972" t="s">
        <v>290</v>
      </c>
      <c r="F2972" t="s">
        <v>209</v>
      </c>
      <c r="G2972" t="s">
        <v>229</v>
      </c>
      <c r="H2972">
        <v>212</v>
      </c>
      <c r="I2972" t="str">
        <f t="shared" si="45"/>
        <v>Gymnasiums|C|Good</v>
      </c>
      <c r="J2972" t="s">
        <v>1022</v>
      </c>
    </row>
    <row r="2973" spans="2:10">
      <c r="B2973" t="s">
        <v>1020</v>
      </c>
      <c r="C2973" t="s">
        <v>1021</v>
      </c>
      <c r="D2973" t="s">
        <v>264</v>
      </c>
      <c r="E2973" t="s">
        <v>290</v>
      </c>
      <c r="F2973" t="s">
        <v>209</v>
      </c>
      <c r="G2973" t="s">
        <v>44</v>
      </c>
      <c r="H2973">
        <v>152</v>
      </c>
      <c r="I2973" t="str">
        <f t="shared" si="45"/>
        <v>Gymnasiums|C|Average</v>
      </c>
      <c r="J2973" t="s">
        <v>1022</v>
      </c>
    </row>
    <row r="2974" spans="2:10">
      <c r="B2974" t="s">
        <v>1020</v>
      </c>
      <c r="C2974" t="s">
        <v>1021</v>
      </c>
      <c r="D2974" t="s">
        <v>264</v>
      </c>
      <c r="E2974" t="s">
        <v>290</v>
      </c>
      <c r="F2974" t="s">
        <v>209</v>
      </c>
      <c r="G2974" t="s">
        <v>226</v>
      </c>
      <c r="H2974">
        <v>101</v>
      </c>
      <c r="I2974" t="str">
        <f t="shared" ref="I2974:I3037" si="46">B2974&amp;"|"&amp;F2974&amp;"|"&amp;G2974</f>
        <v>Gymnasiums|C|Low Cost</v>
      </c>
      <c r="J2974" t="s">
        <v>1022</v>
      </c>
    </row>
    <row r="2975" spans="2:10">
      <c r="B2975" t="s">
        <v>1020</v>
      </c>
      <c r="C2975" t="s">
        <v>1021</v>
      </c>
      <c r="D2975" t="s">
        <v>264</v>
      </c>
      <c r="E2975" t="s">
        <v>290</v>
      </c>
      <c r="F2975" t="s">
        <v>214</v>
      </c>
      <c r="G2975" t="s">
        <v>231</v>
      </c>
      <c r="H2975">
        <v>281</v>
      </c>
      <c r="I2975" t="str">
        <f t="shared" si="46"/>
        <v>Gymnasiums|D|Excellent</v>
      </c>
      <c r="J2975" t="s">
        <v>1022</v>
      </c>
    </row>
    <row r="2976" spans="2:10">
      <c r="B2976" t="s">
        <v>1020</v>
      </c>
      <c r="C2976" t="s">
        <v>1021</v>
      </c>
      <c r="D2976" t="s">
        <v>264</v>
      </c>
      <c r="E2976" t="s">
        <v>290</v>
      </c>
      <c r="F2976" t="s">
        <v>214</v>
      </c>
      <c r="G2976" t="s">
        <v>229</v>
      </c>
      <c r="H2976">
        <v>205</v>
      </c>
      <c r="I2976" t="str">
        <f t="shared" si="46"/>
        <v>Gymnasiums|D|Good</v>
      </c>
      <c r="J2976" t="s">
        <v>1022</v>
      </c>
    </row>
    <row r="2977" spans="2:10">
      <c r="B2977" t="s">
        <v>1020</v>
      </c>
      <c r="C2977" t="s">
        <v>1021</v>
      </c>
      <c r="D2977" t="s">
        <v>264</v>
      </c>
      <c r="E2977" t="s">
        <v>290</v>
      </c>
      <c r="F2977" t="s">
        <v>214</v>
      </c>
      <c r="G2977" t="s">
        <v>44</v>
      </c>
      <c r="H2977">
        <v>146</v>
      </c>
      <c r="I2977" t="str">
        <f t="shared" si="46"/>
        <v>Gymnasiums|D|Average</v>
      </c>
      <c r="J2977" t="s">
        <v>1022</v>
      </c>
    </row>
    <row r="2978" spans="2:10">
      <c r="B2978" t="s">
        <v>1020</v>
      </c>
      <c r="C2978" t="s">
        <v>1021</v>
      </c>
      <c r="D2978" t="s">
        <v>264</v>
      </c>
      <c r="E2978" t="s">
        <v>290</v>
      </c>
      <c r="F2978" t="s">
        <v>214</v>
      </c>
      <c r="G2978" t="s">
        <v>226</v>
      </c>
      <c r="H2978">
        <v>96</v>
      </c>
      <c r="I2978" t="str">
        <f t="shared" si="46"/>
        <v>Gymnasiums|D|Low Cost</v>
      </c>
      <c r="J2978" t="s">
        <v>1022</v>
      </c>
    </row>
    <row r="2979" spans="2:10">
      <c r="B2979" t="s">
        <v>1020</v>
      </c>
      <c r="C2979" t="s">
        <v>1021</v>
      </c>
      <c r="D2979" t="s">
        <v>264</v>
      </c>
      <c r="E2979" t="s">
        <v>290</v>
      </c>
      <c r="F2979" t="s">
        <v>313</v>
      </c>
      <c r="G2979" t="s">
        <v>44</v>
      </c>
      <c r="H2979">
        <v>137</v>
      </c>
      <c r="I2979" t="str">
        <f t="shared" si="46"/>
        <v>Gymnasiums|DPOLE|Average</v>
      </c>
      <c r="J2979" t="s">
        <v>1022</v>
      </c>
    </row>
    <row r="2980" spans="2:10">
      <c r="B2980" t="s">
        <v>1020</v>
      </c>
      <c r="C2980" t="s">
        <v>1021</v>
      </c>
      <c r="D2980" t="s">
        <v>264</v>
      </c>
      <c r="E2980" t="s">
        <v>290</v>
      </c>
      <c r="F2980" t="s">
        <v>313</v>
      </c>
      <c r="G2980" t="s">
        <v>226</v>
      </c>
      <c r="H2980">
        <v>90</v>
      </c>
      <c r="I2980" t="str">
        <f t="shared" si="46"/>
        <v>Gymnasiums|DPOLE|Low Cost</v>
      </c>
      <c r="J2980" t="s">
        <v>1022</v>
      </c>
    </row>
    <row r="2981" spans="2:10">
      <c r="B2981" t="s">
        <v>1020</v>
      </c>
      <c r="C2981" t="s">
        <v>1021</v>
      </c>
      <c r="D2981" t="s">
        <v>264</v>
      </c>
      <c r="E2981" t="s">
        <v>290</v>
      </c>
      <c r="F2981" t="s">
        <v>313</v>
      </c>
      <c r="G2981" t="s">
        <v>314</v>
      </c>
      <c r="H2981">
        <v>75.5</v>
      </c>
      <c r="I2981" t="str">
        <f t="shared" si="46"/>
        <v>Gymnasiums|DPOLE|Cheap</v>
      </c>
      <c r="J2981" t="s">
        <v>1022</v>
      </c>
    </row>
    <row r="2982" spans="2:10">
      <c r="B2982" t="s">
        <v>1020</v>
      </c>
      <c r="C2982" t="s">
        <v>1021</v>
      </c>
      <c r="D2982" t="s">
        <v>264</v>
      </c>
      <c r="E2982" t="s">
        <v>290</v>
      </c>
      <c r="F2982" t="s">
        <v>219</v>
      </c>
      <c r="G2982" t="s">
        <v>229</v>
      </c>
      <c r="H2982">
        <v>202</v>
      </c>
      <c r="I2982" t="str">
        <f t="shared" si="46"/>
        <v>Gymnasiums|S|Good</v>
      </c>
      <c r="J2982" t="s">
        <v>1022</v>
      </c>
    </row>
    <row r="2983" spans="2:10">
      <c r="B2983" t="s">
        <v>1020</v>
      </c>
      <c r="C2983" t="s">
        <v>1021</v>
      </c>
      <c r="D2983" t="s">
        <v>264</v>
      </c>
      <c r="E2983" t="s">
        <v>290</v>
      </c>
      <c r="F2983" t="s">
        <v>219</v>
      </c>
      <c r="G2983" t="s">
        <v>44</v>
      </c>
      <c r="H2983">
        <v>142</v>
      </c>
      <c r="I2983" t="str">
        <f t="shared" si="46"/>
        <v>Gymnasiums|S|Average</v>
      </c>
      <c r="J2983" t="s">
        <v>1022</v>
      </c>
    </row>
    <row r="2984" spans="2:10">
      <c r="B2984" t="s">
        <v>1020</v>
      </c>
      <c r="C2984" t="s">
        <v>1021</v>
      </c>
      <c r="D2984" t="s">
        <v>264</v>
      </c>
      <c r="E2984" t="s">
        <v>290</v>
      </c>
      <c r="F2984" t="s">
        <v>219</v>
      </c>
      <c r="G2984" t="s">
        <v>226</v>
      </c>
      <c r="H2984">
        <v>91.5</v>
      </c>
      <c r="I2984" t="str">
        <f t="shared" si="46"/>
        <v>Gymnasiums|S|Low Cost</v>
      </c>
      <c r="J2984" t="s">
        <v>1022</v>
      </c>
    </row>
    <row r="2985" spans="2:10">
      <c r="B2985" t="s">
        <v>1020</v>
      </c>
      <c r="C2985" t="s">
        <v>1021</v>
      </c>
      <c r="D2985" t="s">
        <v>264</v>
      </c>
      <c r="E2985" t="s">
        <v>290</v>
      </c>
      <c r="F2985" t="s">
        <v>219</v>
      </c>
      <c r="G2985" t="s">
        <v>314</v>
      </c>
      <c r="H2985">
        <v>76.5</v>
      </c>
      <c r="I2985" t="str">
        <f t="shared" si="46"/>
        <v>Gymnasiums|S|Cheap</v>
      </c>
      <c r="J2985" t="s">
        <v>1022</v>
      </c>
    </row>
    <row r="2986" spans="2:10">
      <c r="B2986" t="s">
        <v>1023</v>
      </c>
      <c r="C2986" t="s">
        <v>1024</v>
      </c>
      <c r="D2986" t="s">
        <v>264</v>
      </c>
      <c r="E2986" t="s">
        <v>294</v>
      </c>
      <c r="F2986" t="s">
        <v>202</v>
      </c>
      <c r="G2986" t="s">
        <v>231</v>
      </c>
      <c r="H2986">
        <v>498</v>
      </c>
      <c r="I2986" t="str">
        <f t="shared" si="46"/>
        <v>Colleges|A|Excellent</v>
      </c>
      <c r="J2986" t="s">
        <v>1025</v>
      </c>
    </row>
    <row r="2987" spans="2:10">
      <c r="B2987" t="s">
        <v>1023</v>
      </c>
      <c r="C2987" t="s">
        <v>1024</v>
      </c>
      <c r="D2987" t="s">
        <v>264</v>
      </c>
      <c r="E2987" t="s">
        <v>294</v>
      </c>
      <c r="F2987" t="s">
        <v>202</v>
      </c>
      <c r="G2987" t="s">
        <v>229</v>
      </c>
      <c r="H2987">
        <v>391</v>
      </c>
      <c r="I2987" t="str">
        <f t="shared" si="46"/>
        <v>Colleges|A|Good</v>
      </c>
      <c r="J2987" t="s">
        <v>1025</v>
      </c>
    </row>
    <row r="2988" spans="2:10">
      <c r="B2988" t="s">
        <v>1023</v>
      </c>
      <c r="C2988" t="s">
        <v>1024</v>
      </c>
      <c r="D2988" t="s">
        <v>264</v>
      </c>
      <c r="E2988" t="s">
        <v>294</v>
      </c>
      <c r="F2988" t="s">
        <v>202</v>
      </c>
      <c r="G2988" t="s">
        <v>44</v>
      </c>
      <c r="H2988">
        <v>308</v>
      </c>
      <c r="I2988" t="str">
        <f t="shared" si="46"/>
        <v>Colleges|A|Average</v>
      </c>
      <c r="J2988" t="s">
        <v>1025</v>
      </c>
    </row>
    <row r="2989" spans="2:10">
      <c r="B2989" t="s">
        <v>1023</v>
      </c>
      <c r="C2989" t="s">
        <v>1024</v>
      </c>
      <c r="D2989" t="s">
        <v>264</v>
      </c>
      <c r="E2989" t="s">
        <v>294</v>
      </c>
      <c r="F2989" t="s">
        <v>202</v>
      </c>
      <c r="G2989" t="s">
        <v>226</v>
      </c>
      <c r="H2989">
        <v>231</v>
      </c>
      <c r="I2989" t="str">
        <f t="shared" si="46"/>
        <v>Colleges|A|Low Cost</v>
      </c>
      <c r="J2989" t="s">
        <v>1025</v>
      </c>
    </row>
    <row r="2990" spans="2:10">
      <c r="B2990" t="s">
        <v>1023</v>
      </c>
      <c r="C2990" t="s">
        <v>1024</v>
      </c>
      <c r="D2990" t="s">
        <v>264</v>
      </c>
      <c r="E2990" t="s">
        <v>294</v>
      </c>
      <c r="F2990" t="s">
        <v>207</v>
      </c>
      <c r="G2990" t="s">
        <v>231</v>
      </c>
      <c r="H2990">
        <v>453</v>
      </c>
      <c r="I2990" t="str">
        <f t="shared" si="46"/>
        <v>Colleges|B|Excellent</v>
      </c>
      <c r="J2990" t="s">
        <v>1025</v>
      </c>
    </row>
    <row r="2991" spans="2:10">
      <c r="B2991" t="s">
        <v>1023</v>
      </c>
      <c r="C2991" t="s">
        <v>1024</v>
      </c>
      <c r="D2991" t="s">
        <v>264</v>
      </c>
      <c r="E2991" t="s">
        <v>294</v>
      </c>
      <c r="F2991" t="s">
        <v>207</v>
      </c>
      <c r="G2991" t="s">
        <v>229</v>
      </c>
      <c r="H2991">
        <v>358</v>
      </c>
      <c r="I2991" t="str">
        <f t="shared" si="46"/>
        <v>Colleges|B|Good</v>
      </c>
      <c r="J2991" t="s">
        <v>1025</v>
      </c>
    </row>
    <row r="2992" spans="2:10">
      <c r="B2992" t="s">
        <v>1023</v>
      </c>
      <c r="C2992" t="s">
        <v>1024</v>
      </c>
      <c r="D2992" t="s">
        <v>264</v>
      </c>
      <c r="E2992" t="s">
        <v>294</v>
      </c>
      <c r="F2992" t="s">
        <v>207</v>
      </c>
      <c r="G2992" t="s">
        <v>44</v>
      </c>
      <c r="H2992">
        <v>284</v>
      </c>
      <c r="I2992" t="str">
        <f t="shared" si="46"/>
        <v>Colleges|B|Average</v>
      </c>
      <c r="J2992" t="s">
        <v>1025</v>
      </c>
    </row>
    <row r="2993" spans="2:10">
      <c r="B2993" t="s">
        <v>1023</v>
      </c>
      <c r="C2993" t="s">
        <v>1024</v>
      </c>
      <c r="D2993" t="s">
        <v>264</v>
      </c>
      <c r="E2993" t="s">
        <v>294</v>
      </c>
      <c r="F2993" t="s">
        <v>207</v>
      </c>
      <c r="G2993" t="s">
        <v>226</v>
      </c>
      <c r="H2993">
        <v>214</v>
      </c>
      <c r="I2993" t="str">
        <f t="shared" si="46"/>
        <v>Colleges|B|Low Cost</v>
      </c>
      <c r="J2993" t="s">
        <v>1025</v>
      </c>
    </row>
    <row r="2994" spans="2:10">
      <c r="B2994" t="s">
        <v>1023</v>
      </c>
      <c r="C2994" t="s">
        <v>1024</v>
      </c>
      <c r="D2994" t="s">
        <v>264</v>
      </c>
      <c r="E2994" t="s">
        <v>294</v>
      </c>
      <c r="F2994" t="s">
        <v>209</v>
      </c>
      <c r="G2994" t="s">
        <v>231</v>
      </c>
      <c r="H2994">
        <v>372</v>
      </c>
      <c r="I2994" t="str">
        <f t="shared" si="46"/>
        <v>Colleges|C|Excellent</v>
      </c>
      <c r="J2994" t="s">
        <v>1025</v>
      </c>
    </row>
    <row r="2995" spans="2:10">
      <c r="B2995" t="s">
        <v>1023</v>
      </c>
      <c r="C2995" t="s">
        <v>1024</v>
      </c>
      <c r="D2995" t="s">
        <v>264</v>
      </c>
      <c r="E2995" t="s">
        <v>294</v>
      </c>
      <c r="F2995" t="s">
        <v>209</v>
      </c>
      <c r="G2995" t="s">
        <v>229</v>
      </c>
      <c r="H2995">
        <v>293</v>
      </c>
      <c r="I2995" t="str">
        <f t="shared" si="46"/>
        <v>Colleges|C|Good</v>
      </c>
      <c r="J2995" t="s">
        <v>1025</v>
      </c>
    </row>
    <row r="2996" spans="2:10">
      <c r="B2996" t="s">
        <v>1023</v>
      </c>
      <c r="C2996" t="s">
        <v>1024</v>
      </c>
      <c r="D2996" t="s">
        <v>264</v>
      </c>
      <c r="E2996" t="s">
        <v>294</v>
      </c>
      <c r="F2996" t="s">
        <v>209</v>
      </c>
      <c r="G2996" t="s">
        <v>44</v>
      </c>
      <c r="H2996">
        <v>218</v>
      </c>
      <c r="I2996" t="str">
        <f t="shared" si="46"/>
        <v>Colleges|C|Average</v>
      </c>
      <c r="J2996" t="s">
        <v>1025</v>
      </c>
    </row>
    <row r="2997" spans="2:10">
      <c r="B2997" t="s">
        <v>1023</v>
      </c>
      <c r="C2997" t="s">
        <v>1024</v>
      </c>
      <c r="D2997" t="s">
        <v>264</v>
      </c>
      <c r="E2997" t="s">
        <v>294</v>
      </c>
      <c r="F2997" t="s">
        <v>209</v>
      </c>
      <c r="G2997" t="s">
        <v>226</v>
      </c>
      <c r="H2997">
        <v>167</v>
      </c>
      <c r="I2997" t="str">
        <f t="shared" si="46"/>
        <v>Colleges|C|Low Cost</v>
      </c>
      <c r="J2997" t="s">
        <v>1025</v>
      </c>
    </row>
    <row r="2998" spans="2:10">
      <c r="B2998" t="s">
        <v>1023</v>
      </c>
      <c r="C2998" t="s">
        <v>1024</v>
      </c>
      <c r="D2998" t="s">
        <v>264</v>
      </c>
      <c r="E2998" t="s">
        <v>294</v>
      </c>
      <c r="F2998" t="s">
        <v>214</v>
      </c>
      <c r="G2998" t="s">
        <v>231</v>
      </c>
      <c r="H2998">
        <v>368</v>
      </c>
      <c r="I2998" t="str">
        <f t="shared" si="46"/>
        <v>Colleges|D|Excellent</v>
      </c>
      <c r="J2998" t="s">
        <v>1025</v>
      </c>
    </row>
    <row r="2999" spans="2:10">
      <c r="B2999" t="s">
        <v>1023</v>
      </c>
      <c r="C2999" t="s">
        <v>1024</v>
      </c>
      <c r="D2999" t="s">
        <v>264</v>
      </c>
      <c r="E2999" t="s">
        <v>294</v>
      </c>
      <c r="F2999" t="s">
        <v>214</v>
      </c>
      <c r="G2999" t="s">
        <v>229</v>
      </c>
      <c r="H2999">
        <v>273</v>
      </c>
      <c r="I2999" t="str">
        <f t="shared" si="46"/>
        <v>Colleges|D|Good</v>
      </c>
      <c r="J2999" t="s">
        <v>1025</v>
      </c>
    </row>
    <row r="3000" spans="2:10">
      <c r="B3000" t="s">
        <v>1023</v>
      </c>
      <c r="C3000" t="s">
        <v>1024</v>
      </c>
      <c r="D3000" t="s">
        <v>264</v>
      </c>
      <c r="E3000" t="s">
        <v>294</v>
      </c>
      <c r="F3000" t="s">
        <v>214</v>
      </c>
      <c r="G3000" t="s">
        <v>44</v>
      </c>
      <c r="H3000">
        <v>207</v>
      </c>
      <c r="I3000" t="str">
        <f t="shared" si="46"/>
        <v>Colleges|D|Average</v>
      </c>
      <c r="J3000" t="s">
        <v>1025</v>
      </c>
    </row>
    <row r="3001" spans="2:10">
      <c r="B3001" t="s">
        <v>1023</v>
      </c>
      <c r="C3001" t="s">
        <v>1024</v>
      </c>
      <c r="D3001" t="s">
        <v>264</v>
      </c>
      <c r="E3001" t="s">
        <v>294</v>
      </c>
      <c r="F3001" t="s">
        <v>214</v>
      </c>
      <c r="G3001" t="s">
        <v>226</v>
      </c>
      <c r="H3001">
        <v>156</v>
      </c>
      <c r="I3001" t="str">
        <f t="shared" si="46"/>
        <v>Colleges|D|Low Cost</v>
      </c>
      <c r="J3001" t="s">
        <v>1025</v>
      </c>
    </row>
    <row r="3002" spans="2:10">
      <c r="B3002" t="s">
        <v>1023</v>
      </c>
      <c r="C3002" t="s">
        <v>1024</v>
      </c>
      <c r="D3002" t="s">
        <v>264</v>
      </c>
      <c r="E3002" t="s">
        <v>294</v>
      </c>
      <c r="F3002" t="s">
        <v>313</v>
      </c>
      <c r="G3002" t="s">
        <v>44</v>
      </c>
      <c r="H3002">
        <v>200</v>
      </c>
      <c r="I3002" t="str">
        <f t="shared" si="46"/>
        <v>Colleges|DPOLE|Average</v>
      </c>
      <c r="J3002" t="s">
        <v>1025</v>
      </c>
    </row>
    <row r="3003" spans="2:10">
      <c r="B3003" t="s">
        <v>1023</v>
      </c>
      <c r="C3003" t="s">
        <v>1024</v>
      </c>
      <c r="D3003" t="s">
        <v>264</v>
      </c>
      <c r="E3003" t="s">
        <v>294</v>
      </c>
      <c r="F3003" t="s">
        <v>313</v>
      </c>
      <c r="G3003" t="s">
        <v>226</v>
      </c>
      <c r="H3003">
        <v>149</v>
      </c>
      <c r="I3003" t="str">
        <f t="shared" si="46"/>
        <v>Colleges|DPOLE|Low Cost</v>
      </c>
      <c r="J3003" t="s">
        <v>1025</v>
      </c>
    </row>
    <row r="3004" spans="2:10">
      <c r="B3004" t="s">
        <v>1023</v>
      </c>
      <c r="C3004" t="s">
        <v>1024</v>
      </c>
      <c r="D3004" t="s">
        <v>264</v>
      </c>
      <c r="E3004" t="s">
        <v>294</v>
      </c>
      <c r="F3004" t="s">
        <v>219</v>
      </c>
      <c r="G3004" t="s">
        <v>229</v>
      </c>
      <c r="H3004">
        <v>266</v>
      </c>
      <c r="I3004" t="str">
        <f t="shared" si="46"/>
        <v>Colleges|S|Good</v>
      </c>
      <c r="J3004" t="s">
        <v>1025</v>
      </c>
    </row>
    <row r="3005" spans="2:10">
      <c r="B3005" t="s">
        <v>1023</v>
      </c>
      <c r="C3005" t="s">
        <v>1024</v>
      </c>
      <c r="D3005" t="s">
        <v>264</v>
      </c>
      <c r="E3005" t="s">
        <v>294</v>
      </c>
      <c r="F3005" t="s">
        <v>219</v>
      </c>
      <c r="G3005" t="s">
        <v>44</v>
      </c>
      <c r="H3005">
        <v>200</v>
      </c>
      <c r="I3005" t="str">
        <f t="shared" si="46"/>
        <v>Colleges|S|Average</v>
      </c>
      <c r="J3005" t="s">
        <v>1025</v>
      </c>
    </row>
    <row r="3006" spans="2:10">
      <c r="B3006" t="s">
        <v>1023</v>
      </c>
      <c r="C3006" t="s">
        <v>1024</v>
      </c>
      <c r="D3006" t="s">
        <v>264</v>
      </c>
      <c r="E3006" t="s">
        <v>294</v>
      </c>
      <c r="F3006" t="s">
        <v>219</v>
      </c>
      <c r="G3006" t="s">
        <v>226</v>
      </c>
      <c r="H3006">
        <v>150</v>
      </c>
      <c r="I3006" t="str">
        <f t="shared" si="46"/>
        <v>Colleges|S|Low Cost</v>
      </c>
      <c r="J3006" t="s">
        <v>1025</v>
      </c>
    </row>
    <row r="3007" spans="2:10">
      <c r="B3007" t="s">
        <v>1026</v>
      </c>
      <c r="C3007" t="s">
        <v>1027</v>
      </c>
      <c r="D3007" t="s">
        <v>264</v>
      </c>
      <c r="E3007" t="s">
        <v>296</v>
      </c>
      <c r="F3007" t="s">
        <v>202</v>
      </c>
      <c r="G3007" t="s">
        <v>231</v>
      </c>
      <c r="H3007">
        <v>430</v>
      </c>
      <c r="I3007" t="str">
        <f t="shared" si="46"/>
        <v>College Classrooms|A|Excellent</v>
      </c>
      <c r="J3007" t="s">
        <v>1028</v>
      </c>
    </row>
    <row r="3008" spans="2:10">
      <c r="B3008" t="s">
        <v>1026</v>
      </c>
      <c r="C3008" t="s">
        <v>1027</v>
      </c>
      <c r="D3008" t="s">
        <v>264</v>
      </c>
      <c r="E3008" t="s">
        <v>296</v>
      </c>
      <c r="F3008" t="s">
        <v>202</v>
      </c>
      <c r="G3008" t="s">
        <v>229</v>
      </c>
      <c r="H3008">
        <v>344</v>
      </c>
      <c r="I3008" t="str">
        <f t="shared" si="46"/>
        <v>College Classrooms|A|Good</v>
      </c>
      <c r="J3008" t="s">
        <v>1028</v>
      </c>
    </row>
    <row r="3009" spans="2:10">
      <c r="B3009" t="s">
        <v>1026</v>
      </c>
      <c r="C3009" t="s">
        <v>1027</v>
      </c>
      <c r="D3009" t="s">
        <v>264</v>
      </c>
      <c r="E3009" t="s">
        <v>296</v>
      </c>
      <c r="F3009" t="s">
        <v>202</v>
      </c>
      <c r="G3009" t="s">
        <v>44</v>
      </c>
      <c r="H3009">
        <v>277</v>
      </c>
      <c r="I3009" t="str">
        <f t="shared" si="46"/>
        <v>College Classrooms|A|Average</v>
      </c>
      <c r="J3009" t="s">
        <v>1028</v>
      </c>
    </row>
    <row r="3010" spans="2:10">
      <c r="B3010" t="s">
        <v>1026</v>
      </c>
      <c r="C3010" t="s">
        <v>1027</v>
      </c>
      <c r="D3010" t="s">
        <v>264</v>
      </c>
      <c r="E3010" t="s">
        <v>296</v>
      </c>
      <c r="F3010" t="s">
        <v>202</v>
      </c>
      <c r="G3010" t="s">
        <v>226</v>
      </c>
      <c r="H3010">
        <v>210</v>
      </c>
      <c r="I3010" t="str">
        <f t="shared" si="46"/>
        <v>College Classrooms|A|Low Cost</v>
      </c>
      <c r="J3010" t="s">
        <v>1028</v>
      </c>
    </row>
    <row r="3011" spans="2:10">
      <c r="B3011" t="s">
        <v>1026</v>
      </c>
      <c r="C3011" t="s">
        <v>1027</v>
      </c>
      <c r="D3011" t="s">
        <v>264</v>
      </c>
      <c r="E3011" t="s">
        <v>296</v>
      </c>
      <c r="F3011" t="s">
        <v>207</v>
      </c>
      <c r="G3011" t="s">
        <v>231</v>
      </c>
      <c r="H3011">
        <v>387</v>
      </c>
      <c r="I3011" t="str">
        <f t="shared" si="46"/>
        <v>College Classrooms|B|Excellent</v>
      </c>
      <c r="J3011" t="s">
        <v>1028</v>
      </c>
    </row>
    <row r="3012" spans="2:10">
      <c r="B3012" t="s">
        <v>1026</v>
      </c>
      <c r="C3012" t="s">
        <v>1027</v>
      </c>
      <c r="D3012" t="s">
        <v>264</v>
      </c>
      <c r="E3012" t="s">
        <v>296</v>
      </c>
      <c r="F3012" t="s">
        <v>207</v>
      </c>
      <c r="G3012" t="s">
        <v>229</v>
      </c>
      <c r="H3012">
        <v>314</v>
      </c>
      <c r="I3012" t="str">
        <f t="shared" si="46"/>
        <v>College Classrooms|B|Good</v>
      </c>
      <c r="J3012" t="s">
        <v>1028</v>
      </c>
    </row>
    <row r="3013" spans="2:10">
      <c r="B3013" t="s">
        <v>1026</v>
      </c>
      <c r="C3013" t="s">
        <v>1027</v>
      </c>
      <c r="D3013" t="s">
        <v>264</v>
      </c>
      <c r="E3013" t="s">
        <v>296</v>
      </c>
      <c r="F3013" t="s">
        <v>207</v>
      </c>
      <c r="G3013" t="s">
        <v>44</v>
      </c>
      <c r="H3013">
        <v>256</v>
      </c>
      <c r="I3013" t="str">
        <f t="shared" si="46"/>
        <v>College Classrooms|B|Average</v>
      </c>
      <c r="J3013" t="s">
        <v>1028</v>
      </c>
    </row>
    <row r="3014" spans="2:10">
      <c r="B3014" t="s">
        <v>1026</v>
      </c>
      <c r="C3014" t="s">
        <v>1027</v>
      </c>
      <c r="D3014" t="s">
        <v>264</v>
      </c>
      <c r="E3014" t="s">
        <v>296</v>
      </c>
      <c r="F3014" t="s">
        <v>207</v>
      </c>
      <c r="G3014" t="s">
        <v>226</v>
      </c>
      <c r="H3014">
        <v>196</v>
      </c>
      <c r="I3014" t="str">
        <f t="shared" si="46"/>
        <v>College Classrooms|B|Low Cost</v>
      </c>
      <c r="J3014" t="s">
        <v>1028</v>
      </c>
    </row>
    <row r="3015" spans="2:10">
      <c r="B3015" t="s">
        <v>1026</v>
      </c>
      <c r="C3015" t="s">
        <v>1027</v>
      </c>
      <c r="D3015" t="s">
        <v>264</v>
      </c>
      <c r="E3015" t="s">
        <v>296</v>
      </c>
      <c r="F3015" t="s">
        <v>209</v>
      </c>
      <c r="G3015" t="s">
        <v>231</v>
      </c>
      <c r="H3015">
        <v>324</v>
      </c>
      <c r="I3015" t="str">
        <f t="shared" si="46"/>
        <v>College Classrooms|C|Excellent</v>
      </c>
      <c r="J3015" t="s">
        <v>1028</v>
      </c>
    </row>
    <row r="3016" spans="2:10">
      <c r="B3016" t="s">
        <v>1026</v>
      </c>
      <c r="C3016" t="s">
        <v>1027</v>
      </c>
      <c r="D3016" t="s">
        <v>264</v>
      </c>
      <c r="E3016" t="s">
        <v>296</v>
      </c>
      <c r="F3016" t="s">
        <v>209</v>
      </c>
      <c r="G3016" t="s">
        <v>229</v>
      </c>
      <c r="H3016">
        <v>263</v>
      </c>
      <c r="I3016" t="str">
        <f t="shared" si="46"/>
        <v>College Classrooms|C|Good</v>
      </c>
      <c r="J3016" t="s">
        <v>1028</v>
      </c>
    </row>
    <row r="3017" spans="2:10">
      <c r="B3017" t="s">
        <v>1026</v>
      </c>
      <c r="C3017" t="s">
        <v>1027</v>
      </c>
      <c r="D3017" t="s">
        <v>264</v>
      </c>
      <c r="E3017" t="s">
        <v>296</v>
      </c>
      <c r="F3017" t="s">
        <v>209</v>
      </c>
      <c r="G3017" t="s">
        <v>44</v>
      </c>
      <c r="H3017">
        <v>200</v>
      </c>
      <c r="I3017" t="str">
        <f t="shared" si="46"/>
        <v>College Classrooms|C|Average</v>
      </c>
      <c r="J3017" t="s">
        <v>1028</v>
      </c>
    </row>
    <row r="3018" spans="2:10">
      <c r="B3018" t="s">
        <v>1026</v>
      </c>
      <c r="C3018" t="s">
        <v>1027</v>
      </c>
      <c r="D3018" t="s">
        <v>264</v>
      </c>
      <c r="E3018" t="s">
        <v>296</v>
      </c>
      <c r="F3018" t="s">
        <v>209</v>
      </c>
      <c r="G3018" t="s">
        <v>226</v>
      </c>
      <c r="H3018">
        <v>152</v>
      </c>
      <c r="I3018" t="str">
        <f t="shared" si="46"/>
        <v>College Classrooms|C|Low Cost</v>
      </c>
      <c r="J3018" t="s">
        <v>1028</v>
      </c>
    </row>
    <row r="3019" spans="2:10">
      <c r="B3019" t="s">
        <v>1026</v>
      </c>
      <c r="C3019" t="s">
        <v>1027</v>
      </c>
      <c r="D3019" t="s">
        <v>264</v>
      </c>
      <c r="E3019" t="s">
        <v>296</v>
      </c>
      <c r="F3019" t="s">
        <v>214</v>
      </c>
      <c r="G3019" t="s">
        <v>231</v>
      </c>
      <c r="H3019">
        <v>320</v>
      </c>
      <c r="I3019" t="str">
        <f t="shared" si="46"/>
        <v>College Classrooms|D|Excellent</v>
      </c>
      <c r="J3019" t="s">
        <v>1028</v>
      </c>
    </row>
    <row r="3020" spans="2:10">
      <c r="B3020" t="s">
        <v>1026</v>
      </c>
      <c r="C3020" t="s">
        <v>1027</v>
      </c>
      <c r="D3020" t="s">
        <v>264</v>
      </c>
      <c r="E3020" t="s">
        <v>296</v>
      </c>
      <c r="F3020" t="s">
        <v>214</v>
      </c>
      <c r="G3020" t="s">
        <v>229</v>
      </c>
      <c r="H3020">
        <v>244</v>
      </c>
      <c r="I3020" t="str">
        <f t="shared" si="46"/>
        <v>College Classrooms|D|Good</v>
      </c>
      <c r="J3020" t="s">
        <v>1028</v>
      </c>
    </row>
    <row r="3021" spans="2:10">
      <c r="B3021" t="s">
        <v>1026</v>
      </c>
      <c r="C3021" t="s">
        <v>1027</v>
      </c>
      <c r="D3021" t="s">
        <v>264</v>
      </c>
      <c r="E3021" t="s">
        <v>296</v>
      </c>
      <c r="F3021" t="s">
        <v>214</v>
      </c>
      <c r="G3021" t="s">
        <v>44</v>
      </c>
      <c r="H3021">
        <v>190</v>
      </c>
      <c r="I3021" t="str">
        <f t="shared" si="46"/>
        <v>College Classrooms|D|Average</v>
      </c>
      <c r="J3021" t="s">
        <v>1028</v>
      </c>
    </row>
    <row r="3022" spans="2:10">
      <c r="B3022" t="s">
        <v>1026</v>
      </c>
      <c r="C3022" t="s">
        <v>1027</v>
      </c>
      <c r="D3022" t="s">
        <v>264</v>
      </c>
      <c r="E3022" t="s">
        <v>296</v>
      </c>
      <c r="F3022" t="s">
        <v>214</v>
      </c>
      <c r="G3022" t="s">
        <v>226</v>
      </c>
      <c r="H3022">
        <v>147</v>
      </c>
      <c r="I3022" t="str">
        <f t="shared" si="46"/>
        <v>College Classrooms|D|Low Cost</v>
      </c>
      <c r="J3022" t="s">
        <v>1028</v>
      </c>
    </row>
    <row r="3023" spans="2:10">
      <c r="B3023" t="s">
        <v>1026</v>
      </c>
      <c r="C3023" t="s">
        <v>1027</v>
      </c>
      <c r="D3023" t="s">
        <v>264</v>
      </c>
      <c r="E3023" t="s">
        <v>296</v>
      </c>
      <c r="F3023" t="s">
        <v>313</v>
      </c>
      <c r="G3023" t="s">
        <v>44</v>
      </c>
      <c r="H3023">
        <v>183</v>
      </c>
      <c r="I3023" t="str">
        <f t="shared" si="46"/>
        <v>College Classrooms|DPOLE|Average</v>
      </c>
      <c r="J3023" t="s">
        <v>1028</v>
      </c>
    </row>
    <row r="3024" spans="2:10">
      <c r="B3024" t="s">
        <v>1026</v>
      </c>
      <c r="C3024" t="s">
        <v>1027</v>
      </c>
      <c r="D3024" t="s">
        <v>264</v>
      </c>
      <c r="E3024" t="s">
        <v>296</v>
      </c>
      <c r="F3024" t="s">
        <v>313</v>
      </c>
      <c r="G3024" t="s">
        <v>226</v>
      </c>
      <c r="H3024">
        <v>140</v>
      </c>
      <c r="I3024" t="str">
        <f t="shared" si="46"/>
        <v>College Classrooms|DPOLE|Low Cost</v>
      </c>
      <c r="J3024" t="s">
        <v>1028</v>
      </c>
    </row>
    <row r="3025" spans="2:10">
      <c r="B3025" t="s">
        <v>1026</v>
      </c>
      <c r="C3025" t="s">
        <v>1027</v>
      </c>
      <c r="D3025" t="s">
        <v>264</v>
      </c>
      <c r="E3025" t="s">
        <v>296</v>
      </c>
      <c r="F3025" t="s">
        <v>219</v>
      </c>
      <c r="G3025" t="s">
        <v>229</v>
      </c>
      <c r="H3025">
        <v>238</v>
      </c>
      <c r="I3025" t="str">
        <f t="shared" si="46"/>
        <v>College Classrooms|S|Good</v>
      </c>
      <c r="J3025" t="s">
        <v>1028</v>
      </c>
    </row>
    <row r="3026" spans="2:10">
      <c r="B3026" t="s">
        <v>1026</v>
      </c>
      <c r="C3026" t="s">
        <v>1027</v>
      </c>
      <c r="D3026" t="s">
        <v>264</v>
      </c>
      <c r="E3026" t="s">
        <v>296</v>
      </c>
      <c r="F3026" t="s">
        <v>219</v>
      </c>
      <c r="G3026" t="s">
        <v>44</v>
      </c>
      <c r="H3026">
        <v>184</v>
      </c>
      <c r="I3026" t="str">
        <f t="shared" si="46"/>
        <v>College Classrooms|S|Average</v>
      </c>
      <c r="J3026" t="s">
        <v>1028</v>
      </c>
    </row>
    <row r="3027" spans="2:10">
      <c r="B3027" t="s">
        <v>1026</v>
      </c>
      <c r="C3027" t="s">
        <v>1027</v>
      </c>
      <c r="D3027" t="s">
        <v>264</v>
      </c>
      <c r="E3027" t="s">
        <v>296</v>
      </c>
      <c r="F3027" t="s">
        <v>219</v>
      </c>
      <c r="G3027" t="s">
        <v>226</v>
      </c>
      <c r="H3027">
        <v>142</v>
      </c>
      <c r="I3027" t="str">
        <f t="shared" si="46"/>
        <v>College Classrooms|S|Low Cost</v>
      </c>
      <c r="J3027" t="s">
        <v>1028</v>
      </c>
    </row>
    <row r="3028" spans="2:10">
      <c r="B3028" t="s">
        <v>1029</v>
      </c>
      <c r="C3028" t="s">
        <v>1030</v>
      </c>
      <c r="D3028" t="s">
        <v>264</v>
      </c>
      <c r="E3028" t="s">
        <v>300</v>
      </c>
      <c r="F3028" t="s">
        <v>270</v>
      </c>
      <c r="G3028" t="s">
        <v>229</v>
      </c>
      <c r="H3028">
        <v>317</v>
      </c>
      <c r="I3028" t="str">
        <f t="shared" si="46"/>
        <v>Technical Trades Buildings|A-B|Good</v>
      </c>
      <c r="J3028" t="s">
        <v>1031</v>
      </c>
    </row>
    <row r="3029" spans="2:10">
      <c r="B3029" t="s">
        <v>1029</v>
      </c>
      <c r="C3029" t="s">
        <v>1030</v>
      </c>
      <c r="D3029" t="s">
        <v>264</v>
      </c>
      <c r="E3029" t="s">
        <v>300</v>
      </c>
      <c r="F3029" t="s">
        <v>270</v>
      </c>
      <c r="G3029" t="s">
        <v>44</v>
      </c>
      <c r="H3029">
        <v>234</v>
      </c>
      <c r="I3029" t="str">
        <f t="shared" si="46"/>
        <v>Technical Trades Buildings|A-B|Average</v>
      </c>
      <c r="J3029" t="s">
        <v>1031</v>
      </c>
    </row>
    <row r="3030" spans="2:10">
      <c r="B3030" t="s">
        <v>1029</v>
      </c>
      <c r="C3030" t="s">
        <v>1030</v>
      </c>
      <c r="D3030" t="s">
        <v>264</v>
      </c>
      <c r="E3030" t="s">
        <v>300</v>
      </c>
      <c r="F3030" t="s">
        <v>270</v>
      </c>
      <c r="G3030" t="s">
        <v>226</v>
      </c>
      <c r="H3030">
        <v>178</v>
      </c>
      <c r="I3030" t="str">
        <f t="shared" si="46"/>
        <v>Technical Trades Buildings|A-B|Low Cost</v>
      </c>
      <c r="J3030" t="s">
        <v>1031</v>
      </c>
    </row>
    <row r="3031" spans="2:10">
      <c r="B3031" t="s">
        <v>1029</v>
      </c>
      <c r="C3031" t="s">
        <v>1030</v>
      </c>
      <c r="D3031" t="s">
        <v>264</v>
      </c>
      <c r="E3031" t="s">
        <v>300</v>
      </c>
      <c r="F3031" t="s">
        <v>209</v>
      </c>
      <c r="G3031" t="s">
        <v>229</v>
      </c>
      <c r="H3031">
        <v>232</v>
      </c>
      <c r="I3031" t="str">
        <f t="shared" si="46"/>
        <v>Technical Trades Buildings|C|Good</v>
      </c>
      <c r="J3031" t="s">
        <v>1031</v>
      </c>
    </row>
    <row r="3032" spans="2:10">
      <c r="B3032" t="s">
        <v>1029</v>
      </c>
      <c r="C3032" t="s">
        <v>1030</v>
      </c>
      <c r="D3032" t="s">
        <v>264</v>
      </c>
      <c r="E3032" t="s">
        <v>300</v>
      </c>
      <c r="F3032" t="s">
        <v>209</v>
      </c>
      <c r="G3032" t="s">
        <v>44</v>
      </c>
      <c r="H3032">
        <v>171</v>
      </c>
      <c r="I3032" t="str">
        <f t="shared" si="46"/>
        <v>Technical Trades Buildings|C|Average</v>
      </c>
      <c r="J3032" t="s">
        <v>1031</v>
      </c>
    </row>
    <row r="3033" spans="2:10">
      <c r="B3033" t="s">
        <v>1029</v>
      </c>
      <c r="C3033" t="s">
        <v>1030</v>
      </c>
      <c r="D3033" t="s">
        <v>264</v>
      </c>
      <c r="E3033" t="s">
        <v>300</v>
      </c>
      <c r="F3033" t="s">
        <v>209</v>
      </c>
      <c r="G3033" t="s">
        <v>226</v>
      </c>
      <c r="H3033">
        <v>133</v>
      </c>
      <c r="I3033" t="str">
        <f t="shared" si="46"/>
        <v>Technical Trades Buildings|C|Low Cost</v>
      </c>
      <c r="J3033" t="s">
        <v>1031</v>
      </c>
    </row>
    <row r="3034" spans="2:10">
      <c r="B3034" t="s">
        <v>1029</v>
      </c>
      <c r="C3034" t="s">
        <v>1030</v>
      </c>
      <c r="D3034" t="s">
        <v>264</v>
      </c>
      <c r="E3034" t="s">
        <v>300</v>
      </c>
      <c r="F3034" t="s">
        <v>214</v>
      </c>
      <c r="G3034" t="s">
        <v>229</v>
      </c>
      <c r="H3034">
        <v>228</v>
      </c>
      <c r="I3034" t="str">
        <f t="shared" si="46"/>
        <v>Technical Trades Buildings|D|Good</v>
      </c>
      <c r="J3034" t="s">
        <v>1031</v>
      </c>
    </row>
    <row r="3035" spans="2:10">
      <c r="B3035" t="s">
        <v>1029</v>
      </c>
      <c r="C3035" t="s">
        <v>1030</v>
      </c>
      <c r="D3035" t="s">
        <v>264</v>
      </c>
      <c r="E3035" t="s">
        <v>300</v>
      </c>
      <c r="F3035" t="s">
        <v>214</v>
      </c>
      <c r="G3035" t="s">
        <v>44</v>
      </c>
      <c r="H3035">
        <v>167</v>
      </c>
      <c r="I3035" t="str">
        <f t="shared" si="46"/>
        <v>Technical Trades Buildings|D|Average</v>
      </c>
      <c r="J3035" t="s">
        <v>1031</v>
      </c>
    </row>
    <row r="3036" spans="2:10">
      <c r="B3036" t="s">
        <v>1029</v>
      </c>
      <c r="C3036" t="s">
        <v>1030</v>
      </c>
      <c r="D3036" t="s">
        <v>264</v>
      </c>
      <c r="E3036" t="s">
        <v>300</v>
      </c>
      <c r="F3036" t="s">
        <v>214</v>
      </c>
      <c r="G3036" t="s">
        <v>226</v>
      </c>
      <c r="H3036">
        <v>129</v>
      </c>
      <c r="I3036" t="str">
        <f t="shared" si="46"/>
        <v>Technical Trades Buildings|D|Low Cost</v>
      </c>
      <c r="J3036" t="s">
        <v>1031</v>
      </c>
    </row>
    <row r="3037" spans="2:10">
      <c r="B3037" t="s">
        <v>1029</v>
      </c>
      <c r="C3037" t="s">
        <v>1030</v>
      </c>
      <c r="D3037" t="s">
        <v>264</v>
      </c>
      <c r="E3037" t="s">
        <v>300</v>
      </c>
      <c r="F3037" t="s">
        <v>313</v>
      </c>
      <c r="G3037" t="s">
        <v>44</v>
      </c>
      <c r="H3037">
        <v>161</v>
      </c>
      <c r="I3037" t="str">
        <f t="shared" si="46"/>
        <v>Technical Trades Buildings|DPOLE|Average</v>
      </c>
      <c r="J3037" t="s">
        <v>1031</v>
      </c>
    </row>
    <row r="3038" spans="2:10">
      <c r="B3038" t="s">
        <v>1029</v>
      </c>
      <c r="C3038" t="s">
        <v>1030</v>
      </c>
      <c r="D3038" t="s">
        <v>264</v>
      </c>
      <c r="E3038" t="s">
        <v>300</v>
      </c>
      <c r="F3038" t="s">
        <v>313</v>
      </c>
      <c r="G3038" t="s">
        <v>226</v>
      </c>
      <c r="H3038">
        <v>124</v>
      </c>
      <c r="I3038" t="str">
        <f t="shared" ref="I3038:I3101" si="47">B3038&amp;"|"&amp;F3038&amp;"|"&amp;G3038</f>
        <v>Technical Trades Buildings|DPOLE|Low Cost</v>
      </c>
      <c r="J3038" t="s">
        <v>1031</v>
      </c>
    </row>
    <row r="3039" spans="2:10">
      <c r="B3039" t="s">
        <v>1029</v>
      </c>
      <c r="C3039" t="s">
        <v>1030</v>
      </c>
      <c r="D3039" t="s">
        <v>264</v>
      </c>
      <c r="E3039" t="s">
        <v>300</v>
      </c>
      <c r="F3039" t="s">
        <v>219</v>
      </c>
      <c r="G3039" t="s">
        <v>44</v>
      </c>
      <c r="H3039">
        <v>162</v>
      </c>
      <c r="I3039" t="str">
        <f t="shared" si="47"/>
        <v>Technical Trades Buildings|S|Average</v>
      </c>
      <c r="J3039" t="s">
        <v>1031</v>
      </c>
    </row>
    <row r="3040" spans="2:10">
      <c r="B3040" t="s">
        <v>1029</v>
      </c>
      <c r="C3040" t="s">
        <v>1030</v>
      </c>
      <c r="D3040" t="s">
        <v>264</v>
      </c>
      <c r="E3040" t="s">
        <v>300</v>
      </c>
      <c r="F3040" t="s">
        <v>219</v>
      </c>
      <c r="G3040" t="s">
        <v>226</v>
      </c>
      <c r="H3040">
        <v>125</v>
      </c>
      <c r="I3040" t="str">
        <f t="shared" si="47"/>
        <v>Technical Trades Buildings|S|Low Cost</v>
      </c>
      <c r="J3040" t="s">
        <v>1031</v>
      </c>
    </row>
    <row r="3041" spans="2:10">
      <c r="B3041" t="s">
        <v>1032</v>
      </c>
      <c r="C3041" t="s">
        <v>1033</v>
      </c>
      <c r="D3041" t="s">
        <v>264</v>
      </c>
      <c r="E3041" t="s">
        <v>300</v>
      </c>
      <c r="F3041" t="s">
        <v>270</v>
      </c>
      <c r="G3041" t="s">
        <v>231</v>
      </c>
      <c r="H3041">
        <v>445</v>
      </c>
      <c r="I3041" t="str">
        <f t="shared" si="47"/>
        <v>Lecture Hall Buildings|A-B|Excellent</v>
      </c>
      <c r="J3041" t="s">
        <v>1031</v>
      </c>
    </row>
    <row r="3042" spans="2:10">
      <c r="B3042" t="s">
        <v>1032</v>
      </c>
      <c r="C3042" t="s">
        <v>1033</v>
      </c>
      <c r="D3042" t="s">
        <v>264</v>
      </c>
      <c r="E3042" t="s">
        <v>300</v>
      </c>
      <c r="F3042" t="s">
        <v>270</v>
      </c>
      <c r="G3042" t="s">
        <v>229</v>
      </c>
      <c r="H3042">
        <v>354</v>
      </c>
      <c r="I3042" t="str">
        <f t="shared" si="47"/>
        <v>Lecture Hall Buildings|A-B|Good</v>
      </c>
      <c r="J3042" t="s">
        <v>1031</v>
      </c>
    </row>
    <row r="3043" spans="2:10">
      <c r="B3043" t="s">
        <v>1032</v>
      </c>
      <c r="C3043" t="s">
        <v>1033</v>
      </c>
      <c r="D3043" t="s">
        <v>264</v>
      </c>
      <c r="E3043" t="s">
        <v>300</v>
      </c>
      <c r="F3043" t="s">
        <v>270</v>
      </c>
      <c r="G3043" t="s">
        <v>44</v>
      </c>
      <c r="H3043">
        <v>284</v>
      </c>
      <c r="I3043" t="str">
        <f t="shared" si="47"/>
        <v>Lecture Hall Buildings|A-B|Average</v>
      </c>
      <c r="J3043" t="s">
        <v>1031</v>
      </c>
    </row>
    <row r="3044" spans="2:10">
      <c r="B3044" t="s">
        <v>1032</v>
      </c>
      <c r="C3044" t="s">
        <v>1033</v>
      </c>
      <c r="D3044" t="s">
        <v>264</v>
      </c>
      <c r="E3044" t="s">
        <v>300</v>
      </c>
      <c r="F3044" t="s">
        <v>209</v>
      </c>
      <c r="G3044" t="s">
        <v>231</v>
      </c>
      <c r="H3044">
        <v>363</v>
      </c>
      <c r="I3044" t="str">
        <f t="shared" si="47"/>
        <v>Lecture Hall Buildings|C|Excellent</v>
      </c>
      <c r="J3044" t="s">
        <v>1031</v>
      </c>
    </row>
    <row r="3045" spans="2:10">
      <c r="B3045" t="s">
        <v>1032</v>
      </c>
      <c r="C3045" t="s">
        <v>1033</v>
      </c>
      <c r="D3045" t="s">
        <v>264</v>
      </c>
      <c r="E3045" t="s">
        <v>300</v>
      </c>
      <c r="F3045" t="s">
        <v>209</v>
      </c>
      <c r="G3045" t="s">
        <v>229</v>
      </c>
      <c r="H3045">
        <v>285</v>
      </c>
      <c r="I3045" t="str">
        <f t="shared" si="47"/>
        <v>Lecture Hall Buildings|C|Good</v>
      </c>
      <c r="J3045" t="s">
        <v>1031</v>
      </c>
    </row>
    <row r="3046" spans="2:10">
      <c r="B3046" t="s">
        <v>1032</v>
      </c>
      <c r="C3046" t="s">
        <v>1033</v>
      </c>
      <c r="D3046" t="s">
        <v>264</v>
      </c>
      <c r="E3046" t="s">
        <v>300</v>
      </c>
      <c r="F3046" t="s">
        <v>209</v>
      </c>
      <c r="G3046" t="s">
        <v>44</v>
      </c>
      <c r="H3046">
        <v>212</v>
      </c>
      <c r="I3046" t="str">
        <f t="shared" si="47"/>
        <v>Lecture Hall Buildings|C|Average</v>
      </c>
      <c r="J3046" t="s">
        <v>1031</v>
      </c>
    </row>
    <row r="3047" spans="2:10">
      <c r="B3047" t="s">
        <v>1032</v>
      </c>
      <c r="C3047" t="s">
        <v>1033</v>
      </c>
      <c r="D3047" t="s">
        <v>264</v>
      </c>
      <c r="E3047" t="s">
        <v>300</v>
      </c>
      <c r="F3047" t="s">
        <v>214</v>
      </c>
      <c r="G3047" t="s">
        <v>229</v>
      </c>
      <c r="H3047">
        <v>274</v>
      </c>
      <c r="I3047" t="str">
        <f t="shared" si="47"/>
        <v>Lecture Hall Buildings|D|Good</v>
      </c>
      <c r="J3047" t="s">
        <v>1031</v>
      </c>
    </row>
    <row r="3048" spans="2:10">
      <c r="B3048" t="s">
        <v>1032</v>
      </c>
      <c r="C3048" t="s">
        <v>1033</v>
      </c>
      <c r="D3048" t="s">
        <v>264</v>
      </c>
      <c r="E3048" t="s">
        <v>300</v>
      </c>
      <c r="F3048" t="s">
        <v>214</v>
      </c>
      <c r="G3048" t="s">
        <v>44</v>
      </c>
      <c r="H3048">
        <v>204</v>
      </c>
      <c r="I3048" t="str">
        <f t="shared" si="47"/>
        <v>Lecture Hall Buildings|D|Average</v>
      </c>
      <c r="J3048" t="s">
        <v>1031</v>
      </c>
    </row>
    <row r="3049" spans="2:10">
      <c r="B3049" t="s">
        <v>1032</v>
      </c>
      <c r="C3049" t="s">
        <v>1033</v>
      </c>
      <c r="D3049" t="s">
        <v>264</v>
      </c>
      <c r="E3049" t="s">
        <v>300</v>
      </c>
      <c r="F3049" t="s">
        <v>219</v>
      </c>
      <c r="G3049" t="s">
        <v>44</v>
      </c>
      <c r="H3049">
        <v>196</v>
      </c>
      <c r="I3049" t="str">
        <f t="shared" si="47"/>
        <v>Lecture Hall Buildings|S|Average</v>
      </c>
      <c r="J3049" t="s">
        <v>1031</v>
      </c>
    </row>
    <row r="3050" spans="2:10">
      <c r="B3050" t="s">
        <v>1034</v>
      </c>
      <c r="C3050" t="s">
        <v>1035</v>
      </c>
      <c r="D3050" t="s">
        <v>264</v>
      </c>
      <c r="E3050" t="s">
        <v>309</v>
      </c>
      <c r="F3050" t="s">
        <v>270</v>
      </c>
      <c r="G3050" t="s">
        <v>231</v>
      </c>
      <c r="H3050">
        <v>470</v>
      </c>
      <c r="I3050" t="str">
        <f t="shared" si="47"/>
        <v>Arts &amp; Crafts Buildings|A-B|Excellent</v>
      </c>
      <c r="J3050" t="s">
        <v>1036</v>
      </c>
    </row>
    <row r="3051" spans="2:10">
      <c r="B3051" t="s">
        <v>1034</v>
      </c>
      <c r="C3051" t="s">
        <v>1035</v>
      </c>
      <c r="D3051" t="s">
        <v>264</v>
      </c>
      <c r="E3051" t="s">
        <v>309</v>
      </c>
      <c r="F3051" t="s">
        <v>270</v>
      </c>
      <c r="G3051" t="s">
        <v>229</v>
      </c>
      <c r="H3051">
        <v>359</v>
      </c>
      <c r="I3051" t="str">
        <f t="shared" si="47"/>
        <v>Arts &amp; Crafts Buildings|A-B|Good</v>
      </c>
      <c r="J3051" t="s">
        <v>1036</v>
      </c>
    </row>
    <row r="3052" spans="2:10">
      <c r="B3052" t="s">
        <v>1034</v>
      </c>
      <c r="C3052" t="s">
        <v>1035</v>
      </c>
      <c r="D3052" t="s">
        <v>264</v>
      </c>
      <c r="E3052" t="s">
        <v>309</v>
      </c>
      <c r="F3052" t="s">
        <v>270</v>
      </c>
      <c r="G3052" t="s">
        <v>44</v>
      </c>
      <c r="H3052">
        <v>277</v>
      </c>
      <c r="I3052" t="str">
        <f t="shared" si="47"/>
        <v>Arts &amp; Crafts Buildings|A-B|Average</v>
      </c>
      <c r="J3052" t="s">
        <v>1036</v>
      </c>
    </row>
    <row r="3053" spans="2:10">
      <c r="B3053" t="s">
        <v>1034</v>
      </c>
      <c r="C3053" t="s">
        <v>1035</v>
      </c>
      <c r="D3053" t="s">
        <v>264</v>
      </c>
      <c r="E3053" t="s">
        <v>309</v>
      </c>
      <c r="F3053" t="s">
        <v>270</v>
      </c>
      <c r="G3053" t="s">
        <v>226</v>
      </c>
      <c r="H3053">
        <v>201</v>
      </c>
      <c r="I3053" t="str">
        <f t="shared" si="47"/>
        <v>Arts &amp; Crafts Buildings|A-B|Low Cost</v>
      </c>
      <c r="J3053" t="s">
        <v>1036</v>
      </c>
    </row>
    <row r="3054" spans="2:10">
      <c r="B3054" t="s">
        <v>1034</v>
      </c>
      <c r="C3054" t="s">
        <v>1035</v>
      </c>
      <c r="D3054" t="s">
        <v>264</v>
      </c>
      <c r="E3054" t="s">
        <v>309</v>
      </c>
      <c r="F3054" t="s">
        <v>209</v>
      </c>
      <c r="G3054" t="s">
        <v>231</v>
      </c>
      <c r="H3054">
        <v>366</v>
      </c>
      <c r="I3054" t="str">
        <f t="shared" si="47"/>
        <v>Arts &amp; Crafts Buildings|C|Excellent</v>
      </c>
      <c r="J3054" t="s">
        <v>1036</v>
      </c>
    </row>
    <row r="3055" spans="2:10">
      <c r="B3055" t="s">
        <v>1034</v>
      </c>
      <c r="C3055" t="s">
        <v>1035</v>
      </c>
      <c r="D3055" t="s">
        <v>264</v>
      </c>
      <c r="E3055" t="s">
        <v>309</v>
      </c>
      <c r="F3055" t="s">
        <v>209</v>
      </c>
      <c r="G3055" t="s">
        <v>229</v>
      </c>
      <c r="H3055">
        <v>281</v>
      </c>
      <c r="I3055" t="str">
        <f t="shared" si="47"/>
        <v>Arts &amp; Crafts Buildings|C|Good</v>
      </c>
      <c r="J3055" t="s">
        <v>1036</v>
      </c>
    </row>
    <row r="3056" spans="2:10">
      <c r="B3056" t="s">
        <v>1034</v>
      </c>
      <c r="C3056" t="s">
        <v>1035</v>
      </c>
      <c r="D3056" t="s">
        <v>264</v>
      </c>
      <c r="E3056" t="s">
        <v>309</v>
      </c>
      <c r="F3056" t="s">
        <v>209</v>
      </c>
      <c r="G3056" t="s">
        <v>44</v>
      </c>
      <c r="H3056">
        <v>204</v>
      </c>
      <c r="I3056" t="str">
        <f t="shared" si="47"/>
        <v>Arts &amp; Crafts Buildings|C|Average</v>
      </c>
      <c r="J3056" t="s">
        <v>1036</v>
      </c>
    </row>
    <row r="3057" spans="2:10">
      <c r="B3057" t="s">
        <v>1034</v>
      </c>
      <c r="C3057" t="s">
        <v>1035</v>
      </c>
      <c r="D3057" t="s">
        <v>264</v>
      </c>
      <c r="E3057" t="s">
        <v>309</v>
      </c>
      <c r="F3057" t="s">
        <v>209</v>
      </c>
      <c r="G3057" t="s">
        <v>226</v>
      </c>
      <c r="H3057">
        <v>152</v>
      </c>
      <c r="I3057" t="str">
        <f t="shared" si="47"/>
        <v>Arts &amp; Crafts Buildings|C|Low Cost</v>
      </c>
      <c r="J3057" t="s">
        <v>1036</v>
      </c>
    </row>
    <row r="3058" spans="2:10">
      <c r="B3058" t="s">
        <v>1034</v>
      </c>
      <c r="C3058" t="s">
        <v>1035</v>
      </c>
      <c r="D3058" t="s">
        <v>264</v>
      </c>
      <c r="E3058" t="s">
        <v>309</v>
      </c>
      <c r="F3058" t="s">
        <v>214</v>
      </c>
      <c r="G3058" t="s">
        <v>229</v>
      </c>
      <c r="H3058">
        <v>276</v>
      </c>
      <c r="I3058" t="str">
        <f t="shared" si="47"/>
        <v>Arts &amp; Crafts Buildings|D|Good</v>
      </c>
      <c r="J3058" t="s">
        <v>1036</v>
      </c>
    </row>
    <row r="3059" spans="2:10">
      <c r="B3059" t="s">
        <v>1034</v>
      </c>
      <c r="C3059" t="s">
        <v>1035</v>
      </c>
      <c r="D3059" t="s">
        <v>264</v>
      </c>
      <c r="E3059" t="s">
        <v>309</v>
      </c>
      <c r="F3059" t="s">
        <v>214</v>
      </c>
      <c r="G3059" t="s">
        <v>44</v>
      </c>
      <c r="H3059">
        <v>198</v>
      </c>
      <c r="I3059" t="str">
        <f t="shared" si="47"/>
        <v>Arts &amp; Crafts Buildings|D|Average</v>
      </c>
      <c r="J3059" t="s">
        <v>1036</v>
      </c>
    </row>
    <row r="3060" spans="2:10">
      <c r="B3060" t="s">
        <v>1034</v>
      </c>
      <c r="C3060" t="s">
        <v>1035</v>
      </c>
      <c r="D3060" t="s">
        <v>264</v>
      </c>
      <c r="E3060" t="s">
        <v>309</v>
      </c>
      <c r="F3060" t="s">
        <v>214</v>
      </c>
      <c r="G3060" t="s">
        <v>226</v>
      </c>
      <c r="H3060">
        <v>147</v>
      </c>
      <c r="I3060" t="str">
        <f t="shared" si="47"/>
        <v>Arts &amp; Crafts Buildings|D|Low Cost</v>
      </c>
      <c r="J3060" t="s">
        <v>1036</v>
      </c>
    </row>
    <row r="3061" spans="2:10">
      <c r="B3061" t="s">
        <v>1034</v>
      </c>
      <c r="C3061" t="s">
        <v>1035</v>
      </c>
      <c r="D3061" t="s">
        <v>264</v>
      </c>
      <c r="E3061" t="s">
        <v>309</v>
      </c>
      <c r="F3061" t="s">
        <v>313</v>
      </c>
      <c r="G3061" t="s">
        <v>44</v>
      </c>
      <c r="H3061">
        <v>187</v>
      </c>
      <c r="I3061" t="str">
        <f t="shared" si="47"/>
        <v>Arts &amp; Crafts Buildings|DPOLE|Average</v>
      </c>
      <c r="J3061" t="s">
        <v>1036</v>
      </c>
    </row>
    <row r="3062" spans="2:10">
      <c r="B3062" t="s">
        <v>1034</v>
      </c>
      <c r="C3062" t="s">
        <v>1035</v>
      </c>
      <c r="D3062" t="s">
        <v>264</v>
      </c>
      <c r="E3062" t="s">
        <v>309</v>
      </c>
      <c r="F3062" t="s">
        <v>313</v>
      </c>
      <c r="G3062" t="s">
        <v>226</v>
      </c>
      <c r="H3062">
        <v>137</v>
      </c>
      <c r="I3062" t="str">
        <f t="shared" si="47"/>
        <v>Arts &amp; Crafts Buildings|DPOLE|Low Cost</v>
      </c>
      <c r="J3062" t="s">
        <v>1036</v>
      </c>
    </row>
    <row r="3063" spans="2:10">
      <c r="B3063" t="s">
        <v>1034</v>
      </c>
      <c r="C3063" t="s">
        <v>1035</v>
      </c>
      <c r="D3063" t="s">
        <v>264</v>
      </c>
      <c r="E3063" t="s">
        <v>309</v>
      </c>
      <c r="F3063" t="s">
        <v>219</v>
      </c>
      <c r="G3063" t="s">
        <v>44</v>
      </c>
      <c r="H3063">
        <v>191</v>
      </c>
      <c r="I3063" t="str">
        <f t="shared" si="47"/>
        <v>Arts &amp; Crafts Buildings|S|Average</v>
      </c>
      <c r="J3063" t="s">
        <v>1036</v>
      </c>
    </row>
    <row r="3064" spans="2:10">
      <c r="B3064" t="s">
        <v>1034</v>
      </c>
      <c r="C3064" t="s">
        <v>1035</v>
      </c>
      <c r="D3064" t="s">
        <v>264</v>
      </c>
      <c r="E3064" t="s">
        <v>309</v>
      </c>
      <c r="F3064" t="s">
        <v>219</v>
      </c>
      <c r="G3064" t="s">
        <v>226</v>
      </c>
      <c r="H3064">
        <v>141</v>
      </c>
      <c r="I3064" t="str">
        <f t="shared" si="47"/>
        <v>Arts &amp; Crafts Buildings|S|Low Cost</v>
      </c>
      <c r="J3064" t="s">
        <v>1036</v>
      </c>
    </row>
    <row r="3065" spans="2:10">
      <c r="B3065" t="s">
        <v>1037</v>
      </c>
      <c r="C3065" t="s">
        <v>1038</v>
      </c>
      <c r="D3065" t="s">
        <v>264</v>
      </c>
      <c r="E3065" t="s">
        <v>317</v>
      </c>
      <c r="F3065" t="s">
        <v>270</v>
      </c>
      <c r="G3065" t="s">
        <v>231</v>
      </c>
      <c r="H3065">
        <v>494</v>
      </c>
      <c r="I3065" t="str">
        <f t="shared" si="47"/>
        <v>Science Buildings|A-B|Excellent</v>
      </c>
      <c r="J3065" t="s">
        <v>1039</v>
      </c>
    </row>
    <row r="3066" spans="2:10">
      <c r="B3066" t="s">
        <v>1037</v>
      </c>
      <c r="C3066" t="s">
        <v>1038</v>
      </c>
      <c r="D3066" t="s">
        <v>264</v>
      </c>
      <c r="E3066" t="s">
        <v>317</v>
      </c>
      <c r="F3066" t="s">
        <v>270</v>
      </c>
      <c r="G3066" t="s">
        <v>229</v>
      </c>
      <c r="H3066">
        <v>387</v>
      </c>
      <c r="I3066" t="str">
        <f t="shared" si="47"/>
        <v>Science Buildings|A-B|Good</v>
      </c>
      <c r="J3066" t="s">
        <v>1039</v>
      </c>
    </row>
    <row r="3067" spans="2:10">
      <c r="B3067" t="s">
        <v>1037</v>
      </c>
      <c r="C3067" t="s">
        <v>1038</v>
      </c>
      <c r="D3067" t="s">
        <v>264</v>
      </c>
      <c r="E3067" t="s">
        <v>317</v>
      </c>
      <c r="F3067" t="s">
        <v>270</v>
      </c>
      <c r="G3067" t="s">
        <v>44</v>
      </c>
      <c r="H3067">
        <v>304</v>
      </c>
      <c r="I3067" t="str">
        <f t="shared" si="47"/>
        <v>Science Buildings|A-B|Average</v>
      </c>
      <c r="J3067" t="s">
        <v>1039</v>
      </c>
    </row>
    <row r="3068" spans="2:10">
      <c r="B3068" t="s">
        <v>1037</v>
      </c>
      <c r="C3068" t="s">
        <v>1038</v>
      </c>
      <c r="D3068" t="s">
        <v>264</v>
      </c>
      <c r="E3068" t="s">
        <v>317</v>
      </c>
      <c r="F3068" t="s">
        <v>270</v>
      </c>
      <c r="G3068" t="s">
        <v>226</v>
      </c>
      <c r="H3068">
        <v>238</v>
      </c>
      <c r="I3068" t="str">
        <f t="shared" si="47"/>
        <v>Science Buildings|A-B|Low Cost</v>
      </c>
      <c r="J3068" t="s">
        <v>1039</v>
      </c>
    </row>
    <row r="3069" spans="2:10">
      <c r="B3069" t="s">
        <v>1037</v>
      </c>
      <c r="C3069" t="s">
        <v>1038</v>
      </c>
      <c r="D3069" t="s">
        <v>264</v>
      </c>
      <c r="E3069" t="s">
        <v>317</v>
      </c>
      <c r="F3069" t="s">
        <v>209</v>
      </c>
      <c r="G3069" t="s">
        <v>231</v>
      </c>
      <c r="H3069">
        <v>386</v>
      </c>
      <c r="I3069" t="str">
        <f t="shared" si="47"/>
        <v>Science Buildings|C|Excellent</v>
      </c>
      <c r="J3069" t="s">
        <v>1039</v>
      </c>
    </row>
    <row r="3070" spans="2:10">
      <c r="B3070" t="s">
        <v>1037</v>
      </c>
      <c r="C3070" t="s">
        <v>1038</v>
      </c>
      <c r="D3070" t="s">
        <v>264</v>
      </c>
      <c r="E3070" t="s">
        <v>317</v>
      </c>
      <c r="F3070" t="s">
        <v>209</v>
      </c>
      <c r="G3070" t="s">
        <v>229</v>
      </c>
      <c r="H3070">
        <v>306</v>
      </c>
      <c r="I3070" t="str">
        <f t="shared" si="47"/>
        <v>Science Buildings|C|Good</v>
      </c>
      <c r="J3070" t="s">
        <v>1039</v>
      </c>
    </row>
    <row r="3071" spans="2:10">
      <c r="B3071" t="s">
        <v>1037</v>
      </c>
      <c r="C3071" t="s">
        <v>1038</v>
      </c>
      <c r="D3071" t="s">
        <v>264</v>
      </c>
      <c r="E3071" t="s">
        <v>317</v>
      </c>
      <c r="F3071" t="s">
        <v>209</v>
      </c>
      <c r="G3071" t="s">
        <v>44</v>
      </c>
      <c r="H3071">
        <v>243</v>
      </c>
      <c r="I3071" t="str">
        <f t="shared" si="47"/>
        <v>Science Buildings|C|Average</v>
      </c>
      <c r="J3071" t="s">
        <v>1039</v>
      </c>
    </row>
    <row r="3072" spans="2:10">
      <c r="B3072" t="s">
        <v>1037</v>
      </c>
      <c r="C3072" t="s">
        <v>1038</v>
      </c>
      <c r="D3072" t="s">
        <v>264</v>
      </c>
      <c r="E3072" t="s">
        <v>317</v>
      </c>
      <c r="F3072" t="s">
        <v>209</v>
      </c>
      <c r="G3072" t="s">
        <v>226</v>
      </c>
      <c r="H3072">
        <v>193</v>
      </c>
      <c r="I3072" t="str">
        <f t="shared" si="47"/>
        <v>Science Buildings|C|Low Cost</v>
      </c>
      <c r="J3072" t="s">
        <v>1039</v>
      </c>
    </row>
    <row r="3073" spans="2:10">
      <c r="B3073" t="s">
        <v>1037</v>
      </c>
      <c r="C3073" t="s">
        <v>1038</v>
      </c>
      <c r="D3073" t="s">
        <v>264</v>
      </c>
      <c r="E3073" t="s">
        <v>317</v>
      </c>
      <c r="F3073" t="s">
        <v>214</v>
      </c>
      <c r="G3073" t="s">
        <v>231</v>
      </c>
      <c r="H3073">
        <v>382</v>
      </c>
      <c r="I3073" t="str">
        <f t="shared" si="47"/>
        <v>Science Buildings|D|Excellent</v>
      </c>
      <c r="J3073" t="s">
        <v>1039</v>
      </c>
    </row>
    <row r="3074" spans="2:10">
      <c r="B3074" t="s">
        <v>1037</v>
      </c>
      <c r="C3074" t="s">
        <v>1038</v>
      </c>
      <c r="D3074" t="s">
        <v>264</v>
      </c>
      <c r="E3074" t="s">
        <v>317</v>
      </c>
      <c r="F3074" t="s">
        <v>214</v>
      </c>
      <c r="G3074" t="s">
        <v>229</v>
      </c>
      <c r="H3074">
        <v>301</v>
      </c>
      <c r="I3074" t="str">
        <f t="shared" si="47"/>
        <v>Science Buildings|D|Good</v>
      </c>
      <c r="J3074" t="s">
        <v>1039</v>
      </c>
    </row>
    <row r="3075" spans="2:10">
      <c r="B3075" t="s">
        <v>1037</v>
      </c>
      <c r="C3075" t="s">
        <v>1038</v>
      </c>
      <c r="D3075" t="s">
        <v>264</v>
      </c>
      <c r="E3075" t="s">
        <v>317</v>
      </c>
      <c r="F3075" t="s">
        <v>214</v>
      </c>
      <c r="G3075" t="s">
        <v>44</v>
      </c>
      <c r="H3075">
        <v>237</v>
      </c>
      <c r="I3075" t="str">
        <f t="shared" si="47"/>
        <v>Science Buildings|D|Average</v>
      </c>
      <c r="J3075" t="s">
        <v>1039</v>
      </c>
    </row>
    <row r="3076" spans="2:10">
      <c r="B3076" t="s">
        <v>1037</v>
      </c>
      <c r="C3076" t="s">
        <v>1038</v>
      </c>
      <c r="D3076" t="s">
        <v>264</v>
      </c>
      <c r="E3076" t="s">
        <v>317</v>
      </c>
      <c r="F3076" t="s">
        <v>214</v>
      </c>
      <c r="G3076" t="s">
        <v>226</v>
      </c>
      <c r="H3076">
        <v>188</v>
      </c>
      <c r="I3076" t="str">
        <f t="shared" si="47"/>
        <v>Science Buildings|D|Low Cost</v>
      </c>
      <c r="J3076" t="s">
        <v>1039</v>
      </c>
    </row>
    <row r="3077" spans="2:10">
      <c r="B3077" t="s">
        <v>1037</v>
      </c>
      <c r="C3077" t="s">
        <v>1038</v>
      </c>
      <c r="D3077" t="s">
        <v>264</v>
      </c>
      <c r="E3077" t="s">
        <v>317</v>
      </c>
      <c r="F3077" t="s">
        <v>313</v>
      </c>
      <c r="G3077" t="s">
        <v>44</v>
      </c>
      <c r="H3077">
        <v>230</v>
      </c>
      <c r="I3077" t="str">
        <f t="shared" si="47"/>
        <v>Science Buildings|DPOLE|Average</v>
      </c>
      <c r="J3077" t="s">
        <v>1039</v>
      </c>
    </row>
    <row r="3078" spans="2:10">
      <c r="B3078" t="s">
        <v>1037</v>
      </c>
      <c r="C3078" t="s">
        <v>1038</v>
      </c>
      <c r="D3078" t="s">
        <v>264</v>
      </c>
      <c r="E3078" t="s">
        <v>317</v>
      </c>
      <c r="F3078" t="s">
        <v>313</v>
      </c>
      <c r="G3078" t="s">
        <v>226</v>
      </c>
      <c r="H3078">
        <v>180</v>
      </c>
      <c r="I3078" t="str">
        <f t="shared" si="47"/>
        <v>Science Buildings|DPOLE|Low Cost</v>
      </c>
      <c r="J3078" t="s">
        <v>1039</v>
      </c>
    </row>
    <row r="3079" spans="2:10">
      <c r="B3079" t="s">
        <v>1037</v>
      </c>
      <c r="C3079" t="s">
        <v>1038</v>
      </c>
      <c r="D3079" t="s">
        <v>264</v>
      </c>
      <c r="E3079" t="s">
        <v>317</v>
      </c>
      <c r="F3079" t="s">
        <v>219</v>
      </c>
      <c r="G3079" t="s">
        <v>229</v>
      </c>
      <c r="H3079">
        <v>295</v>
      </c>
      <c r="I3079" t="str">
        <f t="shared" si="47"/>
        <v>Science Buildings|S|Good</v>
      </c>
      <c r="J3079" t="s">
        <v>1039</v>
      </c>
    </row>
    <row r="3080" spans="2:10">
      <c r="B3080" t="s">
        <v>1037</v>
      </c>
      <c r="C3080" t="s">
        <v>1038</v>
      </c>
      <c r="D3080" t="s">
        <v>264</v>
      </c>
      <c r="E3080" t="s">
        <v>317</v>
      </c>
      <c r="F3080" t="s">
        <v>219</v>
      </c>
      <c r="G3080" t="s">
        <v>44</v>
      </c>
      <c r="H3080">
        <v>230</v>
      </c>
      <c r="I3080" t="str">
        <f t="shared" si="47"/>
        <v>Science Buildings|S|Average</v>
      </c>
      <c r="J3080" t="s">
        <v>1039</v>
      </c>
    </row>
    <row r="3081" spans="2:10">
      <c r="B3081" t="s">
        <v>1037</v>
      </c>
      <c r="C3081" t="s">
        <v>1038</v>
      </c>
      <c r="D3081" t="s">
        <v>264</v>
      </c>
      <c r="E3081" t="s">
        <v>317</v>
      </c>
      <c r="F3081" t="s">
        <v>219</v>
      </c>
      <c r="G3081" t="s">
        <v>226</v>
      </c>
      <c r="H3081">
        <v>181</v>
      </c>
      <c r="I3081" t="str">
        <f t="shared" si="47"/>
        <v>Science Buildings|S|Low Cost</v>
      </c>
      <c r="J3081" t="s">
        <v>1039</v>
      </c>
    </row>
    <row r="3082" spans="2:10">
      <c r="B3082" t="s">
        <v>1040</v>
      </c>
      <c r="C3082" t="s">
        <v>1041</v>
      </c>
      <c r="D3082" t="s">
        <v>264</v>
      </c>
      <c r="E3082" t="s">
        <v>323</v>
      </c>
      <c r="F3082" t="s">
        <v>270</v>
      </c>
      <c r="G3082" t="s">
        <v>231</v>
      </c>
      <c r="H3082">
        <v>431</v>
      </c>
      <c r="I3082" t="str">
        <f t="shared" si="47"/>
        <v>Commons|A-B|Excellent</v>
      </c>
      <c r="J3082" t="s">
        <v>1042</v>
      </c>
    </row>
    <row r="3083" spans="2:10">
      <c r="B3083" t="s">
        <v>1040</v>
      </c>
      <c r="C3083" t="s">
        <v>1041</v>
      </c>
      <c r="D3083" t="s">
        <v>264</v>
      </c>
      <c r="E3083" t="s">
        <v>323</v>
      </c>
      <c r="F3083" t="s">
        <v>270</v>
      </c>
      <c r="G3083" t="s">
        <v>229</v>
      </c>
      <c r="H3083">
        <v>349</v>
      </c>
      <c r="I3083" t="str">
        <f t="shared" si="47"/>
        <v>Commons|A-B|Good</v>
      </c>
      <c r="J3083" t="s">
        <v>1042</v>
      </c>
    </row>
    <row r="3084" spans="2:10">
      <c r="B3084" t="s">
        <v>1040</v>
      </c>
      <c r="C3084" t="s">
        <v>1041</v>
      </c>
      <c r="D3084" t="s">
        <v>264</v>
      </c>
      <c r="E3084" t="s">
        <v>323</v>
      </c>
      <c r="F3084" t="s">
        <v>270</v>
      </c>
      <c r="G3084" t="s">
        <v>44</v>
      </c>
      <c r="H3084">
        <v>284</v>
      </c>
      <c r="I3084" t="str">
        <f t="shared" si="47"/>
        <v>Commons|A-B|Average</v>
      </c>
      <c r="J3084" t="s">
        <v>1042</v>
      </c>
    </row>
    <row r="3085" spans="2:10">
      <c r="B3085" t="s">
        <v>1040</v>
      </c>
      <c r="C3085" t="s">
        <v>1041</v>
      </c>
      <c r="D3085" t="s">
        <v>264</v>
      </c>
      <c r="E3085" t="s">
        <v>323</v>
      </c>
      <c r="F3085" t="s">
        <v>209</v>
      </c>
      <c r="G3085" t="s">
        <v>231</v>
      </c>
      <c r="H3085">
        <v>383</v>
      </c>
      <c r="I3085" t="str">
        <f t="shared" si="47"/>
        <v>Commons|C|Excellent</v>
      </c>
      <c r="J3085" t="s">
        <v>1042</v>
      </c>
    </row>
    <row r="3086" spans="2:10">
      <c r="B3086" t="s">
        <v>1040</v>
      </c>
      <c r="C3086" t="s">
        <v>1041</v>
      </c>
      <c r="D3086" t="s">
        <v>264</v>
      </c>
      <c r="E3086" t="s">
        <v>323</v>
      </c>
      <c r="F3086" t="s">
        <v>209</v>
      </c>
      <c r="G3086" t="s">
        <v>229</v>
      </c>
      <c r="H3086">
        <v>302</v>
      </c>
      <c r="I3086" t="str">
        <f t="shared" si="47"/>
        <v>Commons|C|Good</v>
      </c>
      <c r="J3086" t="s">
        <v>1042</v>
      </c>
    </row>
    <row r="3087" spans="2:10">
      <c r="B3087" t="s">
        <v>1040</v>
      </c>
      <c r="C3087" t="s">
        <v>1041</v>
      </c>
      <c r="D3087" t="s">
        <v>264</v>
      </c>
      <c r="E3087" t="s">
        <v>323</v>
      </c>
      <c r="F3087" t="s">
        <v>209</v>
      </c>
      <c r="G3087" t="s">
        <v>44</v>
      </c>
      <c r="H3087">
        <v>226</v>
      </c>
      <c r="I3087" t="str">
        <f t="shared" si="47"/>
        <v>Commons|C|Average</v>
      </c>
      <c r="J3087" t="s">
        <v>1042</v>
      </c>
    </row>
    <row r="3088" spans="2:10">
      <c r="B3088" t="s">
        <v>1040</v>
      </c>
      <c r="C3088" t="s">
        <v>1041</v>
      </c>
      <c r="D3088" t="s">
        <v>264</v>
      </c>
      <c r="E3088" t="s">
        <v>323</v>
      </c>
      <c r="F3088" t="s">
        <v>209</v>
      </c>
      <c r="G3088" t="s">
        <v>226</v>
      </c>
      <c r="H3088">
        <v>174</v>
      </c>
      <c r="I3088" t="str">
        <f t="shared" si="47"/>
        <v>Commons|C|Low Cost</v>
      </c>
      <c r="J3088" t="s">
        <v>1042</v>
      </c>
    </row>
    <row r="3089" spans="2:10">
      <c r="B3089" t="s">
        <v>1040</v>
      </c>
      <c r="C3089" t="s">
        <v>1041</v>
      </c>
      <c r="D3089" t="s">
        <v>264</v>
      </c>
      <c r="E3089" t="s">
        <v>323</v>
      </c>
      <c r="F3089" t="s">
        <v>214</v>
      </c>
      <c r="G3089" t="s">
        <v>229</v>
      </c>
      <c r="H3089">
        <v>297</v>
      </c>
      <c r="I3089" t="str">
        <f t="shared" si="47"/>
        <v>Commons|D|Good</v>
      </c>
      <c r="J3089" t="s">
        <v>1042</v>
      </c>
    </row>
    <row r="3090" spans="2:10">
      <c r="B3090" t="s">
        <v>1040</v>
      </c>
      <c r="C3090" t="s">
        <v>1041</v>
      </c>
      <c r="D3090" t="s">
        <v>264</v>
      </c>
      <c r="E3090" t="s">
        <v>323</v>
      </c>
      <c r="F3090" t="s">
        <v>214</v>
      </c>
      <c r="G3090" t="s">
        <v>44</v>
      </c>
      <c r="H3090">
        <v>221</v>
      </c>
      <c r="I3090" t="str">
        <f t="shared" si="47"/>
        <v>Commons|D|Average</v>
      </c>
      <c r="J3090" t="s">
        <v>1042</v>
      </c>
    </row>
    <row r="3091" spans="2:10">
      <c r="B3091" t="s">
        <v>1040</v>
      </c>
      <c r="C3091" t="s">
        <v>1041</v>
      </c>
      <c r="D3091" t="s">
        <v>264</v>
      </c>
      <c r="E3091" t="s">
        <v>323</v>
      </c>
      <c r="F3091" t="s">
        <v>214</v>
      </c>
      <c r="G3091" t="s">
        <v>226</v>
      </c>
      <c r="H3091">
        <v>169</v>
      </c>
      <c r="I3091" t="str">
        <f t="shared" si="47"/>
        <v>Commons|D|Low Cost</v>
      </c>
      <c r="J3091" t="s">
        <v>1042</v>
      </c>
    </row>
    <row r="3092" spans="2:10">
      <c r="B3092" t="s">
        <v>1040</v>
      </c>
      <c r="C3092" t="s">
        <v>1041</v>
      </c>
      <c r="D3092" t="s">
        <v>264</v>
      </c>
      <c r="E3092" t="s">
        <v>323</v>
      </c>
      <c r="F3092" t="s">
        <v>313</v>
      </c>
      <c r="G3092" t="s">
        <v>226</v>
      </c>
      <c r="H3092">
        <v>163</v>
      </c>
      <c r="I3092" t="str">
        <f t="shared" si="47"/>
        <v>Commons|DPOLE|Low Cost</v>
      </c>
      <c r="J3092" t="s">
        <v>1042</v>
      </c>
    </row>
    <row r="3093" spans="2:10">
      <c r="B3093" t="s">
        <v>1040</v>
      </c>
      <c r="C3093" t="s">
        <v>1041</v>
      </c>
      <c r="D3093" t="s">
        <v>264</v>
      </c>
      <c r="E3093" t="s">
        <v>323</v>
      </c>
      <c r="F3093" t="s">
        <v>219</v>
      </c>
      <c r="G3093" t="s">
        <v>226</v>
      </c>
      <c r="H3093">
        <v>164</v>
      </c>
      <c r="I3093" t="str">
        <f t="shared" si="47"/>
        <v>Commons|S|Low Cost</v>
      </c>
      <c r="J3093" t="s">
        <v>1042</v>
      </c>
    </row>
    <row r="3094" spans="2:10">
      <c r="B3094" t="s">
        <v>1043</v>
      </c>
      <c r="C3094" t="s">
        <v>1044</v>
      </c>
      <c r="D3094" t="s">
        <v>264</v>
      </c>
      <c r="E3094" t="s">
        <v>329</v>
      </c>
      <c r="F3094" t="s">
        <v>270</v>
      </c>
      <c r="G3094" t="s">
        <v>231</v>
      </c>
      <c r="H3094">
        <v>377</v>
      </c>
      <c r="I3094" t="str">
        <f t="shared" si="47"/>
        <v>Administration (Office) Buildings|A-B|Excellent</v>
      </c>
      <c r="J3094" t="s">
        <v>1045</v>
      </c>
    </row>
    <row r="3095" spans="2:10">
      <c r="B3095" t="s">
        <v>1043</v>
      </c>
      <c r="C3095" t="s">
        <v>1044</v>
      </c>
      <c r="D3095" t="s">
        <v>264</v>
      </c>
      <c r="E3095" t="s">
        <v>329</v>
      </c>
      <c r="F3095" t="s">
        <v>270</v>
      </c>
      <c r="G3095" t="s">
        <v>229</v>
      </c>
      <c r="H3095">
        <v>297</v>
      </c>
      <c r="I3095" t="str">
        <f t="shared" si="47"/>
        <v>Administration (Office) Buildings|A-B|Good</v>
      </c>
      <c r="J3095" t="s">
        <v>1045</v>
      </c>
    </row>
    <row r="3096" spans="2:10">
      <c r="B3096" t="s">
        <v>1043</v>
      </c>
      <c r="C3096" t="s">
        <v>1044</v>
      </c>
      <c r="D3096" t="s">
        <v>264</v>
      </c>
      <c r="E3096" t="s">
        <v>329</v>
      </c>
      <c r="F3096" t="s">
        <v>270</v>
      </c>
      <c r="G3096" t="s">
        <v>44</v>
      </c>
      <c r="H3096">
        <v>222</v>
      </c>
      <c r="I3096" t="str">
        <f t="shared" si="47"/>
        <v>Administration (Office) Buildings|A-B|Average</v>
      </c>
      <c r="J3096" t="s">
        <v>1045</v>
      </c>
    </row>
    <row r="3097" spans="2:10">
      <c r="B3097" t="s">
        <v>1043</v>
      </c>
      <c r="C3097" t="s">
        <v>1044</v>
      </c>
      <c r="D3097" t="s">
        <v>264</v>
      </c>
      <c r="E3097" t="s">
        <v>329</v>
      </c>
      <c r="F3097" t="s">
        <v>270</v>
      </c>
      <c r="G3097" t="s">
        <v>226</v>
      </c>
      <c r="H3097">
        <v>176</v>
      </c>
      <c r="I3097" t="str">
        <f t="shared" si="47"/>
        <v>Administration (Office) Buildings|A-B|Low Cost</v>
      </c>
      <c r="J3097" t="s">
        <v>1045</v>
      </c>
    </row>
    <row r="3098" spans="2:10">
      <c r="B3098" t="s">
        <v>1043</v>
      </c>
      <c r="C3098" t="s">
        <v>1044</v>
      </c>
      <c r="D3098" t="s">
        <v>264</v>
      </c>
      <c r="E3098" t="s">
        <v>329</v>
      </c>
      <c r="F3098" t="s">
        <v>209</v>
      </c>
      <c r="G3098" t="s">
        <v>231</v>
      </c>
      <c r="H3098">
        <v>328</v>
      </c>
      <c r="I3098" t="str">
        <f t="shared" si="47"/>
        <v>Administration (Office) Buildings|C|Excellent</v>
      </c>
      <c r="J3098" t="s">
        <v>1045</v>
      </c>
    </row>
    <row r="3099" spans="2:10">
      <c r="B3099" t="s">
        <v>1043</v>
      </c>
      <c r="C3099" t="s">
        <v>1044</v>
      </c>
      <c r="D3099" t="s">
        <v>264</v>
      </c>
      <c r="E3099" t="s">
        <v>329</v>
      </c>
      <c r="F3099" t="s">
        <v>209</v>
      </c>
      <c r="G3099" t="s">
        <v>229</v>
      </c>
      <c r="H3099">
        <v>234</v>
      </c>
      <c r="I3099" t="str">
        <f t="shared" si="47"/>
        <v>Administration (Office) Buildings|C|Good</v>
      </c>
      <c r="J3099" t="s">
        <v>1045</v>
      </c>
    </row>
    <row r="3100" spans="2:10">
      <c r="B3100" t="s">
        <v>1043</v>
      </c>
      <c r="C3100" t="s">
        <v>1044</v>
      </c>
      <c r="D3100" t="s">
        <v>264</v>
      </c>
      <c r="E3100" t="s">
        <v>329</v>
      </c>
      <c r="F3100" t="s">
        <v>209</v>
      </c>
      <c r="G3100" t="s">
        <v>44</v>
      </c>
      <c r="H3100">
        <v>172</v>
      </c>
      <c r="I3100" t="str">
        <f t="shared" si="47"/>
        <v>Administration (Office) Buildings|C|Average</v>
      </c>
      <c r="J3100" t="s">
        <v>1045</v>
      </c>
    </row>
    <row r="3101" spans="2:10">
      <c r="B3101" t="s">
        <v>1043</v>
      </c>
      <c r="C3101" t="s">
        <v>1044</v>
      </c>
      <c r="D3101" t="s">
        <v>264</v>
      </c>
      <c r="E3101" t="s">
        <v>329</v>
      </c>
      <c r="F3101" t="s">
        <v>209</v>
      </c>
      <c r="G3101" t="s">
        <v>226</v>
      </c>
      <c r="H3101">
        <v>125</v>
      </c>
      <c r="I3101" t="str">
        <f t="shared" si="47"/>
        <v>Administration (Office) Buildings|C|Low Cost</v>
      </c>
      <c r="J3101" t="s">
        <v>1045</v>
      </c>
    </row>
    <row r="3102" spans="2:10">
      <c r="B3102" t="s">
        <v>1043</v>
      </c>
      <c r="C3102" t="s">
        <v>1044</v>
      </c>
      <c r="D3102" t="s">
        <v>264</v>
      </c>
      <c r="E3102" t="s">
        <v>329</v>
      </c>
      <c r="F3102" t="s">
        <v>214</v>
      </c>
      <c r="G3102" t="s">
        <v>231</v>
      </c>
      <c r="H3102">
        <v>324</v>
      </c>
      <c r="I3102" t="str">
        <f t="shared" ref="I3102:I3123" si="48">B3102&amp;"|"&amp;F3102&amp;"|"&amp;G3102</f>
        <v>Administration (Office) Buildings|D|Excellent</v>
      </c>
      <c r="J3102" t="s">
        <v>1045</v>
      </c>
    </row>
    <row r="3103" spans="2:10">
      <c r="B3103" t="s">
        <v>1043</v>
      </c>
      <c r="C3103" t="s">
        <v>1044</v>
      </c>
      <c r="D3103" t="s">
        <v>264</v>
      </c>
      <c r="E3103" t="s">
        <v>329</v>
      </c>
      <c r="F3103" t="s">
        <v>214</v>
      </c>
      <c r="G3103" t="s">
        <v>229</v>
      </c>
      <c r="H3103">
        <v>229</v>
      </c>
      <c r="I3103" t="str">
        <f t="shared" si="48"/>
        <v>Administration (Office) Buildings|D|Good</v>
      </c>
      <c r="J3103" t="s">
        <v>1045</v>
      </c>
    </row>
    <row r="3104" spans="2:10">
      <c r="B3104" t="s">
        <v>1043</v>
      </c>
      <c r="C3104" t="s">
        <v>1044</v>
      </c>
      <c r="D3104" t="s">
        <v>264</v>
      </c>
      <c r="E3104" t="s">
        <v>329</v>
      </c>
      <c r="F3104" t="s">
        <v>214</v>
      </c>
      <c r="G3104" t="s">
        <v>44</v>
      </c>
      <c r="H3104">
        <v>166</v>
      </c>
      <c r="I3104" t="str">
        <f t="shared" si="48"/>
        <v>Administration (Office) Buildings|D|Average</v>
      </c>
      <c r="J3104" t="s">
        <v>1045</v>
      </c>
    </row>
    <row r="3105" spans="2:10">
      <c r="B3105" t="s">
        <v>1043</v>
      </c>
      <c r="C3105" t="s">
        <v>1044</v>
      </c>
      <c r="D3105" t="s">
        <v>264</v>
      </c>
      <c r="E3105" t="s">
        <v>329</v>
      </c>
      <c r="F3105" t="s">
        <v>214</v>
      </c>
      <c r="G3105" t="s">
        <v>226</v>
      </c>
      <c r="H3105">
        <v>120</v>
      </c>
      <c r="I3105" t="str">
        <f t="shared" si="48"/>
        <v>Administration (Office) Buildings|D|Low Cost</v>
      </c>
      <c r="J3105" t="s">
        <v>1045</v>
      </c>
    </row>
    <row r="3106" spans="2:10">
      <c r="B3106" t="s">
        <v>1043</v>
      </c>
      <c r="C3106" t="s">
        <v>1044</v>
      </c>
      <c r="D3106" t="s">
        <v>264</v>
      </c>
      <c r="E3106" t="s">
        <v>329</v>
      </c>
      <c r="F3106" t="s">
        <v>313</v>
      </c>
      <c r="G3106" t="s">
        <v>44</v>
      </c>
      <c r="H3106">
        <v>157</v>
      </c>
      <c r="I3106" t="str">
        <f t="shared" si="48"/>
        <v>Administration (Office) Buildings|DPOLE|Average</v>
      </c>
      <c r="J3106" t="s">
        <v>1045</v>
      </c>
    </row>
    <row r="3107" spans="2:10">
      <c r="B3107" t="s">
        <v>1043</v>
      </c>
      <c r="C3107" t="s">
        <v>1044</v>
      </c>
      <c r="D3107" t="s">
        <v>264</v>
      </c>
      <c r="E3107" t="s">
        <v>329</v>
      </c>
      <c r="F3107" t="s">
        <v>313</v>
      </c>
      <c r="G3107" t="s">
        <v>226</v>
      </c>
      <c r="H3107">
        <v>113</v>
      </c>
      <c r="I3107" t="str">
        <f t="shared" si="48"/>
        <v>Administration (Office) Buildings|DPOLE|Low Cost</v>
      </c>
      <c r="J3107" t="s">
        <v>1045</v>
      </c>
    </row>
    <row r="3108" spans="2:10">
      <c r="B3108" t="s">
        <v>1043</v>
      </c>
      <c r="C3108" t="s">
        <v>1044</v>
      </c>
      <c r="D3108" t="s">
        <v>264</v>
      </c>
      <c r="E3108" t="s">
        <v>329</v>
      </c>
      <c r="F3108" t="s">
        <v>219</v>
      </c>
      <c r="G3108" t="s">
        <v>229</v>
      </c>
      <c r="H3108">
        <v>218</v>
      </c>
      <c r="I3108" t="str">
        <f t="shared" si="48"/>
        <v>Administration (Office) Buildings|S|Good</v>
      </c>
      <c r="J3108" t="s">
        <v>1045</v>
      </c>
    </row>
    <row r="3109" spans="2:10">
      <c r="B3109" t="s">
        <v>1043</v>
      </c>
      <c r="C3109" t="s">
        <v>1044</v>
      </c>
      <c r="D3109" t="s">
        <v>264</v>
      </c>
      <c r="E3109" t="s">
        <v>329</v>
      </c>
      <c r="F3109" t="s">
        <v>219</v>
      </c>
      <c r="G3109" t="s">
        <v>44</v>
      </c>
      <c r="H3109">
        <v>159</v>
      </c>
      <c r="I3109" t="str">
        <f t="shared" si="48"/>
        <v>Administration (Office) Buildings|S|Average</v>
      </c>
      <c r="J3109" t="s">
        <v>1045</v>
      </c>
    </row>
    <row r="3110" spans="2:10">
      <c r="B3110" t="s">
        <v>1043</v>
      </c>
      <c r="C3110" t="s">
        <v>1044</v>
      </c>
      <c r="D3110" t="s">
        <v>264</v>
      </c>
      <c r="E3110" t="s">
        <v>329</v>
      </c>
      <c r="F3110" t="s">
        <v>219</v>
      </c>
      <c r="G3110" t="s">
        <v>226</v>
      </c>
      <c r="H3110">
        <v>115</v>
      </c>
      <c r="I3110" t="str">
        <f t="shared" si="48"/>
        <v>Administration (Office) Buildings|S|Low Cost</v>
      </c>
      <c r="J3110" t="s">
        <v>1045</v>
      </c>
    </row>
    <row r="3111" spans="2:10">
      <c r="B3111" t="s">
        <v>1046</v>
      </c>
      <c r="C3111" t="s">
        <v>1047</v>
      </c>
      <c r="D3111" t="s">
        <v>264</v>
      </c>
      <c r="E3111" t="s">
        <v>333</v>
      </c>
      <c r="F3111" t="s">
        <v>214</v>
      </c>
      <c r="G3111" t="s">
        <v>231</v>
      </c>
      <c r="H3111">
        <v>179</v>
      </c>
      <c r="I3111" t="str">
        <f t="shared" si="48"/>
        <v>Relocatable Offices|D|Excellent</v>
      </c>
      <c r="J3111" t="s">
        <v>1048</v>
      </c>
    </row>
    <row r="3112" spans="2:10">
      <c r="B3112" t="s">
        <v>1046</v>
      </c>
      <c r="C3112" t="s">
        <v>1047</v>
      </c>
      <c r="D3112" t="s">
        <v>264</v>
      </c>
      <c r="E3112" t="s">
        <v>333</v>
      </c>
      <c r="F3112" t="s">
        <v>214</v>
      </c>
      <c r="G3112" t="s">
        <v>229</v>
      </c>
      <c r="H3112">
        <v>148</v>
      </c>
      <c r="I3112" t="str">
        <f t="shared" si="48"/>
        <v>Relocatable Offices|D|Good</v>
      </c>
      <c r="J3112" t="s">
        <v>1048</v>
      </c>
    </row>
    <row r="3113" spans="2:10">
      <c r="B3113" t="s">
        <v>1046</v>
      </c>
      <c r="C3113" t="s">
        <v>1047</v>
      </c>
      <c r="D3113" t="s">
        <v>264</v>
      </c>
      <c r="E3113" t="s">
        <v>333</v>
      </c>
      <c r="F3113" t="s">
        <v>214</v>
      </c>
      <c r="G3113" t="s">
        <v>44</v>
      </c>
      <c r="H3113">
        <v>120</v>
      </c>
      <c r="I3113" t="str">
        <f t="shared" si="48"/>
        <v>Relocatable Offices|D|Average</v>
      </c>
      <c r="J3113" t="s">
        <v>1048</v>
      </c>
    </row>
    <row r="3114" spans="2:10">
      <c r="B3114" t="s">
        <v>1046</v>
      </c>
      <c r="C3114" t="s">
        <v>1047</v>
      </c>
      <c r="D3114" t="s">
        <v>264</v>
      </c>
      <c r="E3114" t="s">
        <v>333</v>
      </c>
      <c r="F3114" t="s">
        <v>214</v>
      </c>
      <c r="G3114" t="s">
        <v>226</v>
      </c>
      <c r="H3114">
        <v>103</v>
      </c>
      <c r="I3114" t="str">
        <f t="shared" si="48"/>
        <v>Relocatable Offices|D|Low Cost</v>
      </c>
      <c r="J3114" t="s">
        <v>1048</v>
      </c>
    </row>
    <row r="3115" spans="2:10">
      <c r="B3115" t="s">
        <v>1046</v>
      </c>
      <c r="C3115" t="s">
        <v>1047</v>
      </c>
      <c r="D3115" t="s">
        <v>264</v>
      </c>
      <c r="E3115" t="s">
        <v>333</v>
      </c>
      <c r="F3115" t="s">
        <v>214</v>
      </c>
      <c r="G3115" t="s">
        <v>314</v>
      </c>
      <c r="H3115">
        <v>85</v>
      </c>
      <c r="I3115" t="str">
        <f t="shared" si="48"/>
        <v>Relocatable Offices|D|Cheap</v>
      </c>
      <c r="J3115" t="s">
        <v>1048</v>
      </c>
    </row>
    <row r="3116" spans="2:10">
      <c r="B3116" t="s">
        <v>1049</v>
      </c>
      <c r="C3116" t="s">
        <v>1050</v>
      </c>
      <c r="D3116" t="s">
        <v>264</v>
      </c>
      <c r="E3116" t="s">
        <v>407</v>
      </c>
      <c r="F3116" t="s">
        <v>214</v>
      </c>
      <c r="G3116" t="s">
        <v>302</v>
      </c>
      <c r="H3116">
        <v>69.5</v>
      </c>
      <c r="I3116" t="str">
        <f t="shared" si="48"/>
        <v>Commercial (Institutional) Greenhouses|D|Fair</v>
      </c>
      <c r="J3116" t="s">
        <v>1051</v>
      </c>
    </row>
    <row r="3117" spans="2:10">
      <c r="B3117" t="s">
        <v>1049</v>
      </c>
      <c r="C3117" t="s">
        <v>1050</v>
      </c>
      <c r="D3117" t="s">
        <v>264</v>
      </c>
      <c r="E3117" t="s">
        <v>407</v>
      </c>
      <c r="F3117" t="s">
        <v>214</v>
      </c>
      <c r="G3117" t="s">
        <v>226</v>
      </c>
      <c r="H3117">
        <v>55.5</v>
      </c>
      <c r="I3117" t="str">
        <f t="shared" si="48"/>
        <v>Commercial (Institutional) Greenhouses|D|Low Cost</v>
      </c>
      <c r="J3117" t="s">
        <v>1051</v>
      </c>
    </row>
    <row r="3118" spans="2:10">
      <c r="B3118" t="s">
        <v>1049</v>
      </c>
      <c r="C3118" t="s">
        <v>1050</v>
      </c>
      <c r="D3118" t="s">
        <v>264</v>
      </c>
      <c r="E3118" t="s">
        <v>407</v>
      </c>
      <c r="F3118" t="s">
        <v>219</v>
      </c>
      <c r="G3118" t="s">
        <v>231</v>
      </c>
      <c r="H3118">
        <v>200</v>
      </c>
      <c r="I3118" t="str">
        <f t="shared" si="48"/>
        <v>Commercial (Institutional) Greenhouses|S|Excellent</v>
      </c>
      <c r="J3118" t="s">
        <v>1051</v>
      </c>
    </row>
    <row r="3119" spans="2:10">
      <c r="B3119" t="s">
        <v>1049</v>
      </c>
      <c r="C3119" t="s">
        <v>1050</v>
      </c>
      <c r="D3119" t="s">
        <v>264</v>
      </c>
      <c r="E3119" t="s">
        <v>407</v>
      </c>
      <c r="F3119" t="s">
        <v>219</v>
      </c>
      <c r="G3119" t="s">
        <v>250</v>
      </c>
      <c r="H3119">
        <v>163</v>
      </c>
      <c r="I3119" t="str">
        <f t="shared" si="48"/>
        <v>Commercial (Institutional) Greenhouses|S|Very Good</v>
      </c>
      <c r="J3119" t="s">
        <v>1051</v>
      </c>
    </row>
    <row r="3120" spans="2:10">
      <c r="B3120" t="s">
        <v>1049</v>
      </c>
      <c r="C3120" t="s">
        <v>1050</v>
      </c>
      <c r="D3120" t="s">
        <v>264</v>
      </c>
      <c r="E3120" t="s">
        <v>407</v>
      </c>
      <c r="F3120" t="s">
        <v>219</v>
      </c>
      <c r="G3120" t="s">
        <v>229</v>
      </c>
      <c r="H3120">
        <v>132</v>
      </c>
      <c r="I3120" t="str">
        <f t="shared" si="48"/>
        <v>Commercial (Institutional) Greenhouses|S|Good</v>
      </c>
      <c r="J3120" t="s">
        <v>1051</v>
      </c>
    </row>
    <row r="3121" spans="2:10">
      <c r="B3121" t="s">
        <v>1049</v>
      </c>
      <c r="C3121" t="s">
        <v>1050</v>
      </c>
      <c r="D3121" t="s">
        <v>264</v>
      </c>
      <c r="E3121" t="s">
        <v>407</v>
      </c>
      <c r="F3121" t="s">
        <v>219</v>
      </c>
      <c r="G3121" t="s">
        <v>44</v>
      </c>
      <c r="H3121">
        <v>87.5</v>
      </c>
      <c r="I3121" t="str">
        <f t="shared" si="48"/>
        <v>Commercial (Institutional) Greenhouses|S|Average</v>
      </c>
      <c r="J3121" t="s">
        <v>1051</v>
      </c>
    </row>
    <row r="3122" spans="2:10">
      <c r="B3122" t="s">
        <v>1049</v>
      </c>
      <c r="C3122" t="s">
        <v>1050</v>
      </c>
      <c r="D3122" t="s">
        <v>264</v>
      </c>
      <c r="E3122" t="s">
        <v>407</v>
      </c>
      <c r="F3122" t="s">
        <v>219</v>
      </c>
      <c r="G3122" t="s">
        <v>302</v>
      </c>
      <c r="H3122">
        <v>71</v>
      </c>
      <c r="I3122" t="str">
        <f t="shared" si="48"/>
        <v>Commercial (Institutional) Greenhouses|S|Fair</v>
      </c>
      <c r="J3122" t="s">
        <v>1051</v>
      </c>
    </row>
    <row r="3123" spans="2:10">
      <c r="B3123" t="s">
        <v>1049</v>
      </c>
      <c r="C3123" t="s">
        <v>1050</v>
      </c>
      <c r="D3123" t="s">
        <v>264</v>
      </c>
      <c r="E3123" t="s">
        <v>407</v>
      </c>
      <c r="F3123" t="s">
        <v>219</v>
      </c>
      <c r="G3123" t="s">
        <v>314</v>
      </c>
      <c r="H3123">
        <v>58</v>
      </c>
      <c r="I3123" t="str">
        <f t="shared" si="48"/>
        <v>Commercial (Institutional) Greenhouses|S|Cheap</v>
      </c>
      <c r="J3123" t="s">
        <v>1051</v>
      </c>
    </row>
    <row r="3126" spans="2:10">
      <c r="B3126" s="302" t="s">
        <v>1052</v>
      </c>
    </row>
    <row r="3127" spans="2:10">
      <c r="B3127" s="303" t="s">
        <v>234</v>
      </c>
      <c r="C3127" s="303" t="s">
        <v>235</v>
      </c>
      <c r="D3127" s="303" t="s">
        <v>236</v>
      </c>
      <c r="E3127" s="303" t="s">
        <v>237</v>
      </c>
      <c r="F3127" s="303" t="s">
        <v>1053</v>
      </c>
      <c r="G3127" s="303" t="s">
        <v>1054</v>
      </c>
      <c r="H3127" s="303" t="s">
        <v>1055</v>
      </c>
    </row>
    <row r="3128" spans="2:10">
      <c r="B3128" t="s">
        <v>241</v>
      </c>
      <c r="C3128" t="s">
        <v>242</v>
      </c>
      <c r="D3128" t="s">
        <v>243</v>
      </c>
      <c r="E3128" t="s">
        <v>244</v>
      </c>
      <c r="F3128" t="s">
        <v>243</v>
      </c>
      <c r="G3128" t="s">
        <v>243</v>
      </c>
      <c r="H3128" t="s">
        <v>209</v>
      </c>
    </row>
    <row r="3129" spans="2:10">
      <c r="B3129" t="s">
        <v>246</v>
      </c>
      <c r="C3129" t="s">
        <v>247</v>
      </c>
      <c r="D3129" t="s">
        <v>243</v>
      </c>
      <c r="E3129" t="s">
        <v>248</v>
      </c>
      <c r="F3129" t="s">
        <v>243</v>
      </c>
      <c r="G3129" t="s">
        <v>243</v>
      </c>
      <c r="H3129" t="s">
        <v>1056</v>
      </c>
    </row>
    <row r="3130" spans="2:10">
      <c r="B3130" t="s">
        <v>251</v>
      </c>
      <c r="C3130" t="s">
        <v>252</v>
      </c>
      <c r="D3130" t="s">
        <v>243</v>
      </c>
      <c r="E3130" t="s">
        <v>253</v>
      </c>
      <c r="F3130" t="s">
        <v>243</v>
      </c>
      <c r="G3130" t="s">
        <v>243</v>
      </c>
      <c r="H3130" t="s">
        <v>209</v>
      </c>
    </row>
    <row r="3131" spans="2:10">
      <c r="B3131" t="s">
        <v>256</v>
      </c>
      <c r="C3131" t="s">
        <v>257</v>
      </c>
      <c r="D3131" t="s">
        <v>243</v>
      </c>
      <c r="E3131" t="s">
        <v>258</v>
      </c>
      <c r="F3131" t="s">
        <v>243</v>
      </c>
      <c r="G3131" t="s">
        <v>243</v>
      </c>
      <c r="H3131" t="s">
        <v>209</v>
      </c>
    </row>
    <row r="3132" spans="2:10">
      <c r="B3132" t="s">
        <v>262</v>
      </c>
      <c r="C3132" t="s">
        <v>263</v>
      </c>
      <c r="D3132" t="s">
        <v>243</v>
      </c>
      <c r="E3132" t="s">
        <v>264</v>
      </c>
      <c r="F3132" t="s">
        <v>243</v>
      </c>
      <c r="G3132" t="s">
        <v>243</v>
      </c>
      <c r="H3132" t="s">
        <v>209</v>
      </c>
    </row>
    <row r="3133" spans="2:10">
      <c r="B3133" t="s">
        <v>267</v>
      </c>
      <c r="C3133" t="s">
        <v>268</v>
      </c>
      <c r="D3133" t="s">
        <v>243</v>
      </c>
      <c r="E3133" t="s">
        <v>269</v>
      </c>
      <c r="F3133" t="s">
        <v>243</v>
      </c>
      <c r="G3133" t="s">
        <v>243</v>
      </c>
      <c r="H3133" t="s">
        <v>1056</v>
      </c>
    </row>
    <row r="3134" spans="2:10">
      <c r="B3134" t="s">
        <v>272</v>
      </c>
      <c r="C3134" t="s">
        <v>273</v>
      </c>
      <c r="D3134" t="s">
        <v>243</v>
      </c>
      <c r="E3134" t="s">
        <v>274</v>
      </c>
      <c r="F3134" t="s">
        <v>243</v>
      </c>
      <c r="G3134" t="s">
        <v>243</v>
      </c>
      <c r="H3134" t="s">
        <v>209</v>
      </c>
    </row>
    <row r="3135" spans="2:10">
      <c r="B3135" t="s">
        <v>278</v>
      </c>
      <c r="C3135" t="s">
        <v>279</v>
      </c>
      <c r="D3135" t="s">
        <v>243</v>
      </c>
      <c r="E3135" t="s">
        <v>280</v>
      </c>
      <c r="F3135" t="s">
        <v>243</v>
      </c>
      <c r="G3135" t="s">
        <v>243</v>
      </c>
      <c r="H3135" t="s">
        <v>209</v>
      </c>
    </row>
    <row r="3136" spans="2:10">
      <c r="B3136" t="s">
        <v>282</v>
      </c>
      <c r="C3136" t="s">
        <v>283</v>
      </c>
      <c r="D3136" t="s">
        <v>243</v>
      </c>
      <c r="E3136" t="s">
        <v>284</v>
      </c>
      <c r="F3136" t="s">
        <v>243</v>
      </c>
      <c r="G3136" t="s">
        <v>243</v>
      </c>
      <c r="H3136" t="s">
        <v>209</v>
      </c>
    </row>
    <row r="3137" spans="2:8">
      <c r="B3137" t="s">
        <v>288</v>
      </c>
      <c r="C3137" t="s">
        <v>289</v>
      </c>
      <c r="D3137" t="s">
        <v>243</v>
      </c>
      <c r="E3137" t="s">
        <v>290</v>
      </c>
      <c r="F3137" t="s">
        <v>243</v>
      </c>
      <c r="G3137" t="s">
        <v>243</v>
      </c>
      <c r="H3137" t="s">
        <v>209</v>
      </c>
    </row>
    <row r="3138" spans="2:8">
      <c r="B3138" t="s">
        <v>292</v>
      </c>
      <c r="C3138" t="s">
        <v>293</v>
      </c>
      <c r="D3138" t="s">
        <v>243</v>
      </c>
      <c r="E3138" t="s">
        <v>294</v>
      </c>
      <c r="F3138" t="s">
        <v>243</v>
      </c>
      <c r="G3138" t="s">
        <v>243</v>
      </c>
      <c r="H3138" t="s">
        <v>209</v>
      </c>
    </row>
    <row r="3139" spans="2:8">
      <c r="B3139" t="s">
        <v>298</v>
      </c>
      <c r="C3139" t="s">
        <v>299</v>
      </c>
      <c r="D3139" t="s">
        <v>243</v>
      </c>
      <c r="E3139" t="s">
        <v>300</v>
      </c>
      <c r="F3139" t="s">
        <v>243</v>
      </c>
      <c r="G3139" t="s">
        <v>243</v>
      </c>
      <c r="H3139" t="s">
        <v>1056</v>
      </c>
    </row>
    <row r="3140" spans="2:8">
      <c r="B3140" t="s">
        <v>303</v>
      </c>
      <c r="C3140" t="s">
        <v>304</v>
      </c>
      <c r="D3140" t="s">
        <v>243</v>
      </c>
      <c r="E3140" t="s">
        <v>300</v>
      </c>
      <c r="F3140" t="s">
        <v>243</v>
      </c>
      <c r="G3140" t="s">
        <v>243</v>
      </c>
      <c r="H3140" t="s">
        <v>1056</v>
      </c>
    </row>
    <row r="3141" spans="2:8">
      <c r="B3141" t="s">
        <v>305</v>
      </c>
      <c r="C3141" t="s">
        <v>306</v>
      </c>
      <c r="D3141" t="s">
        <v>243</v>
      </c>
      <c r="E3141" t="s">
        <v>300</v>
      </c>
      <c r="F3141" t="s">
        <v>243</v>
      </c>
      <c r="G3141" t="s">
        <v>243</v>
      </c>
      <c r="H3141" t="s">
        <v>1056</v>
      </c>
    </row>
    <row r="3142" spans="2:8">
      <c r="B3142" t="s">
        <v>307</v>
      </c>
      <c r="C3142" t="s">
        <v>308</v>
      </c>
      <c r="D3142" t="s">
        <v>243</v>
      </c>
      <c r="E3142" t="s">
        <v>309</v>
      </c>
      <c r="F3142" t="s">
        <v>243</v>
      </c>
      <c r="G3142" t="s">
        <v>243</v>
      </c>
      <c r="H3142" t="s">
        <v>1056</v>
      </c>
    </row>
    <row r="3143" spans="2:8">
      <c r="B3143" t="s">
        <v>311</v>
      </c>
      <c r="C3143" t="s">
        <v>312</v>
      </c>
      <c r="D3143" t="s">
        <v>243</v>
      </c>
      <c r="E3143" t="s">
        <v>309</v>
      </c>
      <c r="F3143" t="s">
        <v>243</v>
      </c>
      <c r="G3143" t="s">
        <v>243</v>
      </c>
      <c r="H3143" t="s">
        <v>1056</v>
      </c>
    </row>
    <row r="3144" spans="2:8">
      <c r="B3144" t="s">
        <v>315</v>
      </c>
      <c r="C3144" t="s">
        <v>316</v>
      </c>
      <c r="D3144" t="s">
        <v>243</v>
      </c>
      <c r="E3144" t="s">
        <v>317</v>
      </c>
      <c r="F3144" t="s">
        <v>243</v>
      </c>
      <c r="G3144" t="s">
        <v>243</v>
      </c>
      <c r="H3144" t="s">
        <v>1056</v>
      </c>
    </row>
    <row r="3145" spans="2:8">
      <c r="B3145" t="s">
        <v>319</v>
      </c>
      <c r="C3145" t="s">
        <v>320</v>
      </c>
      <c r="D3145" t="s">
        <v>243</v>
      </c>
      <c r="E3145" t="s">
        <v>317</v>
      </c>
      <c r="F3145" t="s">
        <v>243</v>
      </c>
      <c r="G3145" t="s">
        <v>243</v>
      </c>
      <c r="H3145" t="s">
        <v>1056</v>
      </c>
    </row>
    <row r="3146" spans="2:8">
      <c r="B3146" t="s">
        <v>321</v>
      </c>
      <c r="C3146" t="s">
        <v>322</v>
      </c>
      <c r="D3146" t="s">
        <v>243</v>
      </c>
      <c r="E3146" t="s">
        <v>323</v>
      </c>
      <c r="F3146" t="s">
        <v>243</v>
      </c>
      <c r="G3146" t="s">
        <v>243</v>
      </c>
      <c r="H3146" t="s">
        <v>1056</v>
      </c>
    </row>
    <row r="3147" spans="2:8">
      <c r="B3147" t="s">
        <v>325</v>
      </c>
      <c r="C3147" t="s">
        <v>326</v>
      </c>
      <c r="D3147" t="s">
        <v>243</v>
      </c>
      <c r="E3147" t="s">
        <v>323</v>
      </c>
      <c r="F3147" t="s">
        <v>243</v>
      </c>
      <c r="G3147" t="s">
        <v>243</v>
      </c>
      <c r="H3147" t="s">
        <v>1056</v>
      </c>
    </row>
    <row r="3148" spans="2:8">
      <c r="B3148" t="s">
        <v>327</v>
      </c>
      <c r="C3148" t="s">
        <v>328</v>
      </c>
      <c r="D3148" t="s">
        <v>243</v>
      </c>
      <c r="E3148" t="s">
        <v>329</v>
      </c>
      <c r="F3148" t="s">
        <v>243</v>
      </c>
      <c r="G3148" t="s">
        <v>243</v>
      </c>
      <c r="H3148" t="s">
        <v>1056</v>
      </c>
    </row>
    <row r="3149" spans="2:8">
      <c r="B3149" t="s">
        <v>331</v>
      </c>
      <c r="C3149" t="s">
        <v>332</v>
      </c>
      <c r="D3149" t="s">
        <v>243</v>
      </c>
      <c r="E3149" t="s">
        <v>333</v>
      </c>
      <c r="F3149" t="s">
        <v>243</v>
      </c>
      <c r="G3149" t="s">
        <v>243</v>
      </c>
      <c r="H3149" t="s">
        <v>1056</v>
      </c>
    </row>
    <row r="3150" spans="2:8">
      <c r="B3150" t="s">
        <v>335</v>
      </c>
      <c r="C3150" t="s">
        <v>336</v>
      </c>
      <c r="D3150" t="s">
        <v>337</v>
      </c>
      <c r="E3150" t="s">
        <v>338</v>
      </c>
      <c r="F3150" t="s">
        <v>1057</v>
      </c>
      <c r="G3150" t="s">
        <v>337</v>
      </c>
      <c r="H3150" t="s">
        <v>209</v>
      </c>
    </row>
    <row r="3151" spans="2:8">
      <c r="B3151" t="s">
        <v>340</v>
      </c>
      <c r="C3151" t="s">
        <v>341</v>
      </c>
      <c r="D3151" t="s">
        <v>337</v>
      </c>
      <c r="E3151" t="s">
        <v>342</v>
      </c>
      <c r="F3151" t="s">
        <v>1057</v>
      </c>
      <c r="G3151" t="s">
        <v>337</v>
      </c>
      <c r="H3151" t="s">
        <v>209</v>
      </c>
    </row>
    <row r="3152" spans="2:8">
      <c r="B3152" t="s">
        <v>344</v>
      </c>
      <c r="C3152" t="s">
        <v>345</v>
      </c>
      <c r="D3152" t="s">
        <v>337</v>
      </c>
      <c r="E3152" t="s">
        <v>243</v>
      </c>
      <c r="F3152" t="s">
        <v>1057</v>
      </c>
      <c r="G3152" t="s">
        <v>337</v>
      </c>
      <c r="H3152" t="s">
        <v>209</v>
      </c>
    </row>
    <row r="3153" spans="2:8">
      <c r="B3153" t="s">
        <v>347</v>
      </c>
      <c r="C3153" t="s">
        <v>348</v>
      </c>
      <c r="D3153" t="s">
        <v>337</v>
      </c>
      <c r="E3153" t="s">
        <v>337</v>
      </c>
      <c r="F3153" t="s">
        <v>1057</v>
      </c>
      <c r="G3153" t="s">
        <v>337</v>
      </c>
      <c r="H3153" t="s">
        <v>209</v>
      </c>
    </row>
    <row r="3154" spans="2:8">
      <c r="B3154" t="s">
        <v>350</v>
      </c>
      <c r="C3154" t="s">
        <v>351</v>
      </c>
      <c r="D3154" t="s">
        <v>337</v>
      </c>
      <c r="E3154" t="s">
        <v>244</v>
      </c>
      <c r="F3154" t="s">
        <v>1057</v>
      </c>
      <c r="G3154" t="s">
        <v>337</v>
      </c>
      <c r="H3154" t="s">
        <v>1056</v>
      </c>
    </row>
    <row r="3155" spans="2:8">
      <c r="B3155" t="s">
        <v>353</v>
      </c>
      <c r="C3155" t="s">
        <v>354</v>
      </c>
      <c r="D3155" t="s">
        <v>337</v>
      </c>
      <c r="E3155" t="s">
        <v>244</v>
      </c>
      <c r="F3155" t="s">
        <v>1057</v>
      </c>
      <c r="G3155" t="s">
        <v>337</v>
      </c>
      <c r="H3155" t="s">
        <v>209</v>
      </c>
    </row>
    <row r="3156" spans="2:8">
      <c r="B3156" t="s">
        <v>355</v>
      </c>
      <c r="C3156" t="s">
        <v>356</v>
      </c>
      <c r="D3156" t="s">
        <v>337</v>
      </c>
      <c r="E3156" t="s">
        <v>248</v>
      </c>
      <c r="F3156" t="s">
        <v>1057</v>
      </c>
      <c r="G3156" t="s">
        <v>337</v>
      </c>
      <c r="H3156" t="s">
        <v>209</v>
      </c>
    </row>
    <row r="3157" spans="2:8">
      <c r="B3157" t="s">
        <v>358</v>
      </c>
      <c r="C3157" t="s">
        <v>359</v>
      </c>
      <c r="D3157" t="s">
        <v>337</v>
      </c>
      <c r="E3157" t="s">
        <v>253</v>
      </c>
      <c r="F3157" t="s">
        <v>1057</v>
      </c>
      <c r="G3157" t="s">
        <v>337</v>
      </c>
      <c r="H3157" t="s">
        <v>1056</v>
      </c>
    </row>
    <row r="3158" spans="2:8">
      <c r="B3158" t="s">
        <v>362</v>
      </c>
      <c r="C3158" t="s">
        <v>363</v>
      </c>
      <c r="D3158" t="s">
        <v>337</v>
      </c>
      <c r="E3158" t="s">
        <v>253</v>
      </c>
      <c r="F3158" t="s">
        <v>1057</v>
      </c>
      <c r="G3158" t="s">
        <v>337</v>
      </c>
      <c r="H3158" t="s">
        <v>1056</v>
      </c>
    </row>
    <row r="3159" spans="2:8">
      <c r="B3159" t="s">
        <v>364</v>
      </c>
      <c r="C3159" t="s">
        <v>365</v>
      </c>
      <c r="D3159" t="s">
        <v>337</v>
      </c>
      <c r="E3159" t="s">
        <v>258</v>
      </c>
      <c r="F3159" t="s">
        <v>1057</v>
      </c>
      <c r="G3159" t="s">
        <v>337</v>
      </c>
      <c r="H3159" t="s">
        <v>209</v>
      </c>
    </row>
    <row r="3160" spans="2:8">
      <c r="B3160" t="s">
        <v>367</v>
      </c>
      <c r="C3160" t="s">
        <v>368</v>
      </c>
      <c r="D3160" t="s">
        <v>337</v>
      </c>
      <c r="E3160" t="s">
        <v>260</v>
      </c>
      <c r="F3160" t="s">
        <v>1057</v>
      </c>
      <c r="G3160" t="s">
        <v>337</v>
      </c>
      <c r="H3160" t="s">
        <v>209</v>
      </c>
    </row>
    <row r="3161" spans="2:8">
      <c r="B3161" t="s">
        <v>370</v>
      </c>
      <c r="C3161" t="s">
        <v>371</v>
      </c>
      <c r="D3161" t="s">
        <v>337</v>
      </c>
      <c r="E3161" t="s">
        <v>264</v>
      </c>
      <c r="F3161" t="s">
        <v>1057</v>
      </c>
      <c r="G3161" t="s">
        <v>337</v>
      </c>
      <c r="H3161" t="s">
        <v>209</v>
      </c>
    </row>
    <row r="3162" spans="2:8">
      <c r="B3162" t="s">
        <v>373</v>
      </c>
      <c r="C3162" t="s">
        <v>374</v>
      </c>
      <c r="D3162" t="s">
        <v>337</v>
      </c>
      <c r="E3162" t="s">
        <v>269</v>
      </c>
      <c r="F3162" t="s">
        <v>1057</v>
      </c>
      <c r="G3162" t="s">
        <v>337</v>
      </c>
      <c r="H3162" t="s">
        <v>209</v>
      </c>
    </row>
    <row r="3163" spans="2:8">
      <c r="B3163" t="s">
        <v>376</v>
      </c>
      <c r="C3163" t="s">
        <v>377</v>
      </c>
      <c r="D3163" t="s">
        <v>337</v>
      </c>
      <c r="E3163" t="s">
        <v>274</v>
      </c>
      <c r="F3163" t="s">
        <v>1057</v>
      </c>
      <c r="G3163" t="s">
        <v>337</v>
      </c>
      <c r="H3163" t="s">
        <v>209</v>
      </c>
    </row>
    <row r="3164" spans="2:8">
      <c r="B3164" t="s">
        <v>379</v>
      </c>
      <c r="C3164" t="s">
        <v>380</v>
      </c>
      <c r="D3164" t="s">
        <v>337</v>
      </c>
      <c r="E3164" t="s">
        <v>276</v>
      </c>
      <c r="F3164" t="s">
        <v>1057</v>
      </c>
      <c r="G3164" t="s">
        <v>337</v>
      </c>
      <c r="H3164" t="s">
        <v>209</v>
      </c>
    </row>
    <row r="3165" spans="2:8">
      <c r="B3165" t="s">
        <v>382</v>
      </c>
      <c r="C3165" t="s">
        <v>383</v>
      </c>
      <c r="D3165" t="s">
        <v>337</v>
      </c>
      <c r="E3165" t="s">
        <v>280</v>
      </c>
      <c r="F3165" t="s">
        <v>1057</v>
      </c>
      <c r="G3165" t="s">
        <v>337</v>
      </c>
      <c r="H3165" t="s">
        <v>209</v>
      </c>
    </row>
    <row r="3166" spans="2:8">
      <c r="B3166" t="s">
        <v>385</v>
      </c>
      <c r="C3166" t="s">
        <v>386</v>
      </c>
      <c r="D3166" t="s">
        <v>337</v>
      </c>
      <c r="E3166" t="s">
        <v>284</v>
      </c>
      <c r="F3166" t="s">
        <v>1057</v>
      </c>
      <c r="G3166" t="s">
        <v>337</v>
      </c>
      <c r="H3166" t="s">
        <v>209</v>
      </c>
    </row>
    <row r="3167" spans="2:8">
      <c r="B3167" t="s">
        <v>388</v>
      </c>
      <c r="C3167" t="s">
        <v>389</v>
      </c>
      <c r="D3167" t="s">
        <v>337</v>
      </c>
      <c r="E3167" t="s">
        <v>290</v>
      </c>
      <c r="F3167" t="s">
        <v>1057</v>
      </c>
      <c r="G3167" t="s">
        <v>337</v>
      </c>
      <c r="H3167" t="s">
        <v>1056</v>
      </c>
    </row>
    <row r="3168" spans="2:8">
      <c r="B3168" t="s">
        <v>391</v>
      </c>
      <c r="D3168" t="s">
        <v>337</v>
      </c>
      <c r="E3168" t="s">
        <v>309</v>
      </c>
      <c r="F3168" t="s">
        <v>1057</v>
      </c>
      <c r="G3168" t="s">
        <v>337</v>
      </c>
      <c r="H3168" t="s">
        <v>1056</v>
      </c>
    </row>
    <row r="3169" spans="2:8">
      <c r="B3169" t="s">
        <v>393</v>
      </c>
      <c r="C3169" t="s">
        <v>394</v>
      </c>
      <c r="D3169" t="s">
        <v>337</v>
      </c>
      <c r="E3169" t="s">
        <v>317</v>
      </c>
      <c r="F3169" t="s">
        <v>1057</v>
      </c>
      <c r="G3169" t="s">
        <v>337</v>
      </c>
      <c r="H3169" t="s">
        <v>1056</v>
      </c>
    </row>
    <row r="3170" spans="2:8">
      <c r="B3170" t="s">
        <v>396</v>
      </c>
      <c r="C3170" t="s">
        <v>397</v>
      </c>
      <c r="D3170" t="s">
        <v>337</v>
      </c>
      <c r="E3170" t="s">
        <v>323</v>
      </c>
      <c r="F3170" t="s">
        <v>1057</v>
      </c>
      <c r="G3170" t="s">
        <v>337</v>
      </c>
      <c r="H3170" t="s">
        <v>1056</v>
      </c>
    </row>
    <row r="3171" spans="2:8">
      <c r="B3171" t="s">
        <v>399</v>
      </c>
      <c r="C3171" t="s">
        <v>400</v>
      </c>
      <c r="D3171" t="s">
        <v>337</v>
      </c>
      <c r="E3171" t="s">
        <v>329</v>
      </c>
      <c r="F3171" t="s">
        <v>1057</v>
      </c>
      <c r="G3171" t="s">
        <v>337</v>
      </c>
      <c r="H3171" t="s">
        <v>1056</v>
      </c>
    </row>
    <row r="3172" spans="2:8">
      <c r="B3172" t="s">
        <v>402</v>
      </c>
      <c r="C3172" t="s">
        <v>403</v>
      </c>
      <c r="D3172" t="s">
        <v>337</v>
      </c>
      <c r="E3172" t="s">
        <v>333</v>
      </c>
      <c r="F3172" t="s">
        <v>1057</v>
      </c>
      <c r="G3172" t="s">
        <v>337</v>
      </c>
      <c r="H3172" t="s">
        <v>1056</v>
      </c>
    </row>
    <row r="3173" spans="2:8">
      <c r="B3173" t="s">
        <v>405</v>
      </c>
      <c r="C3173" t="s">
        <v>406</v>
      </c>
      <c r="D3173" t="s">
        <v>337</v>
      </c>
      <c r="E3173" t="s">
        <v>407</v>
      </c>
      <c r="F3173" t="s">
        <v>1057</v>
      </c>
      <c r="G3173" t="s">
        <v>337</v>
      </c>
      <c r="H3173" t="s">
        <v>1056</v>
      </c>
    </row>
    <row r="3174" spans="2:8">
      <c r="B3174" t="s">
        <v>409</v>
      </c>
      <c r="C3174" t="s">
        <v>410</v>
      </c>
      <c r="D3174" t="s">
        <v>244</v>
      </c>
      <c r="E3174" t="s">
        <v>244</v>
      </c>
      <c r="F3174" t="s">
        <v>244</v>
      </c>
      <c r="G3174" t="s">
        <v>244</v>
      </c>
      <c r="H3174" t="s">
        <v>209</v>
      </c>
    </row>
    <row r="3175" spans="2:8">
      <c r="B3175" t="s">
        <v>412</v>
      </c>
      <c r="C3175" t="s">
        <v>413</v>
      </c>
      <c r="D3175" t="s">
        <v>244</v>
      </c>
      <c r="E3175" t="s">
        <v>244</v>
      </c>
      <c r="F3175" t="s">
        <v>244</v>
      </c>
      <c r="G3175" t="s">
        <v>244</v>
      </c>
      <c r="H3175" t="s">
        <v>209</v>
      </c>
    </row>
    <row r="3176" spans="2:8">
      <c r="B3176" t="s">
        <v>414</v>
      </c>
      <c r="C3176" t="s">
        <v>415</v>
      </c>
      <c r="D3176" t="s">
        <v>244</v>
      </c>
      <c r="E3176" t="s">
        <v>248</v>
      </c>
      <c r="F3176" t="s">
        <v>244</v>
      </c>
      <c r="G3176" t="s">
        <v>244</v>
      </c>
      <c r="H3176" t="s">
        <v>209</v>
      </c>
    </row>
    <row r="3177" spans="2:8">
      <c r="B3177" t="s">
        <v>417</v>
      </c>
      <c r="C3177" t="s">
        <v>418</v>
      </c>
      <c r="D3177" t="s">
        <v>244</v>
      </c>
      <c r="E3177" t="s">
        <v>253</v>
      </c>
      <c r="F3177" t="s">
        <v>244</v>
      </c>
      <c r="G3177" t="s">
        <v>244</v>
      </c>
      <c r="H3177" t="s">
        <v>209</v>
      </c>
    </row>
    <row r="3178" spans="2:8">
      <c r="B3178" t="s">
        <v>420</v>
      </c>
      <c r="C3178" t="s">
        <v>421</v>
      </c>
      <c r="D3178" t="s">
        <v>244</v>
      </c>
      <c r="E3178" t="s">
        <v>258</v>
      </c>
      <c r="F3178" t="s">
        <v>244</v>
      </c>
      <c r="G3178" t="s">
        <v>244</v>
      </c>
      <c r="H3178" t="s">
        <v>209</v>
      </c>
    </row>
    <row r="3179" spans="2:8">
      <c r="B3179" t="s">
        <v>423</v>
      </c>
      <c r="C3179" t="s">
        <v>424</v>
      </c>
      <c r="D3179" t="s">
        <v>244</v>
      </c>
      <c r="E3179" t="s">
        <v>258</v>
      </c>
      <c r="F3179" t="s">
        <v>244</v>
      </c>
      <c r="G3179" t="s">
        <v>244</v>
      </c>
      <c r="H3179" t="s">
        <v>209</v>
      </c>
    </row>
    <row r="3180" spans="2:8">
      <c r="B3180" t="s">
        <v>425</v>
      </c>
      <c r="C3180" t="s">
        <v>426</v>
      </c>
      <c r="D3180" t="s">
        <v>244</v>
      </c>
      <c r="E3180" t="s">
        <v>260</v>
      </c>
      <c r="F3180" t="s">
        <v>244</v>
      </c>
      <c r="G3180" t="s">
        <v>244</v>
      </c>
      <c r="H3180" t="s">
        <v>209</v>
      </c>
    </row>
    <row r="3181" spans="2:8">
      <c r="B3181" t="s">
        <v>428</v>
      </c>
      <c r="C3181" t="s">
        <v>429</v>
      </c>
      <c r="D3181" t="s">
        <v>244</v>
      </c>
      <c r="E3181" t="s">
        <v>264</v>
      </c>
      <c r="F3181" t="s">
        <v>244</v>
      </c>
      <c r="G3181" t="s">
        <v>244</v>
      </c>
      <c r="H3181" t="s">
        <v>209</v>
      </c>
    </row>
    <row r="3182" spans="2:8">
      <c r="B3182" t="s">
        <v>431</v>
      </c>
      <c r="C3182" t="s">
        <v>432</v>
      </c>
      <c r="D3182" t="s">
        <v>244</v>
      </c>
      <c r="E3182" t="s">
        <v>269</v>
      </c>
      <c r="F3182" t="s">
        <v>244</v>
      </c>
      <c r="G3182" t="s">
        <v>244</v>
      </c>
      <c r="H3182" t="s">
        <v>209</v>
      </c>
    </row>
    <row r="3183" spans="2:8">
      <c r="B3183" t="s">
        <v>434</v>
      </c>
      <c r="C3183" t="s">
        <v>435</v>
      </c>
      <c r="D3183" t="s">
        <v>244</v>
      </c>
      <c r="E3183" t="s">
        <v>269</v>
      </c>
      <c r="F3183" t="s">
        <v>244</v>
      </c>
      <c r="G3183" t="s">
        <v>244</v>
      </c>
      <c r="H3183" t="s">
        <v>209</v>
      </c>
    </row>
    <row r="3184" spans="2:8">
      <c r="B3184" t="s">
        <v>436</v>
      </c>
      <c r="C3184" t="s">
        <v>437</v>
      </c>
      <c r="D3184" t="s">
        <v>244</v>
      </c>
      <c r="E3184" t="s">
        <v>274</v>
      </c>
      <c r="F3184" t="s">
        <v>244</v>
      </c>
      <c r="G3184" t="s">
        <v>244</v>
      </c>
      <c r="H3184" t="s">
        <v>209</v>
      </c>
    </row>
    <row r="3185" spans="2:8">
      <c r="B3185" t="s">
        <v>439</v>
      </c>
      <c r="C3185" t="s">
        <v>440</v>
      </c>
      <c r="D3185" t="s">
        <v>244</v>
      </c>
      <c r="E3185" t="s">
        <v>274</v>
      </c>
      <c r="F3185" t="s">
        <v>244</v>
      </c>
      <c r="G3185" t="s">
        <v>244</v>
      </c>
      <c r="H3185" t="s">
        <v>209</v>
      </c>
    </row>
    <row r="3186" spans="2:8">
      <c r="B3186" t="s">
        <v>441</v>
      </c>
      <c r="C3186" t="s">
        <v>442</v>
      </c>
      <c r="D3186" t="s">
        <v>244</v>
      </c>
      <c r="E3186" t="s">
        <v>276</v>
      </c>
      <c r="F3186" t="s">
        <v>244</v>
      </c>
      <c r="G3186" t="s">
        <v>244</v>
      </c>
      <c r="H3186" t="s">
        <v>209</v>
      </c>
    </row>
    <row r="3187" spans="2:8">
      <c r="B3187" t="s">
        <v>444</v>
      </c>
      <c r="C3187" t="s">
        <v>445</v>
      </c>
      <c r="D3187" t="s">
        <v>244</v>
      </c>
      <c r="E3187" t="s">
        <v>276</v>
      </c>
      <c r="F3187" t="s">
        <v>244</v>
      </c>
      <c r="G3187" t="s">
        <v>244</v>
      </c>
      <c r="H3187" t="s">
        <v>209</v>
      </c>
    </row>
    <row r="3188" spans="2:8">
      <c r="B3188" t="s">
        <v>446</v>
      </c>
      <c r="C3188" t="s">
        <v>447</v>
      </c>
      <c r="D3188" t="s">
        <v>244</v>
      </c>
      <c r="E3188" t="s">
        <v>280</v>
      </c>
      <c r="F3188" t="s">
        <v>244</v>
      </c>
      <c r="G3188" t="s">
        <v>244</v>
      </c>
      <c r="H3188" t="s">
        <v>209</v>
      </c>
    </row>
    <row r="3189" spans="2:8">
      <c r="B3189" t="s">
        <v>449</v>
      </c>
      <c r="C3189" t="s">
        <v>450</v>
      </c>
      <c r="D3189" t="s">
        <v>244</v>
      </c>
      <c r="E3189" t="s">
        <v>280</v>
      </c>
      <c r="F3189" t="s">
        <v>244</v>
      </c>
      <c r="G3189" t="s">
        <v>244</v>
      </c>
      <c r="H3189" t="s">
        <v>209</v>
      </c>
    </row>
    <row r="3190" spans="2:8">
      <c r="B3190" t="s">
        <v>451</v>
      </c>
      <c r="C3190" t="s">
        <v>452</v>
      </c>
      <c r="D3190" t="s">
        <v>244</v>
      </c>
      <c r="E3190" t="s">
        <v>284</v>
      </c>
      <c r="F3190" t="s">
        <v>244</v>
      </c>
      <c r="G3190" t="s">
        <v>244</v>
      </c>
      <c r="H3190" t="s">
        <v>209</v>
      </c>
    </row>
    <row r="3191" spans="2:8">
      <c r="B3191" t="s">
        <v>454</v>
      </c>
      <c r="C3191" t="s">
        <v>455</v>
      </c>
      <c r="D3191" t="s">
        <v>244</v>
      </c>
      <c r="E3191" t="s">
        <v>286</v>
      </c>
      <c r="F3191" t="s">
        <v>244</v>
      </c>
      <c r="G3191" t="s">
        <v>244</v>
      </c>
      <c r="H3191" t="s">
        <v>209</v>
      </c>
    </row>
    <row r="3192" spans="2:8">
      <c r="B3192" t="s">
        <v>457</v>
      </c>
      <c r="C3192" t="s">
        <v>458</v>
      </c>
      <c r="D3192" t="s">
        <v>244</v>
      </c>
      <c r="E3192" t="s">
        <v>286</v>
      </c>
      <c r="F3192" t="s">
        <v>244</v>
      </c>
      <c r="G3192" t="s">
        <v>244</v>
      </c>
      <c r="H3192" t="s">
        <v>209</v>
      </c>
    </row>
    <row r="3193" spans="2:8">
      <c r="B3193" t="s">
        <v>459</v>
      </c>
      <c r="C3193" t="s">
        <v>460</v>
      </c>
      <c r="D3193" t="s">
        <v>244</v>
      </c>
      <c r="E3193" t="s">
        <v>290</v>
      </c>
      <c r="F3193" t="s">
        <v>244</v>
      </c>
      <c r="G3193" t="s">
        <v>244</v>
      </c>
      <c r="H3193" t="s">
        <v>209</v>
      </c>
    </row>
    <row r="3194" spans="2:8">
      <c r="B3194" t="s">
        <v>462</v>
      </c>
      <c r="C3194" t="s">
        <v>463</v>
      </c>
      <c r="D3194" t="s">
        <v>244</v>
      </c>
      <c r="E3194" t="s">
        <v>290</v>
      </c>
      <c r="F3194" t="s">
        <v>244</v>
      </c>
      <c r="G3194" t="s">
        <v>244</v>
      </c>
      <c r="H3194" t="s">
        <v>209</v>
      </c>
    </row>
    <row r="3195" spans="2:8">
      <c r="B3195" t="s">
        <v>464</v>
      </c>
      <c r="C3195" t="s">
        <v>465</v>
      </c>
      <c r="D3195" t="s">
        <v>244</v>
      </c>
      <c r="E3195" t="s">
        <v>290</v>
      </c>
      <c r="F3195" t="s">
        <v>244</v>
      </c>
      <c r="G3195" t="s">
        <v>244</v>
      </c>
      <c r="H3195" t="s">
        <v>209</v>
      </c>
    </row>
    <row r="3196" spans="2:8">
      <c r="B3196" t="s">
        <v>466</v>
      </c>
      <c r="C3196" t="s">
        <v>467</v>
      </c>
      <c r="D3196" t="s">
        <v>244</v>
      </c>
      <c r="E3196" t="s">
        <v>290</v>
      </c>
      <c r="F3196" t="s">
        <v>244</v>
      </c>
      <c r="G3196" t="s">
        <v>244</v>
      </c>
      <c r="H3196" t="s">
        <v>209</v>
      </c>
    </row>
    <row r="3197" spans="2:8">
      <c r="B3197" t="s">
        <v>468</v>
      </c>
      <c r="C3197" t="s">
        <v>469</v>
      </c>
      <c r="D3197" t="s">
        <v>244</v>
      </c>
      <c r="E3197" t="s">
        <v>294</v>
      </c>
      <c r="F3197" t="s">
        <v>244</v>
      </c>
      <c r="G3197" t="s">
        <v>244</v>
      </c>
      <c r="H3197" t="s">
        <v>209</v>
      </c>
    </row>
    <row r="3198" spans="2:8">
      <c r="B3198" t="s">
        <v>471</v>
      </c>
      <c r="C3198" t="s">
        <v>472</v>
      </c>
      <c r="D3198" t="s">
        <v>244</v>
      </c>
      <c r="E3198" t="s">
        <v>296</v>
      </c>
      <c r="F3198" t="s">
        <v>244</v>
      </c>
      <c r="G3198" t="s">
        <v>244</v>
      </c>
      <c r="H3198" t="s">
        <v>209</v>
      </c>
    </row>
    <row r="3199" spans="2:8">
      <c r="B3199" t="s">
        <v>474</v>
      </c>
      <c r="C3199" t="s">
        <v>475</v>
      </c>
      <c r="D3199" t="s">
        <v>244</v>
      </c>
      <c r="E3199" t="s">
        <v>296</v>
      </c>
      <c r="F3199" t="s">
        <v>244</v>
      </c>
      <c r="G3199" t="s">
        <v>244</v>
      </c>
      <c r="H3199" t="s">
        <v>209</v>
      </c>
    </row>
    <row r="3200" spans="2:8">
      <c r="B3200" t="s">
        <v>476</v>
      </c>
      <c r="C3200" t="s">
        <v>477</v>
      </c>
      <c r="D3200" t="s">
        <v>244</v>
      </c>
      <c r="E3200" t="s">
        <v>300</v>
      </c>
      <c r="F3200" t="s">
        <v>244</v>
      </c>
      <c r="G3200" t="s">
        <v>244</v>
      </c>
      <c r="H3200" t="s">
        <v>209</v>
      </c>
    </row>
    <row r="3201" spans="2:8">
      <c r="B3201" t="s">
        <v>479</v>
      </c>
      <c r="C3201" t="s">
        <v>480</v>
      </c>
      <c r="D3201" t="s">
        <v>244</v>
      </c>
      <c r="E3201" t="s">
        <v>300</v>
      </c>
      <c r="F3201" t="s">
        <v>244</v>
      </c>
      <c r="G3201" t="s">
        <v>244</v>
      </c>
      <c r="H3201" t="s">
        <v>209</v>
      </c>
    </row>
    <row r="3202" spans="2:8">
      <c r="B3202" t="s">
        <v>481</v>
      </c>
      <c r="C3202" t="s">
        <v>482</v>
      </c>
      <c r="D3202" t="s">
        <v>244</v>
      </c>
      <c r="E3202" t="s">
        <v>309</v>
      </c>
      <c r="F3202" t="s">
        <v>244</v>
      </c>
      <c r="G3202" t="s">
        <v>244</v>
      </c>
      <c r="H3202" t="s">
        <v>209</v>
      </c>
    </row>
    <row r="3203" spans="2:8">
      <c r="B3203" t="s">
        <v>484</v>
      </c>
      <c r="C3203" t="s">
        <v>485</v>
      </c>
      <c r="D3203" t="s">
        <v>244</v>
      </c>
      <c r="E3203" t="s">
        <v>309</v>
      </c>
      <c r="F3203" t="s">
        <v>244</v>
      </c>
      <c r="G3203" t="s">
        <v>244</v>
      </c>
      <c r="H3203" t="s">
        <v>209</v>
      </c>
    </row>
    <row r="3204" spans="2:8">
      <c r="B3204" t="s">
        <v>486</v>
      </c>
      <c r="C3204" t="s">
        <v>487</v>
      </c>
      <c r="D3204" t="s">
        <v>244</v>
      </c>
      <c r="E3204" t="s">
        <v>317</v>
      </c>
      <c r="F3204" t="s">
        <v>244</v>
      </c>
      <c r="G3204" t="s">
        <v>244</v>
      </c>
      <c r="H3204" t="s">
        <v>209</v>
      </c>
    </row>
    <row r="3205" spans="2:8">
      <c r="B3205" t="s">
        <v>489</v>
      </c>
      <c r="C3205" t="s">
        <v>490</v>
      </c>
      <c r="D3205" t="s">
        <v>244</v>
      </c>
      <c r="E3205" t="s">
        <v>333</v>
      </c>
      <c r="F3205" t="s">
        <v>244</v>
      </c>
      <c r="G3205" t="s">
        <v>244</v>
      </c>
      <c r="H3205" t="s">
        <v>209</v>
      </c>
    </row>
    <row r="3206" spans="2:8">
      <c r="B3206" t="s">
        <v>492</v>
      </c>
      <c r="C3206" t="s">
        <v>493</v>
      </c>
      <c r="D3206" t="s">
        <v>244</v>
      </c>
      <c r="E3206" t="s">
        <v>333</v>
      </c>
      <c r="F3206" t="s">
        <v>244</v>
      </c>
      <c r="G3206" t="s">
        <v>244</v>
      </c>
      <c r="H3206" t="s">
        <v>209</v>
      </c>
    </row>
    <row r="3207" spans="2:8">
      <c r="B3207" t="s">
        <v>494</v>
      </c>
      <c r="C3207" t="s">
        <v>495</v>
      </c>
      <c r="D3207" t="s">
        <v>244</v>
      </c>
      <c r="E3207" t="s">
        <v>407</v>
      </c>
      <c r="F3207" t="s">
        <v>244</v>
      </c>
      <c r="G3207" t="s">
        <v>244</v>
      </c>
      <c r="H3207" t="s">
        <v>209</v>
      </c>
    </row>
    <row r="3208" spans="2:8">
      <c r="B3208" t="s">
        <v>497</v>
      </c>
      <c r="C3208" t="s">
        <v>498</v>
      </c>
      <c r="D3208" t="s">
        <v>244</v>
      </c>
      <c r="E3208" t="s">
        <v>407</v>
      </c>
      <c r="F3208" t="s">
        <v>244</v>
      </c>
      <c r="G3208" t="s">
        <v>244</v>
      </c>
      <c r="H3208" t="s">
        <v>209</v>
      </c>
    </row>
    <row r="3209" spans="2:8">
      <c r="B3209" t="s">
        <v>499</v>
      </c>
      <c r="C3209" t="s">
        <v>500</v>
      </c>
      <c r="D3209" t="s">
        <v>244</v>
      </c>
      <c r="E3209" t="s">
        <v>501</v>
      </c>
      <c r="F3209" t="s">
        <v>244</v>
      </c>
      <c r="G3209" t="s">
        <v>244</v>
      </c>
      <c r="H3209" t="s">
        <v>209</v>
      </c>
    </row>
    <row r="3210" spans="2:8">
      <c r="B3210" t="s">
        <v>503</v>
      </c>
      <c r="C3210" t="s">
        <v>504</v>
      </c>
      <c r="D3210" t="s">
        <v>244</v>
      </c>
      <c r="E3210" t="s">
        <v>501</v>
      </c>
      <c r="F3210" t="s">
        <v>244</v>
      </c>
      <c r="G3210" t="s">
        <v>244</v>
      </c>
      <c r="H3210" t="s">
        <v>209</v>
      </c>
    </row>
    <row r="3211" spans="2:8">
      <c r="B3211" t="s">
        <v>505</v>
      </c>
      <c r="C3211" t="s">
        <v>506</v>
      </c>
      <c r="D3211" t="s">
        <v>244</v>
      </c>
      <c r="E3211" t="s">
        <v>507</v>
      </c>
      <c r="F3211" t="s">
        <v>244</v>
      </c>
      <c r="G3211" t="s">
        <v>244</v>
      </c>
      <c r="H3211" t="s">
        <v>209</v>
      </c>
    </row>
    <row r="3212" spans="2:8">
      <c r="B3212" t="s">
        <v>509</v>
      </c>
      <c r="C3212" t="s">
        <v>510</v>
      </c>
      <c r="D3212" t="s">
        <v>244</v>
      </c>
      <c r="E3212" t="s">
        <v>507</v>
      </c>
      <c r="F3212" t="s">
        <v>244</v>
      </c>
      <c r="G3212" t="s">
        <v>244</v>
      </c>
      <c r="H3212" t="s">
        <v>209</v>
      </c>
    </row>
    <row r="3213" spans="2:8">
      <c r="B3213" t="s">
        <v>511</v>
      </c>
      <c r="C3213" t="s">
        <v>512</v>
      </c>
      <c r="D3213" t="s">
        <v>244</v>
      </c>
      <c r="E3213" t="s">
        <v>513</v>
      </c>
      <c r="F3213" t="s">
        <v>244</v>
      </c>
      <c r="G3213" t="s">
        <v>244</v>
      </c>
      <c r="H3213" t="s">
        <v>209</v>
      </c>
    </row>
    <row r="3214" spans="2:8">
      <c r="B3214" t="s">
        <v>515</v>
      </c>
      <c r="C3214" t="s">
        <v>516</v>
      </c>
      <c r="D3214" t="s">
        <v>248</v>
      </c>
      <c r="E3214" t="s">
        <v>244</v>
      </c>
      <c r="F3214" t="s">
        <v>248</v>
      </c>
      <c r="G3214" t="s">
        <v>248</v>
      </c>
      <c r="H3214" t="s">
        <v>209</v>
      </c>
    </row>
    <row r="3215" spans="2:8">
      <c r="B3215" t="s">
        <v>518</v>
      </c>
      <c r="C3215" t="s">
        <v>519</v>
      </c>
      <c r="D3215" t="s">
        <v>248</v>
      </c>
      <c r="E3215" t="s">
        <v>244</v>
      </c>
      <c r="F3215" t="s">
        <v>248</v>
      </c>
      <c r="G3215" t="s">
        <v>248</v>
      </c>
      <c r="H3215" t="s">
        <v>209</v>
      </c>
    </row>
    <row r="3216" spans="2:8">
      <c r="B3216" t="s">
        <v>520</v>
      </c>
      <c r="C3216" t="s">
        <v>521</v>
      </c>
      <c r="D3216" t="s">
        <v>248</v>
      </c>
      <c r="E3216" t="s">
        <v>248</v>
      </c>
      <c r="F3216" t="s">
        <v>248</v>
      </c>
      <c r="G3216" t="s">
        <v>248</v>
      </c>
      <c r="H3216" t="s">
        <v>209</v>
      </c>
    </row>
    <row r="3217" spans="2:8">
      <c r="B3217" t="s">
        <v>523</v>
      </c>
      <c r="C3217" t="s">
        <v>524</v>
      </c>
      <c r="D3217" t="s">
        <v>248</v>
      </c>
      <c r="E3217" t="s">
        <v>253</v>
      </c>
      <c r="F3217" t="s">
        <v>248</v>
      </c>
      <c r="G3217" t="s">
        <v>248</v>
      </c>
      <c r="H3217" t="s">
        <v>209</v>
      </c>
    </row>
    <row r="3218" spans="2:8">
      <c r="B3218" t="s">
        <v>526</v>
      </c>
      <c r="C3218" t="s">
        <v>527</v>
      </c>
      <c r="D3218" t="s">
        <v>248</v>
      </c>
      <c r="E3218" t="s">
        <v>258</v>
      </c>
      <c r="F3218" t="s">
        <v>248</v>
      </c>
      <c r="G3218" t="s">
        <v>248</v>
      </c>
      <c r="H3218" t="s">
        <v>209</v>
      </c>
    </row>
    <row r="3219" spans="2:8">
      <c r="B3219" t="s">
        <v>529</v>
      </c>
      <c r="C3219" t="s">
        <v>530</v>
      </c>
      <c r="D3219" t="s">
        <v>248</v>
      </c>
      <c r="E3219" t="s">
        <v>260</v>
      </c>
      <c r="F3219" t="s">
        <v>248</v>
      </c>
      <c r="G3219" t="s">
        <v>248</v>
      </c>
      <c r="H3219" t="s">
        <v>209</v>
      </c>
    </row>
    <row r="3220" spans="2:8">
      <c r="B3220" t="s">
        <v>532</v>
      </c>
      <c r="C3220" t="s">
        <v>533</v>
      </c>
      <c r="D3220" t="s">
        <v>248</v>
      </c>
      <c r="E3220" t="s">
        <v>264</v>
      </c>
      <c r="F3220" t="s">
        <v>248</v>
      </c>
      <c r="G3220" t="s">
        <v>248</v>
      </c>
      <c r="H3220" t="s">
        <v>209</v>
      </c>
    </row>
    <row r="3221" spans="2:8">
      <c r="B3221" t="s">
        <v>535</v>
      </c>
      <c r="C3221" t="s">
        <v>536</v>
      </c>
      <c r="D3221" t="s">
        <v>248</v>
      </c>
      <c r="E3221" t="s">
        <v>269</v>
      </c>
      <c r="F3221" t="s">
        <v>248</v>
      </c>
      <c r="G3221" t="s">
        <v>248</v>
      </c>
      <c r="H3221" t="s">
        <v>209</v>
      </c>
    </row>
    <row r="3222" spans="2:8">
      <c r="B3222" t="s">
        <v>538</v>
      </c>
      <c r="C3222" t="s">
        <v>539</v>
      </c>
      <c r="D3222" t="s">
        <v>248</v>
      </c>
      <c r="E3222" t="s">
        <v>274</v>
      </c>
      <c r="F3222" t="s">
        <v>248</v>
      </c>
      <c r="G3222" t="s">
        <v>248</v>
      </c>
      <c r="H3222" t="s">
        <v>209</v>
      </c>
    </row>
    <row r="3223" spans="2:8">
      <c r="B3223" t="s">
        <v>541</v>
      </c>
      <c r="C3223" t="s">
        <v>542</v>
      </c>
      <c r="D3223" t="s">
        <v>248</v>
      </c>
      <c r="E3223" t="s">
        <v>276</v>
      </c>
      <c r="F3223" t="s">
        <v>248</v>
      </c>
      <c r="G3223" t="s">
        <v>248</v>
      </c>
      <c r="H3223" t="s">
        <v>209</v>
      </c>
    </row>
    <row r="3224" spans="2:8">
      <c r="B3224" t="s">
        <v>544</v>
      </c>
      <c r="C3224" t="s">
        <v>545</v>
      </c>
      <c r="D3224" t="s">
        <v>248</v>
      </c>
      <c r="E3224" t="s">
        <v>276</v>
      </c>
      <c r="F3224" t="s">
        <v>248</v>
      </c>
      <c r="G3224" t="s">
        <v>248</v>
      </c>
      <c r="H3224" t="s">
        <v>209</v>
      </c>
    </row>
    <row r="3225" spans="2:8">
      <c r="B3225" t="s">
        <v>546</v>
      </c>
      <c r="C3225" t="s">
        <v>547</v>
      </c>
      <c r="D3225" t="s">
        <v>248</v>
      </c>
      <c r="E3225" t="s">
        <v>280</v>
      </c>
      <c r="F3225" t="s">
        <v>248</v>
      </c>
      <c r="G3225" t="s">
        <v>248</v>
      </c>
      <c r="H3225" t="s">
        <v>209</v>
      </c>
    </row>
    <row r="3226" spans="2:8">
      <c r="B3226" t="s">
        <v>549</v>
      </c>
      <c r="C3226" t="s">
        <v>550</v>
      </c>
      <c r="D3226" t="s">
        <v>248</v>
      </c>
      <c r="E3226" t="s">
        <v>280</v>
      </c>
      <c r="F3226" t="s">
        <v>248</v>
      </c>
      <c r="G3226" t="s">
        <v>248</v>
      </c>
      <c r="H3226" t="s">
        <v>209</v>
      </c>
    </row>
    <row r="3227" spans="2:8">
      <c r="B3227" t="s">
        <v>552</v>
      </c>
      <c r="C3227" t="s">
        <v>553</v>
      </c>
      <c r="D3227" t="s">
        <v>248</v>
      </c>
      <c r="E3227" t="s">
        <v>284</v>
      </c>
      <c r="F3227" t="s">
        <v>248</v>
      </c>
      <c r="G3227" t="s">
        <v>248</v>
      </c>
      <c r="H3227" t="s">
        <v>209</v>
      </c>
    </row>
    <row r="3228" spans="2:8">
      <c r="B3228" t="s">
        <v>555</v>
      </c>
      <c r="C3228" t="s">
        <v>556</v>
      </c>
      <c r="D3228" t="s">
        <v>248</v>
      </c>
      <c r="E3228" t="s">
        <v>284</v>
      </c>
      <c r="F3228" t="s">
        <v>248</v>
      </c>
      <c r="G3228" t="s">
        <v>248</v>
      </c>
      <c r="H3228" t="s">
        <v>209</v>
      </c>
    </row>
    <row r="3229" spans="2:8">
      <c r="B3229" t="s">
        <v>557</v>
      </c>
      <c r="C3229" t="s">
        <v>558</v>
      </c>
      <c r="D3229" t="s">
        <v>248</v>
      </c>
      <c r="E3229" t="s">
        <v>286</v>
      </c>
      <c r="F3229" t="s">
        <v>248</v>
      </c>
      <c r="G3229" t="s">
        <v>248</v>
      </c>
      <c r="H3229" t="s">
        <v>209</v>
      </c>
    </row>
    <row r="3230" spans="2:8">
      <c r="B3230" t="s">
        <v>560</v>
      </c>
      <c r="C3230" t="s">
        <v>561</v>
      </c>
      <c r="D3230" t="s">
        <v>248</v>
      </c>
      <c r="E3230" t="s">
        <v>290</v>
      </c>
      <c r="F3230" t="s">
        <v>248</v>
      </c>
      <c r="G3230" t="s">
        <v>248</v>
      </c>
      <c r="H3230" t="s">
        <v>209</v>
      </c>
    </row>
    <row r="3231" spans="2:8">
      <c r="B3231" t="s">
        <v>563</v>
      </c>
      <c r="C3231" t="s">
        <v>564</v>
      </c>
      <c r="D3231" t="s">
        <v>248</v>
      </c>
      <c r="E3231" t="s">
        <v>290</v>
      </c>
      <c r="F3231" t="s">
        <v>248</v>
      </c>
      <c r="G3231" t="s">
        <v>248</v>
      </c>
      <c r="H3231" t="s">
        <v>209</v>
      </c>
    </row>
    <row r="3232" spans="2:8">
      <c r="B3232" t="s">
        <v>565</v>
      </c>
      <c r="C3232" t="s">
        <v>566</v>
      </c>
      <c r="D3232" t="s">
        <v>248</v>
      </c>
      <c r="E3232" t="s">
        <v>294</v>
      </c>
      <c r="F3232" t="s">
        <v>248</v>
      </c>
      <c r="G3232" t="s">
        <v>248</v>
      </c>
      <c r="H3232" t="s">
        <v>209</v>
      </c>
    </row>
    <row r="3233" spans="2:8">
      <c r="B3233" t="s">
        <v>568</v>
      </c>
      <c r="C3233" t="s">
        <v>569</v>
      </c>
      <c r="D3233" t="s">
        <v>248</v>
      </c>
      <c r="E3233" t="s">
        <v>300</v>
      </c>
      <c r="F3233" t="s">
        <v>248</v>
      </c>
      <c r="G3233" t="s">
        <v>248</v>
      </c>
      <c r="H3233" t="s">
        <v>209</v>
      </c>
    </row>
    <row r="3234" spans="2:8">
      <c r="B3234" t="s">
        <v>571</v>
      </c>
      <c r="C3234" t="s">
        <v>572</v>
      </c>
      <c r="D3234" t="s">
        <v>248</v>
      </c>
      <c r="E3234" t="s">
        <v>300</v>
      </c>
      <c r="F3234" t="s">
        <v>248</v>
      </c>
      <c r="G3234" t="s">
        <v>248</v>
      </c>
      <c r="H3234" t="s">
        <v>209</v>
      </c>
    </row>
    <row r="3235" spans="2:8">
      <c r="B3235" t="s">
        <v>573</v>
      </c>
      <c r="C3235" t="s">
        <v>574</v>
      </c>
      <c r="D3235" t="s">
        <v>248</v>
      </c>
      <c r="E3235" t="s">
        <v>309</v>
      </c>
      <c r="F3235" t="s">
        <v>248</v>
      </c>
      <c r="G3235" t="s">
        <v>248</v>
      </c>
      <c r="H3235" t="s">
        <v>209</v>
      </c>
    </row>
    <row r="3236" spans="2:8">
      <c r="B3236" t="s">
        <v>576</v>
      </c>
      <c r="C3236" t="s">
        <v>577</v>
      </c>
      <c r="D3236" t="s">
        <v>248</v>
      </c>
      <c r="E3236" t="s">
        <v>309</v>
      </c>
      <c r="F3236" t="s">
        <v>248</v>
      </c>
      <c r="G3236" t="s">
        <v>248</v>
      </c>
      <c r="H3236" t="s">
        <v>209</v>
      </c>
    </row>
    <row r="3237" spans="2:8">
      <c r="B3237" t="s">
        <v>578</v>
      </c>
      <c r="C3237" t="s">
        <v>579</v>
      </c>
      <c r="D3237" t="s">
        <v>248</v>
      </c>
      <c r="E3237" t="s">
        <v>317</v>
      </c>
      <c r="F3237" t="s">
        <v>248</v>
      </c>
      <c r="G3237" t="s">
        <v>248</v>
      </c>
      <c r="H3237" t="s">
        <v>209</v>
      </c>
    </row>
    <row r="3238" spans="2:8">
      <c r="B3238" t="s">
        <v>581</v>
      </c>
      <c r="C3238" t="s">
        <v>582</v>
      </c>
      <c r="D3238" t="s">
        <v>248</v>
      </c>
      <c r="E3238" t="s">
        <v>317</v>
      </c>
      <c r="F3238" t="s">
        <v>248</v>
      </c>
      <c r="G3238" t="s">
        <v>248</v>
      </c>
      <c r="H3238" t="s">
        <v>209</v>
      </c>
    </row>
    <row r="3239" spans="2:8">
      <c r="B3239" t="s">
        <v>583</v>
      </c>
      <c r="C3239" t="s">
        <v>584</v>
      </c>
      <c r="D3239" t="s">
        <v>248</v>
      </c>
      <c r="E3239" t="s">
        <v>323</v>
      </c>
      <c r="F3239" t="s">
        <v>248</v>
      </c>
      <c r="G3239" t="s">
        <v>248</v>
      </c>
      <c r="H3239" t="s">
        <v>209</v>
      </c>
    </row>
    <row r="3240" spans="2:8">
      <c r="B3240" t="s">
        <v>586</v>
      </c>
      <c r="C3240" t="s">
        <v>587</v>
      </c>
      <c r="D3240" t="s">
        <v>248</v>
      </c>
      <c r="E3240" t="s">
        <v>323</v>
      </c>
      <c r="F3240" t="s">
        <v>248</v>
      </c>
      <c r="G3240" t="s">
        <v>248</v>
      </c>
      <c r="H3240" t="s">
        <v>209</v>
      </c>
    </row>
    <row r="3241" spans="2:8">
      <c r="B3241" t="s">
        <v>588</v>
      </c>
      <c r="C3241" t="s">
        <v>589</v>
      </c>
      <c r="D3241" t="s">
        <v>248</v>
      </c>
      <c r="E3241" t="s">
        <v>329</v>
      </c>
      <c r="F3241" t="s">
        <v>248</v>
      </c>
      <c r="G3241" t="s">
        <v>248</v>
      </c>
      <c r="H3241" t="s">
        <v>209</v>
      </c>
    </row>
    <row r="3242" spans="2:8">
      <c r="B3242" t="s">
        <v>591</v>
      </c>
      <c r="C3242" t="s">
        <v>592</v>
      </c>
      <c r="D3242" t="s">
        <v>248</v>
      </c>
      <c r="E3242" t="s">
        <v>329</v>
      </c>
      <c r="F3242" t="s">
        <v>248</v>
      </c>
      <c r="G3242" t="s">
        <v>248</v>
      </c>
      <c r="H3242" t="s">
        <v>209</v>
      </c>
    </row>
    <row r="3243" spans="2:8">
      <c r="B3243" t="s">
        <v>593</v>
      </c>
      <c r="C3243" t="s">
        <v>594</v>
      </c>
      <c r="D3243" t="s">
        <v>248</v>
      </c>
      <c r="E3243" t="s">
        <v>333</v>
      </c>
      <c r="F3243" t="s">
        <v>248</v>
      </c>
      <c r="G3243" t="s">
        <v>248</v>
      </c>
      <c r="H3243" t="s">
        <v>209</v>
      </c>
    </row>
    <row r="3244" spans="2:8">
      <c r="B3244" t="s">
        <v>596</v>
      </c>
      <c r="C3244" t="s">
        <v>597</v>
      </c>
      <c r="D3244" t="s">
        <v>248</v>
      </c>
      <c r="E3244" t="s">
        <v>333</v>
      </c>
      <c r="F3244" t="s">
        <v>248</v>
      </c>
      <c r="G3244" t="s">
        <v>248</v>
      </c>
      <c r="H3244" t="s">
        <v>209</v>
      </c>
    </row>
    <row r="3245" spans="2:8">
      <c r="B3245" t="s">
        <v>598</v>
      </c>
      <c r="C3245" t="s">
        <v>599</v>
      </c>
      <c r="D3245" t="s">
        <v>248</v>
      </c>
      <c r="E3245" t="s">
        <v>407</v>
      </c>
      <c r="F3245" t="s">
        <v>248</v>
      </c>
      <c r="G3245" t="s">
        <v>248</v>
      </c>
      <c r="H3245" t="s">
        <v>209</v>
      </c>
    </row>
    <row r="3246" spans="2:8">
      <c r="B3246" t="s">
        <v>601</v>
      </c>
      <c r="C3246" t="s">
        <v>602</v>
      </c>
      <c r="D3246" t="s">
        <v>248</v>
      </c>
      <c r="E3246" t="s">
        <v>407</v>
      </c>
      <c r="F3246" t="s">
        <v>248</v>
      </c>
      <c r="G3246" t="s">
        <v>248</v>
      </c>
      <c r="H3246" t="s">
        <v>209</v>
      </c>
    </row>
    <row r="3247" spans="2:8">
      <c r="B3247" t="s">
        <v>603</v>
      </c>
      <c r="C3247" t="s">
        <v>604</v>
      </c>
      <c r="D3247" t="s">
        <v>248</v>
      </c>
      <c r="E3247" t="s">
        <v>501</v>
      </c>
      <c r="F3247" t="s">
        <v>248</v>
      </c>
      <c r="G3247" t="s">
        <v>248</v>
      </c>
      <c r="H3247" t="s">
        <v>209</v>
      </c>
    </row>
    <row r="3248" spans="2:8">
      <c r="B3248" t="s">
        <v>606</v>
      </c>
      <c r="C3248" t="s">
        <v>607</v>
      </c>
      <c r="D3248" t="s">
        <v>253</v>
      </c>
      <c r="E3248" t="s">
        <v>260</v>
      </c>
      <c r="F3248" t="s">
        <v>253</v>
      </c>
      <c r="G3248" t="s">
        <v>253</v>
      </c>
      <c r="H3248" t="s">
        <v>209</v>
      </c>
    </row>
    <row r="3249" spans="2:8">
      <c r="B3249" t="s">
        <v>609</v>
      </c>
      <c r="C3249" t="s">
        <v>610</v>
      </c>
      <c r="D3249" t="s">
        <v>253</v>
      </c>
      <c r="E3249" t="s">
        <v>264</v>
      </c>
      <c r="F3249" t="s">
        <v>253</v>
      </c>
      <c r="G3249" t="s">
        <v>253</v>
      </c>
      <c r="H3249" t="s">
        <v>209</v>
      </c>
    </row>
    <row r="3250" spans="2:8">
      <c r="B3250" t="s">
        <v>612</v>
      </c>
      <c r="C3250" t="s">
        <v>613</v>
      </c>
      <c r="D3250" t="s">
        <v>253</v>
      </c>
      <c r="E3250" t="s">
        <v>264</v>
      </c>
      <c r="F3250" t="s">
        <v>253</v>
      </c>
      <c r="G3250" t="s">
        <v>253</v>
      </c>
      <c r="H3250" t="s">
        <v>209</v>
      </c>
    </row>
    <row r="3251" spans="2:8">
      <c r="B3251" t="s">
        <v>614</v>
      </c>
      <c r="C3251" t="s">
        <v>615</v>
      </c>
      <c r="D3251" t="s">
        <v>253</v>
      </c>
      <c r="E3251" t="s">
        <v>269</v>
      </c>
      <c r="F3251" t="s">
        <v>253</v>
      </c>
      <c r="G3251" t="s">
        <v>253</v>
      </c>
      <c r="H3251" t="s">
        <v>209</v>
      </c>
    </row>
    <row r="3252" spans="2:8">
      <c r="B3252" t="s">
        <v>617</v>
      </c>
      <c r="C3252" t="s">
        <v>618</v>
      </c>
      <c r="D3252" t="s">
        <v>253</v>
      </c>
      <c r="E3252" t="s">
        <v>274</v>
      </c>
      <c r="F3252" t="s">
        <v>253</v>
      </c>
      <c r="G3252" t="s">
        <v>253</v>
      </c>
      <c r="H3252" t="s">
        <v>209</v>
      </c>
    </row>
    <row r="3253" spans="2:8">
      <c r="B3253" t="s">
        <v>620</v>
      </c>
      <c r="C3253" t="s">
        <v>621</v>
      </c>
      <c r="D3253" t="s">
        <v>253</v>
      </c>
      <c r="E3253" t="s">
        <v>274</v>
      </c>
      <c r="F3253" t="s">
        <v>253</v>
      </c>
      <c r="G3253" t="s">
        <v>253</v>
      </c>
      <c r="H3253" t="s">
        <v>209</v>
      </c>
    </row>
    <row r="3254" spans="2:8">
      <c r="B3254" t="s">
        <v>622</v>
      </c>
      <c r="C3254" t="s">
        <v>623</v>
      </c>
      <c r="D3254" t="s">
        <v>253</v>
      </c>
      <c r="E3254" t="s">
        <v>276</v>
      </c>
      <c r="F3254" t="s">
        <v>253</v>
      </c>
      <c r="G3254" t="s">
        <v>253</v>
      </c>
      <c r="H3254" t="s">
        <v>209</v>
      </c>
    </row>
    <row r="3255" spans="2:8">
      <c r="B3255" t="s">
        <v>625</v>
      </c>
      <c r="C3255" t="s">
        <v>626</v>
      </c>
      <c r="D3255" t="s">
        <v>253</v>
      </c>
      <c r="E3255" t="s">
        <v>280</v>
      </c>
      <c r="F3255" t="s">
        <v>253</v>
      </c>
      <c r="G3255" t="s">
        <v>253</v>
      </c>
      <c r="H3255" t="s">
        <v>209</v>
      </c>
    </row>
    <row r="3256" spans="2:8">
      <c r="B3256" t="s">
        <v>628</v>
      </c>
      <c r="C3256" t="s">
        <v>629</v>
      </c>
      <c r="D3256" t="s">
        <v>253</v>
      </c>
      <c r="E3256" t="s">
        <v>284</v>
      </c>
      <c r="F3256" t="s">
        <v>253</v>
      </c>
      <c r="G3256" t="s">
        <v>253</v>
      </c>
      <c r="H3256" t="s">
        <v>209</v>
      </c>
    </row>
    <row r="3257" spans="2:8">
      <c r="B3257" t="s">
        <v>631</v>
      </c>
      <c r="C3257" t="s">
        <v>632</v>
      </c>
      <c r="D3257" t="s">
        <v>253</v>
      </c>
      <c r="E3257" t="s">
        <v>284</v>
      </c>
      <c r="F3257" t="s">
        <v>253</v>
      </c>
      <c r="G3257" t="s">
        <v>253</v>
      </c>
      <c r="H3257" t="s">
        <v>209</v>
      </c>
    </row>
    <row r="3258" spans="2:8">
      <c r="B3258" t="s">
        <v>633</v>
      </c>
      <c r="C3258" t="s">
        <v>634</v>
      </c>
      <c r="D3258" t="s">
        <v>253</v>
      </c>
      <c r="E3258" t="s">
        <v>286</v>
      </c>
      <c r="F3258" t="s">
        <v>253</v>
      </c>
      <c r="G3258" t="s">
        <v>253</v>
      </c>
      <c r="H3258" t="s">
        <v>209</v>
      </c>
    </row>
    <row r="3259" spans="2:8">
      <c r="B3259" t="s">
        <v>636</v>
      </c>
      <c r="C3259" t="s">
        <v>637</v>
      </c>
      <c r="D3259" t="s">
        <v>253</v>
      </c>
      <c r="E3259" t="s">
        <v>290</v>
      </c>
      <c r="F3259" t="s">
        <v>253</v>
      </c>
      <c r="G3259" t="s">
        <v>253</v>
      </c>
      <c r="H3259" t="s">
        <v>209</v>
      </c>
    </row>
    <row r="3260" spans="2:8">
      <c r="B3260" t="s">
        <v>639</v>
      </c>
      <c r="C3260" t="s">
        <v>640</v>
      </c>
      <c r="D3260" t="s">
        <v>253</v>
      </c>
      <c r="E3260" t="s">
        <v>294</v>
      </c>
      <c r="F3260" t="s">
        <v>253</v>
      </c>
      <c r="G3260" t="s">
        <v>253</v>
      </c>
      <c r="H3260" t="s">
        <v>209</v>
      </c>
    </row>
    <row r="3261" spans="2:8">
      <c r="B3261" t="s">
        <v>642</v>
      </c>
      <c r="C3261" t="s">
        <v>643</v>
      </c>
      <c r="D3261" t="s">
        <v>253</v>
      </c>
      <c r="E3261" t="s">
        <v>296</v>
      </c>
      <c r="F3261" t="s">
        <v>253</v>
      </c>
      <c r="G3261" t="s">
        <v>253</v>
      </c>
      <c r="H3261" t="s">
        <v>209</v>
      </c>
    </row>
    <row r="3262" spans="2:8">
      <c r="B3262" t="s">
        <v>645</v>
      </c>
      <c r="C3262" t="s">
        <v>646</v>
      </c>
      <c r="D3262" t="s">
        <v>253</v>
      </c>
      <c r="E3262" t="s">
        <v>300</v>
      </c>
      <c r="F3262" t="s">
        <v>253</v>
      </c>
      <c r="G3262" t="s">
        <v>253</v>
      </c>
      <c r="H3262" t="s">
        <v>209</v>
      </c>
    </row>
    <row r="3263" spans="2:8">
      <c r="B3263" t="s">
        <v>648</v>
      </c>
      <c r="C3263" t="s">
        <v>649</v>
      </c>
      <c r="D3263" t="s">
        <v>253</v>
      </c>
      <c r="E3263" t="s">
        <v>300</v>
      </c>
      <c r="F3263" t="s">
        <v>253</v>
      </c>
      <c r="G3263" t="s">
        <v>253</v>
      </c>
      <c r="H3263" t="s">
        <v>209</v>
      </c>
    </row>
    <row r="3264" spans="2:8">
      <c r="B3264" t="s">
        <v>650</v>
      </c>
      <c r="C3264" t="s">
        <v>651</v>
      </c>
      <c r="D3264" t="s">
        <v>253</v>
      </c>
      <c r="E3264" t="s">
        <v>309</v>
      </c>
      <c r="F3264" t="s">
        <v>253</v>
      </c>
      <c r="G3264" t="s">
        <v>253</v>
      </c>
      <c r="H3264" t="s">
        <v>209</v>
      </c>
    </row>
    <row r="3265" spans="2:8">
      <c r="B3265" t="s">
        <v>653</v>
      </c>
      <c r="C3265" t="s">
        <v>654</v>
      </c>
      <c r="D3265" t="s">
        <v>253</v>
      </c>
      <c r="E3265" t="s">
        <v>317</v>
      </c>
      <c r="F3265" t="s">
        <v>253</v>
      </c>
      <c r="G3265" t="s">
        <v>253</v>
      </c>
      <c r="H3265" t="s">
        <v>209</v>
      </c>
    </row>
    <row r="3266" spans="2:8">
      <c r="B3266" t="s">
        <v>656</v>
      </c>
      <c r="C3266" t="s">
        <v>657</v>
      </c>
      <c r="D3266" t="s">
        <v>253</v>
      </c>
      <c r="E3266" t="s">
        <v>323</v>
      </c>
      <c r="F3266" t="s">
        <v>253</v>
      </c>
      <c r="G3266" t="s">
        <v>253</v>
      </c>
      <c r="H3266" t="s">
        <v>209</v>
      </c>
    </row>
    <row r="3267" spans="2:8">
      <c r="B3267" t="s">
        <v>659</v>
      </c>
      <c r="C3267" t="s">
        <v>660</v>
      </c>
      <c r="D3267" t="s">
        <v>253</v>
      </c>
      <c r="E3267" t="s">
        <v>329</v>
      </c>
      <c r="F3267" t="s">
        <v>253</v>
      </c>
      <c r="G3267" t="s">
        <v>253</v>
      </c>
      <c r="H3267" t="s">
        <v>1056</v>
      </c>
    </row>
    <row r="3268" spans="2:8">
      <c r="B3268" t="s">
        <v>662</v>
      </c>
      <c r="C3268" t="s">
        <v>663</v>
      </c>
      <c r="D3268" t="s">
        <v>253</v>
      </c>
      <c r="E3268" t="s">
        <v>333</v>
      </c>
      <c r="F3268" t="s">
        <v>253</v>
      </c>
      <c r="G3268" t="s">
        <v>253</v>
      </c>
      <c r="H3268" t="s">
        <v>209</v>
      </c>
    </row>
    <row r="3269" spans="2:8">
      <c r="B3269" t="s">
        <v>665</v>
      </c>
      <c r="C3269" t="s">
        <v>666</v>
      </c>
      <c r="D3269" t="s">
        <v>253</v>
      </c>
      <c r="E3269" t="s">
        <v>333</v>
      </c>
      <c r="F3269" t="s">
        <v>253</v>
      </c>
      <c r="G3269" t="s">
        <v>253</v>
      </c>
      <c r="H3269" t="s">
        <v>209</v>
      </c>
    </row>
    <row r="3270" spans="2:8">
      <c r="B3270" t="s">
        <v>667</v>
      </c>
      <c r="C3270" t="s">
        <v>668</v>
      </c>
      <c r="D3270" t="s">
        <v>253</v>
      </c>
      <c r="E3270" t="s">
        <v>407</v>
      </c>
      <c r="F3270" t="s">
        <v>253</v>
      </c>
      <c r="G3270" t="s">
        <v>253</v>
      </c>
      <c r="H3270" t="s">
        <v>209</v>
      </c>
    </row>
    <row r="3271" spans="2:8">
      <c r="B3271" t="s">
        <v>671</v>
      </c>
      <c r="C3271" t="s">
        <v>672</v>
      </c>
      <c r="D3271" t="s">
        <v>258</v>
      </c>
      <c r="E3271" t="s">
        <v>673</v>
      </c>
      <c r="F3271" t="s">
        <v>258</v>
      </c>
      <c r="G3271" t="s">
        <v>258</v>
      </c>
      <c r="H3271" t="s">
        <v>1056</v>
      </c>
    </row>
    <row r="3272" spans="2:8">
      <c r="B3272" t="s">
        <v>675</v>
      </c>
      <c r="C3272" t="s">
        <v>676</v>
      </c>
      <c r="D3272" t="s">
        <v>258</v>
      </c>
      <c r="E3272" t="s">
        <v>338</v>
      </c>
      <c r="F3272" t="s">
        <v>258</v>
      </c>
      <c r="G3272" t="s">
        <v>258</v>
      </c>
      <c r="H3272" t="s">
        <v>1056</v>
      </c>
    </row>
    <row r="3273" spans="2:8">
      <c r="B3273" t="s">
        <v>678</v>
      </c>
      <c r="C3273" t="s">
        <v>679</v>
      </c>
      <c r="D3273" t="s">
        <v>258</v>
      </c>
      <c r="E3273" t="s">
        <v>342</v>
      </c>
      <c r="F3273" t="s">
        <v>258</v>
      </c>
      <c r="G3273" t="s">
        <v>258</v>
      </c>
      <c r="H3273" t="s">
        <v>1056</v>
      </c>
    </row>
    <row r="3274" spans="2:8">
      <c r="B3274" t="s">
        <v>681</v>
      </c>
      <c r="C3274" t="s">
        <v>682</v>
      </c>
      <c r="D3274" t="s">
        <v>258</v>
      </c>
      <c r="E3274" t="s">
        <v>342</v>
      </c>
      <c r="F3274" t="s">
        <v>258</v>
      </c>
      <c r="G3274" t="s">
        <v>258</v>
      </c>
      <c r="H3274" t="s">
        <v>1056</v>
      </c>
    </row>
    <row r="3275" spans="2:8">
      <c r="B3275" t="s">
        <v>683</v>
      </c>
      <c r="C3275" t="s">
        <v>684</v>
      </c>
      <c r="D3275" t="s">
        <v>258</v>
      </c>
      <c r="E3275" t="s">
        <v>243</v>
      </c>
      <c r="F3275" t="s">
        <v>258</v>
      </c>
      <c r="G3275" t="s">
        <v>258</v>
      </c>
      <c r="H3275" t="s">
        <v>1056</v>
      </c>
    </row>
    <row r="3276" spans="2:8">
      <c r="B3276" t="s">
        <v>686</v>
      </c>
      <c r="C3276" t="s">
        <v>687</v>
      </c>
      <c r="D3276" t="s">
        <v>258</v>
      </c>
      <c r="E3276" t="s">
        <v>337</v>
      </c>
      <c r="F3276" t="s">
        <v>258</v>
      </c>
      <c r="G3276" t="s">
        <v>258</v>
      </c>
      <c r="H3276" t="s">
        <v>209</v>
      </c>
    </row>
    <row r="3277" spans="2:8">
      <c r="B3277" t="s">
        <v>689</v>
      </c>
      <c r="C3277" t="s">
        <v>690</v>
      </c>
      <c r="D3277" t="s">
        <v>258</v>
      </c>
      <c r="E3277" t="s">
        <v>244</v>
      </c>
      <c r="F3277" t="s">
        <v>258</v>
      </c>
      <c r="G3277" t="s">
        <v>258</v>
      </c>
      <c r="H3277" t="s">
        <v>209</v>
      </c>
    </row>
    <row r="3278" spans="2:8">
      <c r="B3278" t="s">
        <v>692</v>
      </c>
      <c r="C3278" t="s">
        <v>693</v>
      </c>
      <c r="D3278" t="s">
        <v>258</v>
      </c>
      <c r="E3278" t="s">
        <v>248</v>
      </c>
      <c r="F3278" t="s">
        <v>258</v>
      </c>
      <c r="G3278" t="s">
        <v>258</v>
      </c>
      <c r="H3278" t="s">
        <v>209</v>
      </c>
    </row>
    <row r="3279" spans="2:8">
      <c r="B3279" t="s">
        <v>695</v>
      </c>
      <c r="C3279" t="s">
        <v>696</v>
      </c>
      <c r="D3279" t="s">
        <v>258</v>
      </c>
      <c r="E3279" t="s">
        <v>253</v>
      </c>
      <c r="F3279" t="s">
        <v>258</v>
      </c>
      <c r="G3279" t="s">
        <v>258</v>
      </c>
      <c r="H3279" t="s">
        <v>1056</v>
      </c>
    </row>
    <row r="3280" spans="2:8">
      <c r="B3280" t="s">
        <v>698</v>
      </c>
      <c r="C3280" t="s">
        <v>699</v>
      </c>
      <c r="D3280" t="s">
        <v>258</v>
      </c>
      <c r="E3280" t="s">
        <v>253</v>
      </c>
      <c r="F3280" t="s">
        <v>258</v>
      </c>
      <c r="G3280" t="s">
        <v>258</v>
      </c>
      <c r="H3280" t="s">
        <v>209</v>
      </c>
    </row>
    <row r="3281" spans="2:8">
      <c r="B3281" t="s">
        <v>700</v>
      </c>
      <c r="C3281" t="s">
        <v>701</v>
      </c>
      <c r="D3281" t="s">
        <v>258</v>
      </c>
      <c r="E3281" t="s">
        <v>258</v>
      </c>
      <c r="F3281" t="s">
        <v>258</v>
      </c>
      <c r="G3281" t="s">
        <v>258</v>
      </c>
      <c r="H3281" t="s">
        <v>209</v>
      </c>
    </row>
    <row r="3282" spans="2:8">
      <c r="B3282" t="s">
        <v>703</v>
      </c>
      <c r="C3282" t="s">
        <v>704</v>
      </c>
      <c r="D3282" t="s">
        <v>258</v>
      </c>
      <c r="E3282" t="s">
        <v>260</v>
      </c>
      <c r="F3282" t="s">
        <v>258</v>
      </c>
      <c r="G3282" t="s">
        <v>258</v>
      </c>
      <c r="H3282" t="s">
        <v>209</v>
      </c>
    </row>
    <row r="3283" spans="2:8">
      <c r="B3283" t="s">
        <v>706</v>
      </c>
      <c r="C3283" t="s">
        <v>707</v>
      </c>
      <c r="D3283" t="s">
        <v>258</v>
      </c>
      <c r="E3283" t="s">
        <v>264</v>
      </c>
      <c r="F3283" t="s">
        <v>258</v>
      </c>
      <c r="G3283" t="s">
        <v>258</v>
      </c>
      <c r="H3283" t="s">
        <v>209</v>
      </c>
    </row>
    <row r="3284" spans="2:8">
      <c r="B3284" t="s">
        <v>709</v>
      </c>
      <c r="C3284" t="s">
        <v>710</v>
      </c>
      <c r="D3284" t="s">
        <v>258</v>
      </c>
      <c r="E3284" t="s">
        <v>264</v>
      </c>
      <c r="F3284" t="s">
        <v>258</v>
      </c>
      <c r="G3284" t="s">
        <v>258</v>
      </c>
      <c r="H3284" t="s">
        <v>209</v>
      </c>
    </row>
    <row r="3285" spans="2:8">
      <c r="B3285" t="s">
        <v>711</v>
      </c>
      <c r="C3285" t="s">
        <v>712</v>
      </c>
      <c r="D3285" t="s">
        <v>258</v>
      </c>
      <c r="E3285" t="s">
        <v>269</v>
      </c>
      <c r="F3285" t="s">
        <v>258</v>
      </c>
      <c r="G3285" t="s">
        <v>258</v>
      </c>
      <c r="H3285" t="s">
        <v>209</v>
      </c>
    </row>
    <row r="3286" spans="2:8">
      <c r="B3286" t="s">
        <v>714</v>
      </c>
      <c r="C3286" t="s">
        <v>715</v>
      </c>
      <c r="D3286" t="s">
        <v>258</v>
      </c>
      <c r="E3286" t="s">
        <v>274</v>
      </c>
      <c r="F3286" t="s">
        <v>258</v>
      </c>
      <c r="G3286" t="s">
        <v>258</v>
      </c>
      <c r="H3286" t="s">
        <v>209</v>
      </c>
    </row>
    <row r="3287" spans="2:8">
      <c r="B3287" t="s">
        <v>717</v>
      </c>
      <c r="C3287" t="s">
        <v>718</v>
      </c>
      <c r="D3287" t="s">
        <v>258</v>
      </c>
      <c r="E3287" t="s">
        <v>276</v>
      </c>
      <c r="F3287" t="s">
        <v>258</v>
      </c>
      <c r="G3287" t="s">
        <v>258</v>
      </c>
      <c r="H3287" t="s">
        <v>209</v>
      </c>
    </row>
    <row r="3288" spans="2:8">
      <c r="B3288" t="s">
        <v>720</v>
      </c>
      <c r="C3288" t="s">
        <v>721</v>
      </c>
      <c r="D3288" t="s">
        <v>258</v>
      </c>
      <c r="E3288" t="s">
        <v>276</v>
      </c>
      <c r="F3288" t="s">
        <v>258</v>
      </c>
      <c r="G3288" t="s">
        <v>258</v>
      </c>
      <c r="H3288" t="s">
        <v>209</v>
      </c>
    </row>
    <row r="3289" spans="2:8">
      <c r="B3289" t="s">
        <v>722</v>
      </c>
      <c r="C3289" t="s">
        <v>723</v>
      </c>
      <c r="D3289" t="s">
        <v>258</v>
      </c>
      <c r="E3289" t="s">
        <v>276</v>
      </c>
      <c r="F3289" t="s">
        <v>258</v>
      </c>
      <c r="G3289" t="s">
        <v>258</v>
      </c>
      <c r="H3289" t="s">
        <v>209</v>
      </c>
    </row>
    <row r="3290" spans="2:8">
      <c r="B3290" t="s">
        <v>724</v>
      </c>
      <c r="C3290" t="s">
        <v>725</v>
      </c>
      <c r="D3290" t="s">
        <v>258</v>
      </c>
      <c r="E3290" t="s">
        <v>280</v>
      </c>
      <c r="F3290" t="s">
        <v>258</v>
      </c>
      <c r="G3290" t="s">
        <v>258</v>
      </c>
      <c r="H3290" t="s">
        <v>209</v>
      </c>
    </row>
    <row r="3291" spans="2:8">
      <c r="B3291" t="s">
        <v>727</v>
      </c>
      <c r="C3291" t="s">
        <v>728</v>
      </c>
      <c r="D3291" t="s">
        <v>258</v>
      </c>
      <c r="E3291" t="s">
        <v>280</v>
      </c>
      <c r="F3291" t="s">
        <v>258</v>
      </c>
      <c r="G3291" t="s">
        <v>258</v>
      </c>
      <c r="H3291" t="s">
        <v>209</v>
      </c>
    </row>
    <row r="3292" spans="2:8">
      <c r="B3292" t="s">
        <v>729</v>
      </c>
      <c r="C3292" t="s">
        <v>730</v>
      </c>
      <c r="D3292" t="s">
        <v>258</v>
      </c>
      <c r="E3292" t="s">
        <v>284</v>
      </c>
      <c r="F3292" t="s">
        <v>258</v>
      </c>
      <c r="G3292" t="s">
        <v>258</v>
      </c>
      <c r="H3292" t="s">
        <v>209</v>
      </c>
    </row>
    <row r="3293" spans="2:8">
      <c r="B3293" t="s">
        <v>732</v>
      </c>
      <c r="C3293" t="s">
        <v>733</v>
      </c>
      <c r="D3293" t="s">
        <v>260</v>
      </c>
      <c r="E3293" t="s">
        <v>243</v>
      </c>
      <c r="F3293" t="s">
        <v>1057</v>
      </c>
      <c r="G3293" t="s">
        <v>1057</v>
      </c>
      <c r="H3293" t="s">
        <v>209</v>
      </c>
    </row>
    <row r="3294" spans="2:8">
      <c r="B3294" t="s">
        <v>736</v>
      </c>
      <c r="C3294" t="s">
        <v>737</v>
      </c>
      <c r="D3294" t="s">
        <v>260</v>
      </c>
      <c r="E3294" t="s">
        <v>243</v>
      </c>
      <c r="F3294" t="s">
        <v>1057</v>
      </c>
      <c r="G3294" t="s">
        <v>1057</v>
      </c>
      <c r="H3294" t="s">
        <v>209</v>
      </c>
    </row>
    <row r="3295" spans="2:8">
      <c r="B3295" t="s">
        <v>738</v>
      </c>
      <c r="C3295" t="s">
        <v>739</v>
      </c>
      <c r="D3295" t="s">
        <v>260</v>
      </c>
      <c r="E3295" t="s">
        <v>243</v>
      </c>
      <c r="F3295" t="s">
        <v>1057</v>
      </c>
      <c r="G3295" t="s">
        <v>1057</v>
      </c>
      <c r="H3295" t="s">
        <v>209</v>
      </c>
    </row>
    <row r="3296" spans="2:8">
      <c r="B3296" t="s">
        <v>746</v>
      </c>
      <c r="C3296" t="s">
        <v>747</v>
      </c>
      <c r="D3296" t="s">
        <v>260</v>
      </c>
      <c r="E3296" t="s">
        <v>337</v>
      </c>
      <c r="F3296" t="s">
        <v>1057</v>
      </c>
      <c r="G3296" t="s">
        <v>1057</v>
      </c>
      <c r="H3296" t="s">
        <v>209</v>
      </c>
    </row>
    <row r="3297" spans="2:8">
      <c r="B3297" t="s">
        <v>749</v>
      </c>
      <c r="C3297" t="s">
        <v>750</v>
      </c>
      <c r="D3297" t="s">
        <v>260</v>
      </c>
      <c r="E3297" t="s">
        <v>337</v>
      </c>
      <c r="F3297" t="s">
        <v>1057</v>
      </c>
      <c r="G3297" t="s">
        <v>1057</v>
      </c>
      <c r="H3297" t="s">
        <v>209</v>
      </c>
    </row>
    <row r="3298" spans="2:8">
      <c r="B3298" t="s">
        <v>751</v>
      </c>
      <c r="C3298" t="s">
        <v>752</v>
      </c>
      <c r="D3298" t="s">
        <v>260</v>
      </c>
      <c r="E3298" t="s">
        <v>244</v>
      </c>
      <c r="F3298" t="s">
        <v>1057</v>
      </c>
      <c r="G3298" t="s">
        <v>1057</v>
      </c>
      <c r="H3298" t="s">
        <v>209</v>
      </c>
    </row>
    <row r="3299" spans="2:8">
      <c r="B3299" t="s">
        <v>754</v>
      </c>
      <c r="C3299" t="s">
        <v>755</v>
      </c>
      <c r="D3299" t="s">
        <v>260</v>
      </c>
      <c r="E3299" t="s">
        <v>244</v>
      </c>
      <c r="F3299" t="s">
        <v>1057</v>
      </c>
      <c r="G3299" t="s">
        <v>1057</v>
      </c>
      <c r="H3299" t="s">
        <v>209</v>
      </c>
    </row>
    <row r="3300" spans="2:8">
      <c r="B3300" t="s">
        <v>756</v>
      </c>
      <c r="C3300" t="s">
        <v>757</v>
      </c>
      <c r="D3300" t="s">
        <v>260</v>
      </c>
      <c r="E3300" t="s">
        <v>248</v>
      </c>
      <c r="F3300" t="s">
        <v>1057</v>
      </c>
      <c r="G3300" t="s">
        <v>1057</v>
      </c>
      <c r="H3300" t="s">
        <v>209</v>
      </c>
    </row>
    <row r="3301" spans="2:8">
      <c r="B3301" t="s">
        <v>759</v>
      </c>
      <c r="C3301" t="s">
        <v>760</v>
      </c>
      <c r="D3301" t="s">
        <v>260</v>
      </c>
      <c r="E3301" t="s">
        <v>248</v>
      </c>
      <c r="F3301" t="s">
        <v>1057</v>
      </c>
      <c r="G3301" t="s">
        <v>1057</v>
      </c>
      <c r="H3301" t="s">
        <v>209</v>
      </c>
    </row>
    <row r="3302" spans="2:8">
      <c r="B3302" t="s">
        <v>761</v>
      </c>
      <c r="C3302" t="s">
        <v>762</v>
      </c>
      <c r="D3302" t="s">
        <v>260</v>
      </c>
      <c r="E3302" t="s">
        <v>253</v>
      </c>
      <c r="F3302" t="s">
        <v>1057</v>
      </c>
      <c r="G3302" t="s">
        <v>1057</v>
      </c>
      <c r="H3302" t="s">
        <v>209</v>
      </c>
    </row>
    <row r="3303" spans="2:8">
      <c r="B3303" t="s">
        <v>764</v>
      </c>
      <c r="C3303" t="s">
        <v>765</v>
      </c>
      <c r="D3303" t="s">
        <v>260</v>
      </c>
      <c r="E3303" t="s">
        <v>253</v>
      </c>
      <c r="F3303" t="s">
        <v>1057</v>
      </c>
      <c r="G3303" t="s">
        <v>1057</v>
      </c>
      <c r="H3303" t="s">
        <v>209</v>
      </c>
    </row>
    <row r="3304" spans="2:8">
      <c r="B3304" t="s">
        <v>766</v>
      </c>
      <c r="C3304" t="s">
        <v>767</v>
      </c>
      <c r="D3304" t="s">
        <v>260</v>
      </c>
      <c r="E3304" t="s">
        <v>258</v>
      </c>
      <c r="F3304" t="s">
        <v>1057</v>
      </c>
      <c r="G3304" t="s">
        <v>1057</v>
      </c>
      <c r="H3304" t="s">
        <v>209</v>
      </c>
    </row>
    <row r="3305" spans="2:8">
      <c r="B3305" t="s">
        <v>769</v>
      </c>
      <c r="C3305" t="s">
        <v>770</v>
      </c>
      <c r="D3305" t="s">
        <v>260</v>
      </c>
      <c r="E3305" t="s">
        <v>258</v>
      </c>
      <c r="F3305" t="s">
        <v>1057</v>
      </c>
      <c r="G3305" t="s">
        <v>1057</v>
      </c>
      <c r="H3305" t="s">
        <v>209</v>
      </c>
    </row>
    <row r="3306" spans="2:8">
      <c r="B3306" t="s">
        <v>771</v>
      </c>
      <c r="C3306" t="s">
        <v>772</v>
      </c>
      <c r="D3306" t="s">
        <v>260</v>
      </c>
      <c r="E3306" t="s">
        <v>258</v>
      </c>
      <c r="F3306" t="s">
        <v>1057</v>
      </c>
      <c r="G3306" t="s">
        <v>1057</v>
      </c>
      <c r="H3306" t="s">
        <v>209</v>
      </c>
    </row>
    <row r="3307" spans="2:8">
      <c r="B3307" t="s">
        <v>773</v>
      </c>
      <c r="C3307" t="s">
        <v>774</v>
      </c>
      <c r="D3307" t="s">
        <v>260</v>
      </c>
      <c r="E3307" t="s">
        <v>260</v>
      </c>
      <c r="F3307" t="s">
        <v>1057</v>
      </c>
      <c r="G3307" t="s">
        <v>1057</v>
      </c>
      <c r="H3307" t="s">
        <v>209</v>
      </c>
    </row>
    <row r="3308" spans="2:8">
      <c r="B3308" t="s">
        <v>776</v>
      </c>
      <c r="C3308" t="s">
        <v>777</v>
      </c>
      <c r="D3308" t="s">
        <v>260</v>
      </c>
      <c r="E3308" t="s">
        <v>260</v>
      </c>
      <c r="F3308" t="s">
        <v>1057</v>
      </c>
      <c r="G3308" t="s">
        <v>1057</v>
      </c>
      <c r="H3308" t="s">
        <v>209</v>
      </c>
    </row>
    <row r="3309" spans="2:8">
      <c r="B3309" t="s">
        <v>778</v>
      </c>
      <c r="C3309" t="s">
        <v>779</v>
      </c>
      <c r="D3309" t="s">
        <v>260</v>
      </c>
      <c r="E3309" t="s">
        <v>264</v>
      </c>
      <c r="F3309" t="s">
        <v>1057</v>
      </c>
      <c r="G3309" t="s">
        <v>1057</v>
      </c>
      <c r="H3309" t="s">
        <v>209</v>
      </c>
    </row>
    <row r="3310" spans="2:8">
      <c r="B3310" t="s">
        <v>781</v>
      </c>
      <c r="C3310" t="s">
        <v>782</v>
      </c>
      <c r="D3310" t="s">
        <v>260</v>
      </c>
      <c r="E3310" t="s">
        <v>264</v>
      </c>
      <c r="F3310" t="s">
        <v>1057</v>
      </c>
      <c r="G3310" t="s">
        <v>1057</v>
      </c>
      <c r="H3310" t="s">
        <v>209</v>
      </c>
    </row>
    <row r="3311" spans="2:8">
      <c r="B3311" t="s">
        <v>783</v>
      </c>
      <c r="C3311" t="s">
        <v>784</v>
      </c>
      <c r="D3311" t="s">
        <v>260</v>
      </c>
      <c r="E3311" t="s">
        <v>269</v>
      </c>
      <c r="F3311" t="s">
        <v>1057</v>
      </c>
      <c r="G3311" t="s">
        <v>1057</v>
      </c>
      <c r="H3311" t="s">
        <v>209</v>
      </c>
    </row>
    <row r="3312" spans="2:8">
      <c r="B3312" t="s">
        <v>786</v>
      </c>
      <c r="C3312" t="s">
        <v>787</v>
      </c>
      <c r="D3312" t="s">
        <v>260</v>
      </c>
      <c r="E3312" t="s">
        <v>269</v>
      </c>
      <c r="F3312" t="s">
        <v>1057</v>
      </c>
      <c r="G3312" t="s">
        <v>1057</v>
      </c>
      <c r="H3312" t="s">
        <v>209</v>
      </c>
    </row>
    <row r="3313" spans="2:8">
      <c r="B3313" t="s">
        <v>788</v>
      </c>
      <c r="C3313" t="s">
        <v>789</v>
      </c>
      <c r="D3313" t="s">
        <v>260</v>
      </c>
      <c r="E3313" t="s">
        <v>269</v>
      </c>
      <c r="F3313" t="s">
        <v>1057</v>
      </c>
      <c r="G3313" t="s">
        <v>1057</v>
      </c>
      <c r="H3313" t="s">
        <v>209</v>
      </c>
    </row>
    <row r="3314" spans="2:8">
      <c r="B3314" t="s">
        <v>790</v>
      </c>
      <c r="C3314" t="s">
        <v>791</v>
      </c>
      <c r="D3314" t="s">
        <v>260</v>
      </c>
      <c r="E3314" t="s">
        <v>269</v>
      </c>
      <c r="F3314" t="s">
        <v>1057</v>
      </c>
      <c r="G3314" t="s">
        <v>1057</v>
      </c>
      <c r="H3314" t="s">
        <v>209</v>
      </c>
    </row>
    <row r="3315" spans="2:8">
      <c r="B3315" t="s">
        <v>792</v>
      </c>
      <c r="C3315" t="s">
        <v>793</v>
      </c>
      <c r="D3315" t="s">
        <v>260</v>
      </c>
      <c r="E3315" t="s">
        <v>269</v>
      </c>
      <c r="F3315" t="s">
        <v>1057</v>
      </c>
      <c r="G3315" t="s">
        <v>1057</v>
      </c>
      <c r="H3315" t="s">
        <v>209</v>
      </c>
    </row>
    <row r="3316" spans="2:8">
      <c r="B3316" t="s">
        <v>794</v>
      </c>
      <c r="C3316" t="s">
        <v>795</v>
      </c>
      <c r="D3316" t="s">
        <v>260</v>
      </c>
      <c r="E3316" t="s">
        <v>274</v>
      </c>
      <c r="F3316" t="s">
        <v>1057</v>
      </c>
      <c r="G3316" t="s">
        <v>1057</v>
      </c>
      <c r="H3316" t="s">
        <v>209</v>
      </c>
    </row>
    <row r="3317" spans="2:8">
      <c r="B3317" t="s">
        <v>797</v>
      </c>
      <c r="C3317" t="s">
        <v>798</v>
      </c>
      <c r="D3317" t="s">
        <v>260</v>
      </c>
      <c r="E3317" t="s">
        <v>274</v>
      </c>
      <c r="F3317" t="s">
        <v>1057</v>
      </c>
      <c r="G3317" t="s">
        <v>1057</v>
      </c>
      <c r="H3317" t="s">
        <v>209</v>
      </c>
    </row>
    <row r="3318" spans="2:8">
      <c r="B3318" t="s">
        <v>799</v>
      </c>
      <c r="C3318" t="s">
        <v>800</v>
      </c>
      <c r="D3318" t="s">
        <v>260</v>
      </c>
      <c r="E3318" t="s">
        <v>276</v>
      </c>
      <c r="F3318" t="s">
        <v>1057</v>
      </c>
      <c r="G3318" t="s">
        <v>1057</v>
      </c>
      <c r="H3318" t="s">
        <v>209</v>
      </c>
    </row>
    <row r="3319" spans="2:8">
      <c r="B3319" t="s">
        <v>802</v>
      </c>
      <c r="C3319" t="s">
        <v>803</v>
      </c>
      <c r="D3319" t="s">
        <v>260</v>
      </c>
      <c r="E3319" t="s">
        <v>276</v>
      </c>
      <c r="F3319" t="s">
        <v>1057</v>
      </c>
      <c r="G3319" t="s">
        <v>1057</v>
      </c>
      <c r="H3319" t="s">
        <v>209</v>
      </c>
    </row>
    <row r="3320" spans="2:8">
      <c r="B3320" t="s">
        <v>804</v>
      </c>
      <c r="C3320" t="s">
        <v>805</v>
      </c>
      <c r="D3320" t="s">
        <v>260</v>
      </c>
      <c r="E3320" t="s">
        <v>276</v>
      </c>
      <c r="F3320" t="s">
        <v>1057</v>
      </c>
      <c r="G3320" t="s">
        <v>1057</v>
      </c>
      <c r="H3320" t="s">
        <v>209</v>
      </c>
    </row>
    <row r="3321" spans="2:8">
      <c r="B3321" t="s">
        <v>806</v>
      </c>
      <c r="C3321" t="s">
        <v>807</v>
      </c>
      <c r="D3321" t="s">
        <v>260</v>
      </c>
      <c r="E3321" t="s">
        <v>280</v>
      </c>
      <c r="F3321" t="s">
        <v>1057</v>
      </c>
      <c r="G3321" t="s">
        <v>1057</v>
      </c>
      <c r="H3321" t="s">
        <v>209</v>
      </c>
    </row>
    <row r="3322" spans="2:8">
      <c r="B3322" t="s">
        <v>809</v>
      </c>
      <c r="C3322" t="s">
        <v>810</v>
      </c>
      <c r="D3322" t="s">
        <v>260</v>
      </c>
      <c r="E3322" t="s">
        <v>280</v>
      </c>
      <c r="F3322" t="s">
        <v>1057</v>
      </c>
      <c r="G3322" t="s">
        <v>1057</v>
      </c>
      <c r="H3322" t="s">
        <v>209</v>
      </c>
    </row>
    <row r="3323" spans="2:8">
      <c r="B3323" t="s">
        <v>811</v>
      </c>
      <c r="C3323" t="s">
        <v>812</v>
      </c>
      <c r="D3323" t="s">
        <v>260</v>
      </c>
      <c r="E3323" t="s">
        <v>284</v>
      </c>
      <c r="F3323" t="s">
        <v>1057</v>
      </c>
      <c r="G3323" t="s">
        <v>1057</v>
      </c>
      <c r="H3323" t="s">
        <v>209</v>
      </c>
    </row>
    <row r="3324" spans="2:8">
      <c r="B3324" t="s">
        <v>814</v>
      </c>
      <c r="C3324" t="s">
        <v>815</v>
      </c>
      <c r="D3324" t="s">
        <v>260</v>
      </c>
      <c r="E3324" t="s">
        <v>284</v>
      </c>
      <c r="F3324" t="s">
        <v>1057</v>
      </c>
      <c r="G3324" t="s">
        <v>1057</v>
      </c>
      <c r="H3324" t="s">
        <v>209</v>
      </c>
    </row>
    <row r="3325" spans="2:8">
      <c r="B3325" t="s">
        <v>816</v>
      </c>
      <c r="C3325" t="s">
        <v>817</v>
      </c>
      <c r="D3325" t="s">
        <v>260</v>
      </c>
      <c r="E3325" t="s">
        <v>286</v>
      </c>
      <c r="F3325" t="s">
        <v>1057</v>
      </c>
      <c r="G3325" t="s">
        <v>1057</v>
      </c>
      <c r="H3325" t="s">
        <v>209</v>
      </c>
    </row>
    <row r="3326" spans="2:8">
      <c r="B3326" t="s">
        <v>819</v>
      </c>
      <c r="C3326" t="s">
        <v>820</v>
      </c>
      <c r="D3326" t="s">
        <v>260</v>
      </c>
      <c r="E3326" t="s">
        <v>286</v>
      </c>
      <c r="F3326" t="s">
        <v>1057</v>
      </c>
      <c r="G3326" t="s">
        <v>1057</v>
      </c>
      <c r="H3326" t="s">
        <v>209</v>
      </c>
    </row>
    <row r="3327" spans="2:8">
      <c r="B3327" t="s">
        <v>821</v>
      </c>
      <c r="C3327" t="s">
        <v>822</v>
      </c>
      <c r="D3327" t="s">
        <v>260</v>
      </c>
      <c r="E3327" t="s">
        <v>286</v>
      </c>
      <c r="F3327" t="s">
        <v>1057</v>
      </c>
      <c r="G3327" t="s">
        <v>1057</v>
      </c>
      <c r="H3327" t="s">
        <v>209</v>
      </c>
    </row>
    <row r="3328" spans="2:8">
      <c r="B3328" t="s">
        <v>823</v>
      </c>
      <c r="C3328" t="s">
        <v>824</v>
      </c>
      <c r="D3328" t="s">
        <v>260</v>
      </c>
      <c r="E3328" t="s">
        <v>286</v>
      </c>
      <c r="F3328" t="s">
        <v>1057</v>
      </c>
      <c r="G3328" t="s">
        <v>1057</v>
      </c>
      <c r="H3328" t="s">
        <v>209</v>
      </c>
    </row>
    <row r="3329" spans="2:8">
      <c r="B3329" t="s">
        <v>825</v>
      </c>
      <c r="C3329" t="s">
        <v>826</v>
      </c>
      <c r="D3329" t="s">
        <v>260</v>
      </c>
      <c r="E3329" t="s">
        <v>290</v>
      </c>
      <c r="F3329" t="s">
        <v>1057</v>
      </c>
      <c r="G3329" t="s">
        <v>1057</v>
      </c>
      <c r="H3329" t="s">
        <v>209</v>
      </c>
    </row>
    <row r="3330" spans="2:8">
      <c r="B3330" t="s">
        <v>828</v>
      </c>
      <c r="C3330" t="s">
        <v>829</v>
      </c>
      <c r="D3330" t="s">
        <v>260</v>
      </c>
      <c r="E3330" t="s">
        <v>290</v>
      </c>
      <c r="F3330" t="s">
        <v>1057</v>
      </c>
      <c r="G3330" t="s">
        <v>1057</v>
      </c>
      <c r="H3330" t="s">
        <v>209</v>
      </c>
    </row>
    <row r="3331" spans="2:8">
      <c r="B3331" t="s">
        <v>830</v>
      </c>
      <c r="C3331" t="s">
        <v>831</v>
      </c>
      <c r="D3331" t="s">
        <v>260</v>
      </c>
      <c r="E3331" t="s">
        <v>290</v>
      </c>
      <c r="F3331" t="s">
        <v>1057</v>
      </c>
      <c r="G3331" t="s">
        <v>1057</v>
      </c>
      <c r="H3331" t="s">
        <v>209</v>
      </c>
    </row>
    <row r="3332" spans="2:8">
      <c r="B3332" t="s">
        <v>832</v>
      </c>
      <c r="C3332" t="s">
        <v>833</v>
      </c>
      <c r="D3332" t="s">
        <v>260</v>
      </c>
      <c r="E3332" t="s">
        <v>294</v>
      </c>
      <c r="F3332" t="s">
        <v>1057</v>
      </c>
      <c r="G3332" t="s">
        <v>1057</v>
      </c>
      <c r="H3332" t="s">
        <v>1056</v>
      </c>
    </row>
    <row r="3333" spans="2:8">
      <c r="B3333" t="s">
        <v>835</v>
      </c>
      <c r="C3333" t="s">
        <v>836</v>
      </c>
      <c r="D3333" t="s">
        <v>260</v>
      </c>
      <c r="E3333" t="s">
        <v>294</v>
      </c>
      <c r="F3333" t="s">
        <v>1057</v>
      </c>
      <c r="G3333" t="s">
        <v>1057</v>
      </c>
      <c r="H3333" t="s">
        <v>1056</v>
      </c>
    </row>
    <row r="3334" spans="2:8">
      <c r="B3334" t="s">
        <v>838</v>
      </c>
      <c r="C3334" t="s">
        <v>839</v>
      </c>
      <c r="D3334" t="s">
        <v>260</v>
      </c>
      <c r="E3334" t="s">
        <v>296</v>
      </c>
      <c r="F3334" t="s">
        <v>1057</v>
      </c>
      <c r="G3334" t="s">
        <v>1057</v>
      </c>
      <c r="H3334" t="s">
        <v>1056</v>
      </c>
    </row>
    <row r="3335" spans="2:8">
      <c r="B3335" t="s">
        <v>841</v>
      </c>
      <c r="C3335" t="s">
        <v>842</v>
      </c>
      <c r="D3335" t="s">
        <v>260</v>
      </c>
      <c r="E3335" t="s">
        <v>296</v>
      </c>
      <c r="F3335" t="s">
        <v>1057</v>
      </c>
      <c r="G3335" t="s">
        <v>1057</v>
      </c>
      <c r="H3335" t="s">
        <v>1056</v>
      </c>
    </row>
    <row r="3336" spans="2:8">
      <c r="B3336" t="s">
        <v>843</v>
      </c>
      <c r="C3336" t="s">
        <v>844</v>
      </c>
      <c r="D3336" t="s">
        <v>260</v>
      </c>
      <c r="E3336" t="s">
        <v>296</v>
      </c>
      <c r="F3336" t="s">
        <v>1057</v>
      </c>
      <c r="G3336" t="s">
        <v>1057</v>
      </c>
      <c r="H3336" t="s">
        <v>1056</v>
      </c>
    </row>
    <row r="3337" spans="2:8">
      <c r="B3337" t="s">
        <v>845</v>
      </c>
      <c r="C3337" t="s">
        <v>846</v>
      </c>
      <c r="D3337" t="s">
        <v>260</v>
      </c>
      <c r="E3337" t="s">
        <v>300</v>
      </c>
      <c r="F3337" t="s">
        <v>1057</v>
      </c>
      <c r="G3337" t="s">
        <v>1057</v>
      </c>
      <c r="H3337" t="s">
        <v>1056</v>
      </c>
    </row>
    <row r="3338" spans="2:8">
      <c r="B3338" t="s">
        <v>848</v>
      </c>
      <c r="C3338" t="s">
        <v>849</v>
      </c>
      <c r="D3338" t="s">
        <v>260</v>
      </c>
      <c r="E3338" t="s">
        <v>300</v>
      </c>
      <c r="F3338" t="s">
        <v>1057</v>
      </c>
      <c r="G3338" t="s">
        <v>1057</v>
      </c>
      <c r="H3338" t="s">
        <v>1056</v>
      </c>
    </row>
    <row r="3339" spans="2:8">
      <c r="B3339" t="s">
        <v>850</v>
      </c>
      <c r="C3339" t="s">
        <v>851</v>
      </c>
      <c r="D3339" t="s">
        <v>260</v>
      </c>
      <c r="E3339" t="s">
        <v>300</v>
      </c>
      <c r="F3339" t="s">
        <v>1057</v>
      </c>
      <c r="G3339" t="s">
        <v>1057</v>
      </c>
      <c r="H3339" t="s">
        <v>1056</v>
      </c>
    </row>
    <row r="3340" spans="2:8">
      <c r="B3340" t="s">
        <v>852</v>
      </c>
      <c r="C3340" t="s">
        <v>853</v>
      </c>
      <c r="D3340" t="s">
        <v>260</v>
      </c>
      <c r="E3340" t="s">
        <v>300</v>
      </c>
      <c r="F3340" t="s">
        <v>1057</v>
      </c>
      <c r="G3340" t="s">
        <v>1057</v>
      </c>
      <c r="H3340" t="s">
        <v>1056</v>
      </c>
    </row>
    <row r="3341" spans="2:8">
      <c r="B3341" t="s">
        <v>854</v>
      </c>
      <c r="C3341" t="s">
        <v>855</v>
      </c>
      <c r="D3341" t="s">
        <v>260</v>
      </c>
      <c r="E3341" t="s">
        <v>309</v>
      </c>
      <c r="F3341" t="s">
        <v>1057</v>
      </c>
      <c r="G3341" t="s">
        <v>1057</v>
      </c>
      <c r="H3341" t="s">
        <v>1056</v>
      </c>
    </row>
    <row r="3342" spans="2:8">
      <c r="B3342" t="s">
        <v>857</v>
      </c>
      <c r="C3342" t="s">
        <v>858</v>
      </c>
      <c r="D3342" t="s">
        <v>260</v>
      </c>
      <c r="E3342" t="s">
        <v>309</v>
      </c>
      <c r="F3342" t="s">
        <v>1057</v>
      </c>
      <c r="G3342" t="s">
        <v>1057</v>
      </c>
      <c r="H3342" t="s">
        <v>1056</v>
      </c>
    </row>
    <row r="3343" spans="2:8">
      <c r="B3343" t="s">
        <v>859</v>
      </c>
      <c r="C3343" t="s">
        <v>860</v>
      </c>
      <c r="D3343" t="s">
        <v>260</v>
      </c>
      <c r="E3343" t="s">
        <v>317</v>
      </c>
      <c r="F3343" t="s">
        <v>1057</v>
      </c>
      <c r="G3343" t="s">
        <v>1057</v>
      </c>
      <c r="H3343" t="s">
        <v>1056</v>
      </c>
    </row>
    <row r="3344" spans="2:8">
      <c r="B3344" t="s">
        <v>862</v>
      </c>
      <c r="C3344" t="s">
        <v>863</v>
      </c>
      <c r="D3344" t="s">
        <v>260</v>
      </c>
      <c r="E3344" t="s">
        <v>317</v>
      </c>
      <c r="F3344" t="s">
        <v>1057</v>
      </c>
      <c r="G3344" t="s">
        <v>1057</v>
      </c>
      <c r="H3344" t="s">
        <v>1056</v>
      </c>
    </row>
    <row r="3345" spans="2:8">
      <c r="B3345" t="s">
        <v>864</v>
      </c>
      <c r="C3345" t="s">
        <v>865</v>
      </c>
      <c r="D3345" t="s">
        <v>260</v>
      </c>
      <c r="E3345" t="s">
        <v>323</v>
      </c>
      <c r="F3345" t="s">
        <v>1057</v>
      </c>
      <c r="G3345" t="s">
        <v>1057</v>
      </c>
      <c r="H3345" t="s">
        <v>1056</v>
      </c>
    </row>
    <row r="3346" spans="2:8">
      <c r="B3346" t="s">
        <v>867</v>
      </c>
      <c r="C3346" t="s">
        <v>868</v>
      </c>
      <c r="D3346" t="s">
        <v>260</v>
      </c>
      <c r="E3346" t="s">
        <v>323</v>
      </c>
      <c r="F3346" t="s">
        <v>1057</v>
      </c>
      <c r="G3346" t="s">
        <v>1057</v>
      </c>
      <c r="H3346" t="s">
        <v>1056</v>
      </c>
    </row>
    <row r="3347" spans="2:8">
      <c r="B3347" t="s">
        <v>869</v>
      </c>
      <c r="C3347" t="s">
        <v>870</v>
      </c>
      <c r="D3347" t="s">
        <v>260</v>
      </c>
      <c r="E3347" t="s">
        <v>329</v>
      </c>
      <c r="F3347" t="s">
        <v>1057</v>
      </c>
      <c r="G3347" t="s">
        <v>1057</v>
      </c>
      <c r="H3347" t="s">
        <v>1056</v>
      </c>
    </row>
    <row r="3348" spans="2:8">
      <c r="B3348" t="s">
        <v>872</v>
      </c>
      <c r="C3348" t="s">
        <v>873</v>
      </c>
      <c r="D3348" t="s">
        <v>260</v>
      </c>
      <c r="E3348" t="s">
        <v>329</v>
      </c>
      <c r="F3348" t="s">
        <v>1057</v>
      </c>
      <c r="G3348" t="s">
        <v>1057</v>
      </c>
      <c r="H3348" t="s">
        <v>1056</v>
      </c>
    </row>
    <row r="3349" spans="2:8">
      <c r="B3349" t="s">
        <v>874</v>
      </c>
      <c r="C3349" t="s">
        <v>875</v>
      </c>
      <c r="D3349" t="s">
        <v>260</v>
      </c>
      <c r="E3349" t="s">
        <v>333</v>
      </c>
      <c r="F3349" t="s">
        <v>1057</v>
      </c>
      <c r="G3349" t="s">
        <v>1057</v>
      </c>
      <c r="H3349" t="s">
        <v>1056</v>
      </c>
    </row>
    <row r="3350" spans="2:8">
      <c r="B3350" t="s">
        <v>877</v>
      </c>
      <c r="C3350" t="s">
        <v>878</v>
      </c>
      <c r="D3350" t="s">
        <v>260</v>
      </c>
      <c r="E3350" t="s">
        <v>333</v>
      </c>
      <c r="F3350" t="s">
        <v>1057</v>
      </c>
      <c r="G3350" t="s">
        <v>1057</v>
      </c>
      <c r="H3350" t="s">
        <v>1056</v>
      </c>
    </row>
    <row r="3351" spans="2:8">
      <c r="B3351" t="s">
        <v>879</v>
      </c>
      <c r="C3351" t="s">
        <v>880</v>
      </c>
      <c r="D3351" t="s">
        <v>260</v>
      </c>
      <c r="E3351" t="s">
        <v>333</v>
      </c>
      <c r="F3351" t="s">
        <v>1057</v>
      </c>
      <c r="G3351" t="s">
        <v>1057</v>
      </c>
      <c r="H3351" t="s">
        <v>1056</v>
      </c>
    </row>
    <row r="3352" spans="2:8">
      <c r="B3352" t="s">
        <v>885</v>
      </c>
      <c r="C3352" t="s">
        <v>886</v>
      </c>
      <c r="D3352" t="s">
        <v>260</v>
      </c>
      <c r="E3352" t="s">
        <v>407</v>
      </c>
      <c r="F3352" t="s">
        <v>1057</v>
      </c>
      <c r="G3352" t="s">
        <v>1057</v>
      </c>
      <c r="H3352" t="s">
        <v>1056</v>
      </c>
    </row>
    <row r="3353" spans="2:8">
      <c r="B3353" t="s">
        <v>888</v>
      </c>
      <c r="C3353" t="s">
        <v>889</v>
      </c>
      <c r="D3353" t="s">
        <v>260</v>
      </c>
      <c r="E3353" t="s">
        <v>407</v>
      </c>
      <c r="F3353" t="s">
        <v>1057</v>
      </c>
      <c r="G3353" t="s">
        <v>1057</v>
      </c>
      <c r="H3353" t="s">
        <v>1056</v>
      </c>
    </row>
    <row r="3354" spans="2:8">
      <c r="B3354" t="s">
        <v>890</v>
      </c>
      <c r="C3354" t="s">
        <v>891</v>
      </c>
      <c r="D3354" t="s">
        <v>260</v>
      </c>
      <c r="E3354" t="s">
        <v>407</v>
      </c>
      <c r="F3354" t="s">
        <v>1057</v>
      </c>
      <c r="G3354" t="s">
        <v>1057</v>
      </c>
      <c r="H3354" t="s">
        <v>1056</v>
      </c>
    </row>
    <row r="3355" spans="2:8">
      <c r="B3355" t="s">
        <v>896</v>
      </c>
      <c r="C3355" t="s">
        <v>897</v>
      </c>
      <c r="D3355" t="s">
        <v>260</v>
      </c>
      <c r="E3355" t="s">
        <v>501</v>
      </c>
      <c r="F3355" t="s">
        <v>1057</v>
      </c>
      <c r="G3355" t="s">
        <v>1057</v>
      </c>
      <c r="H3355" t="s">
        <v>1056</v>
      </c>
    </row>
    <row r="3356" spans="2:8">
      <c r="B3356" t="s">
        <v>899</v>
      </c>
      <c r="C3356" t="s">
        <v>900</v>
      </c>
      <c r="D3356" t="s">
        <v>260</v>
      </c>
      <c r="E3356" t="s">
        <v>501</v>
      </c>
      <c r="F3356" t="s">
        <v>1057</v>
      </c>
      <c r="G3356" t="s">
        <v>1057</v>
      </c>
      <c r="H3356" t="s">
        <v>1056</v>
      </c>
    </row>
    <row r="3357" spans="2:8">
      <c r="B3357" t="s">
        <v>901</v>
      </c>
      <c r="C3357" t="s">
        <v>902</v>
      </c>
      <c r="D3357" t="s">
        <v>260</v>
      </c>
      <c r="E3357" t="s">
        <v>903</v>
      </c>
      <c r="F3357" t="s">
        <v>1057</v>
      </c>
      <c r="G3357" t="s">
        <v>1057</v>
      </c>
      <c r="H3357" t="s">
        <v>1056</v>
      </c>
    </row>
    <row r="3358" spans="2:8">
      <c r="B3358" t="s">
        <v>905</v>
      </c>
      <c r="C3358" t="s">
        <v>906</v>
      </c>
      <c r="D3358" t="s">
        <v>260</v>
      </c>
      <c r="E3358" t="s">
        <v>903</v>
      </c>
      <c r="F3358" t="s">
        <v>1057</v>
      </c>
      <c r="G3358" t="s">
        <v>1057</v>
      </c>
      <c r="H3358" t="s">
        <v>1056</v>
      </c>
    </row>
    <row r="3359" spans="2:8">
      <c r="B3359" t="s">
        <v>907</v>
      </c>
      <c r="C3359" t="s">
        <v>908</v>
      </c>
      <c r="D3359" t="s">
        <v>260</v>
      </c>
      <c r="E3359" t="s">
        <v>513</v>
      </c>
      <c r="F3359" t="s">
        <v>1057</v>
      </c>
      <c r="G3359" t="s">
        <v>1057</v>
      </c>
      <c r="H3359" t="s">
        <v>1056</v>
      </c>
    </row>
    <row r="3360" spans="2:8">
      <c r="B3360" t="s">
        <v>910</v>
      </c>
      <c r="C3360" t="s">
        <v>911</v>
      </c>
      <c r="D3360" t="s">
        <v>260</v>
      </c>
      <c r="E3360" t="s">
        <v>513</v>
      </c>
      <c r="F3360" t="s">
        <v>1057</v>
      </c>
      <c r="G3360" t="s">
        <v>1057</v>
      </c>
      <c r="H3360" t="s">
        <v>1056</v>
      </c>
    </row>
    <row r="3361" spans="2:8">
      <c r="B3361" t="s">
        <v>912</v>
      </c>
      <c r="C3361" t="s">
        <v>913</v>
      </c>
      <c r="D3361" t="s">
        <v>260</v>
      </c>
      <c r="E3361" t="s">
        <v>513</v>
      </c>
      <c r="F3361" t="s">
        <v>1057</v>
      </c>
      <c r="G3361" t="s">
        <v>1057</v>
      </c>
      <c r="H3361" t="s">
        <v>1056</v>
      </c>
    </row>
    <row r="3362" spans="2:8">
      <c r="B3362" t="s">
        <v>914</v>
      </c>
      <c r="C3362" t="s">
        <v>915</v>
      </c>
      <c r="D3362" t="s">
        <v>260</v>
      </c>
      <c r="E3362" t="s">
        <v>916</v>
      </c>
      <c r="F3362" t="s">
        <v>1057</v>
      </c>
      <c r="G3362" t="s">
        <v>1057</v>
      </c>
      <c r="H3362" t="s">
        <v>1056</v>
      </c>
    </row>
    <row r="3363" spans="2:8">
      <c r="B3363" t="s">
        <v>918</v>
      </c>
      <c r="C3363" t="s">
        <v>919</v>
      </c>
      <c r="D3363" t="s">
        <v>260</v>
      </c>
      <c r="E3363" t="s">
        <v>916</v>
      </c>
      <c r="F3363" t="s">
        <v>1057</v>
      </c>
      <c r="G3363" t="s">
        <v>1057</v>
      </c>
      <c r="H3363" t="s">
        <v>1056</v>
      </c>
    </row>
    <row r="3364" spans="2:8">
      <c r="B3364" t="s">
        <v>920</v>
      </c>
      <c r="C3364" t="s">
        <v>921</v>
      </c>
      <c r="D3364" t="s">
        <v>260</v>
      </c>
      <c r="E3364" t="s">
        <v>922</v>
      </c>
      <c r="F3364" t="s">
        <v>1057</v>
      </c>
      <c r="G3364" t="s">
        <v>1057</v>
      </c>
      <c r="H3364" t="s">
        <v>1056</v>
      </c>
    </row>
    <row r="3365" spans="2:8">
      <c r="B3365" t="s">
        <v>924</v>
      </c>
      <c r="C3365" t="s">
        <v>925</v>
      </c>
      <c r="D3365" t="s">
        <v>260</v>
      </c>
      <c r="E3365" t="s">
        <v>922</v>
      </c>
      <c r="F3365" t="s">
        <v>1057</v>
      </c>
      <c r="G3365" t="s">
        <v>1057</v>
      </c>
      <c r="H3365" t="s">
        <v>1056</v>
      </c>
    </row>
    <row r="3366" spans="2:8">
      <c r="B3366" t="s">
        <v>926</v>
      </c>
      <c r="C3366" t="s">
        <v>927</v>
      </c>
      <c r="D3366" t="s">
        <v>260</v>
      </c>
      <c r="E3366" t="s">
        <v>928</v>
      </c>
      <c r="F3366" t="s">
        <v>1057</v>
      </c>
      <c r="G3366" t="s">
        <v>1057</v>
      </c>
      <c r="H3366" t="s">
        <v>1056</v>
      </c>
    </row>
    <row r="3367" spans="2:8">
      <c r="B3367" t="s">
        <v>930</v>
      </c>
      <c r="C3367" t="s">
        <v>931</v>
      </c>
      <c r="D3367" t="s">
        <v>260</v>
      </c>
      <c r="E3367" t="s">
        <v>928</v>
      </c>
      <c r="F3367" t="s">
        <v>1057</v>
      </c>
      <c r="G3367" t="s">
        <v>1057</v>
      </c>
      <c r="H3367" t="s">
        <v>1056</v>
      </c>
    </row>
    <row r="3368" spans="2:8">
      <c r="B3368" t="s">
        <v>932</v>
      </c>
      <c r="C3368" t="s">
        <v>933</v>
      </c>
      <c r="D3368" t="s">
        <v>260</v>
      </c>
      <c r="E3368" t="s">
        <v>934</v>
      </c>
      <c r="F3368" t="s">
        <v>1057</v>
      </c>
      <c r="G3368" t="s">
        <v>1057</v>
      </c>
      <c r="H3368" t="s">
        <v>1056</v>
      </c>
    </row>
    <row r="3369" spans="2:8">
      <c r="B3369" t="s">
        <v>936</v>
      </c>
      <c r="C3369" t="s">
        <v>937</v>
      </c>
      <c r="D3369" t="s">
        <v>260</v>
      </c>
      <c r="E3369" t="s">
        <v>934</v>
      </c>
      <c r="F3369" t="s">
        <v>1057</v>
      </c>
      <c r="G3369" t="s">
        <v>1057</v>
      </c>
      <c r="H3369" t="s">
        <v>1056</v>
      </c>
    </row>
    <row r="3370" spans="2:8">
      <c r="B3370" t="s">
        <v>938</v>
      </c>
      <c r="C3370" t="s">
        <v>939</v>
      </c>
      <c r="D3370" t="s">
        <v>260</v>
      </c>
      <c r="E3370" t="s">
        <v>940</v>
      </c>
      <c r="F3370" t="s">
        <v>1057</v>
      </c>
      <c r="G3370" t="s">
        <v>1057</v>
      </c>
      <c r="H3370" t="s">
        <v>1056</v>
      </c>
    </row>
    <row r="3371" spans="2:8">
      <c r="B3371" t="s">
        <v>942</v>
      </c>
      <c r="C3371" t="s">
        <v>943</v>
      </c>
      <c r="D3371" t="s">
        <v>260</v>
      </c>
      <c r="E3371" t="s">
        <v>940</v>
      </c>
      <c r="F3371" t="s">
        <v>1057</v>
      </c>
      <c r="G3371" t="s">
        <v>1057</v>
      </c>
      <c r="H3371" t="s">
        <v>1056</v>
      </c>
    </row>
    <row r="3372" spans="2:8">
      <c r="B3372" t="s">
        <v>944</v>
      </c>
      <c r="C3372" t="s">
        <v>945</v>
      </c>
      <c r="D3372" t="s">
        <v>260</v>
      </c>
      <c r="E3372" t="s">
        <v>946</v>
      </c>
      <c r="F3372" t="s">
        <v>1057</v>
      </c>
      <c r="G3372" t="s">
        <v>1057</v>
      </c>
      <c r="H3372" t="s">
        <v>1056</v>
      </c>
    </row>
    <row r="3373" spans="2:8">
      <c r="B3373" t="s">
        <v>948</v>
      </c>
      <c r="C3373" t="s">
        <v>949</v>
      </c>
      <c r="D3373" t="s">
        <v>260</v>
      </c>
      <c r="E3373" t="s">
        <v>946</v>
      </c>
      <c r="F3373" t="s">
        <v>1057</v>
      </c>
      <c r="G3373" t="s">
        <v>1057</v>
      </c>
      <c r="H3373" t="s">
        <v>1056</v>
      </c>
    </row>
    <row r="3374" spans="2:8">
      <c r="B3374" t="s">
        <v>950</v>
      </c>
      <c r="C3374" t="s">
        <v>951</v>
      </c>
      <c r="D3374" t="s">
        <v>260</v>
      </c>
      <c r="E3374" t="s">
        <v>952</v>
      </c>
      <c r="F3374" t="s">
        <v>1057</v>
      </c>
      <c r="G3374" t="s">
        <v>1057</v>
      </c>
      <c r="H3374" t="s">
        <v>1056</v>
      </c>
    </row>
    <row r="3375" spans="2:8">
      <c r="B3375" t="s">
        <v>954</v>
      </c>
      <c r="C3375" t="s">
        <v>955</v>
      </c>
      <c r="D3375" t="s">
        <v>260</v>
      </c>
      <c r="E3375" t="s">
        <v>952</v>
      </c>
      <c r="F3375" t="s">
        <v>1057</v>
      </c>
      <c r="G3375" t="s">
        <v>1057</v>
      </c>
      <c r="H3375" t="s">
        <v>1056</v>
      </c>
    </row>
    <row r="3376" spans="2:8">
      <c r="B3376" t="s">
        <v>956</v>
      </c>
      <c r="C3376" t="s">
        <v>957</v>
      </c>
      <c r="D3376" t="s">
        <v>260</v>
      </c>
      <c r="E3376" t="s">
        <v>952</v>
      </c>
      <c r="F3376" t="s">
        <v>1057</v>
      </c>
      <c r="G3376" t="s">
        <v>1057</v>
      </c>
      <c r="H3376" t="s">
        <v>1056</v>
      </c>
    </row>
    <row r="3377" spans="2:8">
      <c r="B3377" t="s">
        <v>958</v>
      </c>
      <c r="C3377" t="s">
        <v>959</v>
      </c>
      <c r="D3377" t="s">
        <v>264</v>
      </c>
      <c r="E3377" t="s">
        <v>338</v>
      </c>
      <c r="F3377" t="s">
        <v>264</v>
      </c>
      <c r="G3377" t="s">
        <v>264</v>
      </c>
      <c r="H3377" t="s">
        <v>1056</v>
      </c>
    </row>
    <row r="3378" spans="2:8">
      <c r="B3378" t="s">
        <v>961</v>
      </c>
      <c r="C3378" t="s">
        <v>962</v>
      </c>
      <c r="D3378" t="s">
        <v>264</v>
      </c>
      <c r="E3378" t="s">
        <v>342</v>
      </c>
      <c r="F3378" t="s">
        <v>264</v>
      </c>
      <c r="G3378" t="s">
        <v>264</v>
      </c>
      <c r="H3378" t="s">
        <v>1056</v>
      </c>
    </row>
    <row r="3379" spans="2:8">
      <c r="B3379" t="s">
        <v>964</v>
      </c>
      <c r="C3379" t="s">
        <v>965</v>
      </c>
      <c r="D3379" t="s">
        <v>264</v>
      </c>
      <c r="E3379" t="s">
        <v>243</v>
      </c>
      <c r="F3379" t="s">
        <v>264</v>
      </c>
      <c r="G3379" t="s">
        <v>264</v>
      </c>
      <c r="H3379" t="s">
        <v>1056</v>
      </c>
    </row>
    <row r="3380" spans="2:8">
      <c r="B3380" t="s">
        <v>967</v>
      </c>
      <c r="C3380" t="s">
        <v>968</v>
      </c>
      <c r="D3380" t="s">
        <v>264</v>
      </c>
      <c r="E3380" t="s">
        <v>337</v>
      </c>
      <c r="F3380" t="s">
        <v>264</v>
      </c>
      <c r="G3380" t="s">
        <v>264</v>
      </c>
      <c r="H3380" t="s">
        <v>1056</v>
      </c>
    </row>
    <row r="3381" spans="2:8">
      <c r="B3381" t="s">
        <v>970</v>
      </c>
      <c r="C3381" t="s">
        <v>971</v>
      </c>
      <c r="D3381" t="s">
        <v>264</v>
      </c>
      <c r="E3381" t="s">
        <v>244</v>
      </c>
      <c r="F3381" t="s">
        <v>264</v>
      </c>
      <c r="G3381" t="s">
        <v>264</v>
      </c>
      <c r="H3381" t="s">
        <v>1056</v>
      </c>
    </row>
    <row r="3382" spans="2:8">
      <c r="B3382" t="s">
        <v>973</v>
      </c>
      <c r="C3382" t="s">
        <v>974</v>
      </c>
      <c r="D3382" t="s">
        <v>264</v>
      </c>
      <c r="E3382" t="s">
        <v>244</v>
      </c>
      <c r="F3382" t="s">
        <v>264</v>
      </c>
      <c r="G3382" t="s">
        <v>264</v>
      </c>
      <c r="H3382" t="s">
        <v>1056</v>
      </c>
    </row>
    <row r="3383" spans="2:8">
      <c r="B3383" t="s">
        <v>975</v>
      </c>
      <c r="C3383" t="s">
        <v>976</v>
      </c>
      <c r="D3383" t="s">
        <v>264</v>
      </c>
      <c r="E3383" t="s">
        <v>248</v>
      </c>
      <c r="F3383" t="s">
        <v>264</v>
      </c>
      <c r="G3383" t="s">
        <v>264</v>
      </c>
      <c r="H3383" t="s">
        <v>1056</v>
      </c>
    </row>
    <row r="3384" spans="2:8">
      <c r="B3384" t="s">
        <v>978</v>
      </c>
      <c r="C3384" t="s">
        <v>979</v>
      </c>
      <c r="D3384" t="s">
        <v>264</v>
      </c>
      <c r="E3384" t="s">
        <v>253</v>
      </c>
      <c r="F3384" t="s">
        <v>264</v>
      </c>
      <c r="G3384" t="s">
        <v>264</v>
      </c>
      <c r="H3384" t="s">
        <v>1056</v>
      </c>
    </row>
    <row r="3385" spans="2:8">
      <c r="B3385" t="s">
        <v>981</v>
      </c>
      <c r="C3385" t="s">
        <v>982</v>
      </c>
      <c r="D3385" t="s">
        <v>264</v>
      </c>
      <c r="E3385" t="s">
        <v>253</v>
      </c>
      <c r="F3385" t="s">
        <v>264</v>
      </c>
      <c r="G3385" t="s">
        <v>264</v>
      </c>
      <c r="H3385" t="s">
        <v>1056</v>
      </c>
    </row>
    <row r="3386" spans="2:8">
      <c r="B3386" t="s">
        <v>983</v>
      </c>
      <c r="C3386" t="s">
        <v>984</v>
      </c>
      <c r="D3386" t="s">
        <v>264</v>
      </c>
      <c r="E3386" t="s">
        <v>258</v>
      </c>
      <c r="F3386" t="s">
        <v>264</v>
      </c>
      <c r="G3386" t="s">
        <v>264</v>
      </c>
      <c r="H3386" t="s">
        <v>1056</v>
      </c>
    </row>
    <row r="3387" spans="2:8">
      <c r="B3387" t="s">
        <v>986</v>
      </c>
      <c r="C3387" t="s">
        <v>987</v>
      </c>
      <c r="D3387" t="s">
        <v>264</v>
      </c>
      <c r="E3387" t="s">
        <v>258</v>
      </c>
      <c r="F3387" t="s">
        <v>264</v>
      </c>
      <c r="G3387" t="s">
        <v>264</v>
      </c>
      <c r="H3387" t="s">
        <v>1056</v>
      </c>
    </row>
    <row r="3388" spans="2:8">
      <c r="B3388" t="s">
        <v>988</v>
      </c>
      <c r="C3388" t="s">
        <v>989</v>
      </c>
      <c r="D3388" t="s">
        <v>264</v>
      </c>
      <c r="E3388" t="s">
        <v>260</v>
      </c>
      <c r="F3388" t="s">
        <v>264</v>
      </c>
      <c r="G3388" t="s">
        <v>264</v>
      </c>
      <c r="H3388" t="s">
        <v>1056</v>
      </c>
    </row>
    <row r="3389" spans="2:8">
      <c r="B3389" t="s">
        <v>991</v>
      </c>
      <c r="C3389" t="s">
        <v>992</v>
      </c>
      <c r="D3389" t="s">
        <v>264</v>
      </c>
      <c r="E3389" t="s">
        <v>260</v>
      </c>
      <c r="F3389" t="s">
        <v>264</v>
      </c>
      <c r="G3389" t="s">
        <v>264</v>
      </c>
      <c r="H3389" t="s">
        <v>1056</v>
      </c>
    </row>
    <row r="3390" spans="2:8">
      <c r="B3390" t="s">
        <v>993</v>
      </c>
      <c r="C3390" t="s">
        <v>994</v>
      </c>
      <c r="D3390" t="s">
        <v>264</v>
      </c>
      <c r="E3390" t="s">
        <v>264</v>
      </c>
      <c r="F3390" t="s">
        <v>264</v>
      </c>
      <c r="G3390" t="s">
        <v>264</v>
      </c>
      <c r="H3390" t="s">
        <v>1056</v>
      </c>
    </row>
    <row r="3391" spans="2:8">
      <c r="B3391" t="s">
        <v>996</v>
      </c>
      <c r="C3391" t="s">
        <v>997</v>
      </c>
      <c r="D3391" t="s">
        <v>264</v>
      </c>
      <c r="E3391" t="s">
        <v>269</v>
      </c>
      <c r="F3391" t="s">
        <v>264</v>
      </c>
      <c r="G3391" t="s">
        <v>264</v>
      </c>
      <c r="H3391" t="s">
        <v>1056</v>
      </c>
    </row>
    <row r="3392" spans="2:8">
      <c r="B3392" t="s">
        <v>999</v>
      </c>
      <c r="C3392" t="s">
        <v>1000</v>
      </c>
      <c r="D3392" t="s">
        <v>264</v>
      </c>
      <c r="E3392" t="s">
        <v>274</v>
      </c>
      <c r="F3392" t="s">
        <v>264</v>
      </c>
      <c r="G3392" t="s">
        <v>264</v>
      </c>
      <c r="H3392" t="s">
        <v>1056</v>
      </c>
    </row>
    <row r="3393" spans="2:8">
      <c r="B3393" t="s">
        <v>1002</v>
      </c>
      <c r="C3393" t="s">
        <v>1003</v>
      </c>
      <c r="D3393" t="s">
        <v>264</v>
      </c>
      <c r="E3393" t="s">
        <v>274</v>
      </c>
      <c r="F3393" t="s">
        <v>264</v>
      </c>
      <c r="G3393" t="s">
        <v>264</v>
      </c>
      <c r="H3393" t="s">
        <v>1056</v>
      </c>
    </row>
    <row r="3394" spans="2:8">
      <c r="B3394" t="s">
        <v>1004</v>
      </c>
      <c r="C3394" t="s">
        <v>1005</v>
      </c>
      <c r="D3394" t="s">
        <v>264</v>
      </c>
      <c r="E3394" t="s">
        <v>276</v>
      </c>
      <c r="F3394" t="s">
        <v>264</v>
      </c>
      <c r="G3394" t="s">
        <v>264</v>
      </c>
      <c r="H3394" t="s">
        <v>1056</v>
      </c>
    </row>
    <row r="3395" spans="2:8">
      <c r="B3395" t="s">
        <v>1007</v>
      </c>
      <c r="C3395" t="s">
        <v>1008</v>
      </c>
      <c r="D3395" t="s">
        <v>264</v>
      </c>
      <c r="E3395" t="s">
        <v>276</v>
      </c>
      <c r="F3395" t="s">
        <v>264</v>
      </c>
      <c r="G3395" t="s">
        <v>264</v>
      </c>
      <c r="H3395" t="s">
        <v>1056</v>
      </c>
    </row>
    <row r="3396" spans="2:8">
      <c r="B3396" t="s">
        <v>1009</v>
      </c>
      <c r="C3396" t="s">
        <v>1010</v>
      </c>
      <c r="D3396" t="s">
        <v>264</v>
      </c>
      <c r="E3396" t="s">
        <v>280</v>
      </c>
      <c r="F3396" t="s">
        <v>264</v>
      </c>
      <c r="G3396" t="s">
        <v>264</v>
      </c>
      <c r="H3396" t="s">
        <v>1056</v>
      </c>
    </row>
    <row r="3397" spans="2:8">
      <c r="B3397" t="s">
        <v>1012</v>
      </c>
      <c r="C3397" t="s">
        <v>1013</v>
      </c>
      <c r="D3397" t="s">
        <v>264</v>
      </c>
      <c r="E3397" t="s">
        <v>280</v>
      </c>
      <c r="F3397" t="s">
        <v>264</v>
      </c>
      <c r="G3397" t="s">
        <v>264</v>
      </c>
      <c r="H3397" t="s">
        <v>1056</v>
      </c>
    </row>
    <row r="3398" spans="2:8">
      <c r="B3398" t="s">
        <v>1014</v>
      </c>
      <c r="C3398" t="s">
        <v>1015</v>
      </c>
      <c r="D3398" t="s">
        <v>264</v>
      </c>
      <c r="E3398" t="s">
        <v>284</v>
      </c>
      <c r="F3398" t="s">
        <v>264</v>
      </c>
      <c r="G3398" t="s">
        <v>264</v>
      </c>
      <c r="H3398" t="s">
        <v>1056</v>
      </c>
    </row>
    <row r="3399" spans="2:8">
      <c r="B3399" t="s">
        <v>1017</v>
      </c>
      <c r="C3399" t="s">
        <v>1018</v>
      </c>
      <c r="D3399" t="s">
        <v>264</v>
      </c>
      <c r="E3399" t="s">
        <v>286</v>
      </c>
      <c r="F3399" t="s">
        <v>264</v>
      </c>
      <c r="G3399" t="s">
        <v>264</v>
      </c>
      <c r="H3399" t="s">
        <v>1056</v>
      </c>
    </row>
    <row r="3400" spans="2:8">
      <c r="B3400" t="s">
        <v>1020</v>
      </c>
      <c r="C3400" t="s">
        <v>1021</v>
      </c>
      <c r="D3400" t="s">
        <v>264</v>
      </c>
      <c r="E3400" t="s">
        <v>290</v>
      </c>
      <c r="F3400" t="s">
        <v>264</v>
      </c>
      <c r="G3400" t="s">
        <v>264</v>
      </c>
      <c r="H3400" t="s">
        <v>1056</v>
      </c>
    </row>
    <row r="3401" spans="2:8">
      <c r="B3401" t="s">
        <v>1023</v>
      </c>
      <c r="C3401" t="s">
        <v>1024</v>
      </c>
      <c r="D3401" t="s">
        <v>264</v>
      </c>
      <c r="E3401" t="s">
        <v>294</v>
      </c>
      <c r="F3401" t="s">
        <v>264</v>
      </c>
      <c r="G3401" t="s">
        <v>264</v>
      </c>
      <c r="H3401" t="s">
        <v>1056</v>
      </c>
    </row>
    <row r="3402" spans="2:8">
      <c r="B3402" t="s">
        <v>1026</v>
      </c>
      <c r="C3402" t="s">
        <v>1027</v>
      </c>
      <c r="D3402" t="s">
        <v>264</v>
      </c>
      <c r="E3402" t="s">
        <v>296</v>
      </c>
      <c r="F3402" t="s">
        <v>264</v>
      </c>
      <c r="G3402" t="s">
        <v>264</v>
      </c>
      <c r="H3402" t="s">
        <v>1056</v>
      </c>
    </row>
    <row r="3403" spans="2:8">
      <c r="B3403" t="s">
        <v>1029</v>
      </c>
      <c r="C3403" t="s">
        <v>1030</v>
      </c>
      <c r="D3403" t="s">
        <v>264</v>
      </c>
      <c r="E3403" t="s">
        <v>300</v>
      </c>
      <c r="F3403" t="s">
        <v>264</v>
      </c>
      <c r="G3403" t="s">
        <v>264</v>
      </c>
      <c r="H3403" t="s">
        <v>1056</v>
      </c>
    </row>
    <row r="3404" spans="2:8">
      <c r="B3404" t="s">
        <v>1032</v>
      </c>
      <c r="C3404" t="s">
        <v>1033</v>
      </c>
      <c r="D3404" t="s">
        <v>264</v>
      </c>
      <c r="E3404" t="s">
        <v>300</v>
      </c>
      <c r="F3404" t="s">
        <v>264</v>
      </c>
      <c r="G3404" t="s">
        <v>264</v>
      </c>
      <c r="H3404" t="s">
        <v>1056</v>
      </c>
    </row>
    <row r="3405" spans="2:8">
      <c r="B3405" t="s">
        <v>1034</v>
      </c>
      <c r="C3405" t="s">
        <v>1035</v>
      </c>
      <c r="D3405" t="s">
        <v>264</v>
      </c>
      <c r="E3405" t="s">
        <v>309</v>
      </c>
      <c r="F3405" t="s">
        <v>264</v>
      </c>
      <c r="G3405" t="s">
        <v>264</v>
      </c>
      <c r="H3405" t="s">
        <v>1056</v>
      </c>
    </row>
    <row r="3406" spans="2:8">
      <c r="B3406" t="s">
        <v>1037</v>
      </c>
      <c r="C3406" t="s">
        <v>1038</v>
      </c>
      <c r="D3406" t="s">
        <v>264</v>
      </c>
      <c r="E3406" t="s">
        <v>317</v>
      </c>
      <c r="F3406" t="s">
        <v>264</v>
      </c>
      <c r="G3406" t="s">
        <v>264</v>
      </c>
      <c r="H3406" t="s">
        <v>1056</v>
      </c>
    </row>
    <row r="3407" spans="2:8">
      <c r="B3407" t="s">
        <v>1040</v>
      </c>
      <c r="C3407" t="s">
        <v>1041</v>
      </c>
      <c r="D3407" t="s">
        <v>264</v>
      </c>
      <c r="E3407" t="s">
        <v>323</v>
      </c>
      <c r="F3407" t="s">
        <v>264</v>
      </c>
      <c r="G3407" t="s">
        <v>264</v>
      </c>
      <c r="H3407" t="s">
        <v>1056</v>
      </c>
    </row>
    <row r="3408" spans="2:8">
      <c r="B3408" t="s">
        <v>1043</v>
      </c>
      <c r="C3408" t="s">
        <v>1044</v>
      </c>
      <c r="D3408" t="s">
        <v>264</v>
      </c>
      <c r="E3408" t="s">
        <v>329</v>
      </c>
      <c r="F3408" t="s">
        <v>264</v>
      </c>
      <c r="G3408" t="s">
        <v>264</v>
      </c>
      <c r="H3408" t="s">
        <v>1056</v>
      </c>
    </row>
    <row r="3409" spans="2:8">
      <c r="B3409" t="s">
        <v>1046</v>
      </c>
      <c r="C3409" t="s">
        <v>1047</v>
      </c>
      <c r="D3409" t="s">
        <v>264</v>
      </c>
      <c r="E3409" t="s">
        <v>333</v>
      </c>
      <c r="F3409" t="s">
        <v>264</v>
      </c>
      <c r="G3409" t="s">
        <v>264</v>
      </c>
      <c r="H3409" t="s">
        <v>1056</v>
      </c>
    </row>
    <row r="3410" spans="2:8">
      <c r="B3410" t="s">
        <v>1049</v>
      </c>
      <c r="C3410" t="s">
        <v>1050</v>
      </c>
      <c r="D3410" t="s">
        <v>264</v>
      </c>
      <c r="E3410" t="s">
        <v>407</v>
      </c>
      <c r="F3410" t="s">
        <v>264</v>
      </c>
      <c r="G3410" t="s">
        <v>264</v>
      </c>
      <c r="H3410" t="s">
        <v>1056</v>
      </c>
    </row>
    <row r="3413" spans="2:8">
      <c r="B3413" s="302" t="s">
        <v>1058</v>
      </c>
    </row>
    <row r="3414" spans="2:8">
      <c r="B3414" s="303" t="s">
        <v>1059</v>
      </c>
      <c r="C3414" s="303" t="s">
        <v>1060</v>
      </c>
      <c r="D3414" s="303" t="s">
        <v>1061</v>
      </c>
    </row>
    <row r="3415" spans="2:8">
      <c r="B3415">
        <v>26</v>
      </c>
      <c r="C3415" t="s">
        <v>1062</v>
      </c>
      <c r="D3415" t="s">
        <v>515</v>
      </c>
    </row>
    <row r="3416" spans="2:8">
      <c r="B3416">
        <v>100</v>
      </c>
      <c r="C3416" t="s">
        <v>1063</v>
      </c>
      <c r="D3416" t="s">
        <v>388</v>
      </c>
    </row>
    <row r="3417" spans="2:8">
      <c r="B3417">
        <v>101</v>
      </c>
      <c r="C3417" t="s">
        <v>1064</v>
      </c>
      <c r="D3417" t="s">
        <v>388</v>
      </c>
    </row>
    <row r="3418" spans="2:8">
      <c r="B3418">
        <v>102</v>
      </c>
      <c r="C3418" t="s">
        <v>1065</v>
      </c>
      <c r="D3418" t="s">
        <v>364</v>
      </c>
    </row>
    <row r="3419" spans="2:8">
      <c r="B3419">
        <v>105</v>
      </c>
      <c r="C3419" t="s">
        <v>1066</v>
      </c>
      <c r="D3419" t="s">
        <v>396</v>
      </c>
    </row>
    <row r="3420" spans="2:8">
      <c r="B3420">
        <v>116</v>
      </c>
      <c r="C3420" t="s">
        <v>1067</v>
      </c>
      <c r="D3420" t="s">
        <v>364</v>
      </c>
    </row>
    <row r="3421" spans="2:8">
      <c r="B3421">
        <v>118</v>
      </c>
      <c r="C3421" t="s">
        <v>1068</v>
      </c>
      <c r="D3421" t="s">
        <v>364</v>
      </c>
    </row>
    <row r="3422" spans="2:8">
      <c r="B3422">
        <v>186</v>
      </c>
      <c r="C3422" t="s">
        <v>1069</v>
      </c>
      <c r="D3422" t="s">
        <v>736</v>
      </c>
    </row>
    <row r="3423" spans="2:8">
      <c r="B3423">
        <v>204</v>
      </c>
      <c r="C3423" t="s">
        <v>1070</v>
      </c>
      <c r="D3423" t="s">
        <v>532</v>
      </c>
    </row>
    <row r="3424" spans="2:8">
      <c r="B3424">
        <v>209</v>
      </c>
      <c r="C3424" t="s">
        <v>1071</v>
      </c>
      <c r="D3424" t="s">
        <v>806</v>
      </c>
    </row>
    <row r="3425" spans="2:4">
      <c r="B3425">
        <v>210</v>
      </c>
      <c r="C3425" t="s">
        <v>1072</v>
      </c>
      <c r="D3425" t="s">
        <v>518</v>
      </c>
    </row>
    <row r="3426" spans="2:4">
      <c r="B3426">
        <v>212</v>
      </c>
      <c r="C3426" t="s">
        <v>1073</v>
      </c>
      <c r="D3426" t="s">
        <v>529</v>
      </c>
    </row>
    <row r="3427" spans="2:4">
      <c r="B3427">
        <v>213</v>
      </c>
      <c r="C3427" t="s">
        <v>1074</v>
      </c>
      <c r="D3427" t="s">
        <v>603</v>
      </c>
    </row>
    <row r="3428" spans="2:4">
      <c r="B3428">
        <v>220</v>
      </c>
      <c r="C3428" t="s">
        <v>1075</v>
      </c>
      <c r="D3428" t="s">
        <v>311</v>
      </c>
    </row>
    <row r="3429" spans="2:4">
      <c r="B3429">
        <v>227</v>
      </c>
      <c r="C3429" t="s">
        <v>1076</v>
      </c>
      <c r="D3429" t="s">
        <v>581</v>
      </c>
    </row>
    <row r="3430" spans="2:4">
      <c r="B3430">
        <v>228</v>
      </c>
      <c r="C3430" t="s">
        <v>1077</v>
      </c>
      <c r="D3430" t="s">
        <v>642</v>
      </c>
    </row>
    <row r="3431" spans="2:4">
      <c r="B3431">
        <v>300</v>
      </c>
      <c r="C3431" t="s">
        <v>1078</v>
      </c>
      <c r="D3431" t="s">
        <v>262</v>
      </c>
    </row>
    <row r="3432" spans="2:4">
      <c r="B3432">
        <v>302</v>
      </c>
      <c r="C3432" t="s">
        <v>1079</v>
      </c>
      <c r="D3432" t="s">
        <v>692</v>
      </c>
    </row>
    <row r="3433" spans="2:4">
      <c r="B3433">
        <v>303</v>
      </c>
      <c r="C3433" t="s">
        <v>1080</v>
      </c>
      <c r="D3433" t="s">
        <v>586</v>
      </c>
    </row>
    <row r="3434" spans="2:4">
      <c r="B3434">
        <v>304</v>
      </c>
      <c r="C3434" t="s">
        <v>1081</v>
      </c>
      <c r="D3434" t="s">
        <v>622</v>
      </c>
    </row>
    <row r="3435" spans="2:4">
      <c r="B3435">
        <v>305</v>
      </c>
      <c r="C3435" t="s">
        <v>1082</v>
      </c>
      <c r="D3435" t="s">
        <v>620</v>
      </c>
    </row>
    <row r="3436" spans="2:4">
      <c r="B3436">
        <v>306</v>
      </c>
      <c r="C3436" t="s">
        <v>1083</v>
      </c>
      <c r="D3436" t="s">
        <v>724</v>
      </c>
    </row>
    <row r="3437" spans="2:4">
      <c r="B3437">
        <v>309</v>
      </c>
      <c r="C3437" t="s">
        <v>1084</v>
      </c>
      <c r="D3437" t="s">
        <v>675</v>
      </c>
    </row>
    <row r="3438" spans="2:4">
      <c r="B3438">
        <v>310</v>
      </c>
      <c r="C3438" t="s">
        <v>1085</v>
      </c>
      <c r="D3438" t="s">
        <v>267</v>
      </c>
    </row>
    <row r="3439" spans="2:4">
      <c r="B3439">
        <v>311</v>
      </c>
      <c r="C3439" t="s">
        <v>1086</v>
      </c>
      <c r="D3439" t="s">
        <v>315</v>
      </c>
    </row>
    <row r="3440" spans="2:4">
      <c r="B3440">
        <v>313</v>
      </c>
      <c r="C3440" t="s">
        <v>1087</v>
      </c>
      <c r="D3440" t="s">
        <v>639</v>
      </c>
    </row>
    <row r="3441" spans="2:4">
      <c r="B3441">
        <v>314</v>
      </c>
      <c r="C3441" t="s">
        <v>1088</v>
      </c>
      <c r="D3441" t="s">
        <v>321</v>
      </c>
    </row>
    <row r="3442" spans="2:4">
      <c r="B3442">
        <v>318</v>
      </c>
      <c r="C3442" t="s">
        <v>1089</v>
      </c>
      <c r="D3442" t="s">
        <v>471</v>
      </c>
    </row>
    <row r="3443" spans="2:4">
      <c r="B3443">
        <v>319</v>
      </c>
      <c r="C3443" t="s">
        <v>1090</v>
      </c>
      <c r="D3443" t="s">
        <v>476</v>
      </c>
    </row>
    <row r="3444" spans="2:4">
      <c r="B3444">
        <v>320</v>
      </c>
      <c r="C3444" t="s">
        <v>1091</v>
      </c>
      <c r="D3444" t="s">
        <v>631</v>
      </c>
    </row>
    <row r="3445" spans="2:4">
      <c r="B3445">
        <v>321</v>
      </c>
      <c r="C3445" t="s">
        <v>1092</v>
      </c>
      <c r="D3445" t="s">
        <v>246</v>
      </c>
    </row>
    <row r="3446" spans="2:4">
      <c r="B3446">
        <v>323</v>
      </c>
      <c r="C3446" t="s">
        <v>1093</v>
      </c>
      <c r="D3446" t="s">
        <v>695</v>
      </c>
    </row>
    <row r="3447" spans="2:4">
      <c r="B3447">
        <v>325</v>
      </c>
      <c r="C3447" t="s">
        <v>1094</v>
      </c>
      <c r="D3447" t="s">
        <v>588</v>
      </c>
    </row>
    <row r="3448" spans="2:4">
      <c r="B3448">
        <v>326</v>
      </c>
      <c r="C3448" t="s">
        <v>1095</v>
      </c>
      <c r="D3448" t="s">
        <v>601</v>
      </c>
    </row>
    <row r="3449" spans="2:4">
      <c r="B3449">
        <v>328</v>
      </c>
      <c r="C3449" t="s">
        <v>1096</v>
      </c>
      <c r="D3449" t="s">
        <v>576</v>
      </c>
    </row>
    <row r="3450" spans="2:4">
      <c r="B3450">
        <v>331</v>
      </c>
      <c r="C3450" t="s">
        <v>1097</v>
      </c>
      <c r="D3450" t="s">
        <v>633</v>
      </c>
    </row>
    <row r="3451" spans="2:4">
      <c r="B3451">
        <v>332</v>
      </c>
      <c r="C3451" t="s">
        <v>1098</v>
      </c>
      <c r="D3451" t="s">
        <v>288</v>
      </c>
    </row>
    <row r="3452" spans="2:4">
      <c r="B3452">
        <v>333</v>
      </c>
      <c r="C3452" t="s">
        <v>1099</v>
      </c>
      <c r="D3452" t="s">
        <v>523</v>
      </c>
    </row>
    <row r="3453" spans="2:4">
      <c r="B3453">
        <v>334</v>
      </c>
      <c r="C3453" t="s">
        <v>1100</v>
      </c>
      <c r="D3453" t="s">
        <v>520</v>
      </c>
    </row>
    <row r="3454" spans="2:4">
      <c r="B3454">
        <v>335</v>
      </c>
      <c r="C3454" t="s">
        <v>1101</v>
      </c>
      <c r="D3454" t="s">
        <v>662</v>
      </c>
    </row>
    <row r="3455" spans="2:4">
      <c r="B3455">
        <v>336</v>
      </c>
      <c r="C3455" t="s">
        <v>1102</v>
      </c>
      <c r="D3455" t="s">
        <v>462</v>
      </c>
    </row>
    <row r="3456" spans="2:4">
      <c r="B3456">
        <v>339</v>
      </c>
      <c r="C3456" t="s">
        <v>1103</v>
      </c>
      <c r="D3456" t="s">
        <v>776</v>
      </c>
    </row>
    <row r="3457" spans="2:4">
      <c r="B3457">
        <v>340</v>
      </c>
      <c r="C3457" t="s">
        <v>1104</v>
      </c>
      <c r="D3457" t="s">
        <v>441</v>
      </c>
    </row>
    <row r="3458" spans="2:4">
      <c r="B3458">
        <v>341</v>
      </c>
      <c r="C3458" t="s">
        <v>1105</v>
      </c>
      <c r="D3458" t="s">
        <v>625</v>
      </c>
    </row>
    <row r="3459" spans="2:4">
      <c r="B3459">
        <v>342</v>
      </c>
      <c r="C3459" t="s">
        <v>1106</v>
      </c>
      <c r="D3459" t="s">
        <v>327</v>
      </c>
    </row>
    <row r="3460" spans="2:4">
      <c r="B3460">
        <v>343</v>
      </c>
      <c r="C3460" t="s">
        <v>1107</v>
      </c>
      <c r="D3460" t="s">
        <v>335</v>
      </c>
    </row>
    <row r="3461" spans="2:4">
      <c r="B3461">
        <v>344</v>
      </c>
      <c r="C3461" t="s">
        <v>1108</v>
      </c>
      <c r="D3461" t="s">
        <v>606</v>
      </c>
    </row>
    <row r="3462" spans="2:4">
      <c r="B3462">
        <v>345</v>
      </c>
      <c r="C3462" t="s">
        <v>1109</v>
      </c>
      <c r="D3462" t="s">
        <v>598</v>
      </c>
    </row>
    <row r="3463" spans="2:4">
      <c r="B3463">
        <v>346</v>
      </c>
      <c r="C3463" t="s">
        <v>1110</v>
      </c>
      <c r="D3463" t="s">
        <v>541</v>
      </c>
    </row>
    <row r="3464" spans="2:4">
      <c r="B3464">
        <v>349</v>
      </c>
      <c r="C3464" t="s">
        <v>1111</v>
      </c>
      <c r="D3464" t="s">
        <v>425</v>
      </c>
    </row>
    <row r="3465" spans="2:4">
      <c r="B3465">
        <v>350</v>
      </c>
      <c r="C3465" t="s">
        <v>1112</v>
      </c>
      <c r="D3465" t="s">
        <v>414</v>
      </c>
    </row>
    <row r="3466" spans="2:4">
      <c r="B3466">
        <v>352</v>
      </c>
      <c r="C3466" t="s">
        <v>1113</v>
      </c>
      <c r="D3466" t="s">
        <v>364</v>
      </c>
    </row>
    <row r="3467" spans="2:4">
      <c r="B3467">
        <v>353</v>
      </c>
      <c r="C3467" t="s">
        <v>1114</v>
      </c>
      <c r="D3467" t="s">
        <v>468</v>
      </c>
    </row>
    <row r="3468" spans="2:4">
      <c r="B3468">
        <v>356</v>
      </c>
      <c r="C3468" t="s">
        <v>1115</v>
      </c>
      <c r="D3468" t="s">
        <v>975</v>
      </c>
    </row>
    <row r="3469" spans="2:4">
      <c r="B3469">
        <v>358</v>
      </c>
      <c r="C3469" t="s">
        <v>1116</v>
      </c>
      <c r="D3469" t="s">
        <v>1020</v>
      </c>
    </row>
    <row r="3470" spans="2:4">
      <c r="B3470">
        <v>359</v>
      </c>
      <c r="C3470" t="s">
        <v>1117</v>
      </c>
      <c r="D3470" t="s">
        <v>986</v>
      </c>
    </row>
    <row r="3471" spans="2:4">
      <c r="B3471">
        <v>361</v>
      </c>
      <c r="C3471" t="s">
        <v>1118</v>
      </c>
      <c r="D3471" t="s">
        <v>983</v>
      </c>
    </row>
    <row r="3472" spans="2:4">
      <c r="B3472">
        <v>368</v>
      </c>
      <c r="C3472" t="s">
        <v>1119</v>
      </c>
      <c r="D3472" t="s">
        <v>1026</v>
      </c>
    </row>
    <row r="3473" spans="2:4">
      <c r="B3473">
        <v>378</v>
      </c>
      <c r="C3473" t="s">
        <v>1120</v>
      </c>
      <c r="D3473" t="s">
        <v>901</v>
      </c>
    </row>
    <row r="3474" spans="2:4">
      <c r="B3474">
        <v>380</v>
      </c>
      <c r="C3474" t="s">
        <v>1121</v>
      </c>
      <c r="D3474" t="s">
        <v>689</v>
      </c>
    </row>
    <row r="3475" spans="2:4">
      <c r="B3475">
        <v>381</v>
      </c>
      <c r="C3475" t="s">
        <v>1122</v>
      </c>
      <c r="D3475" t="s">
        <v>645</v>
      </c>
    </row>
    <row r="3476" spans="2:4">
      <c r="B3476">
        <v>382</v>
      </c>
      <c r="C3476" t="s">
        <v>625</v>
      </c>
      <c r="D3476" t="s">
        <v>625</v>
      </c>
    </row>
    <row r="3477" spans="2:4">
      <c r="B3477">
        <v>384</v>
      </c>
      <c r="C3477" t="s">
        <v>1123</v>
      </c>
      <c r="D3477" t="s">
        <v>459</v>
      </c>
    </row>
    <row r="3478" spans="2:4">
      <c r="B3478">
        <v>386</v>
      </c>
      <c r="C3478" t="s">
        <v>1124</v>
      </c>
      <c r="D3478" t="s">
        <v>568</v>
      </c>
    </row>
    <row r="3479" spans="2:4">
      <c r="B3479">
        <v>387</v>
      </c>
      <c r="C3479" t="s">
        <v>1125</v>
      </c>
      <c r="D3479" t="s">
        <v>555</v>
      </c>
    </row>
    <row r="3480" spans="2:4">
      <c r="B3480">
        <v>389</v>
      </c>
      <c r="C3480" t="s">
        <v>1126</v>
      </c>
      <c r="D3480" t="s">
        <v>852</v>
      </c>
    </row>
    <row r="3481" spans="2:4">
      <c r="B3481">
        <v>390</v>
      </c>
      <c r="C3481" t="s">
        <v>1127</v>
      </c>
      <c r="D3481" t="s">
        <v>773</v>
      </c>
    </row>
    <row r="3482" spans="2:4">
      <c r="B3482">
        <v>391</v>
      </c>
      <c r="C3482" t="s">
        <v>1128</v>
      </c>
      <c r="D3482" t="s">
        <v>766</v>
      </c>
    </row>
    <row r="3483" spans="2:4">
      <c r="B3483">
        <v>392</v>
      </c>
      <c r="C3483" t="s">
        <v>1129</v>
      </c>
      <c r="D3483" t="s">
        <v>526</v>
      </c>
    </row>
    <row r="3484" spans="2:4">
      <c r="B3484">
        <v>397</v>
      </c>
      <c r="C3484" t="s">
        <v>1130</v>
      </c>
      <c r="D3484" t="s">
        <v>859</v>
      </c>
    </row>
    <row r="3485" spans="2:4">
      <c r="B3485">
        <v>401</v>
      </c>
      <c r="C3485" t="s">
        <v>1131</v>
      </c>
      <c r="D3485" t="s">
        <v>756</v>
      </c>
    </row>
    <row r="3486" spans="2:4">
      <c r="B3486">
        <v>403</v>
      </c>
      <c r="C3486" t="s">
        <v>1132</v>
      </c>
      <c r="D3486" t="s">
        <v>1012</v>
      </c>
    </row>
    <row r="3487" spans="2:4">
      <c r="B3487">
        <v>404</v>
      </c>
      <c r="C3487" t="s">
        <v>1133</v>
      </c>
      <c r="D3487" t="s">
        <v>832</v>
      </c>
    </row>
    <row r="3488" spans="2:4">
      <c r="B3488">
        <v>405</v>
      </c>
      <c r="C3488" t="s">
        <v>1134</v>
      </c>
      <c r="D3488" t="s">
        <v>714</v>
      </c>
    </row>
    <row r="3489" spans="2:4">
      <c r="B3489">
        <v>406</v>
      </c>
      <c r="C3489" t="s">
        <v>1135</v>
      </c>
      <c r="D3489" t="s">
        <v>565</v>
      </c>
    </row>
    <row r="3490" spans="2:4">
      <c r="B3490">
        <v>407</v>
      </c>
      <c r="C3490" t="s">
        <v>1136</v>
      </c>
      <c r="D3490" t="s">
        <v>552</v>
      </c>
    </row>
    <row r="3491" spans="2:4">
      <c r="B3491">
        <v>409</v>
      </c>
      <c r="C3491" t="s">
        <v>1137</v>
      </c>
      <c r="D3491" t="s">
        <v>578</v>
      </c>
    </row>
    <row r="3492" spans="2:4">
      <c r="B3492">
        <v>410</v>
      </c>
      <c r="C3492" t="s">
        <v>1138</v>
      </c>
      <c r="D3492" t="s">
        <v>583</v>
      </c>
    </row>
    <row r="3493" spans="2:4">
      <c r="B3493">
        <v>412</v>
      </c>
      <c r="C3493" t="s">
        <v>1139</v>
      </c>
      <c r="D3493" t="s">
        <v>489</v>
      </c>
    </row>
    <row r="3494" spans="2:4">
      <c r="B3494">
        <v>413</v>
      </c>
      <c r="C3494" t="s">
        <v>1140</v>
      </c>
      <c r="D3494" t="s">
        <v>497</v>
      </c>
    </row>
    <row r="3495" spans="2:4">
      <c r="B3495">
        <v>414</v>
      </c>
      <c r="C3495" t="s">
        <v>1141</v>
      </c>
      <c r="D3495" t="s">
        <v>503</v>
      </c>
    </row>
    <row r="3496" spans="2:4">
      <c r="B3496">
        <v>418</v>
      </c>
      <c r="C3496" t="s">
        <v>1142</v>
      </c>
      <c r="D3496" t="s">
        <v>325</v>
      </c>
    </row>
    <row r="3497" spans="2:4">
      <c r="B3497">
        <v>419</v>
      </c>
      <c r="C3497" t="s">
        <v>1143</v>
      </c>
      <c r="D3497" t="s">
        <v>446</v>
      </c>
    </row>
    <row r="3498" spans="2:4">
      <c r="B3498">
        <v>421</v>
      </c>
      <c r="C3498" t="s">
        <v>1144</v>
      </c>
      <c r="D3498" t="s">
        <v>749</v>
      </c>
    </row>
    <row r="3499" spans="2:4">
      <c r="B3499">
        <v>423</v>
      </c>
      <c r="C3499" t="s">
        <v>1145</v>
      </c>
      <c r="D3499" t="s">
        <v>596</v>
      </c>
    </row>
    <row r="3500" spans="2:4">
      <c r="B3500">
        <v>425</v>
      </c>
      <c r="C3500" t="s">
        <v>1146</v>
      </c>
      <c r="D3500" t="s">
        <v>565</v>
      </c>
    </row>
    <row r="3501" spans="2:4">
      <c r="B3501">
        <v>426</v>
      </c>
      <c r="C3501" t="s">
        <v>1147</v>
      </c>
      <c r="D3501" t="s">
        <v>973</v>
      </c>
    </row>
    <row r="3502" spans="2:4">
      <c r="B3502">
        <v>430</v>
      </c>
      <c r="C3502" t="s">
        <v>1148</v>
      </c>
      <c r="D3502" t="s">
        <v>838</v>
      </c>
    </row>
    <row r="3503" spans="2:4">
      <c r="B3503">
        <v>431</v>
      </c>
      <c r="C3503" t="s">
        <v>1149</v>
      </c>
      <c r="D3503" t="s">
        <v>636</v>
      </c>
    </row>
    <row r="3504" spans="2:4">
      <c r="B3504">
        <v>432</v>
      </c>
      <c r="C3504" t="s">
        <v>1150</v>
      </c>
      <c r="D3504" t="s">
        <v>1004</v>
      </c>
    </row>
    <row r="3505" spans="2:4">
      <c r="B3505">
        <v>441</v>
      </c>
      <c r="C3505" t="s">
        <v>1151</v>
      </c>
      <c r="D3505" t="s">
        <v>412</v>
      </c>
    </row>
    <row r="3506" spans="2:4">
      <c r="B3506">
        <v>442</v>
      </c>
      <c r="C3506" t="s">
        <v>1152</v>
      </c>
      <c r="D3506" t="s">
        <v>409</v>
      </c>
    </row>
    <row r="3507" spans="2:4">
      <c r="B3507">
        <v>444</v>
      </c>
      <c r="C3507" t="s">
        <v>1153</v>
      </c>
      <c r="D3507" t="s">
        <v>628</v>
      </c>
    </row>
    <row r="3508" spans="2:4">
      <c r="B3508">
        <v>446</v>
      </c>
      <c r="C3508" t="s">
        <v>1154</v>
      </c>
      <c r="D3508" t="s">
        <v>436</v>
      </c>
    </row>
    <row r="3509" spans="2:4">
      <c r="B3509">
        <v>447</v>
      </c>
      <c r="C3509" t="s">
        <v>1155</v>
      </c>
      <c r="D3509" t="s">
        <v>557</v>
      </c>
    </row>
    <row r="3510" spans="2:4">
      <c r="B3510">
        <v>468</v>
      </c>
      <c r="C3510" t="s">
        <v>1156</v>
      </c>
      <c r="D3510" t="s">
        <v>759</v>
      </c>
    </row>
    <row r="3511" spans="2:4">
      <c r="B3511">
        <v>473</v>
      </c>
      <c r="C3511" t="s">
        <v>1157</v>
      </c>
      <c r="D3511" t="s">
        <v>754</v>
      </c>
    </row>
    <row r="3512" spans="2:4">
      <c r="B3512">
        <v>474</v>
      </c>
      <c r="C3512" t="s">
        <v>1158</v>
      </c>
      <c r="D3512" t="s">
        <v>1046</v>
      </c>
    </row>
    <row r="3513" spans="2:4">
      <c r="B3513">
        <v>480</v>
      </c>
      <c r="C3513" t="s">
        <v>1159</v>
      </c>
      <c r="D3513" t="s">
        <v>802</v>
      </c>
    </row>
    <row r="3514" spans="2:4">
      <c r="B3514">
        <v>482</v>
      </c>
      <c r="C3514" t="s">
        <v>1160</v>
      </c>
      <c r="D3514" t="s">
        <v>700</v>
      </c>
    </row>
    <row r="3515" spans="2:4">
      <c r="B3515">
        <v>483</v>
      </c>
      <c r="C3515" t="s">
        <v>1161</v>
      </c>
      <c r="D3515" t="s">
        <v>722</v>
      </c>
    </row>
    <row r="3516" spans="2:4">
      <c r="B3516">
        <v>501</v>
      </c>
      <c r="C3516" t="s">
        <v>449</v>
      </c>
      <c r="D3516" t="s">
        <v>449</v>
      </c>
    </row>
    <row r="3517" spans="2:4">
      <c r="B3517">
        <v>519</v>
      </c>
      <c r="C3517" t="s">
        <v>811</v>
      </c>
      <c r="D3517" t="s">
        <v>811</v>
      </c>
    </row>
    <row r="3518" spans="2:4">
      <c r="B3518">
        <v>523</v>
      </c>
      <c r="C3518" t="s">
        <v>1162</v>
      </c>
      <c r="D3518" t="s">
        <v>761</v>
      </c>
    </row>
    <row r="3519" spans="2:4">
      <c r="B3519">
        <v>525</v>
      </c>
      <c r="C3519" t="s">
        <v>1163</v>
      </c>
      <c r="D3519" t="s">
        <v>571</v>
      </c>
    </row>
    <row r="3520" spans="2:4">
      <c r="B3520">
        <v>526</v>
      </c>
      <c r="C3520" t="s">
        <v>591</v>
      </c>
      <c r="D3520" t="s">
        <v>591</v>
      </c>
    </row>
    <row r="3521" spans="2:4">
      <c r="B3521">
        <v>529</v>
      </c>
      <c r="C3521" t="s">
        <v>1164</v>
      </c>
      <c r="D3521" t="s">
        <v>428</v>
      </c>
    </row>
    <row r="3522" spans="2:4">
      <c r="B3522">
        <v>533</v>
      </c>
      <c r="C3522" t="s">
        <v>1165</v>
      </c>
      <c r="D3522" t="s">
        <v>484</v>
      </c>
    </row>
    <row r="3523" spans="2:4">
      <c r="B3523">
        <v>534</v>
      </c>
      <c r="C3523" t="s">
        <v>1166</v>
      </c>
      <c r="D3523" t="s">
        <v>481</v>
      </c>
    </row>
    <row r="3524" spans="2:4">
      <c r="B3524">
        <v>540</v>
      </c>
      <c r="C3524" t="s">
        <v>353</v>
      </c>
      <c r="D3524" t="s">
        <v>353</v>
      </c>
    </row>
    <row r="3525" spans="2:4">
      <c r="B3525">
        <v>544</v>
      </c>
      <c r="C3525" t="s">
        <v>1167</v>
      </c>
      <c r="D3525" t="s">
        <v>350</v>
      </c>
    </row>
    <row r="3526" spans="2:4">
      <c r="B3526">
        <v>557</v>
      </c>
      <c r="C3526" t="s">
        <v>1168</v>
      </c>
      <c r="D3526" t="s">
        <v>835</v>
      </c>
    </row>
    <row r="3527" spans="2:4">
      <c r="B3527">
        <v>558</v>
      </c>
      <c r="C3527" t="s">
        <v>1169</v>
      </c>
      <c r="D3527" t="s">
        <v>854</v>
      </c>
    </row>
    <row r="3528" spans="2:4">
      <c r="B3528">
        <v>573</v>
      </c>
      <c r="C3528" t="s">
        <v>1170</v>
      </c>
      <c r="D3528" t="s">
        <v>709</v>
      </c>
    </row>
    <row r="3529" spans="2:4">
      <c r="B3529">
        <v>580</v>
      </c>
      <c r="C3529" t="s">
        <v>1171</v>
      </c>
      <c r="D3529" t="s">
        <v>420</v>
      </c>
    </row>
    <row r="3530" spans="2:4">
      <c r="B3530">
        <v>582</v>
      </c>
      <c r="C3530" t="s">
        <v>1172</v>
      </c>
      <c r="D3530" t="s">
        <v>546</v>
      </c>
    </row>
    <row r="3531" spans="2:4">
      <c r="B3531">
        <v>584</v>
      </c>
      <c r="C3531" t="s">
        <v>1173</v>
      </c>
      <c r="D3531" t="s">
        <v>563</v>
      </c>
    </row>
    <row r="3532" spans="2:4">
      <c r="B3532">
        <v>718</v>
      </c>
      <c r="C3532" t="s">
        <v>431</v>
      </c>
      <c r="D3532" t="s">
        <v>431</v>
      </c>
    </row>
    <row r="3533" spans="2:4">
      <c r="B3533">
        <v>1104</v>
      </c>
      <c r="C3533" t="s">
        <v>1174</v>
      </c>
      <c r="D3533" t="s">
        <v>732</v>
      </c>
    </row>
    <row r="3534" spans="2:4">
      <c r="B3534">
        <v>1157</v>
      </c>
      <c r="C3534" t="s">
        <v>1007</v>
      </c>
      <c r="D3534" t="s">
        <v>1007</v>
      </c>
    </row>
    <row r="3535" spans="2:4">
      <c r="B3535">
        <v>1332</v>
      </c>
      <c r="C3535" t="s">
        <v>1175</v>
      </c>
      <c r="D3535" t="s">
        <v>278</v>
      </c>
    </row>
    <row r="3536" spans="2:4">
      <c r="B3536">
        <v>1343</v>
      </c>
      <c r="C3536" t="s">
        <v>1176</v>
      </c>
      <c r="D3536" t="s">
        <v>344</v>
      </c>
    </row>
    <row r="3537" spans="2:4">
      <c r="B3537">
        <v>1344</v>
      </c>
      <c r="C3537" t="s">
        <v>1177</v>
      </c>
      <c r="D3537" t="s">
        <v>606</v>
      </c>
    </row>
    <row r="3538" spans="2:4">
      <c r="B3538">
        <v>1353</v>
      </c>
      <c r="C3538" t="s">
        <v>1178</v>
      </c>
      <c r="D3538" t="s">
        <v>468</v>
      </c>
    </row>
    <row r="3539" spans="2:4">
      <c r="B3539">
        <v>1458</v>
      </c>
      <c r="C3539" t="s">
        <v>1179</v>
      </c>
      <c r="D3539" t="s">
        <v>479</v>
      </c>
    </row>
    <row r="3540" spans="2:4">
      <c r="B3540">
        <v>1467</v>
      </c>
      <c r="C3540" t="s">
        <v>778</v>
      </c>
      <c r="D3540" t="s">
        <v>778</v>
      </c>
    </row>
    <row r="3541" spans="2:4">
      <c r="B3541">
        <v>1468</v>
      </c>
      <c r="C3541" t="s">
        <v>769</v>
      </c>
      <c r="D3541" t="s">
        <v>769</v>
      </c>
    </row>
    <row r="3542" spans="2:4">
      <c r="B3542">
        <v>1471</v>
      </c>
      <c r="C3542" t="s">
        <v>1180</v>
      </c>
      <c r="D3542" t="s">
        <v>746</v>
      </c>
    </row>
    <row r="3543" spans="2:4">
      <c r="B3543">
        <v>1473</v>
      </c>
      <c r="C3543" t="s">
        <v>1181</v>
      </c>
      <c r="D3543" t="s">
        <v>738</v>
      </c>
    </row>
    <row r="3544" spans="2:4">
      <c r="B3544">
        <v>1513</v>
      </c>
      <c r="C3544" t="s">
        <v>499</v>
      </c>
      <c r="D3544" t="s">
        <v>499</v>
      </c>
    </row>
    <row r="3545" spans="2:4">
      <c r="B3545">
        <v>3441</v>
      </c>
      <c r="C3545" t="s">
        <v>1182</v>
      </c>
      <c r="D3545" t="s">
        <v>606</v>
      </c>
    </row>
    <row r="3546" spans="2:4">
      <c r="B3546" s="166" t="s">
        <v>1183</v>
      </c>
    </row>
    <row r="3547" spans="2:4">
      <c r="B3547">
        <v>90</v>
      </c>
      <c r="C3547" t="s">
        <v>1184</v>
      </c>
      <c r="D3547" t="s">
        <v>1185</v>
      </c>
    </row>
    <row r="3548" spans="2:4">
      <c r="B3548">
        <v>99</v>
      </c>
      <c r="C3548" t="s">
        <v>1186</v>
      </c>
      <c r="D3548" t="s">
        <v>1187</v>
      </c>
    </row>
    <row r="3549" spans="2:4">
      <c r="B3549">
        <v>140</v>
      </c>
      <c r="C3549" t="s">
        <v>1188</v>
      </c>
      <c r="D3549" t="s">
        <v>1189</v>
      </c>
    </row>
    <row r="3550" spans="2:4">
      <c r="B3550">
        <v>207</v>
      </c>
      <c r="C3550" t="s">
        <v>1190</v>
      </c>
      <c r="D3550" t="s">
        <v>1191</v>
      </c>
    </row>
    <row r="3551" spans="2:4">
      <c r="B3551">
        <v>208</v>
      </c>
      <c r="C3551" t="s">
        <v>1192</v>
      </c>
      <c r="D3551" t="s">
        <v>1193</v>
      </c>
    </row>
    <row r="3552" spans="2:4">
      <c r="B3552">
        <v>211</v>
      </c>
      <c r="C3552" t="s">
        <v>1194</v>
      </c>
      <c r="D3552" t="s">
        <v>1195</v>
      </c>
    </row>
    <row r="3553" spans="2:4">
      <c r="B3553">
        <v>217</v>
      </c>
      <c r="C3553" t="s">
        <v>1196</v>
      </c>
      <c r="D3553" t="s">
        <v>1197</v>
      </c>
    </row>
    <row r="3554" spans="2:4">
      <c r="B3554">
        <v>408</v>
      </c>
      <c r="C3554" t="s">
        <v>1198</v>
      </c>
      <c r="D3554" t="s">
        <v>1199</v>
      </c>
    </row>
    <row r="3555" spans="2:4">
      <c r="B3555">
        <v>415</v>
      </c>
      <c r="C3555" t="s">
        <v>1200</v>
      </c>
      <c r="D3555" t="s">
        <v>1201</v>
      </c>
    </row>
    <row r="3556" spans="2:4">
      <c r="B3556">
        <v>434</v>
      </c>
      <c r="C3556" t="s">
        <v>1202</v>
      </c>
      <c r="D3556" t="s">
        <v>1203</v>
      </c>
    </row>
    <row r="3557" spans="2:4">
      <c r="B3557">
        <v>435</v>
      </c>
      <c r="C3557" t="s">
        <v>1204</v>
      </c>
      <c r="D3557" t="s">
        <v>1205</v>
      </c>
    </row>
    <row r="3558" spans="2:4">
      <c r="B3558">
        <v>436</v>
      </c>
      <c r="C3558" t="s">
        <v>1206</v>
      </c>
      <c r="D3558" t="s">
        <v>1207</v>
      </c>
    </row>
    <row r="3559" spans="2:4">
      <c r="B3559">
        <v>438</v>
      </c>
      <c r="C3559" t="s">
        <v>1208</v>
      </c>
      <c r="D3559" t="s">
        <v>1209</v>
      </c>
    </row>
    <row r="3560" spans="2:4">
      <c r="B3560">
        <v>448</v>
      </c>
      <c r="C3560" t="s">
        <v>1210</v>
      </c>
      <c r="D3560" t="s">
        <v>1211</v>
      </c>
    </row>
    <row r="3561" spans="2:4">
      <c r="B3561">
        <v>451</v>
      </c>
      <c r="C3561" t="s">
        <v>1212</v>
      </c>
      <c r="D3561" t="s">
        <v>1213</v>
      </c>
    </row>
    <row r="3562" spans="2:4">
      <c r="B3562">
        <v>452</v>
      </c>
      <c r="C3562" t="s">
        <v>1214</v>
      </c>
      <c r="D3562" t="s">
        <v>1215</v>
      </c>
    </row>
    <row r="3563" spans="2:4">
      <c r="B3563">
        <v>464</v>
      </c>
      <c r="C3563" t="s">
        <v>1216</v>
      </c>
      <c r="D3563" t="s">
        <v>1217</v>
      </c>
    </row>
    <row r="3564" spans="2:4">
      <c r="B3564">
        <v>465</v>
      </c>
      <c r="C3564" t="s">
        <v>1218</v>
      </c>
      <c r="D3564" t="s">
        <v>1219</v>
      </c>
    </row>
    <row r="3565" spans="2:4">
      <c r="B3565">
        <v>499</v>
      </c>
      <c r="C3565" t="s">
        <v>1220</v>
      </c>
      <c r="D3565" t="s">
        <v>1221</v>
      </c>
    </row>
    <row r="3566" spans="2:4">
      <c r="B3566">
        <v>500</v>
      </c>
      <c r="C3566" t="s">
        <v>1222</v>
      </c>
      <c r="D3566" t="s">
        <v>1223</v>
      </c>
    </row>
    <row r="3567" spans="2:4">
      <c r="B3567">
        <v>531</v>
      </c>
      <c r="C3567" t="s">
        <v>1224</v>
      </c>
      <c r="D3567" t="s">
        <v>1225</v>
      </c>
    </row>
    <row r="3568" spans="2:4">
      <c r="B3568">
        <v>1111</v>
      </c>
      <c r="C3568" t="s">
        <v>1188</v>
      </c>
      <c r="D3568" t="s">
        <v>1226</v>
      </c>
    </row>
    <row r="3569" spans="2:4">
      <c r="B3569">
        <v>1112</v>
      </c>
      <c r="C3569" t="s">
        <v>1227</v>
      </c>
      <c r="D3569" t="s">
        <v>1228</v>
      </c>
    </row>
    <row r="3572" spans="2:4">
      <c r="B3572" s="302" t="s">
        <v>1229</v>
      </c>
    </row>
    <row r="3573" spans="2:4">
      <c r="B3573" s="166" t="s">
        <v>1230</v>
      </c>
      <c r="C3573" s="303" t="s">
        <v>1231</v>
      </c>
      <c r="D3573" s="303" t="s">
        <v>1232</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6" t="s">
        <v>1233</v>
      </c>
      <c r="C3591" s="303" t="s">
        <v>1231</v>
      </c>
      <c r="D3591" s="303" t="s">
        <v>1232</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6" t="s">
        <v>1234</v>
      </c>
      <c r="C3611" s="303" t="s">
        <v>1231</v>
      </c>
      <c r="D3611" s="303" t="s">
        <v>1232</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6" t="s">
        <v>1235</v>
      </c>
      <c r="C3637" s="303" t="s">
        <v>1231</v>
      </c>
      <c r="D3637" s="303" t="s">
        <v>1232</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6" t="s">
        <v>1236</v>
      </c>
      <c r="C3654" s="303" t="s">
        <v>1231</v>
      </c>
      <c r="D3654" s="303" t="s">
        <v>1232</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6" t="s">
        <v>1237</v>
      </c>
      <c r="C3686" s="303" t="s">
        <v>1231</v>
      </c>
      <c r="D3686" s="303" t="s">
        <v>1232</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2" t="s">
        <v>1238</v>
      </c>
    </row>
    <row r="3705" spans="2:11">
      <c r="B3705" t="s">
        <v>1239</v>
      </c>
      <c r="C3705" s="303" t="s">
        <v>226</v>
      </c>
      <c r="D3705" s="303" t="s">
        <v>44</v>
      </c>
      <c r="E3705" s="303" t="s">
        <v>229</v>
      </c>
      <c r="F3705" s="303" t="s">
        <v>231</v>
      </c>
    </row>
    <row r="3706" spans="2:11">
      <c r="B3706" s="166" t="s">
        <v>1240</v>
      </c>
      <c r="C3706" s="303" t="s">
        <v>1241</v>
      </c>
      <c r="D3706" s="303" t="s">
        <v>1242</v>
      </c>
      <c r="E3706" s="303" t="s">
        <v>1243</v>
      </c>
      <c r="F3706" s="303" t="s">
        <v>1244</v>
      </c>
      <c r="G3706" s="303" t="s">
        <v>1245</v>
      </c>
      <c r="H3706" s="303" t="s">
        <v>1246</v>
      </c>
      <c r="I3706" s="303" t="s">
        <v>1247</v>
      </c>
      <c r="J3706" s="303" t="s">
        <v>1248</v>
      </c>
      <c r="K3706" s="303" t="s">
        <v>1249</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6" t="s">
        <v>1250</v>
      </c>
      <c r="C3725" s="303" t="s">
        <v>1241</v>
      </c>
      <c r="D3725" s="303" t="s">
        <v>1242</v>
      </c>
      <c r="E3725" s="303" t="s">
        <v>1243</v>
      </c>
      <c r="F3725" s="303" t="s">
        <v>1244</v>
      </c>
      <c r="G3725" s="303" t="s">
        <v>1245</v>
      </c>
      <c r="H3725" s="303" t="s">
        <v>1246</v>
      </c>
      <c r="I3725" s="303" t="s">
        <v>1247</v>
      </c>
      <c r="J3725" s="303" t="s">
        <v>1248</v>
      </c>
      <c r="K3725" s="303" t="s">
        <v>1249</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6" t="s">
        <v>1251</v>
      </c>
      <c r="C3738" s="303" t="s">
        <v>1241</v>
      </c>
      <c r="D3738" s="303" t="s">
        <v>1242</v>
      </c>
      <c r="E3738" s="303" t="s">
        <v>1243</v>
      </c>
      <c r="F3738" s="303" t="s">
        <v>1244</v>
      </c>
      <c r="G3738" s="303" t="s">
        <v>1245</v>
      </c>
      <c r="H3738" s="303" t="s">
        <v>1246</v>
      </c>
      <c r="I3738" s="303" t="s">
        <v>1247</v>
      </c>
      <c r="J3738" s="303" t="s">
        <v>1248</v>
      </c>
      <c r="K3738" s="303" t="s">
        <v>1249</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6" t="s">
        <v>1252</v>
      </c>
      <c r="C3758" s="303" t="s">
        <v>1241</v>
      </c>
      <c r="D3758" s="303" t="s">
        <v>1242</v>
      </c>
      <c r="E3758" s="303" t="s">
        <v>1243</v>
      </c>
      <c r="F3758" s="303" t="s">
        <v>1244</v>
      </c>
      <c r="G3758" s="303" t="s">
        <v>1245</v>
      </c>
      <c r="H3758" s="303" t="s">
        <v>1246</v>
      </c>
      <c r="I3758" s="303" t="s">
        <v>1247</v>
      </c>
      <c r="J3758" s="303" t="s">
        <v>1248</v>
      </c>
      <c r="K3758" s="303" t="s">
        <v>1249</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6" t="s">
        <v>1253</v>
      </c>
      <c r="C3780" s="303" t="s">
        <v>1241</v>
      </c>
      <c r="D3780" s="303" t="s">
        <v>1242</v>
      </c>
      <c r="E3780" s="303" t="s">
        <v>1243</v>
      </c>
      <c r="F3780" s="303" t="s">
        <v>1244</v>
      </c>
      <c r="G3780" s="303" t="s">
        <v>1245</v>
      </c>
      <c r="H3780" s="303" t="s">
        <v>1246</v>
      </c>
      <c r="I3780" s="303" t="s">
        <v>1247</v>
      </c>
      <c r="J3780" s="303" t="s">
        <v>1248</v>
      </c>
      <c r="K3780" s="303" t="s">
        <v>1249</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6" t="s">
        <v>1254</v>
      </c>
      <c r="C3790" s="303" t="s">
        <v>1241</v>
      </c>
      <c r="D3790" s="303" t="s">
        <v>1242</v>
      </c>
      <c r="E3790" s="303" t="s">
        <v>1243</v>
      </c>
      <c r="F3790" s="303" t="s">
        <v>1244</v>
      </c>
      <c r="G3790" s="303" t="s">
        <v>1245</v>
      </c>
      <c r="H3790" s="303" t="s">
        <v>1246</v>
      </c>
      <c r="I3790" s="303" t="s">
        <v>1247</v>
      </c>
      <c r="J3790" s="303" t="s">
        <v>1248</v>
      </c>
      <c r="K3790" s="303" t="s">
        <v>1249</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6" t="s">
        <v>1255</v>
      </c>
      <c r="C3809" s="303" t="s">
        <v>1241</v>
      </c>
      <c r="D3809" s="303" t="s">
        <v>1242</v>
      </c>
      <c r="E3809" s="303" t="s">
        <v>1243</v>
      </c>
      <c r="F3809" s="303" t="s">
        <v>1244</v>
      </c>
      <c r="G3809" s="303" t="s">
        <v>1245</v>
      </c>
      <c r="H3809" s="303" t="s">
        <v>1246</v>
      </c>
      <c r="I3809" s="303" t="s">
        <v>1247</v>
      </c>
      <c r="J3809" s="303" t="s">
        <v>1248</v>
      </c>
      <c r="K3809" s="303" t="s">
        <v>1249</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2" t="s">
        <v>1256</v>
      </c>
    </row>
    <row r="3829" spans="2:11">
      <c r="B3829" s="166" t="s">
        <v>1240</v>
      </c>
      <c r="C3829" s="303" t="s">
        <v>1257</v>
      </c>
      <c r="D3829" s="303" t="s">
        <v>1258</v>
      </c>
      <c r="E3829" s="303" t="s">
        <v>44</v>
      </c>
      <c r="F3829" s="303" t="s">
        <v>229</v>
      </c>
      <c r="G3829" s="303" t="s">
        <v>231</v>
      </c>
    </row>
    <row r="3830" spans="2:11">
      <c r="C3830" t="s">
        <v>1259</v>
      </c>
      <c r="D3830">
        <v>67500</v>
      </c>
      <c r="E3830">
        <v>79500</v>
      </c>
      <c r="F3830">
        <v>93750</v>
      </c>
      <c r="G3830">
        <v>110000</v>
      </c>
    </row>
    <row r="3831" spans="2:11">
      <c r="C3831" t="s">
        <v>1260</v>
      </c>
      <c r="D3831">
        <v>117000</v>
      </c>
      <c r="E3831">
        <v>135000</v>
      </c>
      <c r="F3831">
        <v>154000</v>
      </c>
      <c r="G3831">
        <v>177000</v>
      </c>
    </row>
    <row r="3832" spans="2:11">
      <c r="C3832" t="s">
        <v>1261</v>
      </c>
      <c r="D3832">
        <v>180000</v>
      </c>
      <c r="E3832">
        <v>228000</v>
      </c>
      <c r="F3832">
        <v>287000</v>
      </c>
      <c r="G3832">
        <v>363000</v>
      </c>
    </row>
    <row r="3833" spans="2:11">
      <c r="C3833" t="s">
        <v>1262</v>
      </c>
      <c r="D3833">
        <v>9700</v>
      </c>
      <c r="E3833">
        <v>11100</v>
      </c>
      <c r="F3833">
        <v>12800</v>
      </c>
      <c r="G3833">
        <v>14700</v>
      </c>
    </row>
    <row r="3834" spans="2:11">
      <c r="C3834" t="s">
        <v>1263</v>
      </c>
      <c r="D3834">
        <v>51000</v>
      </c>
      <c r="E3834">
        <v>67500</v>
      </c>
      <c r="F3834">
        <v>89000</v>
      </c>
      <c r="G3834">
        <v>118000</v>
      </c>
    </row>
    <row r="3835" spans="2:11">
      <c r="C3835" t="s">
        <v>1264</v>
      </c>
      <c r="D3835">
        <v>100000</v>
      </c>
      <c r="E3835">
        <v>126000</v>
      </c>
      <c r="F3835">
        <v>160000</v>
      </c>
      <c r="G3835">
        <v>202000</v>
      </c>
    </row>
    <row r="3836" spans="2:11">
      <c r="C3836" t="s">
        <v>1265</v>
      </c>
      <c r="D3836">
        <v>12900</v>
      </c>
      <c r="E3836">
        <v>14100</v>
      </c>
      <c r="F3836">
        <v>15300</v>
      </c>
      <c r="G3836">
        <v>16700</v>
      </c>
    </row>
    <row r="3837" spans="2:11">
      <c r="C3837" t="s">
        <v>1266</v>
      </c>
      <c r="D3837">
        <v>22400</v>
      </c>
      <c r="E3837">
        <v>24400</v>
      </c>
      <c r="F3837">
        <v>26600</v>
      </c>
      <c r="G3837">
        <v>29000</v>
      </c>
    </row>
    <row r="3838" spans="2:11">
      <c r="C3838" t="s">
        <v>1267</v>
      </c>
      <c r="D3838">
        <v>260000</v>
      </c>
      <c r="E3838">
        <v>276000</v>
      </c>
      <c r="F3838">
        <v>294000</v>
      </c>
      <c r="G3838">
        <v>312000</v>
      </c>
    </row>
    <row r="3839" spans="2:11">
      <c r="C3839" t="s">
        <v>1268</v>
      </c>
      <c r="D3839">
        <v>17200</v>
      </c>
      <c r="E3839">
        <v>22300</v>
      </c>
      <c r="F3839">
        <v>29000</v>
      </c>
      <c r="G3839">
        <v>37600</v>
      </c>
    </row>
    <row r="3841" spans="2:7">
      <c r="B3841" s="166" t="s">
        <v>1269</v>
      </c>
      <c r="C3841" s="303" t="s">
        <v>1257</v>
      </c>
      <c r="D3841" s="303" t="s">
        <v>1258</v>
      </c>
      <c r="E3841" s="303" t="s">
        <v>44</v>
      </c>
      <c r="F3841" s="303" t="s">
        <v>229</v>
      </c>
      <c r="G3841" s="303" t="s">
        <v>231</v>
      </c>
    </row>
    <row r="3842" spans="2:7">
      <c r="C3842" t="s">
        <v>1259</v>
      </c>
      <c r="D3842">
        <v>61500</v>
      </c>
      <c r="E3842">
        <v>71750</v>
      </c>
      <c r="F3842">
        <v>84000</v>
      </c>
      <c r="G3842">
        <v>99000</v>
      </c>
    </row>
    <row r="3843" spans="2:7">
      <c r="C3843" t="s">
        <v>1262</v>
      </c>
      <c r="D3843">
        <v>8550</v>
      </c>
      <c r="E3843">
        <v>9950</v>
      </c>
      <c r="F3843">
        <v>11700</v>
      </c>
      <c r="G3843">
        <v>13700</v>
      </c>
    </row>
    <row r="3844" spans="2:7">
      <c r="C3844" t="s">
        <v>1268</v>
      </c>
      <c r="D3844">
        <v>14800</v>
      </c>
      <c r="E3844">
        <v>19000</v>
      </c>
      <c r="F3844">
        <v>24500</v>
      </c>
      <c r="G3844">
        <v>31400</v>
      </c>
    </row>
    <row r="3846" spans="2:7">
      <c r="B3846" s="166" t="s">
        <v>1270</v>
      </c>
      <c r="C3846" s="303" t="s">
        <v>1257</v>
      </c>
      <c r="D3846" s="303" t="s">
        <v>1258</v>
      </c>
      <c r="E3846" s="303" t="s">
        <v>44</v>
      </c>
      <c r="F3846" s="303" t="s">
        <v>229</v>
      </c>
      <c r="G3846" s="303" t="s">
        <v>231</v>
      </c>
    </row>
    <row r="3847" spans="2:7">
      <c r="C3847" t="s">
        <v>1271</v>
      </c>
      <c r="D3847">
        <v>66250</v>
      </c>
      <c r="E3847">
        <v>78000</v>
      </c>
      <c r="F3847">
        <v>92000</v>
      </c>
      <c r="G3847">
        <v>108000</v>
      </c>
    </row>
    <row r="3848" spans="2:7">
      <c r="C3848" t="s">
        <v>1272</v>
      </c>
      <c r="D3848">
        <v>9650</v>
      </c>
      <c r="E3848">
        <v>11100</v>
      </c>
      <c r="F3848">
        <v>12700</v>
      </c>
      <c r="G3848">
        <v>14600</v>
      </c>
    </row>
    <row r="3850" spans="2:7">
      <c r="B3850" s="166" t="s">
        <v>1273</v>
      </c>
      <c r="C3850" s="303" t="s">
        <v>1257</v>
      </c>
      <c r="D3850" s="303" t="s">
        <v>1258</v>
      </c>
      <c r="E3850" s="303" t="s">
        <v>44</v>
      </c>
      <c r="F3850" s="303" t="s">
        <v>229</v>
      </c>
      <c r="G3850" s="303" t="s">
        <v>231</v>
      </c>
    </row>
    <row r="3851" spans="2:7">
      <c r="C3851" t="s">
        <v>1259</v>
      </c>
      <c r="D3851">
        <v>66250</v>
      </c>
      <c r="E3851">
        <v>78000</v>
      </c>
      <c r="F3851">
        <v>92000</v>
      </c>
      <c r="G3851">
        <v>108000</v>
      </c>
    </row>
    <row r="3852" spans="2:7">
      <c r="C3852" t="s">
        <v>1274</v>
      </c>
      <c r="D3852">
        <v>116000</v>
      </c>
      <c r="E3852">
        <v>133000</v>
      </c>
      <c r="F3852">
        <v>152000</v>
      </c>
      <c r="G3852">
        <v>175000</v>
      </c>
    </row>
    <row r="3853" spans="2:7">
      <c r="C3853" t="s">
        <v>1262</v>
      </c>
      <c r="D3853">
        <v>9650</v>
      </c>
      <c r="E3853">
        <v>11100</v>
      </c>
      <c r="F3853">
        <v>12700</v>
      </c>
      <c r="G3853">
        <v>14600</v>
      </c>
    </row>
    <row r="3854" spans="2:7">
      <c r="C3854" t="s">
        <v>1263</v>
      </c>
      <c r="D3854">
        <v>51250</v>
      </c>
      <c r="E3854">
        <v>67750</v>
      </c>
      <c r="F3854">
        <v>89500</v>
      </c>
      <c r="G3854">
        <v>118000</v>
      </c>
    </row>
    <row r="3855" spans="2:7">
      <c r="C3855" t="s">
        <v>1264</v>
      </c>
      <c r="D3855">
        <v>101000</v>
      </c>
      <c r="E3855">
        <v>127000</v>
      </c>
      <c r="F3855">
        <v>160000</v>
      </c>
      <c r="G3855">
        <v>203000</v>
      </c>
    </row>
    <row r="3856" spans="2:7">
      <c r="C3856" t="s">
        <v>1265</v>
      </c>
      <c r="D3856">
        <v>13000</v>
      </c>
      <c r="E3856">
        <v>14100</v>
      </c>
      <c r="F3856">
        <v>15400</v>
      </c>
      <c r="G3856">
        <v>16700</v>
      </c>
    </row>
    <row r="3857" spans="2:7">
      <c r="C3857" t="s">
        <v>1266</v>
      </c>
      <c r="D3857">
        <v>22600</v>
      </c>
      <c r="E3857">
        <v>24600</v>
      </c>
      <c r="F3857">
        <v>26900</v>
      </c>
      <c r="G3857">
        <v>29300</v>
      </c>
    </row>
    <row r="3858" spans="2:7">
      <c r="C3858" t="s">
        <v>1267</v>
      </c>
      <c r="D3858">
        <v>270000</v>
      </c>
      <c r="E3858">
        <v>289000</v>
      </c>
      <c r="F3858">
        <v>309000</v>
      </c>
      <c r="G3858">
        <v>330000</v>
      </c>
    </row>
    <row r="3859" spans="2:7">
      <c r="C3859" t="s">
        <v>1268</v>
      </c>
      <c r="D3859">
        <v>17500</v>
      </c>
      <c r="E3859">
        <v>22200</v>
      </c>
      <c r="F3859">
        <v>28300</v>
      </c>
      <c r="G3859">
        <v>36000</v>
      </c>
    </row>
    <row r="3861" spans="2:7">
      <c r="B3861" s="166" t="s">
        <v>1275</v>
      </c>
      <c r="C3861" s="303" t="s">
        <v>1257</v>
      </c>
      <c r="D3861" s="303" t="s">
        <v>1258</v>
      </c>
      <c r="E3861" s="303" t="s">
        <v>44</v>
      </c>
      <c r="F3861" s="303" t="s">
        <v>229</v>
      </c>
      <c r="G3861" s="303" t="s">
        <v>231</v>
      </c>
    </row>
    <row r="3862" spans="2:7">
      <c r="C3862" t="s">
        <v>1259</v>
      </c>
      <c r="D3862">
        <v>67500</v>
      </c>
      <c r="E3862">
        <v>80000</v>
      </c>
      <c r="F3862">
        <v>94250</v>
      </c>
      <c r="G3862">
        <v>111000</v>
      </c>
    </row>
    <row r="3863" spans="2:7">
      <c r="C3863" t="s">
        <v>1260</v>
      </c>
      <c r="D3863">
        <v>117000</v>
      </c>
      <c r="E3863">
        <v>134000</v>
      </c>
      <c r="F3863">
        <v>154000</v>
      </c>
      <c r="G3863">
        <v>176000</v>
      </c>
    </row>
    <row r="3864" spans="2:7">
      <c r="C3864" t="s">
        <v>1261</v>
      </c>
      <c r="D3864">
        <v>179000</v>
      </c>
      <c r="E3864">
        <v>227000</v>
      </c>
      <c r="F3864">
        <v>285000</v>
      </c>
      <c r="G3864">
        <v>362000</v>
      </c>
    </row>
    <row r="3865" spans="2:7">
      <c r="C3865" t="s">
        <v>1262</v>
      </c>
      <c r="D3865">
        <v>9350</v>
      </c>
      <c r="E3865">
        <v>10800</v>
      </c>
      <c r="F3865">
        <v>12500</v>
      </c>
      <c r="G3865">
        <v>14300</v>
      </c>
    </row>
    <row r="3866" spans="2:7">
      <c r="C3866" t="s">
        <v>1263</v>
      </c>
      <c r="D3866">
        <v>49800</v>
      </c>
      <c r="E3866">
        <v>66000</v>
      </c>
      <c r="F3866">
        <v>87500</v>
      </c>
      <c r="G3866">
        <v>115000</v>
      </c>
    </row>
    <row r="3867" spans="2:7">
      <c r="C3867" t="s">
        <v>1264</v>
      </c>
      <c r="D3867">
        <v>97500</v>
      </c>
      <c r="E3867">
        <v>123000</v>
      </c>
      <c r="F3867">
        <v>157000</v>
      </c>
      <c r="G3867">
        <v>199000</v>
      </c>
    </row>
    <row r="3868" spans="2:7">
      <c r="C3868" t="s">
        <v>1265</v>
      </c>
      <c r="D3868">
        <v>12600</v>
      </c>
      <c r="E3868">
        <v>13700</v>
      </c>
      <c r="F3868">
        <v>15100</v>
      </c>
      <c r="G3868">
        <v>16400</v>
      </c>
    </row>
    <row r="3869" spans="2:7">
      <c r="C3869" t="s">
        <v>1266</v>
      </c>
      <c r="D3869">
        <v>22000</v>
      </c>
      <c r="E3869">
        <v>23900</v>
      </c>
      <c r="F3869">
        <v>26200</v>
      </c>
      <c r="G3869">
        <v>28400</v>
      </c>
    </row>
    <row r="3870" spans="2:7">
      <c r="C3870" t="s">
        <v>1267</v>
      </c>
      <c r="D3870">
        <v>262000</v>
      </c>
      <c r="E3870">
        <v>278000</v>
      </c>
      <c r="F3870">
        <v>296000</v>
      </c>
      <c r="G3870">
        <v>315000</v>
      </c>
    </row>
    <row r="3871" spans="2:7">
      <c r="C3871" t="s">
        <v>1268</v>
      </c>
      <c r="D3871">
        <v>18100</v>
      </c>
      <c r="E3871">
        <v>23300</v>
      </c>
      <c r="F3871">
        <v>30300</v>
      </c>
      <c r="G3871">
        <v>39000</v>
      </c>
    </row>
    <row r="3873" spans="2:7">
      <c r="B3873" s="166" t="s">
        <v>1276</v>
      </c>
      <c r="C3873" s="303" t="s">
        <v>1257</v>
      </c>
      <c r="D3873" s="303" t="s">
        <v>1258</v>
      </c>
      <c r="E3873" s="303" t="s">
        <v>44</v>
      </c>
      <c r="F3873" s="303" t="s">
        <v>229</v>
      </c>
      <c r="G3873" s="303" t="s">
        <v>231</v>
      </c>
    </row>
    <row r="3874" spans="2:7">
      <c r="C3874" t="s">
        <v>1259</v>
      </c>
      <c r="D3874">
        <v>64250</v>
      </c>
      <c r="E3874">
        <v>76000</v>
      </c>
      <c r="F3874">
        <v>89000</v>
      </c>
      <c r="G3874">
        <v>105000</v>
      </c>
    </row>
    <row r="3875" spans="2:7">
      <c r="C3875" t="s">
        <v>1274</v>
      </c>
      <c r="D3875">
        <v>110000</v>
      </c>
      <c r="E3875">
        <v>127000</v>
      </c>
      <c r="F3875">
        <v>145000</v>
      </c>
      <c r="G3875">
        <v>167000</v>
      </c>
    </row>
    <row r="3876" spans="2:7">
      <c r="C3876" t="s">
        <v>1262</v>
      </c>
      <c r="D3876">
        <v>8850</v>
      </c>
      <c r="E3876">
        <v>10200</v>
      </c>
      <c r="F3876">
        <v>11800</v>
      </c>
      <c r="G3876">
        <v>13500</v>
      </c>
    </row>
    <row r="3877" spans="2:7">
      <c r="C3877" t="s">
        <v>1263</v>
      </c>
      <c r="D3877">
        <v>46400</v>
      </c>
      <c r="E3877">
        <v>61250</v>
      </c>
      <c r="F3877">
        <v>81000</v>
      </c>
      <c r="G3877">
        <v>107000</v>
      </c>
    </row>
    <row r="3878" spans="2:7">
      <c r="C3878" t="s">
        <v>1264</v>
      </c>
      <c r="D3878">
        <v>91250</v>
      </c>
      <c r="E3878">
        <v>115000</v>
      </c>
      <c r="F3878">
        <v>145000</v>
      </c>
      <c r="G3878">
        <v>183000</v>
      </c>
    </row>
    <row r="3879" spans="2:7">
      <c r="C3879" t="s">
        <v>1265</v>
      </c>
      <c r="D3879">
        <v>11800</v>
      </c>
      <c r="E3879">
        <v>12800</v>
      </c>
      <c r="F3879">
        <v>13900</v>
      </c>
      <c r="G3879">
        <v>15200</v>
      </c>
    </row>
    <row r="3880" spans="2:7">
      <c r="C3880" t="s">
        <v>1266</v>
      </c>
      <c r="D3880">
        <v>20400</v>
      </c>
      <c r="E3880">
        <v>22200</v>
      </c>
      <c r="F3880">
        <v>24300</v>
      </c>
      <c r="G3880">
        <v>26300</v>
      </c>
    </row>
    <row r="3881" spans="2:7">
      <c r="C3881" t="s">
        <v>1277</v>
      </c>
      <c r="D3881">
        <v>155000</v>
      </c>
      <c r="E3881">
        <v>193000</v>
      </c>
      <c r="F3881">
        <v>243000</v>
      </c>
      <c r="G3881">
        <v>301000</v>
      </c>
    </row>
    <row r="3882" spans="2:7">
      <c r="C3882" t="s">
        <v>1267</v>
      </c>
      <c r="D3882">
        <v>256000</v>
      </c>
      <c r="E3882">
        <v>274000</v>
      </c>
      <c r="F3882">
        <v>293000</v>
      </c>
      <c r="G3882">
        <v>314000</v>
      </c>
    </row>
    <row r="3883" spans="2:7">
      <c r="C3883" t="s">
        <v>1268</v>
      </c>
      <c r="D3883">
        <v>17100</v>
      </c>
      <c r="E3883">
        <v>21600</v>
      </c>
      <c r="F3883">
        <v>27200</v>
      </c>
      <c r="G3883">
        <v>34400</v>
      </c>
    </row>
    <row r="3885" spans="2:7">
      <c r="B3885" s="166" t="s">
        <v>1278</v>
      </c>
      <c r="C3885" s="303" t="s">
        <v>1257</v>
      </c>
      <c r="D3885" s="303" t="s">
        <v>1258</v>
      </c>
      <c r="E3885" s="303" t="s">
        <v>44</v>
      </c>
      <c r="F3885" s="303" t="s">
        <v>229</v>
      </c>
      <c r="G3885" s="303" t="s">
        <v>231</v>
      </c>
    </row>
    <row r="3886" spans="2:7">
      <c r="C3886" t="s">
        <v>1259</v>
      </c>
      <c r="D3886">
        <v>68750</v>
      </c>
      <c r="E3886">
        <v>81500</v>
      </c>
      <c r="F3886">
        <v>95500</v>
      </c>
      <c r="G3886">
        <v>113000</v>
      </c>
    </row>
    <row r="3887" spans="2:7">
      <c r="C3887" t="s">
        <v>1260</v>
      </c>
      <c r="D3887">
        <v>119000</v>
      </c>
      <c r="E3887">
        <v>137000</v>
      </c>
      <c r="F3887">
        <v>158000</v>
      </c>
      <c r="G3887">
        <v>181000</v>
      </c>
    </row>
    <row r="3888" spans="2:7">
      <c r="C3888" t="s">
        <v>1261</v>
      </c>
      <c r="D3888">
        <v>183000</v>
      </c>
      <c r="E3888">
        <v>228000</v>
      </c>
      <c r="F3888">
        <v>286000</v>
      </c>
      <c r="G3888">
        <v>361000</v>
      </c>
    </row>
    <row r="3889" spans="2:11">
      <c r="C3889" t="s">
        <v>1262</v>
      </c>
      <c r="D3889">
        <v>9650</v>
      </c>
      <c r="E3889">
        <v>11000</v>
      </c>
      <c r="F3889">
        <v>12500</v>
      </c>
      <c r="G3889">
        <v>14300</v>
      </c>
    </row>
    <row r="3890" spans="2:11">
      <c r="C3890" t="s">
        <v>1263</v>
      </c>
      <c r="D3890">
        <v>49700</v>
      </c>
      <c r="E3890">
        <v>65500</v>
      </c>
      <c r="F3890">
        <v>86500</v>
      </c>
      <c r="G3890">
        <v>114000</v>
      </c>
    </row>
    <row r="3891" spans="2:11">
      <c r="C3891" t="s">
        <v>1264</v>
      </c>
      <c r="D3891">
        <v>97000</v>
      </c>
      <c r="E3891">
        <v>123000</v>
      </c>
      <c r="F3891">
        <v>157000</v>
      </c>
      <c r="G3891">
        <v>198000</v>
      </c>
    </row>
    <row r="3892" spans="2:11">
      <c r="C3892" t="s">
        <v>1265</v>
      </c>
      <c r="D3892">
        <v>12400</v>
      </c>
      <c r="E3892">
        <v>13600</v>
      </c>
      <c r="F3892">
        <v>14900</v>
      </c>
      <c r="G3892">
        <v>16300</v>
      </c>
    </row>
    <row r="3893" spans="2:11">
      <c r="C3893" t="s">
        <v>1266</v>
      </c>
      <c r="D3893">
        <v>21900</v>
      </c>
      <c r="E3893">
        <v>24200</v>
      </c>
      <c r="F3893">
        <v>27000</v>
      </c>
      <c r="G3893">
        <v>29900</v>
      </c>
    </row>
    <row r="3894" spans="2:11">
      <c r="C3894" t="s">
        <v>1267</v>
      </c>
      <c r="D3894">
        <v>256000</v>
      </c>
      <c r="E3894">
        <v>271000</v>
      </c>
      <c r="F3894">
        <v>286000</v>
      </c>
      <c r="G3894">
        <v>305000</v>
      </c>
    </row>
    <row r="3895" spans="2:11">
      <c r="C3895" t="s">
        <v>1277</v>
      </c>
      <c r="D3895">
        <v>169000</v>
      </c>
      <c r="E3895">
        <v>210000</v>
      </c>
      <c r="F3895">
        <v>260000</v>
      </c>
      <c r="G3895">
        <v>326000</v>
      </c>
    </row>
    <row r="3896" spans="2:11">
      <c r="C3896" t="s">
        <v>1268</v>
      </c>
      <c r="D3896">
        <v>18600</v>
      </c>
      <c r="E3896">
        <v>23200</v>
      </c>
      <c r="F3896">
        <v>28800</v>
      </c>
      <c r="G3896">
        <v>36100</v>
      </c>
    </row>
    <row r="3898" spans="2:11">
      <c r="B3898" s="302" t="s">
        <v>1279</v>
      </c>
    </row>
    <row r="3899" spans="2:11">
      <c r="B3899" t="s">
        <v>1280</v>
      </c>
      <c r="C3899" t="s">
        <v>197</v>
      </c>
      <c r="D3899" t="s">
        <v>1281</v>
      </c>
      <c r="E3899" t="s">
        <v>1282</v>
      </c>
      <c r="F3899" t="s">
        <v>1283</v>
      </c>
      <c r="G3899" t="s">
        <v>1284</v>
      </c>
      <c r="H3899" t="s">
        <v>1285</v>
      </c>
      <c r="I3899" t="s">
        <v>1286</v>
      </c>
      <c r="J3899" t="s">
        <v>1287</v>
      </c>
      <c r="K3899" t="s">
        <v>1288</v>
      </c>
    </row>
    <row r="3900" spans="2:11">
      <c r="B3900" t="s">
        <v>1289</v>
      </c>
      <c r="C3900" t="s">
        <v>202</v>
      </c>
      <c r="D3900">
        <v>1.04</v>
      </c>
      <c r="E3900">
        <v>1.04</v>
      </c>
      <c r="F3900">
        <v>1.04</v>
      </c>
      <c r="G3900">
        <v>1.02</v>
      </c>
      <c r="H3900">
        <v>1.04</v>
      </c>
      <c r="I3900">
        <v>1.06</v>
      </c>
      <c r="J3900">
        <v>1.08</v>
      </c>
      <c r="K3900">
        <v>1.1000000000000001</v>
      </c>
    </row>
    <row r="3901" spans="2:11">
      <c r="B3901" t="s">
        <v>1289</v>
      </c>
      <c r="C3901" t="s">
        <v>207</v>
      </c>
      <c r="D3901">
        <v>1.04</v>
      </c>
      <c r="E3901">
        <v>1.05</v>
      </c>
      <c r="F3901">
        <v>1.02</v>
      </c>
      <c r="G3901">
        <v>1.04</v>
      </c>
      <c r="H3901">
        <v>1.01</v>
      </c>
      <c r="I3901">
        <v>1.02</v>
      </c>
      <c r="J3901">
        <v>1.05</v>
      </c>
      <c r="K3901">
        <v>1.07</v>
      </c>
    </row>
    <row r="3902" spans="2:11">
      <c r="B3902" t="s">
        <v>1289</v>
      </c>
      <c r="C3902" t="s">
        <v>209</v>
      </c>
      <c r="D3902">
        <v>1.02</v>
      </c>
      <c r="E3902">
        <v>1.01</v>
      </c>
      <c r="F3902">
        <v>1.03</v>
      </c>
      <c r="G3902">
        <v>1.03</v>
      </c>
      <c r="H3902">
        <v>1.04</v>
      </c>
      <c r="I3902">
        <v>1.05</v>
      </c>
      <c r="J3902">
        <v>1.06</v>
      </c>
      <c r="K3902">
        <v>1.01</v>
      </c>
    </row>
    <row r="3903" spans="2:11">
      <c r="B3903" t="s">
        <v>1289</v>
      </c>
      <c r="C3903" t="s">
        <v>214</v>
      </c>
      <c r="D3903">
        <v>1.01</v>
      </c>
      <c r="E3903">
        <v>1.02</v>
      </c>
      <c r="F3903">
        <v>1.02</v>
      </c>
      <c r="G3903">
        <v>1.01</v>
      </c>
      <c r="H3903">
        <v>1.01</v>
      </c>
      <c r="I3903">
        <v>1.02</v>
      </c>
      <c r="J3903">
        <v>1</v>
      </c>
      <c r="K3903">
        <v>0.99</v>
      </c>
    </row>
    <row r="3904" spans="2:11">
      <c r="B3904" t="s">
        <v>1289</v>
      </c>
      <c r="C3904" t="s">
        <v>219</v>
      </c>
      <c r="D3904">
        <v>1.07</v>
      </c>
      <c r="E3904">
        <v>1.06</v>
      </c>
      <c r="F3904">
        <v>1.04</v>
      </c>
      <c r="G3904">
        <v>1.03</v>
      </c>
      <c r="H3904">
        <v>1.05</v>
      </c>
      <c r="I3904">
        <v>1.02</v>
      </c>
      <c r="J3904">
        <v>1.01</v>
      </c>
      <c r="K3904">
        <v>1.05</v>
      </c>
    </row>
    <row r="3905" spans="2:11">
      <c r="B3905" t="s">
        <v>1290</v>
      </c>
      <c r="C3905" t="s">
        <v>202</v>
      </c>
      <c r="D3905">
        <v>0.99</v>
      </c>
      <c r="E3905">
        <v>0.98</v>
      </c>
      <c r="F3905">
        <v>0.98</v>
      </c>
      <c r="G3905">
        <v>1</v>
      </c>
      <c r="H3905">
        <v>1</v>
      </c>
      <c r="I3905">
        <v>1.02</v>
      </c>
      <c r="J3905">
        <v>1.02</v>
      </c>
      <c r="K3905">
        <v>1.02</v>
      </c>
    </row>
    <row r="3906" spans="2:11">
      <c r="B3906" t="s">
        <v>1290</v>
      </c>
      <c r="C3906" t="s">
        <v>207</v>
      </c>
      <c r="D3906">
        <v>0.98</v>
      </c>
      <c r="E3906">
        <v>0.99</v>
      </c>
      <c r="F3906">
        <v>0.98</v>
      </c>
      <c r="G3906">
        <v>0.99</v>
      </c>
      <c r="H3906">
        <v>1.01</v>
      </c>
      <c r="I3906">
        <v>0.99</v>
      </c>
      <c r="J3906">
        <v>0.98</v>
      </c>
      <c r="K3906">
        <v>0.99</v>
      </c>
    </row>
    <row r="3907" spans="2:11">
      <c r="B3907" t="s">
        <v>1290</v>
      </c>
      <c r="C3907" t="s">
        <v>209</v>
      </c>
      <c r="D3907">
        <v>0.99</v>
      </c>
      <c r="E3907">
        <v>0.99</v>
      </c>
      <c r="F3907">
        <v>1</v>
      </c>
      <c r="G3907">
        <v>0.99</v>
      </c>
      <c r="H3907">
        <v>1</v>
      </c>
      <c r="I3907">
        <v>0.98</v>
      </c>
      <c r="J3907">
        <v>0.99</v>
      </c>
      <c r="K3907">
        <v>0.98</v>
      </c>
    </row>
    <row r="3908" spans="2:11">
      <c r="B3908" t="s">
        <v>1290</v>
      </c>
      <c r="C3908" t="s">
        <v>214</v>
      </c>
      <c r="D3908">
        <v>0.97</v>
      </c>
      <c r="E3908">
        <v>0.99</v>
      </c>
      <c r="F3908">
        <v>0.99</v>
      </c>
      <c r="G3908">
        <v>0.99</v>
      </c>
      <c r="H3908">
        <v>1.02</v>
      </c>
      <c r="I3908">
        <v>1.02</v>
      </c>
      <c r="J3908">
        <v>0.97</v>
      </c>
      <c r="K3908">
        <v>0.97</v>
      </c>
    </row>
    <row r="3909" spans="2:11">
      <c r="B3909" t="s">
        <v>1290</v>
      </c>
      <c r="C3909" t="s">
        <v>219</v>
      </c>
      <c r="D3909">
        <v>0.95</v>
      </c>
      <c r="E3909">
        <v>0.98</v>
      </c>
      <c r="F3909">
        <v>0.95</v>
      </c>
      <c r="G3909">
        <v>0.99</v>
      </c>
      <c r="H3909">
        <v>0.99</v>
      </c>
      <c r="I3909">
        <v>0.97</v>
      </c>
      <c r="J3909">
        <v>1</v>
      </c>
      <c r="K3909">
        <v>0.97</v>
      </c>
    </row>
    <row r="3910" spans="2:11">
      <c r="B3910" t="s">
        <v>1291</v>
      </c>
      <c r="C3910" t="s">
        <v>202</v>
      </c>
      <c r="D3910">
        <v>0.99</v>
      </c>
      <c r="E3910">
        <v>1.03</v>
      </c>
      <c r="F3910">
        <v>1.05</v>
      </c>
      <c r="G3910">
        <v>1.07</v>
      </c>
      <c r="H3910">
        <v>1.06</v>
      </c>
      <c r="I3910">
        <v>1.05</v>
      </c>
      <c r="J3910">
        <v>1.05</v>
      </c>
      <c r="K3910">
        <v>1.01</v>
      </c>
    </row>
    <row r="3911" spans="2:11">
      <c r="B3911" t="s">
        <v>1291</v>
      </c>
      <c r="C3911" t="s">
        <v>207</v>
      </c>
      <c r="D3911">
        <v>0.99</v>
      </c>
      <c r="E3911">
        <v>1</v>
      </c>
      <c r="F3911">
        <v>1.06</v>
      </c>
      <c r="G3911">
        <v>1.04</v>
      </c>
      <c r="H3911">
        <v>1.05</v>
      </c>
      <c r="I3911">
        <v>1.06</v>
      </c>
      <c r="J3911">
        <v>1.05</v>
      </c>
      <c r="K3911">
        <v>1.02</v>
      </c>
    </row>
    <row r="3912" spans="2:11">
      <c r="B3912" t="s">
        <v>1291</v>
      </c>
      <c r="C3912" t="s">
        <v>209</v>
      </c>
      <c r="D3912">
        <v>1</v>
      </c>
      <c r="E3912">
        <v>1.03</v>
      </c>
      <c r="F3912">
        <v>1.02</v>
      </c>
      <c r="G3912">
        <v>1.06</v>
      </c>
      <c r="H3912">
        <v>1.04</v>
      </c>
      <c r="I3912">
        <v>1.05</v>
      </c>
      <c r="J3912">
        <v>1.03</v>
      </c>
      <c r="K3912">
        <v>1.04</v>
      </c>
    </row>
    <row r="3913" spans="2:11">
      <c r="B3913" t="s">
        <v>1291</v>
      </c>
      <c r="C3913" t="s">
        <v>214</v>
      </c>
      <c r="D3913">
        <v>1.03</v>
      </c>
      <c r="E3913">
        <v>1.02</v>
      </c>
      <c r="F3913">
        <v>1.03</v>
      </c>
      <c r="G3913">
        <v>1.05</v>
      </c>
      <c r="H3913">
        <v>1.02</v>
      </c>
      <c r="I3913">
        <v>1.01</v>
      </c>
      <c r="J3913">
        <v>1.05</v>
      </c>
      <c r="K3913">
        <v>1.01</v>
      </c>
    </row>
    <row r="3914" spans="2:11">
      <c r="B3914" t="s">
        <v>1291</v>
      </c>
      <c r="C3914" t="s">
        <v>219</v>
      </c>
      <c r="D3914">
        <v>1</v>
      </c>
      <c r="E3914">
        <v>1</v>
      </c>
      <c r="F3914">
        <v>1.05</v>
      </c>
      <c r="G3914">
        <v>1.04</v>
      </c>
      <c r="H3914">
        <v>1.02</v>
      </c>
      <c r="I3914">
        <v>1.07</v>
      </c>
      <c r="J3914">
        <v>1.04</v>
      </c>
      <c r="K3914">
        <v>0.98</v>
      </c>
    </row>
    <row r="3916" spans="2:11">
      <c r="B3916" s="302" t="s">
        <v>1292</v>
      </c>
    </row>
    <row r="3917" spans="2:11">
      <c r="B3917" t="s">
        <v>1293</v>
      </c>
      <c r="C3917" t="s">
        <v>1294</v>
      </c>
      <c r="D3917" t="s">
        <v>1295</v>
      </c>
      <c r="E3917" t="s">
        <v>1296</v>
      </c>
      <c r="F3917" t="s">
        <v>1297</v>
      </c>
      <c r="G3917" t="s">
        <v>1298</v>
      </c>
    </row>
    <row r="3918" spans="2:11">
      <c r="B3918" t="s">
        <v>1299</v>
      </c>
      <c r="C3918">
        <v>1</v>
      </c>
      <c r="D3918">
        <v>1.02</v>
      </c>
      <c r="E3918">
        <v>1.02</v>
      </c>
      <c r="F3918">
        <v>1.01</v>
      </c>
      <c r="G3918">
        <v>1.02</v>
      </c>
    </row>
    <row r="3919" spans="2:11">
      <c r="B3919" t="s">
        <v>1300</v>
      </c>
      <c r="C3919">
        <v>1.08</v>
      </c>
      <c r="D3919">
        <v>1.1299999999999999</v>
      </c>
      <c r="E3919">
        <v>1.1100000000000001</v>
      </c>
      <c r="F3919">
        <v>1.1100000000000001</v>
      </c>
      <c r="G3919">
        <v>1.1000000000000001</v>
      </c>
    </row>
    <row r="3920" spans="2:11">
      <c r="B3920" t="s">
        <v>1301</v>
      </c>
      <c r="C3920">
        <v>0.98</v>
      </c>
      <c r="D3920">
        <v>0.98</v>
      </c>
      <c r="E3920">
        <v>0.98</v>
      </c>
      <c r="F3920">
        <v>0.97</v>
      </c>
      <c r="G3920">
        <v>0.99</v>
      </c>
    </row>
    <row r="3921" spans="2:7">
      <c r="B3921" t="s">
        <v>1302</v>
      </c>
      <c r="C3921">
        <v>0.98</v>
      </c>
      <c r="D3921">
        <v>0.99</v>
      </c>
      <c r="E3921">
        <v>0.96</v>
      </c>
      <c r="F3921">
        <v>0.98</v>
      </c>
      <c r="G3921">
        <v>1</v>
      </c>
    </row>
    <row r="3922" spans="2:7">
      <c r="B3922" t="s">
        <v>1303</v>
      </c>
      <c r="C3922">
        <v>0.86</v>
      </c>
      <c r="D3922">
        <v>0.88</v>
      </c>
      <c r="E3922">
        <v>0.88</v>
      </c>
      <c r="F3922">
        <v>0.87</v>
      </c>
      <c r="G3922">
        <v>0.89</v>
      </c>
    </row>
    <row r="3923" spans="2:7">
      <c r="B3923" t="s">
        <v>1304</v>
      </c>
      <c r="C3923">
        <v>1.01</v>
      </c>
      <c r="D3923">
        <v>1</v>
      </c>
      <c r="E3923">
        <v>1</v>
      </c>
      <c r="F3923">
        <v>1</v>
      </c>
      <c r="G3923">
        <v>1.03</v>
      </c>
    </row>
    <row r="3924" spans="2:7">
      <c r="B3924" t="s">
        <v>1305</v>
      </c>
      <c r="C3924">
        <v>0.9</v>
      </c>
      <c r="D3924">
        <v>0.92</v>
      </c>
      <c r="E3924">
        <v>0.93</v>
      </c>
      <c r="F3924">
        <v>0.91</v>
      </c>
      <c r="G3924">
        <v>0.94</v>
      </c>
    </row>
    <row r="3925" spans="2:7">
      <c r="B3925" t="s">
        <v>1306</v>
      </c>
      <c r="C3925">
        <v>0.94</v>
      </c>
      <c r="D3925">
        <v>0.95</v>
      </c>
      <c r="E3925">
        <v>0.94</v>
      </c>
      <c r="F3925">
        <v>0.94</v>
      </c>
      <c r="G3925">
        <v>0.95</v>
      </c>
    </row>
    <row r="3926" spans="2:7">
      <c r="B3926" t="s">
        <v>1307</v>
      </c>
      <c r="C3926">
        <v>0.98</v>
      </c>
      <c r="D3926">
        <v>1</v>
      </c>
      <c r="E3926">
        <v>1.01</v>
      </c>
      <c r="F3926">
        <v>0.99</v>
      </c>
      <c r="G3926">
        <v>1.01</v>
      </c>
    </row>
    <row r="3927" spans="2:7">
      <c r="B3927" t="s">
        <v>1308</v>
      </c>
      <c r="C3927">
        <v>0.98</v>
      </c>
      <c r="D3927">
        <v>0.99</v>
      </c>
      <c r="E3927">
        <v>1</v>
      </c>
      <c r="F3927">
        <v>1</v>
      </c>
      <c r="G3927">
        <v>1.02</v>
      </c>
    </row>
    <row r="3928" spans="2:7">
      <c r="B3928" t="s">
        <v>1309</v>
      </c>
      <c r="C3928">
        <v>0.98</v>
      </c>
      <c r="D3928">
        <v>1</v>
      </c>
      <c r="E3928">
        <v>1.01</v>
      </c>
      <c r="F3928">
        <v>0.99</v>
      </c>
      <c r="G3928">
        <v>0.99</v>
      </c>
    </row>
    <row r="3929" spans="2:7">
      <c r="B3929" t="s">
        <v>1310</v>
      </c>
      <c r="C3929">
        <v>0.93</v>
      </c>
      <c r="D3929">
        <v>0.99</v>
      </c>
      <c r="E3929">
        <v>0.97</v>
      </c>
      <c r="F3929">
        <v>0.96</v>
      </c>
      <c r="G3929">
        <v>0.97</v>
      </c>
    </row>
    <row r="3930" spans="2:7">
      <c r="B3930" t="s">
        <v>1311</v>
      </c>
      <c r="C3930">
        <v>0.89</v>
      </c>
      <c r="D3930">
        <v>0.89</v>
      </c>
      <c r="E3930">
        <v>0.9</v>
      </c>
      <c r="F3930">
        <v>0.89</v>
      </c>
      <c r="G3930">
        <v>0.91</v>
      </c>
    </row>
    <row r="3931" spans="2:7">
      <c r="B3931" t="s">
        <v>1312</v>
      </c>
      <c r="C3931">
        <v>0.91</v>
      </c>
      <c r="D3931">
        <v>0.91</v>
      </c>
      <c r="E3931">
        <v>0.92</v>
      </c>
      <c r="F3931">
        <v>0.9</v>
      </c>
      <c r="G3931">
        <v>0.92</v>
      </c>
    </row>
    <row r="3932" spans="2:7">
      <c r="B3932" t="s">
        <v>1313</v>
      </c>
      <c r="C3932">
        <v>0.97</v>
      </c>
      <c r="D3932">
        <v>0.97</v>
      </c>
      <c r="E3932">
        <v>1</v>
      </c>
      <c r="F3932">
        <v>0.98</v>
      </c>
      <c r="G3932">
        <v>1</v>
      </c>
    </row>
    <row r="3933" spans="2:7">
      <c r="B3933" t="s">
        <v>1314</v>
      </c>
      <c r="C3933">
        <v>0.96</v>
      </c>
      <c r="D3933">
        <v>0.98</v>
      </c>
      <c r="E3933">
        <v>1.01</v>
      </c>
      <c r="F3933">
        <v>0.99</v>
      </c>
      <c r="G3933">
        <v>0.99</v>
      </c>
    </row>
    <row r="3934" spans="2:7">
      <c r="B3934" t="s">
        <v>1315</v>
      </c>
      <c r="C3934">
        <v>0.9</v>
      </c>
      <c r="D3934">
        <v>0.93</v>
      </c>
      <c r="E3934">
        <v>0.91</v>
      </c>
      <c r="F3934">
        <v>0.92</v>
      </c>
      <c r="G3934">
        <v>0.93</v>
      </c>
    </row>
    <row r="3935" spans="2:7">
      <c r="B3935" t="s">
        <v>1316</v>
      </c>
      <c r="C3935">
        <v>0.9</v>
      </c>
      <c r="D3935">
        <v>0.92</v>
      </c>
      <c r="E3935">
        <v>0.93</v>
      </c>
      <c r="F3935">
        <v>0.9</v>
      </c>
      <c r="G3935">
        <v>0.92</v>
      </c>
    </row>
    <row r="3936" spans="2:7">
      <c r="B3936" t="s">
        <v>1317</v>
      </c>
      <c r="C3936">
        <v>0.9</v>
      </c>
      <c r="D3936">
        <v>0.92</v>
      </c>
      <c r="E3936">
        <v>0.91</v>
      </c>
      <c r="F3936">
        <v>0.91</v>
      </c>
      <c r="G3936">
        <v>0.91</v>
      </c>
    </row>
    <row r="3937" spans="2:7">
      <c r="B3937" t="s">
        <v>1318</v>
      </c>
      <c r="C3937">
        <v>0.95</v>
      </c>
      <c r="D3937">
        <v>0.95</v>
      </c>
      <c r="E3937">
        <v>0.95</v>
      </c>
      <c r="F3937">
        <v>0.95</v>
      </c>
      <c r="G3937">
        <v>0.95</v>
      </c>
    </row>
    <row r="3938" spans="2:7">
      <c r="B3938" t="s">
        <v>1319</v>
      </c>
      <c r="C3938">
        <v>1.1499999999999999</v>
      </c>
      <c r="D3938">
        <v>1.17</v>
      </c>
      <c r="E3938">
        <v>1.1599999999999999</v>
      </c>
      <c r="F3938">
        <v>1.1399999999999999</v>
      </c>
      <c r="G3938">
        <v>1.1399999999999999</v>
      </c>
    </row>
    <row r="3939" spans="2:7">
      <c r="B3939" t="s">
        <v>1320</v>
      </c>
      <c r="C3939">
        <v>1.1299999999999999</v>
      </c>
      <c r="D3939">
        <v>1.1599999999999999</v>
      </c>
      <c r="E3939">
        <v>1.1399999999999999</v>
      </c>
      <c r="F3939">
        <v>1.1299999999999999</v>
      </c>
      <c r="G3939">
        <v>1.1299999999999999</v>
      </c>
    </row>
    <row r="3941" spans="2:7">
      <c r="B3941" s="302" t="s">
        <v>1321</v>
      </c>
    </row>
    <row r="3942" spans="2:7">
      <c r="B3942" t="s">
        <v>1322</v>
      </c>
    </row>
    <row r="3943" spans="2:7">
      <c r="B3943" t="s">
        <v>1323</v>
      </c>
      <c r="C3943" t="s">
        <v>1294</v>
      </c>
      <c r="D3943" t="s">
        <v>1295</v>
      </c>
      <c r="E3943" t="s">
        <v>1296</v>
      </c>
      <c r="F3943" t="s">
        <v>1297</v>
      </c>
      <c r="G3943" t="s">
        <v>1298</v>
      </c>
    </row>
    <row r="3944" spans="2:7">
      <c r="B3944" t="s">
        <v>1324</v>
      </c>
      <c r="C3944">
        <v>1</v>
      </c>
      <c r="D3944">
        <v>1</v>
      </c>
      <c r="E3944">
        <v>1</v>
      </c>
      <c r="F3944">
        <v>1</v>
      </c>
      <c r="G3944">
        <v>1</v>
      </c>
    </row>
    <row r="3945" spans="2:7">
      <c r="B3945" t="s">
        <v>1325</v>
      </c>
      <c r="C3945">
        <v>1.016</v>
      </c>
      <c r="D3945">
        <v>1.008</v>
      </c>
      <c r="E3945">
        <v>0.999</v>
      </c>
      <c r="F3945">
        <v>1.006</v>
      </c>
      <c r="G3945">
        <v>1.01</v>
      </c>
    </row>
    <row r="3946" spans="2:7">
      <c r="B3946" t="s">
        <v>1326</v>
      </c>
      <c r="C3946">
        <v>1.0169999999999999</v>
      </c>
      <c r="D3946">
        <v>1.014</v>
      </c>
      <c r="E3946">
        <v>1.004</v>
      </c>
      <c r="F3946">
        <v>1.008</v>
      </c>
      <c r="G3946">
        <v>1.014</v>
      </c>
    </row>
    <row r="3947" spans="2:7">
      <c r="B3947" t="s">
        <v>1327</v>
      </c>
      <c r="C3947">
        <v>1.034</v>
      </c>
      <c r="D3947">
        <v>1.0269999999999999</v>
      </c>
      <c r="E3947">
        <v>1.012</v>
      </c>
      <c r="F3947">
        <v>1.016</v>
      </c>
      <c r="G3947">
        <v>1.024</v>
      </c>
    </row>
    <row r="3948" spans="2:7">
      <c r="B3948" t="s">
        <v>1328</v>
      </c>
      <c r="C3948">
        <v>1.0369999999999999</v>
      </c>
      <c r="D3948">
        <v>1.0269999999999999</v>
      </c>
      <c r="E3948">
        <v>1.02</v>
      </c>
      <c r="F3948">
        <v>1.0149999999999999</v>
      </c>
      <c r="G3948">
        <v>1.026</v>
      </c>
    </row>
    <row r="3949" spans="2:7">
      <c r="B3949" t="s">
        <v>1329</v>
      </c>
      <c r="C3949">
        <v>1.046</v>
      </c>
      <c r="D3949">
        <v>1.0249999999999999</v>
      </c>
      <c r="E3949">
        <v>1.0209999999999999</v>
      </c>
      <c r="F3949">
        <v>1.0149999999999999</v>
      </c>
      <c r="G3949">
        <v>1.0289999999999999</v>
      </c>
    </row>
    <row r="3950" spans="2:7">
      <c r="B3950" t="s">
        <v>1330</v>
      </c>
      <c r="C3950">
        <v>1.0640000000000001</v>
      </c>
      <c r="D3950">
        <v>1.0289999999999999</v>
      </c>
      <c r="E3950">
        <v>1.022</v>
      </c>
      <c r="F3950">
        <v>1.014</v>
      </c>
      <c r="G3950">
        <v>1.034</v>
      </c>
    </row>
    <row r="3951" spans="2:7">
      <c r="B3951" t="s">
        <v>1331</v>
      </c>
      <c r="C3951">
        <v>1.0780000000000001</v>
      </c>
      <c r="D3951">
        <v>1.034</v>
      </c>
      <c r="E3951">
        <v>1.0169999999999999</v>
      </c>
      <c r="F3951">
        <v>1.0069999999999999</v>
      </c>
      <c r="G3951">
        <v>1.03</v>
      </c>
    </row>
    <row r="3952" spans="2:7">
      <c r="B3952" t="s">
        <v>1332</v>
      </c>
      <c r="C3952">
        <v>1.0760000000000001</v>
      </c>
      <c r="D3952">
        <v>1.0329999999999999</v>
      </c>
      <c r="E3952">
        <v>1.0109999999999999</v>
      </c>
      <c r="F3952">
        <v>0.998</v>
      </c>
      <c r="G3952">
        <v>1.0229999999999999</v>
      </c>
    </row>
    <row r="3953" spans="2:10">
      <c r="B3953" t="s">
        <v>1333</v>
      </c>
      <c r="C3953">
        <v>1.077</v>
      </c>
      <c r="D3953">
        <v>1.032</v>
      </c>
      <c r="E3953">
        <v>1.0049999999999999</v>
      </c>
      <c r="F3953">
        <v>0.98699999999999999</v>
      </c>
      <c r="G3953">
        <v>1.0049999999999999</v>
      </c>
    </row>
    <row r="3954" spans="2:10">
      <c r="B3954" t="s">
        <v>1334</v>
      </c>
      <c r="C3954">
        <v>1.091</v>
      </c>
      <c r="D3954">
        <v>1.046</v>
      </c>
      <c r="E3954">
        <v>1.0109999999999999</v>
      </c>
      <c r="F3954">
        <v>0.98499999999999999</v>
      </c>
      <c r="G3954">
        <v>1.006</v>
      </c>
    </row>
    <row r="3955" spans="2:10">
      <c r="B3955" t="s">
        <v>1335</v>
      </c>
      <c r="C3955">
        <v>1.1559999999999999</v>
      </c>
      <c r="D3955">
        <v>1.1339999999999999</v>
      </c>
      <c r="E3955">
        <v>1.103</v>
      </c>
      <c r="F3955">
        <v>1.089</v>
      </c>
      <c r="G3955">
        <v>1.1080000000000001</v>
      </c>
    </row>
    <row r="3956" spans="2:10">
      <c r="B3956" t="s">
        <v>1336</v>
      </c>
      <c r="C3956">
        <v>1.2290000000000001</v>
      </c>
      <c r="D3956">
        <v>1.179</v>
      </c>
      <c r="E3956">
        <v>1.1479999999999999</v>
      </c>
      <c r="F3956">
        <v>1.123</v>
      </c>
      <c r="G3956">
        <v>1.1579999999999999</v>
      </c>
    </row>
    <row r="3958" spans="2:10">
      <c r="B3958" s="302" t="s">
        <v>1337</v>
      </c>
    </row>
    <row r="3959" spans="2:10">
      <c r="B3959" s="303" t="s">
        <v>234</v>
      </c>
      <c r="C3959" s="303" t="s">
        <v>13</v>
      </c>
      <c r="D3959" s="303" t="s">
        <v>1294</v>
      </c>
      <c r="E3959" s="303" t="s">
        <v>1295</v>
      </c>
      <c r="F3959" s="303" t="s">
        <v>1296</v>
      </c>
      <c r="G3959" s="303" t="s">
        <v>1297</v>
      </c>
      <c r="H3959" s="303" t="s">
        <v>1298</v>
      </c>
      <c r="I3959" s="303" t="s">
        <v>1338</v>
      </c>
      <c r="J3959" s="303" t="s">
        <v>1339</v>
      </c>
    </row>
    <row r="3960" spans="2:10">
      <c r="B3960" t="s">
        <v>241</v>
      </c>
      <c r="C3960" t="s">
        <v>229</v>
      </c>
      <c r="D3960">
        <v>60</v>
      </c>
      <c r="E3960">
        <v>60</v>
      </c>
      <c r="F3960">
        <v>50</v>
      </c>
      <c r="G3960">
        <v>45</v>
      </c>
      <c r="H3960">
        <v>45</v>
      </c>
      <c r="I3960" t="str">
        <f t="shared" ref="I3960:I4023" si="49">B3960&amp;"|"&amp;C3960</f>
        <v>Homes For the Elderly|Good</v>
      </c>
      <c r="J3960" t="s">
        <v>1340</v>
      </c>
    </row>
    <row r="3961" spans="2:10">
      <c r="B3961" t="s">
        <v>241</v>
      </c>
      <c r="C3961" t="s">
        <v>44</v>
      </c>
      <c r="D3961">
        <v>50</v>
      </c>
      <c r="E3961">
        <v>50</v>
      </c>
      <c r="F3961">
        <v>45</v>
      </c>
      <c r="G3961">
        <v>40</v>
      </c>
      <c r="H3961">
        <v>40</v>
      </c>
      <c r="I3961" t="str">
        <f t="shared" si="49"/>
        <v>Homes For the Elderly|Average</v>
      </c>
      <c r="J3961" t="s">
        <v>1341</v>
      </c>
    </row>
    <row r="3962" spans="2:10">
      <c r="B3962" t="s">
        <v>241</v>
      </c>
      <c r="C3962" t="s">
        <v>226</v>
      </c>
      <c r="D3962">
        <v>50</v>
      </c>
      <c r="E3962">
        <v>50</v>
      </c>
      <c r="F3962">
        <v>45</v>
      </c>
      <c r="G3962">
        <v>40</v>
      </c>
      <c r="H3962">
        <v>40</v>
      </c>
      <c r="I3962" t="str">
        <f t="shared" si="49"/>
        <v>Homes For the Elderly|Low Cost</v>
      </c>
      <c r="J3962" t="s">
        <v>1341</v>
      </c>
    </row>
    <row r="3963" spans="2:10">
      <c r="B3963" t="s">
        <v>246</v>
      </c>
      <c r="C3963" t="s">
        <v>231</v>
      </c>
      <c r="D3963">
        <v>60</v>
      </c>
      <c r="E3963">
        <v>60</v>
      </c>
      <c r="F3963">
        <v>55</v>
      </c>
      <c r="G3963">
        <v>50</v>
      </c>
      <c r="I3963" t="str">
        <f t="shared" si="49"/>
        <v>Dormitories|Excellent</v>
      </c>
      <c r="J3963" t="s">
        <v>1342</v>
      </c>
    </row>
    <row r="3964" spans="2:10">
      <c r="B3964" t="s">
        <v>246</v>
      </c>
      <c r="C3964" t="s">
        <v>250</v>
      </c>
      <c r="D3964">
        <v>60</v>
      </c>
      <c r="E3964">
        <v>60</v>
      </c>
      <c r="F3964">
        <v>55</v>
      </c>
      <c r="G3964">
        <v>50</v>
      </c>
      <c r="I3964" t="str">
        <f t="shared" si="49"/>
        <v>Dormitories|Very Good</v>
      </c>
      <c r="J3964" t="s">
        <v>1342</v>
      </c>
    </row>
    <row r="3965" spans="2:10">
      <c r="B3965" t="s">
        <v>246</v>
      </c>
      <c r="C3965" t="s">
        <v>229</v>
      </c>
      <c r="D3965">
        <v>60</v>
      </c>
      <c r="E3965">
        <v>60</v>
      </c>
      <c r="F3965">
        <v>55</v>
      </c>
      <c r="G3965">
        <v>50</v>
      </c>
      <c r="I3965" t="str">
        <f t="shared" si="49"/>
        <v>Dormitories|Good</v>
      </c>
      <c r="J3965" t="s">
        <v>1342</v>
      </c>
    </row>
    <row r="3966" spans="2:10">
      <c r="B3966" t="s">
        <v>246</v>
      </c>
      <c r="C3966" t="s">
        <v>44</v>
      </c>
      <c r="D3966">
        <v>50</v>
      </c>
      <c r="E3966">
        <v>50</v>
      </c>
      <c r="F3966">
        <v>45</v>
      </c>
      <c r="G3966">
        <v>40</v>
      </c>
      <c r="H3966">
        <v>40</v>
      </c>
      <c r="I3966" t="str">
        <f t="shared" si="49"/>
        <v>Dormitories|Average</v>
      </c>
      <c r="J3966" t="s">
        <v>1341</v>
      </c>
    </row>
    <row r="3967" spans="2:10">
      <c r="B3967" t="s">
        <v>246</v>
      </c>
      <c r="C3967" t="s">
        <v>226</v>
      </c>
      <c r="D3967">
        <v>50</v>
      </c>
      <c r="E3967">
        <v>50</v>
      </c>
      <c r="F3967">
        <v>45</v>
      </c>
      <c r="G3967">
        <v>40</v>
      </c>
      <c r="H3967">
        <v>40</v>
      </c>
      <c r="I3967" t="str">
        <f t="shared" si="49"/>
        <v>Dormitories|Low Cost</v>
      </c>
      <c r="J3967" t="s">
        <v>1341</v>
      </c>
    </row>
    <row r="3968" spans="2:10">
      <c r="B3968" t="s">
        <v>251</v>
      </c>
      <c r="C3968" t="s">
        <v>229</v>
      </c>
      <c r="D3968">
        <v>60</v>
      </c>
      <c r="E3968">
        <v>60</v>
      </c>
      <c r="F3968">
        <v>55</v>
      </c>
      <c r="G3968">
        <v>50</v>
      </c>
      <c r="H3968">
        <v>50</v>
      </c>
      <c r="I3968" t="str">
        <f t="shared" si="49"/>
        <v>Luxury Apartments (High-Rise)|Good</v>
      </c>
      <c r="J3968" t="s">
        <v>1343</v>
      </c>
    </row>
    <row r="3969" spans="2:10">
      <c r="B3969" t="s">
        <v>251</v>
      </c>
      <c r="C3969" t="s">
        <v>44</v>
      </c>
      <c r="D3969">
        <v>55</v>
      </c>
      <c r="E3969">
        <v>55</v>
      </c>
      <c r="F3969">
        <v>50</v>
      </c>
      <c r="G3969">
        <v>45</v>
      </c>
      <c r="H3969">
        <v>45</v>
      </c>
      <c r="I3969" t="str">
        <f t="shared" si="49"/>
        <v>Luxury Apartments (High-Rise)|Average</v>
      </c>
      <c r="J3969" t="s">
        <v>1341</v>
      </c>
    </row>
    <row r="3970" spans="2:10">
      <c r="B3970" t="s">
        <v>251</v>
      </c>
      <c r="C3970" t="s">
        <v>231</v>
      </c>
      <c r="D3970">
        <v>60</v>
      </c>
      <c r="E3970">
        <v>60</v>
      </c>
      <c r="F3970">
        <v>55</v>
      </c>
      <c r="G3970">
        <v>50</v>
      </c>
      <c r="H3970">
        <v>50</v>
      </c>
      <c r="I3970" t="str">
        <f t="shared" si="49"/>
        <v>Luxury Apartments (High-Rise)|Excellent</v>
      </c>
      <c r="J3970" t="s">
        <v>1343</v>
      </c>
    </row>
    <row r="3971" spans="2:10">
      <c r="B3971" t="s">
        <v>256</v>
      </c>
      <c r="C3971" t="s">
        <v>229</v>
      </c>
      <c r="D3971">
        <v>60</v>
      </c>
      <c r="E3971">
        <v>60</v>
      </c>
      <c r="F3971">
        <v>55</v>
      </c>
      <c r="G3971">
        <v>50</v>
      </c>
      <c r="H3971">
        <v>50</v>
      </c>
      <c r="I3971" t="str">
        <f t="shared" si="49"/>
        <v>Shell Luxury Apartment Buildings|Good</v>
      </c>
      <c r="J3971" t="s">
        <v>1343</v>
      </c>
    </row>
    <row r="3972" spans="2:10">
      <c r="B3972" t="s">
        <v>256</v>
      </c>
      <c r="C3972" t="s">
        <v>44</v>
      </c>
      <c r="D3972">
        <v>55</v>
      </c>
      <c r="E3972">
        <v>55</v>
      </c>
      <c r="F3972">
        <v>50</v>
      </c>
      <c r="G3972">
        <v>45</v>
      </c>
      <c r="H3972">
        <v>45</v>
      </c>
      <c r="I3972" t="str">
        <f t="shared" si="49"/>
        <v>Shell Luxury Apartment Buildings|Average</v>
      </c>
      <c r="J3972" t="s">
        <v>1341</v>
      </c>
    </row>
    <row r="3973" spans="2:10">
      <c r="B3973" t="s">
        <v>256</v>
      </c>
      <c r="C3973" t="s">
        <v>231</v>
      </c>
      <c r="D3973">
        <v>60</v>
      </c>
      <c r="E3973">
        <v>60</v>
      </c>
      <c r="F3973">
        <v>55</v>
      </c>
      <c r="G3973">
        <v>50</v>
      </c>
      <c r="H3973">
        <v>50</v>
      </c>
      <c r="I3973" t="str">
        <f t="shared" si="49"/>
        <v>Shell Luxury Apartment Buildings|Excellent</v>
      </c>
      <c r="J3973" t="s">
        <v>1343</v>
      </c>
    </row>
    <row r="3974" spans="2:10">
      <c r="B3974" t="s">
        <v>262</v>
      </c>
      <c r="C3974" t="s">
        <v>229</v>
      </c>
      <c r="D3974">
        <v>60</v>
      </c>
      <c r="E3974">
        <v>60</v>
      </c>
      <c r="F3974">
        <v>55</v>
      </c>
      <c r="G3974">
        <v>50</v>
      </c>
      <c r="H3974">
        <v>50</v>
      </c>
      <c r="I3974" t="str">
        <f t="shared" si="49"/>
        <v>Apartments (High-Rise)|Good</v>
      </c>
      <c r="J3974" t="s">
        <v>1343</v>
      </c>
    </row>
    <row r="3975" spans="2:10">
      <c r="B3975" t="s">
        <v>262</v>
      </c>
      <c r="C3975" t="s">
        <v>44</v>
      </c>
      <c r="D3975">
        <v>55</v>
      </c>
      <c r="E3975">
        <v>55</v>
      </c>
      <c r="F3975">
        <v>50</v>
      </c>
      <c r="G3975">
        <v>45</v>
      </c>
      <c r="H3975">
        <v>45</v>
      </c>
      <c r="I3975" t="str">
        <f t="shared" si="49"/>
        <v>Apartments (High-Rise)|Average</v>
      </c>
      <c r="J3975" t="s">
        <v>1341</v>
      </c>
    </row>
    <row r="3976" spans="2:10">
      <c r="B3976" t="s">
        <v>262</v>
      </c>
      <c r="C3976" t="s">
        <v>226</v>
      </c>
      <c r="D3976">
        <v>55</v>
      </c>
      <c r="E3976">
        <v>55</v>
      </c>
      <c r="F3976">
        <v>50</v>
      </c>
      <c r="G3976">
        <v>45</v>
      </c>
      <c r="H3976">
        <v>45</v>
      </c>
      <c r="I3976" t="str">
        <f t="shared" si="49"/>
        <v>Apartments (High-Rise)|Low Cost</v>
      </c>
      <c r="J3976" t="s">
        <v>1341</v>
      </c>
    </row>
    <row r="3977" spans="2:10">
      <c r="B3977" t="s">
        <v>267</v>
      </c>
      <c r="C3977" t="s">
        <v>229</v>
      </c>
      <c r="D3977">
        <v>60</v>
      </c>
      <c r="E3977">
        <v>60</v>
      </c>
      <c r="F3977">
        <v>50</v>
      </c>
      <c r="I3977" t="str">
        <f t="shared" si="49"/>
        <v>City Clubs|Good</v>
      </c>
      <c r="J3977" t="s">
        <v>1344</v>
      </c>
    </row>
    <row r="3978" spans="2:10">
      <c r="B3978" t="s">
        <v>267</v>
      </c>
      <c r="C3978" t="s">
        <v>44</v>
      </c>
      <c r="D3978">
        <v>50</v>
      </c>
      <c r="E3978">
        <v>50</v>
      </c>
      <c r="F3978">
        <v>45</v>
      </c>
      <c r="I3978" t="str">
        <f t="shared" si="49"/>
        <v>City Clubs|Average</v>
      </c>
      <c r="J3978" t="s">
        <v>1345</v>
      </c>
    </row>
    <row r="3979" spans="2:10">
      <c r="B3979" t="s">
        <v>272</v>
      </c>
      <c r="C3979" t="s">
        <v>229</v>
      </c>
      <c r="D3979">
        <v>60</v>
      </c>
      <c r="E3979">
        <v>60</v>
      </c>
      <c r="F3979">
        <v>55</v>
      </c>
      <c r="G3979">
        <v>50</v>
      </c>
      <c r="H3979">
        <v>50</v>
      </c>
      <c r="I3979" t="str">
        <f t="shared" si="49"/>
        <v>Shell Apartment Buildings|Good</v>
      </c>
      <c r="J3979" t="s">
        <v>1343</v>
      </c>
    </row>
    <row r="3980" spans="2:10">
      <c r="B3980" t="s">
        <v>272</v>
      </c>
      <c r="C3980" t="s">
        <v>44</v>
      </c>
      <c r="D3980">
        <v>55</v>
      </c>
      <c r="E3980">
        <v>55</v>
      </c>
      <c r="F3980">
        <v>50</v>
      </c>
      <c r="G3980">
        <v>45</v>
      </c>
      <c r="H3980">
        <v>45</v>
      </c>
      <c r="I3980" t="str">
        <f t="shared" si="49"/>
        <v>Shell Apartment Buildings|Average</v>
      </c>
      <c r="J3980" t="s">
        <v>1341</v>
      </c>
    </row>
    <row r="3981" spans="2:10">
      <c r="B3981" t="s">
        <v>272</v>
      </c>
      <c r="C3981" t="s">
        <v>226</v>
      </c>
      <c r="D3981">
        <v>55</v>
      </c>
      <c r="E3981">
        <v>55</v>
      </c>
      <c r="F3981">
        <v>50</v>
      </c>
      <c r="G3981">
        <v>45</v>
      </c>
      <c r="H3981">
        <v>45</v>
      </c>
      <c r="I3981" t="str">
        <f t="shared" si="49"/>
        <v>Shell Apartment Buildings|Low Cost</v>
      </c>
      <c r="J3981" t="s">
        <v>1341</v>
      </c>
    </row>
    <row r="3982" spans="2:10">
      <c r="B3982" t="s">
        <v>278</v>
      </c>
      <c r="C3982" t="s">
        <v>231</v>
      </c>
      <c r="D3982">
        <v>60</v>
      </c>
      <c r="E3982">
        <v>60</v>
      </c>
      <c r="F3982">
        <v>50</v>
      </c>
      <c r="I3982" t="str">
        <f t="shared" si="49"/>
        <v>Hotels, Limited Service|Excellent</v>
      </c>
      <c r="J3982" t="s">
        <v>1346</v>
      </c>
    </row>
    <row r="3983" spans="2:10">
      <c r="B3983" t="s">
        <v>278</v>
      </c>
      <c r="C3983" t="s">
        <v>229</v>
      </c>
      <c r="D3983">
        <v>55</v>
      </c>
      <c r="E3983">
        <v>55</v>
      </c>
      <c r="F3983">
        <v>50</v>
      </c>
      <c r="G3983">
        <v>45</v>
      </c>
      <c r="I3983" t="str">
        <f t="shared" si="49"/>
        <v>Hotels, Limited Service|Good</v>
      </c>
      <c r="J3983" t="s">
        <v>1347</v>
      </c>
    </row>
    <row r="3984" spans="2:10">
      <c r="B3984" t="s">
        <v>278</v>
      </c>
      <c r="C3984" t="s">
        <v>44</v>
      </c>
      <c r="D3984">
        <v>50</v>
      </c>
      <c r="E3984">
        <v>50</v>
      </c>
      <c r="F3984">
        <v>45</v>
      </c>
      <c r="G3984">
        <v>40</v>
      </c>
      <c r="H3984">
        <v>40</v>
      </c>
      <c r="I3984" t="str">
        <f t="shared" si="49"/>
        <v>Hotels, Limited Service|Average</v>
      </c>
      <c r="J3984" t="s">
        <v>1341</v>
      </c>
    </row>
    <row r="3985" spans="2:10">
      <c r="B3985" t="s">
        <v>278</v>
      </c>
      <c r="C3985" t="s">
        <v>226</v>
      </c>
      <c r="D3985">
        <v>50</v>
      </c>
      <c r="E3985">
        <v>50</v>
      </c>
      <c r="F3985">
        <v>45</v>
      </c>
      <c r="G3985">
        <v>40</v>
      </c>
      <c r="H3985">
        <v>40</v>
      </c>
      <c r="I3985" t="str">
        <f t="shared" si="49"/>
        <v>Hotels, Limited Service|Low Cost</v>
      </c>
      <c r="J3985" t="s">
        <v>1341</v>
      </c>
    </row>
    <row r="3986" spans="2:10">
      <c r="B3986" t="s">
        <v>282</v>
      </c>
      <c r="C3986" t="s">
        <v>231</v>
      </c>
      <c r="D3986">
        <v>60</v>
      </c>
      <c r="E3986">
        <v>60</v>
      </c>
      <c r="F3986">
        <v>50</v>
      </c>
      <c r="I3986" t="str">
        <f t="shared" si="49"/>
        <v>Shell Hotels: Limited Service Buildings|Excellent</v>
      </c>
      <c r="J3986" t="s">
        <v>1346</v>
      </c>
    </row>
    <row r="3987" spans="2:10">
      <c r="B3987" t="s">
        <v>282</v>
      </c>
      <c r="C3987" t="s">
        <v>229</v>
      </c>
      <c r="D3987">
        <v>55</v>
      </c>
      <c r="E3987">
        <v>55</v>
      </c>
      <c r="F3987">
        <v>50</v>
      </c>
      <c r="G3987">
        <v>45</v>
      </c>
      <c r="I3987" t="str">
        <f t="shared" si="49"/>
        <v>Shell Hotels: Limited Service Buildings|Good</v>
      </c>
      <c r="J3987" t="s">
        <v>1347</v>
      </c>
    </row>
    <row r="3988" spans="2:10">
      <c r="B3988" t="s">
        <v>282</v>
      </c>
      <c r="C3988" t="s">
        <v>44</v>
      </c>
      <c r="D3988">
        <v>50</v>
      </c>
      <c r="E3988">
        <v>50</v>
      </c>
      <c r="F3988">
        <v>45</v>
      </c>
      <c r="G3988">
        <v>40</v>
      </c>
      <c r="H3988">
        <v>40</v>
      </c>
      <c r="I3988" t="str">
        <f t="shared" si="49"/>
        <v>Shell Hotels: Limited Service Buildings|Average</v>
      </c>
      <c r="J3988" t="s">
        <v>1341</v>
      </c>
    </row>
    <row r="3989" spans="2:10">
      <c r="B3989" t="s">
        <v>282</v>
      </c>
      <c r="C3989" t="s">
        <v>226</v>
      </c>
      <c r="D3989">
        <v>50</v>
      </c>
      <c r="E3989">
        <v>50</v>
      </c>
      <c r="F3989">
        <v>45</v>
      </c>
      <c r="G3989">
        <v>40</v>
      </c>
      <c r="H3989">
        <v>40</v>
      </c>
      <c r="I3989" t="str">
        <f t="shared" si="49"/>
        <v>Shell Hotels: Limited Service Buildings|Low Cost</v>
      </c>
      <c r="J3989" t="s">
        <v>1341</v>
      </c>
    </row>
    <row r="3990" spans="2:10">
      <c r="B3990" t="s">
        <v>288</v>
      </c>
      <c r="C3990" t="s">
        <v>231</v>
      </c>
      <c r="D3990">
        <v>60</v>
      </c>
      <c r="E3990">
        <v>60</v>
      </c>
      <c r="F3990">
        <v>50</v>
      </c>
      <c r="G3990">
        <v>45</v>
      </c>
      <c r="I3990" t="str">
        <f t="shared" si="49"/>
        <v>Hotels, Full Service|Excellent</v>
      </c>
      <c r="J3990" t="s">
        <v>1348</v>
      </c>
    </row>
    <row r="3991" spans="2:10">
      <c r="B3991" t="s">
        <v>288</v>
      </c>
      <c r="C3991" t="s">
        <v>229</v>
      </c>
      <c r="D3991">
        <v>60</v>
      </c>
      <c r="E3991">
        <v>60</v>
      </c>
      <c r="F3991">
        <v>50</v>
      </c>
      <c r="G3991">
        <v>45</v>
      </c>
      <c r="I3991" t="str">
        <f t="shared" si="49"/>
        <v>Hotels, Full Service|Good</v>
      </c>
      <c r="J3991" t="s">
        <v>1348</v>
      </c>
    </row>
    <row r="3992" spans="2:10">
      <c r="B3992" t="s">
        <v>288</v>
      </c>
      <c r="C3992" t="s">
        <v>44</v>
      </c>
      <c r="D3992">
        <v>55</v>
      </c>
      <c r="E3992">
        <v>55</v>
      </c>
      <c r="F3992">
        <v>50</v>
      </c>
      <c r="G3992">
        <v>45</v>
      </c>
      <c r="I3992" t="str">
        <f t="shared" si="49"/>
        <v>Hotels, Full Service|Average</v>
      </c>
      <c r="J3992" t="s">
        <v>1345</v>
      </c>
    </row>
    <row r="3993" spans="2:10">
      <c r="B3993" t="s">
        <v>288</v>
      </c>
      <c r="C3993" t="s">
        <v>226</v>
      </c>
      <c r="D3993">
        <v>50</v>
      </c>
      <c r="E3993">
        <v>50</v>
      </c>
      <c r="F3993">
        <v>45</v>
      </c>
      <c r="G3993">
        <v>40</v>
      </c>
      <c r="I3993" t="str">
        <f t="shared" si="49"/>
        <v>Hotels, Full Service|Low Cost</v>
      </c>
      <c r="J3993" t="s">
        <v>1349</v>
      </c>
    </row>
    <row r="3994" spans="2:10">
      <c r="B3994" t="s">
        <v>292</v>
      </c>
      <c r="C3994" t="s">
        <v>231</v>
      </c>
      <c r="D3994">
        <v>60</v>
      </c>
      <c r="E3994">
        <v>60</v>
      </c>
      <c r="F3994">
        <v>50</v>
      </c>
      <c r="G3994">
        <v>45</v>
      </c>
      <c r="I3994" t="str">
        <f t="shared" si="49"/>
        <v>Shell Hotels: Full Service Buildings|Excellent</v>
      </c>
      <c r="J3994" t="s">
        <v>1348</v>
      </c>
    </row>
    <row r="3995" spans="2:10">
      <c r="B3995" t="s">
        <v>292</v>
      </c>
      <c r="C3995" t="s">
        <v>229</v>
      </c>
      <c r="D3995">
        <v>60</v>
      </c>
      <c r="E3995">
        <v>60</v>
      </c>
      <c r="F3995">
        <v>50</v>
      </c>
      <c r="G3995">
        <v>45</v>
      </c>
      <c r="I3995" t="str">
        <f t="shared" si="49"/>
        <v>Shell Hotels: Full Service Buildings|Good</v>
      </c>
      <c r="J3995" t="s">
        <v>1348</v>
      </c>
    </row>
    <row r="3996" spans="2:10">
      <c r="B3996" t="s">
        <v>292</v>
      </c>
      <c r="C3996" t="s">
        <v>44</v>
      </c>
      <c r="D3996">
        <v>55</v>
      </c>
      <c r="E3996">
        <v>55</v>
      </c>
      <c r="F3996">
        <v>50</v>
      </c>
      <c r="G3996">
        <v>45</v>
      </c>
      <c r="I3996" t="str">
        <f t="shared" si="49"/>
        <v>Shell Hotels: Full Service Buildings|Average</v>
      </c>
      <c r="J3996" t="s">
        <v>1345</v>
      </c>
    </row>
    <row r="3997" spans="2:10">
      <c r="B3997" t="s">
        <v>292</v>
      </c>
      <c r="C3997" t="s">
        <v>226</v>
      </c>
      <c r="D3997">
        <v>50</v>
      </c>
      <c r="E3997">
        <v>50</v>
      </c>
      <c r="F3997">
        <v>45</v>
      </c>
      <c r="G3997">
        <v>40</v>
      </c>
      <c r="I3997" t="str">
        <f t="shared" si="49"/>
        <v>Shell Hotels: Full Service Buildings|Low Cost</v>
      </c>
      <c r="J3997" t="s">
        <v>1349</v>
      </c>
    </row>
    <row r="3998" spans="2:10">
      <c r="B3998" t="s">
        <v>298</v>
      </c>
      <c r="C3998" t="s">
        <v>229</v>
      </c>
      <c r="F3998">
        <v>55</v>
      </c>
      <c r="G3998">
        <v>50</v>
      </c>
      <c r="I3998" t="str">
        <f t="shared" si="49"/>
        <v>Rooming Houses|Good</v>
      </c>
      <c r="J3998" t="s">
        <v>1350</v>
      </c>
    </row>
    <row r="3999" spans="2:10">
      <c r="B3999" t="s">
        <v>298</v>
      </c>
      <c r="C3999" t="s">
        <v>44</v>
      </c>
      <c r="F3999">
        <v>50</v>
      </c>
      <c r="G3999">
        <v>45</v>
      </c>
      <c r="I3999" t="str">
        <f t="shared" si="49"/>
        <v>Rooming Houses|Average</v>
      </c>
      <c r="J3999" t="s">
        <v>1345</v>
      </c>
    </row>
    <row r="4000" spans="2:10">
      <c r="B4000" t="s">
        <v>298</v>
      </c>
      <c r="C4000" t="s">
        <v>302</v>
      </c>
      <c r="F4000">
        <v>45</v>
      </c>
      <c r="G4000">
        <v>40</v>
      </c>
      <c r="I4000" t="str">
        <f t="shared" si="49"/>
        <v>Rooming Houses|Fair</v>
      </c>
      <c r="J4000" t="s">
        <v>1351</v>
      </c>
    </row>
    <row r="4001" spans="2:10">
      <c r="B4001" t="s">
        <v>298</v>
      </c>
      <c r="C4001" t="s">
        <v>226</v>
      </c>
      <c r="F4001">
        <v>45</v>
      </c>
      <c r="G4001">
        <v>40</v>
      </c>
      <c r="I4001" t="str">
        <f t="shared" si="49"/>
        <v>Rooming Houses|Low Cost</v>
      </c>
      <c r="J4001" t="s">
        <v>1351</v>
      </c>
    </row>
    <row r="4002" spans="2:10">
      <c r="B4002" t="s">
        <v>303</v>
      </c>
      <c r="C4002" t="s">
        <v>231</v>
      </c>
      <c r="F4002">
        <v>55</v>
      </c>
      <c r="G4002">
        <v>50</v>
      </c>
      <c r="I4002" t="str">
        <f t="shared" si="49"/>
        <v>Rectories|Excellent</v>
      </c>
      <c r="J4002" t="s">
        <v>1352</v>
      </c>
    </row>
    <row r="4003" spans="2:10">
      <c r="B4003" t="s">
        <v>303</v>
      </c>
      <c r="C4003" t="s">
        <v>229</v>
      </c>
      <c r="F4003">
        <v>55</v>
      </c>
      <c r="G4003">
        <v>50</v>
      </c>
      <c r="I4003" t="str">
        <f t="shared" si="49"/>
        <v>Rectories|Good</v>
      </c>
      <c r="J4003" t="s">
        <v>1352</v>
      </c>
    </row>
    <row r="4004" spans="2:10">
      <c r="B4004" t="s">
        <v>303</v>
      </c>
      <c r="C4004" t="s">
        <v>44</v>
      </c>
      <c r="F4004">
        <v>50</v>
      </c>
      <c r="G4004">
        <v>45</v>
      </c>
      <c r="I4004" t="str">
        <f t="shared" si="49"/>
        <v>Rectories|Average</v>
      </c>
      <c r="J4004" t="s">
        <v>1345</v>
      </c>
    </row>
    <row r="4005" spans="2:10">
      <c r="B4005" t="s">
        <v>303</v>
      </c>
      <c r="C4005" t="s">
        <v>226</v>
      </c>
      <c r="F4005">
        <v>45</v>
      </c>
      <c r="G4005">
        <v>40</v>
      </c>
      <c r="I4005" t="str">
        <f t="shared" si="49"/>
        <v>Rectories|Low Cost</v>
      </c>
      <c r="J4005" t="s">
        <v>1349</v>
      </c>
    </row>
    <row r="4006" spans="2:10">
      <c r="B4006" t="s">
        <v>305</v>
      </c>
      <c r="C4006" t="s">
        <v>231</v>
      </c>
      <c r="F4006">
        <v>55</v>
      </c>
      <c r="G4006">
        <v>50</v>
      </c>
      <c r="I4006" t="str">
        <f t="shared" si="49"/>
        <v>Fraternity Housing|Excellent</v>
      </c>
      <c r="J4006" t="s">
        <v>1353</v>
      </c>
    </row>
    <row r="4007" spans="2:10">
      <c r="B4007" t="s">
        <v>305</v>
      </c>
      <c r="C4007" t="s">
        <v>229</v>
      </c>
      <c r="F4007">
        <v>55</v>
      </c>
      <c r="G4007">
        <v>50</v>
      </c>
      <c r="I4007" t="str">
        <f t="shared" si="49"/>
        <v>Fraternity Housing|Good</v>
      </c>
      <c r="J4007" t="s">
        <v>1353</v>
      </c>
    </row>
    <row r="4008" spans="2:10">
      <c r="B4008" t="s">
        <v>305</v>
      </c>
      <c r="C4008" t="s">
        <v>44</v>
      </c>
      <c r="F4008">
        <v>50</v>
      </c>
      <c r="G4008">
        <v>45</v>
      </c>
      <c r="I4008" t="str">
        <f t="shared" si="49"/>
        <v>Fraternity Housing|Average</v>
      </c>
      <c r="J4008" t="s">
        <v>1345</v>
      </c>
    </row>
    <row r="4009" spans="2:10">
      <c r="B4009" t="s">
        <v>307</v>
      </c>
      <c r="C4009" t="s">
        <v>231</v>
      </c>
      <c r="F4009">
        <v>55</v>
      </c>
      <c r="G4009">
        <v>50</v>
      </c>
      <c r="I4009" t="str">
        <f t="shared" si="49"/>
        <v>Group Care Homes|Excellent</v>
      </c>
      <c r="J4009" t="s">
        <v>1354</v>
      </c>
    </row>
    <row r="4010" spans="2:10">
      <c r="B4010" t="s">
        <v>307</v>
      </c>
      <c r="C4010" t="s">
        <v>250</v>
      </c>
      <c r="F4010">
        <v>55</v>
      </c>
      <c r="G4010">
        <v>50</v>
      </c>
      <c r="I4010" t="str">
        <f t="shared" si="49"/>
        <v>Group Care Homes|Very Good</v>
      </c>
      <c r="J4010" t="s">
        <v>1354</v>
      </c>
    </row>
    <row r="4011" spans="2:10">
      <c r="B4011" t="s">
        <v>307</v>
      </c>
      <c r="C4011" t="s">
        <v>229</v>
      </c>
      <c r="F4011">
        <v>55</v>
      </c>
      <c r="G4011">
        <v>50</v>
      </c>
      <c r="I4011" t="str">
        <f t="shared" si="49"/>
        <v>Group Care Homes|Good</v>
      </c>
      <c r="J4011" t="s">
        <v>1354</v>
      </c>
    </row>
    <row r="4012" spans="2:10">
      <c r="B4012" t="s">
        <v>307</v>
      </c>
      <c r="C4012" t="s">
        <v>44</v>
      </c>
      <c r="F4012">
        <v>50</v>
      </c>
      <c r="G4012">
        <v>45</v>
      </c>
      <c r="I4012" t="str">
        <f t="shared" si="49"/>
        <v>Group Care Homes|Average</v>
      </c>
      <c r="J4012" t="s">
        <v>1345</v>
      </c>
    </row>
    <row r="4013" spans="2:10">
      <c r="B4013" t="s">
        <v>307</v>
      </c>
      <c r="C4013" t="s">
        <v>226</v>
      </c>
      <c r="F4013">
        <v>45</v>
      </c>
      <c r="G4013">
        <v>40</v>
      </c>
      <c r="I4013" t="str">
        <f t="shared" si="49"/>
        <v>Group Care Homes|Low Cost</v>
      </c>
      <c r="J4013" t="s">
        <v>1349</v>
      </c>
    </row>
    <row r="4014" spans="2:10">
      <c r="B4014" t="s">
        <v>311</v>
      </c>
      <c r="C4014" t="s">
        <v>229</v>
      </c>
      <c r="F4014">
        <v>45</v>
      </c>
      <c r="G4014">
        <v>40</v>
      </c>
      <c r="H4014">
        <v>40</v>
      </c>
      <c r="I4014" t="str">
        <f t="shared" si="49"/>
        <v>Recreational (Pool) Enclosures|Good</v>
      </c>
      <c r="J4014" t="s">
        <v>1355</v>
      </c>
    </row>
    <row r="4015" spans="2:10">
      <c r="B4015" t="s">
        <v>311</v>
      </c>
      <c r="C4015" t="s">
        <v>44</v>
      </c>
      <c r="F4015">
        <v>40</v>
      </c>
      <c r="G4015">
        <v>35</v>
      </c>
      <c r="H4015">
        <v>35</v>
      </c>
      <c r="I4015" t="str">
        <f t="shared" si="49"/>
        <v>Recreational (Pool) Enclosures|Average</v>
      </c>
      <c r="J4015" t="s">
        <v>1345</v>
      </c>
    </row>
    <row r="4016" spans="2:10">
      <c r="B4016" t="s">
        <v>311</v>
      </c>
      <c r="C4016" t="s">
        <v>226</v>
      </c>
      <c r="F4016">
        <v>35</v>
      </c>
      <c r="G4016">
        <v>25</v>
      </c>
      <c r="H4016">
        <v>20</v>
      </c>
      <c r="I4016" t="str">
        <f t="shared" si="49"/>
        <v>Recreational (Pool) Enclosures|Low Cost</v>
      </c>
      <c r="J4016" t="s">
        <v>1349</v>
      </c>
    </row>
    <row r="4017" spans="2:10">
      <c r="B4017" t="s">
        <v>311</v>
      </c>
      <c r="C4017" t="s">
        <v>314</v>
      </c>
      <c r="H4017">
        <v>10</v>
      </c>
      <c r="I4017" t="str">
        <f t="shared" si="49"/>
        <v>Recreational (Pool) Enclosures|Cheap</v>
      </c>
      <c r="J4017" t="s">
        <v>1356</v>
      </c>
    </row>
    <row r="4018" spans="2:10">
      <c r="B4018" t="s">
        <v>315</v>
      </c>
      <c r="C4018" t="s">
        <v>231</v>
      </c>
      <c r="F4018">
        <v>45</v>
      </c>
      <c r="G4018">
        <v>40</v>
      </c>
      <c r="H4018">
        <v>40</v>
      </c>
      <c r="I4018" t="str">
        <f t="shared" si="49"/>
        <v>Clubhouses|Excellent</v>
      </c>
      <c r="J4018" t="s">
        <v>1357</v>
      </c>
    </row>
    <row r="4019" spans="2:10">
      <c r="B4019" t="s">
        <v>315</v>
      </c>
      <c r="C4019" t="s">
        <v>229</v>
      </c>
      <c r="F4019">
        <v>45</v>
      </c>
      <c r="G4019">
        <v>40</v>
      </c>
      <c r="H4019">
        <v>40</v>
      </c>
      <c r="I4019" t="str">
        <f t="shared" si="49"/>
        <v>Clubhouses|Good</v>
      </c>
      <c r="J4019" t="s">
        <v>1357</v>
      </c>
    </row>
    <row r="4020" spans="2:10">
      <c r="B4020" t="s">
        <v>315</v>
      </c>
      <c r="C4020" t="s">
        <v>44</v>
      </c>
      <c r="F4020">
        <v>40</v>
      </c>
      <c r="G4020">
        <v>35</v>
      </c>
      <c r="H4020">
        <v>35</v>
      </c>
      <c r="I4020" t="str">
        <f t="shared" si="49"/>
        <v>Clubhouses|Average</v>
      </c>
      <c r="J4020" t="s">
        <v>1341</v>
      </c>
    </row>
    <row r="4021" spans="2:10">
      <c r="B4021" t="s">
        <v>315</v>
      </c>
      <c r="C4021" t="s">
        <v>226</v>
      </c>
      <c r="F4021">
        <v>40</v>
      </c>
      <c r="G4021">
        <v>35</v>
      </c>
      <c r="H4021">
        <v>35</v>
      </c>
      <c r="I4021" t="str">
        <f t="shared" si="49"/>
        <v>Clubhouses|Low Cost</v>
      </c>
      <c r="J4021" t="s">
        <v>1341</v>
      </c>
    </row>
    <row r="4022" spans="2:10">
      <c r="B4022" t="s">
        <v>319</v>
      </c>
      <c r="C4022" t="s">
        <v>231</v>
      </c>
      <c r="F4022">
        <v>45</v>
      </c>
      <c r="G4022">
        <v>40</v>
      </c>
      <c r="H4022">
        <v>40</v>
      </c>
      <c r="I4022" t="str">
        <f t="shared" si="49"/>
        <v>Senior (Clubhouse) Centers|Excellent</v>
      </c>
      <c r="J4022" t="s">
        <v>1357</v>
      </c>
    </row>
    <row r="4023" spans="2:10">
      <c r="B4023" t="s">
        <v>319</v>
      </c>
      <c r="C4023" t="s">
        <v>229</v>
      </c>
      <c r="F4023">
        <v>45</v>
      </c>
      <c r="G4023">
        <v>40</v>
      </c>
      <c r="H4023">
        <v>40</v>
      </c>
      <c r="I4023" t="str">
        <f t="shared" si="49"/>
        <v>Senior (Clubhouse) Centers|Good</v>
      </c>
      <c r="J4023" t="s">
        <v>1357</v>
      </c>
    </row>
    <row r="4024" spans="2:10">
      <c r="B4024" t="s">
        <v>319</v>
      </c>
      <c r="C4024" t="s">
        <v>44</v>
      </c>
      <c r="F4024">
        <v>40</v>
      </c>
      <c r="G4024">
        <v>35</v>
      </c>
      <c r="H4024">
        <v>35</v>
      </c>
      <c r="I4024" t="str">
        <f t="shared" ref="I4024:I4087" si="50">B4024&amp;"|"&amp;C4024</f>
        <v>Senior (Clubhouse) Centers|Average</v>
      </c>
      <c r="J4024" t="s">
        <v>1341</v>
      </c>
    </row>
    <row r="4025" spans="2:10">
      <c r="B4025" t="s">
        <v>319</v>
      </c>
      <c r="C4025" t="s">
        <v>226</v>
      </c>
      <c r="F4025">
        <v>40</v>
      </c>
      <c r="G4025">
        <v>35</v>
      </c>
      <c r="H4025">
        <v>35</v>
      </c>
      <c r="I4025" t="str">
        <f t="shared" si="50"/>
        <v>Senior (Clubhouse) Centers|Low Cost</v>
      </c>
      <c r="J4025" t="s">
        <v>1341</v>
      </c>
    </row>
    <row r="4026" spans="2:10">
      <c r="B4026" t="s">
        <v>321</v>
      </c>
      <c r="C4026" t="s">
        <v>231</v>
      </c>
      <c r="F4026">
        <v>50</v>
      </c>
      <c r="G4026">
        <v>45</v>
      </c>
      <c r="I4026" t="str">
        <f t="shared" si="50"/>
        <v>Country Clubs|Excellent</v>
      </c>
      <c r="J4026" t="s">
        <v>1358</v>
      </c>
    </row>
    <row r="4027" spans="2:10">
      <c r="B4027" t="s">
        <v>321</v>
      </c>
      <c r="C4027" t="s">
        <v>229</v>
      </c>
      <c r="F4027">
        <v>50</v>
      </c>
      <c r="G4027">
        <v>45</v>
      </c>
      <c r="I4027" t="str">
        <f t="shared" si="50"/>
        <v>Country Clubs|Good</v>
      </c>
      <c r="J4027" t="s">
        <v>1358</v>
      </c>
    </row>
    <row r="4028" spans="2:10">
      <c r="B4028" t="s">
        <v>321</v>
      </c>
      <c r="C4028" t="s">
        <v>44</v>
      </c>
      <c r="F4028">
        <v>45</v>
      </c>
      <c r="G4028">
        <v>40</v>
      </c>
      <c r="H4028">
        <v>40</v>
      </c>
      <c r="I4028" t="str">
        <f t="shared" si="50"/>
        <v>Country Clubs|Average</v>
      </c>
      <c r="J4028" t="s">
        <v>1341</v>
      </c>
    </row>
    <row r="4029" spans="2:10">
      <c r="B4029" t="s">
        <v>321</v>
      </c>
      <c r="C4029" t="s">
        <v>226</v>
      </c>
      <c r="F4029">
        <v>45</v>
      </c>
      <c r="G4029">
        <v>40</v>
      </c>
      <c r="H4029">
        <v>40</v>
      </c>
      <c r="I4029" t="str">
        <f t="shared" si="50"/>
        <v>Country Clubs|Low Cost</v>
      </c>
      <c r="J4029" t="s">
        <v>1341</v>
      </c>
    </row>
    <row r="4030" spans="2:10">
      <c r="B4030" t="s">
        <v>325</v>
      </c>
      <c r="C4030" t="s">
        <v>229</v>
      </c>
      <c r="F4030">
        <v>45</v>
      </c>
      <c r="G4030">
        <v>40</v>
      </c>
      <c r="H4030">
        <v>40</v>
      </c>
      <c r="I4030" t="str">
        <f t="shared" si="50"/>
        <v>Health Clubs (Spas)|Good</v>
      </c>
      <c r="J4030" t="s">
        <v>1359</v>
      </c>
    </row>
    <row r="4031" spans="2:10">
      <c r="B4031" t="s">
        <v>325</v>
      </c>
      <c r="C4031" t="s">
        <v>44</v>
      </c>
      <c r="F4031">
        <v>40</v>
      </c>
      <c r="G4031">
        <v>35</v>
      </c>
      <c r="H4031">
        <v>35</v>
      </c>
      <c r="I4031" t="str">
        <f t="shared" si="50"/>
        <v>Health Clubs (Spas)|Average</v>
      </c>
      <c r="J4031" t="s">
        <v>1341</v>
      </c>
    </row>
    <row r="4032" spans="2:10">
      <c r="B4032" t="s">
        <v>325</v>
      </c>
      <c r="C4032" t="s">
        <v>226</v>
      </c>
      <c r="F4032">
        <v>40</v>
      </c>
      <c r="G4032">
        <v>35</v>
      </c>
      <c r="H4032">
        <v>35</v>
      </c>
      <c r="I4032" t="str">
        <f t="shared" si="50"/>
        <v>Health Clubs (Spas)|Low Cost</v>
      </c>
      <c r="J4032" t="s">
        <v>1341</v>
      </c>
    </row>
    <row r="4033" spans="2:10">
      <c r="B4033" t="s">
        <v>327</v>
      </c>
      <c r="C4033" t="s">
        <v>229</v>
      </c>
      <c r="D4033">
        <v>50</v>
      </c>
      <c r="E4033">
        <v>50</v>
      </c>
      <c r="F4033">
        <v>45</v>
      </c>
      <c r="G4033">
        <v>45</v>
      </c>
      <c r="H4033">
        <v>45</v>
      </c>
      <c r="I4033" t="str">
        <f t="shared" si="50"/>
        <v>Mortuaries / Funeral Homes|Good</v>
      </c>
      <c r="J4033" t="s">
        <v>1360</v>
      </c>
    </row>
    <row r="4034" spans="2:10">
      <c r="B4034" t="s">
        <v>327</v>
      </c>
      <c r="C4034" t="s">
        <v>44</v>
      </c>
      <c r="D4034">
        <v>50</v>
      </c>
      <c r="E4034">
        <v>50</v>
      </c>
      <c r="F4034">
        <v>45</v>
      </c>
      <c r="G4034">
        <v>45</v>
      </c>
      <c r="H4034">
        <v>45</v>
      </c>
      <c r="I4034" t="str">
        <f t="shared" si="50"/>
        <v>Mortuaries / Funeral Homes|Average</v>
      </c>
      <c r="J4034" t="s">
        <v>1360</v>
      </c>
    </row>
    <row r="4035" spans="2:10">
      <c r="B4035" t="s">
        <v>327</v>
      </c>
      <c r="C4035" t="s">
        <v>231</v>
      </c>
      <c r="F4035">
        <v>50</v>
      </c>
      <c r="G4035">
        <v>50</v>
      </c>
      <c r="I4035" t="str">
        <f t="shared" si="50"/>
        <v>Mortuaries / Funeral Homes|Excellent</v>
      </c>
      <c r="J4035" t="s">
        <v>1361</v>
      </c>
    </row>
    <row r="4036" spans="2:10">
      <c r="B4036" t="s">
        <v>327</v>
      </c>
      <c r="C4036" t="s">
        <v>226</v>
      </c>
      <c r="F4036">
        <v>40</v>
      </c>
      <c r="G4036">
        <v>35</v>
      </c>
      <c r="H4036">
        <v>35</v>
      </c>
      <c r="I4036" t="str">
        <f t="shared" si="50"/>
        <v>Mortuaries / Funeral Homes|Low Cost</v>
      </c>
      <c r="J4036" t="s">
        <v>1349</v>
      </c>
    </row>
    <row r="4037" spans="2:10">
      <c r="B4037" t="s">
        <v>331</v>
      </c>
      <c r="C4037" t="s">
        <v>231</v>
      </c>
      <c r="F4037">
        <v>60</v>
      </c>
      <c r="G4037">
        <v>55</v>
      </c>
      <c r="I4037" t="str">
        <f t="shared" si="50"/>
        <v>High-Rise Row (Town) Houses|Excellent</v>
      </c>
      <c r="J4037" t="s">
        <v>1362</v>
      </c>
    </row>
    <row r="4038" spans="2:10">
      <c r="B4038" t="s">
        <v>331</v>
      </c>
      <c r="C4038" t="s">
        <v>229</v>
      </c>
      <c r="F4038">
        <v>60</v>
      </c>
      <c r="G4038">
        <v>55</v>
      </c>
      <c r="I4038" t="str">
        <f t="shared" si="50"/>
        <v>High-Rise Row (Town) Houses|Good</v>
      </c>
      <c r="J4038" t="s">
        <v>1362</v>
      </c>
    </row>
    <row r="4039" spans="2:10">
      <c r="B4039" t="s">
        <v>331</v>
      </c>
      <c r="C4039" t="s">
        <v>44</v>
      </c>
      <c r="F4039">
        <v>55</v>
      </c>
      <c r="G4039">
        <v>50</v>
      </c>
      <c r="I4039" t="str">
        <f t="shared" si="50"/>
        <v>High-Rise Row (Town) Houses|Average</v>
      </c>
      <c r="J4039" t="s">
        <v>1341</v>
      </c>
    </row>
    <row r="4040" spans="2:10">
      <c r="B4040" t="s">
        <v>335</v>
      </c>
      <c r="C4040" t="s">
        <v>231</v>
      </c>
      <c r="F4040">
        <v>45</v>
      </c>
      <c r="G4040">
        <v>40</v>
      </c>
      <c r="I4040" t="str">
        <f t="shared" si="50"/>
        <v>Motels|Excellent</v>
      </c>
      <c r="J4040" t="s">
        <v>1363</v>
      </c>
    </row>
    <row r="4041" spans="2:10">
      <c r="B4041" t="s">
        <v>335</v>
      </c>
      <c r="C4041" t="s">
        <v>229</v>
      </c>
      <c r="F4041">
        <v>45</v>
      </c>
      <c r="G4041">
        <v>40</v>
      </c>
      <c r="I4041" t="str">
        <f t="shared" si="50"/>
        <v>Motels|Good</v>
      </c>
      <c r="J4041" t="s">
        <v>1363</v>
      </c>
    </row>
    <row r="4042" spans="2:10">
      <c r="B4042" t="s">
        <v>335</v>
      </c>
      <c r="C4042" t="s">
        <v>44</v>
      </c>
      <c r="F4042">
        <v>40</v>
      </c>
      <c r="G4042">
        <v>35</v>
      </c>
      <c r="H4042">
        <v>35</v>
      </c>
      <c r="I4042" t="str">
        <f t="shared" si="50"/>
        <v>Motels|Average</v>
      </c>
      <c r="J4042" t="s">
        <v>1345</v>
      </c>
    </row>
    <row r="4043" spans="2:10">
      <c r="B4043" t="s">
        <v>335</v>
      </c>
      <c r="C4043" t="s">
        <v>302</v>
      </c>
      <c r="F4043">
        <v>35</v>
      </c>
      <c r="G4043">
        <v>30</v>
      </c>
      <c r="I4043" t="str">
        <f t="shared" si="50"/>
        <v>Motels|Fair</v>
      </c>
      <c r="J4043" t="s">
        <v>1364</v>
      </c>
    </row>
    <row r="4044" spans="2:10">
      <c r="B4044" t="s">
        <v>335</v>
      </c>
      <c r="C4044" t="s">
        <v>226</v>
      </c>
      <c r="F4044">
        <v>35</v>
      </c>
      <c r="G4044">
        <v>30</v>
      </c>
      <c r="I4044" t="str">
        <f t="shared" si="50"/>
        <v>Motels|Low Cost</v>
      </c>
      <c r="J4044" t="s">
        <v>1364</v>
      </c>
    </row>
    <row r="4045" spans="2:10">
      <c r="B4045" t="s">
        <v>335</v>
      </c>
      <c r="C4045" t="s">
        <v>314</v>
      </c>
      <c r="F4045">
        <v>35</v>
      </c>
      <c r="G4045">
        <v>30</v>
      </c>
      <c r="I4045" t="str">
        <f t="shared" si="50"/>
        <v>Motels|Cheap</v>
      </c>
      <c r="J4045" t="s">
        <v>1364</v>
      </c>
    </row>
    <row r="4046" spans="2:10">
      <c r="B4046" t="s">
        <v>340</v>
      </c>
      <c r="C4046" t="s">
        <v>231</v>
      </c>
      <c r="F4046">
        <v>45</v>
      </c>
      <c r="G4046">
        <v>40</v>
      </c>
      <c r="I4046" t="str">
        <f t="shared" si="50"/>
        <v>Shell Motels|Excellent</v>
      </c>
      <c r="J4046" t="s">
        <v>1363</v>
      </c>
    </row>
    <row r="4047" spans="2:10">
      <c r="B4047" t="s">
        <v>340</v>
      </c>
      <c r="C4047" t="s">
        <v>229</v>
      </c>
      <c r="F4047">
        <v>45</v>
      </c>
      <c r="G4047">
        <v>40</v>
      </c>
      <c r="I4047" t="str">
        <f t="shared" si="50"/>
        <v>Shell Motels|Good</v>
      </c>
      <c r="J4047" t="s">
        <v>1363</v>
      </c>
    </row>
    <row r="4048" spans="2:10">
      <c r="B4048" t="s">
        <v>340</v>
      </c>
      <c r="C4048" t="s">
        <v>44</v>
      </c>
      <c r="F4048">
        <v>40</v>
      </c>
      <c r="G4048">
        <v>35</v>
      </c>
      <c r="H4048">
        <v>35</v>
      </c>
      <c r="I4048" t="str">
        <f t="shared" si="50"/>
        <v>Shell Motels|Average</v>
      </c>
      <c r="J4048" t="s">
        <v>1345</v>
      </c>
    </row>
    <row r="4049" spans="2:10">
      <c r="B4049" t="s">
        <v>340</v>
      </c>
      <c r="C4049" t="s">
        <v>302</v>
      </c>
      <c r="F4049">
        <v>35</v>
      </c>
      <c r="G4049">
        <v>30</v>
      </c>
      <c r="I4049" t="str">
        <f t="shared" si="50"/>
        <v>Shell Motels|Fair</v>
      </c>
      <c r="J4049" t="s">
        <v>1364</v>
      </c>
    </row>
    <row r="4050" spans="2:10">
      <c r="B4050" t="s">
        <v>340</v>
      </c>
      <c r="C4050" t="s">
        <v>226</v>
      </c>
      <c r="F4050">
        <v>35</v>
      </c>
      <c r="G4050">
        <v>30</v>
      </c>
      <c r="I4050" t="str">
        <f t="shared" si="50"/>
        <v>Shell Motels|Low Cost</v>
      </c>
      <c r="J4050" t="s">
        <v>1364</v>
      </c>
    </row>
    <row r="4051" spans="2:10">
      <c r="B4051" t="s">
        <v>340</v>
      </c>
      <c r="C4051" t="s">
        <v>314</v>
      </c>
      <c r="F4051">
        <v>35</v>
      </c>
      <c r="G4051">
        <v>30</v>
      </c>
      <c r="I4051" t="str">
        <f t="shared" si="50"/>
        <v>Shell Motels|Cheap</v>
      </c>
      <c r="J4051" t="s">
        <v>1364</v>
      </c>
    </row>
    <row r="4052" spans="2:10">
      <c r="B4052" t="s">
        <v>344</v>
      </c>
      <c r="C4052" t="s">
        <v>231</v>
      </c>
      <c r="F4052">
        <v>45</v>
      </c>
      <c r="G4052">
        <v>40</v>
      </c>
      <c r="I4052" t="str">
        <f t="shared" si="50"/>
        <v>Extended-Stay Motels|Excellent</v>
      </c>
      <c r="J4052" t="s">
        <v>1363</v>
      </c>
    </row>
    <row r="4053" spans="2:10">
      <c r="B4053" t="s">
        <v>344</v>
      </c>
      <c r="C4053" t="s">
        <v>229</v>
      </c>
      <c r="F4053">
        <v>45</v>
      </c>
      <c r="G4053">
        <v>40</v>
      </c>
      <c r="I4053" t="str">
        <f t="shared" si="50"/>
        <v>Extended-Stay Motels|Good</v>
      </c>
      <c r="J4053" t="s">
        <v>1363</v>
      </c>
    </row>
    <row r="4054" spans="2:10">
      <c r="B4054" t="s">
        <v>344</v>
      </c>
      <c r="C4054" t="s">
        <v>44</v>
      </c>
      <c r="F4054">
        <v>40</v>
      </c>
      <c r="G4054">
        <v>35</v>
      </c>
      <c r="H4054">
        <v>35</v>
      </c>
      <c r="I4054" t="str">
        <f t="shared" si="50"/>
        <v>Extended-Stay Motels|Average</v>
      </c>
      <c r="J4054" t="s">
        <v>1345</v>
      </c>
    </row>
    <row r="4055" spans="2:10">
      <c r="B4055" t="s">
        <v>344</v>
      </c>
      <c r="C4055" t="s">
        <v>302</v>
      </c>
      <c r="F4055">
        <v>35</v>
      </c>
      <c r="G4055">
        <v>30</v>
      </c>
      <c r="I4055" t="str">
        <f t="shared" si="50"/>
        <v>Extended-Stay Motels|Fair</v>
      </c>
      <c r="J4055" t="s">
        <v>1364</v>
      </c>
    </row>
    <row r="4056" spans="2:10">
      <c r="B4056" t="s">
        <v>344</v>
      </c>
      <c r="C4056" t="s">
        <v>226</v>
      </c>
      <c r="F4056">
        <v>35</v>
      </c>
      <c r="G4056">
        <v>30</v>
      </c>
      <c r="I4056" t="str">
        <f t="shared" si="50"/>
        <v>Extended-Stay Motels|Low Cost</v>
      </c>
      <c r="J4056" t="s">
        <v>1364</v>
      </c>
    </row>
    <row r="4057" spans="2:10">
      <c r="B4057" t="s">
        <v>347</v>
      </c>
      <c r="C4057" t="s">
        <v>231</v>
      </c>
      <c r="F4057">
        <v>45</v>
      </c>
      <c r="G4057">
        <v>40</v>
      </c>
      <c r="I4057" t="str">
        <f t="shared" si="50"/>
        <v>Shell Extended Stay - Motels|Excellent</v>
      </c>
      <c r="J4057" t="s">
        <v>1363</v>
      </c>
    </row>
    <row r="4058" spans="2:10">
      <c r="B4058" t="s">
        <v>347</v>
      </c>
      <c r="C4058" t="s">
        <v>229</v>
      </c>
      <c r="F4058">
        <v>45</v>
      </c>
      <c r="G4058">
        <v>40</v>
      </c>
      <c r="I4058" t="str">
        <f t="shared" si="50"/>
        <v>Shell Extended Stay - Motels|Good</v>
      </c>
      <c r="J4058" t="s">
        <v>1363</v>
      </c>
    </row>
    <row r="4059" spans="2:10">
      <c r="B4059" t="s">
        <v>347</v>
      </c>
      <c r="C4059" t="s">
        <v>44</v>
      </c>
      <c r="F4059">
        <v>40</v>
      </c>
      <c r="G4059">
        <v>35</v>
      </c>
      <c r="H4059">
        <v>35</v>
      </c>
      <c r="I4059" t="str">
        <f t="shared" si="50"/>
        <v>Shell Extended Stay - Motels|Average</v>
      </c>
      <c r="J4059" t="s">
        <v>1345</v>
      </c>
    </row>
    <row r="4060" spans="2:10">
      <c r="B4060" t="s">
        <v>347</v>
      </c>
      <c r="C4060" t="s">
        <v>302</v>
      </c>
      <c r="F4060">
        <v>35</v>
      </c>
      <c r="G4060">
        <v>30</v>
      </c>
      <c r="I4060" t="str">
        <f t="shared" si="50"/>
        <v>Shell Extended Stay - Motels|Fair</v>
      </c>
      <c r="J4060" t="s">
        <v>1364</v>
      </c>
    </row>
    <row r="4061" spans="2:10">
      <c r="B4061" t="s">
        <v>347</v>
      </c>
      <c r="C4061" t="s">
        <v>226</v>
      </c>
      <c r="F4061">
        <v>35</v>
      </c>
      <c r="G4061">
        <v>30</v>
      </c>
      <c r="I4061" t="str">
        <f t="shared" si="50"/>
        <v>Shell Extended Stay - Motels|Low Cost</v>
      </c>
      <c r="J4061" t="s">
        <v>1364</v>
      </c>
    </row>
    <row r="4062" spans="2:10">
      <c r="B4062" t="s">
        <v>350</v>
      </c>
      <c r="C4062" t="s">
        <v>231</v>
      </c>
      <c r="F4062">
        <v>45</v>
      </c>
      <c r="G4062">
        <v>40</v>
      </c>
      <c r="I4062" t="str">
        <f t="shared" si="50"/>
        <v>Office-Apartments|Excellent</v>
      </c>
      <c r="J4062" t="s">
        <v>1365</v>
      </c>
    </row>
    <row r="4063" spans="2:10">
      <c r="B4063" t="s">
        <v>350</v>
      </c>
      <c r="C4063" t="s">
        <v>229</v>
      </c>
      <c r="F4063">
        <v>45</v>
      </c>
      <c r="G4063">
        <v>40</v>
      </c>
      <c r="I4063" t="str">
        <f t="shared" si="50"/>
        <v>Office-Apartments|Good</v>
      </c>
      <c r="J4063" t="s">
        <v>1365</v>
      </c>
    </row>
    <row r="4064" spans="2:10">
      <c r="B4064" t="s">
        <v>350</v>
      </c>
      <c r="C4064" t="s">
        <v>44</v>
      </c>
      <c r="F4064">
        <v>40</v>
      </c>
      <c r="G4064">
        <v>35</v>
      </c>
      <c r="H4064">
        <v>35</v>
      </c>
      <c r="I4064" t="str">
        <f t="shared" si="50"/>
        <v>Office-Apartments|Average</v>
      </c>
      <c r="J4064" t="s">
        <v>1345</v>
      </c>
    </row>
    <row r="4065" spans="2:10">
      <c r="B4065" t="s">
        <v>350</v>
      </c>
      <c r="C4065" t="s">
        <v>226</v>
      </c>
      <c r="F4065">
        <v>35</v>
      </c>
      <c r="G4065">
        <v>30</v>
      </c>
      <c r="I4065" t="str">
        <f t="shared" si="50"/>
        <v>Office-Apartments|Low Cost</v>
      </c>
      <c r="J4065" t="s">
        <v>1349</v>
      </c>
    </row>
    <row r="4066" spans="2:10">
      <c r="B4066" t="s">
        <v>350</v>
      </c>
      <c r="C4066" t="s">
        <v>314</v>
      </c>
      <c r="F4066">
        <v>35</v>
      </c>
      <c r="G4066">
        <v>30</v>
      </c>
      <c r="I4066" t="str">
        <f t="shared" si="50"/>
        <v>Office-Apartments|Cheap</v>
      </c>
      <c r="J4066" t="s">
        <v>1356</v>
      </c>
    </row>
    <row r="4067" spans="2:10">
      <c r="B4067" t="s">
        <v>353</v>
      </c>
      <c r="C4067" t="s">
        <v>231</v>
      </c>
      <c r="F4067">
        <v>45</v>
      </c>
      <c r="G4067">
        <v>40</v>
      </c>
      <c r="I4067" t="str">
        <f t="shared" si="50"/>
        <v>Motel Guest Rooms|Excellent</v>
      </c>
      <c r="J4067" t="s">
        <v>1363</v>
      </c>
    </row>
    <row r="4068" spans="2:10">
      <c r="B4068" t="s">
        <v>353</v>
      </c>
      <c r="C4068" t="s">
        <v>229</v>
      </c>
      <c r="F4068">
        <v>45</v>
      </c>
      <c r="G4068">
        <v>40</v>
      </c>
      <c r="I4068" t="str">
        <f t="shared" si="50"/>
        <v>Motel Guest Rooms|Good</v>
      </c>
      <c r="J4068" t="s">
        <v>1363</v>
      </c>
    </row>
    <row r="4069" spans="2:10">
      <c r="B4069" t="s">
        <v>353</v>
      </c>
      <c r="C4069" t="s">
        <v>44</v>
      </c>
      <c r="F4069">
        <v>40</v>
      </c>
      <c r="G4069">
        <v>35</v>
      </c>
      <c r="H4069">
        <v>35</v>
      </c>
      <c r="I4069" t="str">
        <f t="shared" si="50"/>
        <v>Motel Guest Rooms|Average</v>
      </c>
      <c r="J4069" t="s">
        <v>1345</v>
      </c>
    </row>
    <row r="4070" spans="2:10">
      <c r="B4070" t="s">
        <v>353</v>
      </c>
      <c r="C4070" t="s">
        <v>226</v>
      </c>
      <c r="F4070">
        <v>35</v>
      </c>
      <c r="G4070">
        <v>30</v>
      </c>
      <c r="I4070" t="str">
        <f t="shared" si="50"/>
        <v>Motel Guest Rooms|Low Cost</v>
      </c>
      <c r="J4070" t="s">
        <v>1364</v>
      </c>
    </row>
    <row r="4071" spans="2:10">
      <c r="B4071" t="s">
        <v>353</v>
      </c>
      <c r="C4071" t="s">
        <v>314</v>
      </c>
      <c r="F4071">
        <v>35</v>
      </c>
      <c r="G4071">
        <v>30</v>
      </c>
      <c r="I4071" t="str">
        <f t="shared" si="50"/>
        <v>Motel Guest Rooms|Cheap</v>
      </c>
      <c r="J4071" t="s">
        <v>1364</v>
      </c>
    </row>
    <row r="4072" spans="2:10">
      <c r="B4072" t="s">
        <v>355</v>
      </c>
      <c r="C4072" t="s">
        <v>231</v>
      </c>
      <c r="F4072">
        <v>50</v>
      </c>
      <c r="G4072">
        <v>45</v>
      </c>
      <c r="I4072" t="str">
        <f t="shared" si="50"/>
        <v>Lodges|Excellent</v>
      </c>
      <c r="J4072" t="s">
        <v>1366</v>
      </c>
    </row>
    <row r="4073" spans="2:10">
      <c r="B4073" t="s">
        <v>355</v>
      </c>
      <c r="C4073" t="s">
        <v>250</v>
      </c>
      <c r="F4073">
        <v>50</v>
      </c>
      <c r="G4073">
        <v>45</v>
      </c>
      <c r="I4073" t="str">
        <f t="shared" si="50"/>
        <v>Lodges|Very Good</v>
      </c>
      <c r="J4073" t="s">
        <v>1366</v>
      </c>
    </row>
    <row r="4074" spans="2:10">
      <c r="B4074" t="s">
        <v>355</v>
      </c>
      <c r="C4074" t="s">
        <v>229</v>
      </c>
      <c r="F4074">
        <v>45</v>
      </c>
      <c r="G4074">
        <v>40</v>
      </c>
      <c r="I4074" t="str">
        <f t="shared" si="50"/>
        <v>Lodges|Good</v>
      </c>
      <c r="J4074" t="s">
        <v>1347</v>
      </c>
    </row>
    <row r="4075" spans="2:10">
      <c r="B4075" t="s">
        <v>355</v>
      </c>
      <c r="C4075" t="s">
        <v>44</v>
      </c>
      <c r="F4075">
        <v>40</v>
      </c>
      <c r="G4075">
        <v>35</v>
      </c>
      <c r="I4075" t="str">
        <f t="shared" si="50"/>
        <v>Lodges|Average</v>
      </c>
      <c r="J4075" t="s">
        <v>1345</v>
      </c>
    </row>
    <row r="4076" spans="2:10">
      <c r="B4076" t="s">
        <v>355</v>
      </c>
      <c r="C4076" t="s">
        <v>302</v>
      </c>
      <c r="F4076">
        <v>35</v>
      </c>
      <c r="G4076">
        <v>30</v>
      </c>
      <c r="I4076" t="str">
        <f t="shared" si="50"/>
        <v>Lodges|Fair</v>
      </c>
      <c r="J4076" t="s">
        <v>1351</v>
      </c>
    </row>
    <row r="4077" spans="2:10">
      <c r="B4077" t="s">
        <v>355</v>
      </c>
      <c r="C4077" t="s">
        <v>226</v>
      </c>
      <c r="F4077">
        <v>35</v>
      </c>
      <c r="G4077">
        <v>30</v>
      </c>
      <c r="I4077" t="str">
        <f t="shared" si="50"/>
        <v>Lodges|Low Cost</v>
      </c>
      <c r="J4077" t="s">
        <v>1351</v>
      </c>
    </row>
    <row r="4078" spans="2:10">
      <c r="B4078" t="s">
        <v>355</v>
      </c>
      <c r="C4078" t="s">
        <v>314</v>
      </c>
      <c r="F4078">
        <v>35</v>
      </c>
      <c r="G4078">
        <v>30</v>
      </c>
      <c r="I4078" t="str">
        <f t="shared" si="50"/>
        <v>Lodges|Cheap</v>
      </c>
      <c r="J4078" t="s">
        <v>1356</v>
      </c>
    </row>
    <row r="4079" spans="2:10">
      <c r="B4079" t="s">
        <v>358</v>
      </c>
      <c r="C4079" t="s">
        <v>231</v>
      </c>
      <c r="F4079">
        <v>50</v>
      </c>
      <c r="G4079">
        <v>45</v>
      </c>
      <c r="I4079" t="str">
        <f t="shared" si="50"/>
        <v>Guest Cottages|Excellent</v>
      </c>
      <c r="J4079" t="s">
        <v>1367</v>
      </c>
    </row>
    <row r="4080" spans="2:10">
      <c r="B4080" t="s">
        <v>358</v>
      </c>
      <c r="C4080" t="s">
        <v>229</v>
      </c>
      <c r="F4080">
        <v>45</v>
      </c>
      <c r="G4080">
        <v>40</v>
      </c>
      <c r="I4080" t="str">
        <f t="shared" si="50"/>
        <v>Guest Cottages|Good</v>
      </c>
      <c r="J4080" t="s">
        <v>1347</v>
      </c>
    </row>
    <row r="4081" spans="2:10">
      <c r="B4081" t="s">
        <v>358</v>
      </c>
      <c r="C4081" t="s">
        <v>44</v>
      </c>
      <c r="F4081">
        <v>40</v>
      </c>
      <c r="G4081">
        <v>35</v>
      </c>
      <c r="I4081" t="str">
        <f t="shared" si="50"/>
        <v>Guest Cottages|Average</v>
      </c>
      <c r="J4081" t="s">
        <v>1345</v>
      </c>
    </row>
    <row r="4082" spans="2:10">
      <c r="B4082" t="s">
        <v>358</v>
      </c>
      <c r="C4082" t="s">
        <v>302</v>
      </c>
      <c r="F4082">
        <v>35</v>
      </c>
      <c r="G4082">
        <v>30</v>
      </c>
      <c r="I4082" t="str">
        <f t="shared" si="50"/>
        <v>Guest Cottages|Fair</v>
      </c>
      <c r="J4082" t="s">
        <v>1351</v>
      </c>
    </row>
    <row r="4083" spans="2:10">
      <c r="B4083" t="s">
        <v>358</v>
      </c>
      <c r="C4083" t="s">
        <v>226</v>
      </c>
      <c r="F4083">
        <v>35</v>
      </c>
      <c r="G4083">
        <v>30</v>
      </c>
      <c r="I4083" t="str">
        <f t="shared" si="50"/>
        <v>Guest Cottages|Low Cost</v>
      </c>
      <c r="J4083" t="s">
        <v>1351</v>
      </c>
    </row>
    <row r="4084" spans="2:10">
      <c r="B4084" t="s">
        <v>358</v>
      </c>
      <c r="C4084" t="s">
        <v>314</v>
      </c>
      <c r="G4084">
        <v>25</v>
      </c>
      <c r="I4084" t="str">
        <f t="shared" si="50"/>
        <v>Guest Cottages|Cheap</v>
      </c>
      <c r="J4084" t="s">
        <v>1356</v>
      </c>
    </row>
    <row r="4085" spans="2:10">
      <c r="B4085" t="s">
        <v>362</v>
      </c>
      <c r="C4085" t="s">
        <v>231</v>
      </c>
      <c r="F4085">
        <v>65</v>
      </c>
      <c r="G4085">
        <v>60</v>
      </c>
      <c r="I4085" t="str">
        <f t="shared" si="50"/>
        <v>Bed and Breakfast Inns|Excellent</v>
      </c>
      <c r="J4085" t="s">
        <v>1368</v>
      </c>
    </row>
    <row r="4086" spans="2:10">
      <c r="B4086" t="s">
        <v>362</v>
      </c>
      <c r="C4086" t="s">
        <v>229</v>
      </c>
      <c r="F4086">
        <v>60</v>
      </c>
      <c r="G4086">
        <v>55</v>
      </c>
      <c r="I4086" t="str">
        <f t="shared" si="50"/>
        <v>Bed and Breakfast Inns|Good</v>
      </c>
      <c r="J4086" t="s">
        <v>1347</v>
      </c>
    </row>
    <row r="4087" spans="2:10">
      <c r="B4087" t="s">
        <v>362</v>
      </c>
      <c r="C4087" t="s">
        <v>44</v>
      </c>
      <c r="F4087">
        <v>55</v>
      </c>
      <c r="G4087">
        <v>50</v>
      </c>
      <c r="I4087" t="str">
        <f t="shared" si="50"/>
        <v>Bed and Breakfast Inns|Average</v>
      </c>
      <c r="J4087" t="s">
        <v>1345</v>
      </c>
    </row>
    <row r="4088" spans="2:10">
      <c r="B4088" t="s">
        <v>362</v>
      </c>
      <c r="C4088" t="s">
        <v>226</v>
      </c>
      <c r="F4088">
        <v>50</v>
      </c>
      <c r="G4088">
        <v>45</v>
      </c>
      <c r="I4088" t="str">
        <f t="shared" ref="I4088:I4151" si="51">B4088&amp;"|"&amp;C4088</f>
        <v>Bed and Breakfast Inns|Low Cost</v>
      </c>
      <c r="J4088" t="s">
        <v>1349</v>
      </c>
    </row>
    <row r="4089" spans="2:10">
      <c r="B4089" t="s">
        <v>364</v>
      </c>
      <c r="C4089" t="s">
        <v>231</v>
      </c>
      <c r="F4089">
        <v>60</v>
      </c>
      <c r="G4089">
        <v>55</v>
      </c>
      <c r="I4089" t="str">
        <f t="shared" si="51"/>
        <v>Multiple Residences|Excellent</v>
      </c>
      <c r="J4089" t="s">
        <v>1369</v>
      </c>
    </row>
    <row r="4090" spans="2:10">
      <c r="B4090" t="s">
        <v>364</v>
      </c>
      <c r="C4090" t="s">
        <v>229</v>
      </c>
      <c r="F4090">
        <v>55</v>
      </c>
      <c r="G4090">
        <v>50</v>
      </c>
      <c r="H4090">
        <v>50</v>
      </c>
      <c r="I4090" t="str">
        <f t="shared" si="51"/>
        <v>Multiple Residences|Good</v>
      </c>
      <c r="J4090" t="s">
        <v>1347</v>
      </c>
    </row>
    <row r="4091" spans="2:10">
      <c r="B4091" t="s">
        <v>364</v>
      </c>
      <c r="C4091" t="s">
        <v>44</v>
      </c>
      <c r="F4091">
        <v>55</v>
      </c>
      <c r="G4091">
        <v>50</v>
      </c>
      <c r="H4091">
        <v>50</v>
      </c>
      <c r="I4091" t="str">
        <f t="shared" si="51"/>
        <v>Multiple Residences|Average</v>
      </c>
      <c r="J4091" t="s">
        <v>1345</v>
      </c>
    </row>
    <row r="4092" spans="2:10">
      <c r="B4092" t="s">
        <v>364</v>
      </c>
      <c r="C4092" t="s">
        <v>302</v>
      </c>
      <c r="F4092">
        <v>50</v>
      </c>
      <c r="G4092">
        <v>45</v>
      </c>
      <c r="I4092" t="str">
        <f t="shared" si="51"/>
        <v>Multiple Residences|Fair</v>
      </c>
      <c r="J4092" t="s">
        <v>1351</v>
      </c>
    </row>
    <row r="4093" spans="2:10">
      <c r="B4093" t="s">
        <v>364</v>
      </c>
      <c r="C4093" t="s">
        <v>226</v>
      </c>
      <c r="F4093">
        <v>50</v>
      </c>
      <c r="G4093">
        <v>45</v>
      </c>
      <c r="I4093" t="str">
        <f t="shared" si="51"/>
        <v>Multiple Residences|Low Cost</v>
      </c>
      <c r="J4093" t="s">
        <v>1351</v>
      </c>
    </row>
    <row r="4094" spans="2:10">
      <c r="B4094" t="s">
        <v>367</v>
      </c>
      <c r="C4094" t="s">
        <v>231</v>
      </c>
      <c r="F4094">
        <v>60</v>
      </c>
      <c r="G4094">
        <v>55</v>
      </c>
      <c r="I4094" t="str">
        <f t="shared" si="51"/>
        <v>Shell Multiple Residence Buildings|Excellent</v>
      </c>
      <c r="J4094" t="s">
        <v>1369</v>
      </c>
    </row>
    <row r="4095" spans="2:10">
      <c r="B4095" t="s">
        <v>367</v>
      </c>
      <c r="C4095" t="s">
        <v>229</v>
      </c>
      <c r="F4095">
        <v>55</v>
      </c>
      <c r="G4095">
        <v>50</v>
      </c>
      <c r="H4095">
        <v>50</v>
      </c>
      <c r="I4095" t="str">
        <f t="shared" si="51"/>
        <v>Shell Multiple Residence Buildings|Good</v>
      </c>
      <c r="J4095" t="s">
        <v>1347</v>
      </c>
    </row>
    <row r="4096" spans="2:10">
      <c r="B4096" t="s">
        <v>367</v>
      </c>
      <c r="C4096" t="s">
        <v>44</v>
      </c>
      <c r="F4096">
        <v>55</v>
      </c>
      <c r="G4096">
        <v>50</v>
      </c>
      <c r="H4096">
        <v>50</v>
      </c>
      <c r="I4096" t="str">
        <f t="shared" si="51"/>
        <v>Shell Multiple Residence Buildings|Average</v>
      </c>
      <c r="J4096" t="s">
        <v>1345</v>
      </c>
    </row>
    <row r="4097" spans="2:10">
      <c r="B4097" t="s">
        <v>367</v>
      </c>
      <c r="C4097" t="s">
        <v>302</v>
      </c>
      <c r="F4097">
        <v>50</v>
      </c>
      <c r="G4097">
        <v>45</v>
      </c>
      <c r="I4097" t="str">
        <f t="shared" si="51"/>
        <v>Shell Multiple Residence Buildings|Fair</v>
      </c>
      <c r="J4097" t="s">
        <v>1351</v>
      </c>
    </row>
    <row r="4098" spans="2:10">
      <c r="B4098" t="s">
        <v>370</v>
      </c>
      <c r="C4098" t="s">
        <v>231</v>
      </c>
      <c r="F4098">
        <v>60</v>
      </c>
      <c r="G4098">
        <v>55</v>
      </c>
      <c r="I4098" t="str">
        <f t="shared" si="51"/>
        <v>Multiple Residences – Senior Citizen|Excellent</v>
      </c>
      <c r="J4098" t="s">
        <v>1369</v>
      </c>
    </row>
    <row r="4099" spans="2:10">
      <c r="B4099" t="s">
        <v>370</v>
      </c>
      <c r="C4099" t="s">
        <v>229</v>
      </c>
      <c r="F4099">
        <v>55</v>
      </c>
      <c r="G4099">
        <v>50</v>
      </c>
      <c r="H4099">
        <v>50</v>
      </c>
      <c r="I4099" t="str">
        <f t="shared" si="51"/>
        <v>Multiple Residences – Senior Citizen|Good</v>
      </c>
      <c r="J4099" t="s">
        <v>1347</v>
      </c>
    </row>
    <row r="4100" spans="2:10">
      <c r="B4100" t="s">
        <v>370</v>
      </c>
      <c r="C4100" t="s">
        <v>44</v>
      </c>
      <c r="F4100">
        <v>55</v>
      </c>
      <c r="G4100">
        <v>50</v>
      </c>
      <c r="H4100">
        <v>50</v>
      </c>
      <c r="I4100" t="str">
        <f t="shared" si="51"/>
        <v>Multiple Residences – Senior Citizen|Average</v>
      </c>
      <c r="J4100" t="s">
        <v>1345</v>
      </c>
    </row>
    <row r="4101" spans="2:10">
      <c r="B4101" t="s">
        <v>370</v>
      </c>
      <c r="C4101" t="s">
        <v>302</v>
      </c>
      <c r="F4101">
        <v>50</v>
      </c>
      <c r="G4101">
        <v>45</v>
      </c>
      <c r="I4101" t="str">
        <f t="shared" si="51"/>
        <v>Multiple Residences – Senior Citizen|Fair</v>
      </c>
      <c r="J4101" t="s">
        <v>1351</v>
      </c>
    </row>
    <row r="4102" spans="2:10">
      <c r="B4102" t="s">
        <v>370</v>
      </c>
      <c r="C4102" t="s">
        <v>226</v>
      </c>
      <c r="F4102">
        <v>50</v>
      </c>
      <c r="G4102">
        <v>45</v>
      </c>
      <c r="I4102" t="str">
        <f t="shared" si="51"/>
        <v>Multiple Residences – Senior Citizen|Low Cost</v>
      </c>
      <c r="J4102" t="s">
        <v>1351</v>
      </c>
    </row>
    <row r="4103" spans="2:10">
      <c r="B4103" t="s">
        <v>373</v>
      </c>
      <c r="C4103" t="s">
        <v>231</v>
      </c>
      <c r="F4103">
        <v>60</v>
      </c>
      <c r="G4103">
        <v>55</v>
      </c>
      <c r="I4103" t="str">
        <f t="shared" si="51"/>
        <v>Shell Multiple Residences - Senior Citizen|Excellent</v>
      </c>
      <c r="J4103" t="s">
        <v>1369</v>
      </c>
    </row>
    <row r="4104" spans="2:10">
      <c r="B4104" t="s">
        <v>373</v>
      </c>
      <c r="C4104" t="s">
        <v>229</v>
      </c>
      <c r="F4104">
        <v>55</v>
      </c>
      <c r="G4104">
        <v>50</v>
      </c>
      <c r="H4104">
        <v>50</v>
      </c>
      <c r="I4104" t="str">
        <f t="shared" si="51"/>
        <v>Shell Multiple Residences - Senior Citizen|Good</v>
      </c>
      <c r="J4104" t="s">
        <v>1347</v>
      </c>
    </row>
    <row r="4105" spans="2:10">
      <c r="B4105" t="s">
        <v>373</v>
      </c>
      <c r="C4105" t="s">
        <v>44</v>
      </c>
      <c r="F4105">
        <v>55</v>
      </c>
      <c r="G4105">
        <v>50</v>
      </c>
      <c r="H4105">
        <v>50</v>
      </c>
      <c r="I4105" t="str">
        <f t="shared" si="51"/>
        <v>Shell Multiple Residences - Senior Citizen|Average</v>
      </c>
      <c r="J4105" t="s">
        <v>1345</v>
      </c>
    </row>
    <row r="4106" spans="2:10">
      <c r="B4106" t="s">
        <v>373</v>
      </c>
      <c r="C4106" t="s">
        <v>302</v>
      </c>
      <c r="F4106">
        <v>50</v>
      </c>
      <c r="G4106">
        <v>45</v>
      </c>
      <c r="I4106" t="str">
        <f t="shared" si="51"/>
        <v>Shell Multiple Residences - Senior Citizen|Fair</v>
      </c>
      <c r="J4106" t="s">
        <v>1351</v>
      </c>
    </row>
    <row r="4107" spans="2:10">
      <c r="B4107" t="s">
        <v>373</v>
      </c>
      <c r="C4107" t="s">
        <v>226</v>
      </c>
      <c r="F4107">
        <v>50</v>
      </c>
      <c r="G4107">
        <v>45</v>
      </c>
      <c r="I4107" t="str">
        <f t="shared" si="51"/>
        <v>Shell Multiple Residences - Senior Citizen|Low Cost</v>
      </c>
      <c r="J4107" t="s">
        <v>1351</v>
      </c>
    </row>
    <row r="4108" spans="2:10">
      <c r="B4108" t="s">
        <v>376</v>
      </c>
      <c r="C4108" t="s">
        <v>231</v>
      </c>
      <c r="F4108">
        <v>60</v>
      </c>
      <c r="G4108">
        <v>55</v>
      </c>
      <c r="I4108" t="str">
        <f t="shared" si="51"/>
        <v>Multiple Residences – Elderly Assisted Living|Excellent</v>
      </c>
      <c r="J4108" t="s">
        <v>1370</v>
      </c>
    </row>
    <row r="4109" spans="2:10">
      <c r="B4109" t="s">
        <v>376</v>
      </c>
      <c r="C4109" t="s">
        <v>229</v>
      </c>
      <c r="F4109">
        <v>55</v>
      </c>
      <c r="G4109">
        <v>50</v>
      </c>
      <c r="H4109">
        <v>50</v>
      </c>
      <c r="I4109" t="str">
        <f t="shared" si="51"/>
        <v>Multiple Residences – Elderly Assisted Living|Good</v>
      </c>
      <c r="J4109" t="s">
        <v>1360</v>
      </c>
    </row>
    <row r="4110" spans="2:10">
      <c r="B4110" t="s">
        <v>376</v>
      </c>
      <c r="C4110" t="s">
        <v>44</v>
      </c>
      <c r="F4110">
        <v>55</v>
      </c>
      <c r="G4110">
        <v>50</v>
      </c>
      <c r="H4110">
        <v>50</v>
      </c>
      <c r="I4110" t="str">
        <f t="shared" si="51"/>
        <v>Multiple Residences – Elderly Assisted Living|Average</v>
      </c>
      <c r="J4110" t="s">
        <v>1360</v>
      </c>
    </row>
    <row r="4111" spans="2:10">
      <c r="B4111" t="s">
        <v>376</v>
      </c>
      <c r="C4111" t="s">
        <v>302</v>
      </c>
      <c r="F4111">
        <v>50</v>
      </c>
      <c r="G4111">
        <v>45</v>
      </c>
      <c r="H4111">
        <v>45</v>
      </c>
      <c r="I4111" t="str">
        <f t="shared" si="51"/>
        <v>Multiple Residences – Elderly Assisted Living|Fair</v>
      </c>
      <c r="J4111" t="s">
        <v>1351</v>
      </c>
    </row>
    <row r="4112" spans="2:10">
      <c r="B4112" t="s">
        <v>376</v>
      </c>
      <c r="C4112" t="s">
        <v>226</v>
      </c>
      <c r="F4112">
        <v>50</v>
      </c>
      <c r="G4112">
        <v>45</v>
      </c>
      <c r="H4112">
        <v>45</v>
      </c>
      <c r="I4112" t="str">
        <f t="shared" si="51"/>
        <v>Multiple Residences – Elderly Assisted Living|Low Cost</v>
      </c>
      <c r="J4112" t="s">
        <v>1351</v>
      </c>
    </row>
    <row r="4113" spans="2:10">
      <c r="B4113" t="s">
        <v>379</v>
      </c>
      <c r="C4113" t="s">
        <v>231</v>
      </c>
      <c r="F4113">
        <v>60</v>
      </c>
      <c r="G4113">
        <v>55</v>
      </c>
      <c r="I4113" t="str">
        <f t="shared" si="51"/>
        <v>Shell Multiple Residences - Elderly Assisted Living|Excellent</v>
      </c>
      <c r="J4113" t="s">
        <v>1370</v>
      </c>
    </row>
    <row r="4114" spans="2:10">
      <c r="B4114" t="s">
        <v>379</v>
      </c>
      <c r="C4114" t="s">
        <v>229</v>
      </c>
      <c r="F4114">
        <v>55</v>
      </c>
      <c r="G4114">
        <v>50</v>
      </c>
      <c r="H4114">
        <v>50</v>
      </c>
      <c r="I4114" t="str">
        <f t="shared" si="51"/>
        <v>Shell Multiple Residences - Elderly Assisted Living|Good</v>
      </c>
      <c r="J4114" t="s">
        <v>1360</v>
      </c>
    </row>
    <row r="4115" spans="2:10">
      <c r="B4115" t="s">
        <v>379</v>
      </c>
      <c r="C4115" t="s">
        <v>44</v>
      </c>
      <c r="F4115">
        <v>55</v>
      </c>
      <c r="G4115">
        <v>50</v>
      </c>
      <c r="H4115">
        <v>50</v>
      </c>
      <c r="I4115" t="str">
        <f t="shared" si="51"/>
        <v>Shell Multiple Residences - Elderly Assisted Living|Average</v>
      </c>
      <c r="J4115" t="s">
        <v>1360</v>
      </c>
    </row>
    <row r="4116" spans="2:10">
      <c r="B4116" t="s">
        <v>379</v>
      </c>
      <c r="C4116" t="s">
        <v>302</v>
      </c>
      <c r="F4116">
        <v>50</v>
      </c>
      <c r="G4116">
        <v>45</v>
      </c>
      <c r="H4116">
        <v>45</v>
      </c>
      <c r="I4116" t="str">
        <f t="shared" si="51"/>
        <v>Shell Multiple Residences - Elderly Assisted Living|Fair</v>
      </c>
      <c r="J4116" t="s">
        <v>1351</v>
      </c>
    </row>
    <row r="4117" spans="2:10">
      <c r="B4117" t="s">
        <v>379</v>
      </c>
      <c r="C4117" t="s">
        <v>226</v>
      </c>
      <c r="F4117">
        <v>50</v>
      </c>
      <c r="G4117">
        <v>45</v>
      </c>
      <c r="H4117">
        <v>45</v>
      </c>
      <c r="I4117" t="str">
        <f t="shared" si="51"/>
        <v>Shell Multiple Residences - Elderly Assisted Living|Low Cost</v>
      </c>
      <c r="J4117" t="s">
        <v>1351</v>
      </c>
    </row>
    <row r="4118" spans="2:10">
      <c r="B4118" t="s">
        <v>382</v>
      </c>
      <c r="C4118" t="s">
        <v>229</v>
      </c>
      <c r="F4118">
        <v>55</v>
      </c>
      <c r="G4118">
        <v>50</v>
      </c>
      <c r="H4118">
        <v>50</v>
      </c>
      <c r="I4118" t="str">
        <f t="shared" si="51"/>
        <v>Multiple Residences – Retirement Community Complex|Good</v>
      </c>
      <c r="J4118" t="s">
        <v>1360</v>
      </c>
    </row>
    <row r="4119" spans="2:10">
      <c r="B4119" t="s">
        <v>382</v>
      </c>
      <c r="C4119" t="s">
        <v>44</v>
      </c>
      <c r="F4119">
        <v>55</v>
      </c>
      <c r="G4119">
        <v>50</v>
      </c>
      <c r="H4119">
        <v>50</v>
      </c>
      <c r="I4119" t="str">
        <f t="shared" si="51"/>
        <v>Multiple Residences – Retirement Community Complex|Average</v>
      </c>
      <c r="J4119" t="s">
        <v>1360</v>
      </c>
    </row>
    <row r="4120" spans="2:10">
      <c r="B4120" t="s">
        <v>382</v>
      </c>
      <c r="C4120" t="s">
        <v>302</v>
      </c>
      <c r="F4120">
        <v>50</v>
      </c>
      <c r="G4120">
        <v>45</v>
      </c>
      <c r="H4120">
        <v>45</v>
      </c>
      <c r="I4120" t="str">
        <f t="shared" si="51"/>
        <v>Multiple Residences – Retirement Community Complex|Fair</v>
      </c>
      <c r="J4120" t="s">
        <v>1351</v>
      </c>
    </row>
    <row r="4121" spans="2:10">
      <c r="B4121" t="s">
        <v>382</v>
      </c>
      <c r="C4121" t="s">
        <v>226</v>
      </c>
      <c r="F4121">
        <v>50</v>
      </c>
      <c r="G4121">
        <v>45</v>
      </c>
      <c r="H4121">
        <v>45</v>
      </c>
      <c r="I4121" t="str">
        <f t="shared" si="51"/>
        <v>Multiple Residences – Retirement Community Complex|Low Cost</v>
      </c>
      <c r="J4121" t="s">
        <v>1351</v>
      </c>
    </row>
    <row r="4122" spans="2:10">
      <c r="B4122" t="s">
        <v>385</v>
      </c>
      <c r="C4122" t="s">
        <v>229</v>
      </c>
      <c r="F4122">
        <v>55</v>
      </c>
      <c r="G4122">
        <v>50</v>
      </c>
      <c r="H4122">
        <v>50</v>
      </c>
      <c r="I4122" t="str">
        <f t="shared" si="51"/>
        <v>Shell Multiple Residences - Retirement Community Complex|Good</v>
      </c>
      <c r="J4122" t="s">
        <v>1360</v>
      </c>
    </row>
    <row r="4123" spans="2:10">
      <c r="B4123" t="s">
        <v>385</v>
      </c>
      <c r="C4123" t="s">
        <v>44</v>
      </c>
      <c r="F4123">
        <v>55</v>
      </c>
      <c r="G4123">
        <v>50</v>
      </c>
      <c r="H4123">
        <v>50</v>
      </c>
      <c r="I4123" t="str">
        <f t="shared" si="51"/>
        <v>Shell Multiple Residences - Retirement Community Complex|Average</v>
      </c>
      <c r="J4123" t="s">
        <v>1360</v>
      </c>
    </row>
    <row r="4124" spans="2:10">
      <c r="B4124" t="s">
        <v>385</v>
      </c>
      <c r="C4124" t="s">
        <v>302</v>
      </c>
      <c r="F4124">
        <v>50</v>
      </c>
      <c r="G4124">
        <v>45</v>
      </c>
      <c r="H4124">
        <v>45</v>
      </c>
      <c r="I4124" t="str">
        <f t="shared" si="51"/>
        <v>Shell Multiple Residences - Retirement Community Complex|Fair</v>
      </c>
      <c r="J4124" t="s">
        <v>1351</v>
      </c>
    </row>
    <row r="4125" spans="2:10">
      <c r="B4125" t="s">
        <v>385</v>
      </c>
      <c r="C4125" t="s">
        <v>226</v>
      </c>
      <c r="F4125">
        <v>50</v>
      </c>
      <c r="G4125">
        <v>45</v>
      </c>
      <c r="H4125">
        <v>45</v>
      </c>
      <c r="I4125" t="str">
        <f t="shared" si="51"/>
        <v>Shell Multiple Residences - Retirement Community Complex|Low Cost</v>
      </c>
      <c r="J4125" t="s">
        <v>1351</v>
      </c>
    </row>
    <row r="4126" spans="2:10">
      <c r="B4126" t="s">
        <v>388</v>
      </c>
      <c r="C4126" t="s">
        <v>231</v>
      </c>
      <c r="F4126">
        <v>65</v>
      </c>
      <c r="G4126">
        <v>60</v>
      </c>
      <c r="I4126" t="str">
        <f t="shared" si="51"/>
        <v>Single-Family Residences|Excellent</v>
      </c>
      <c r="J4126" t="s">
        <v>1371</v>
      </c>
    </row>
    <row r="4127" spans="2:10">
      <c r="B4127" t="s">
        <v>388</v>
      </c>
      <c r="C4127" t="s">
        <v>250</v>
      </c>
      <c r="F4127">
        <v>60</v>
      </c>
      <c r="G4127">
        <v>55</v>
      </c>
      <c r="H4127">
        <v>55</v>
      </c>
      <c r="I4127" t="str">
        <f t="shared" si="51"/>
        <v>Single-Family Residences|Very Good</v>
      </c>
      <c r="J4127" t="s">
        <v>1372</v>
      </c>
    </row>
    <row r="4128" spans="2:10">
      <c r="B4128" t="s">
        <v>388</v>
      </c>
      <c r="C4128" t="s">
        <v>229</v>
      </c>
      <c r="F4128">
        <v>60</v>
      </c>
      <c r="G4128">
        <v>55</v>
      </c>
      <c r="H4128">
        <v>55</v>
      </c>
      <c r="I4128" t="str">
        <f t="shared" si="51"/>
        <v>Single-Family Residences|Good</v>
      </c>
      <c r="J4128" t="s">
        <v>1372</v>
      </c>
    </row>
    <row r="4129" spans="2:10">
      <c r="B4129" t="s">
        <v>388</v>
      </c>
      <c r="C4129" t="s">
        <v>44</v>
      </c>
      <c r="F4129">
        <v>60</v>
      </c>
      <c r="G4129">
        <v>55</v>
      </c>
      <c r="H4129">
        <v>55</v>
      </c>
      <c r="I4129" t="str">
        <f t="shared" si="51"/>
        <v>Single-Family Residences|Average</v>
      </c>
      <c r="J4129" t="s">
        <v>1372</v>
      </c>
    </row>
    <row r="4130" spans="2:10">
      <c r="B4130" t="s">
        <v>388</v>
      </c>
      <c r="C4130" t="s">
        <v>302</v>
      </c>
      <c r="F4130">
        <v>55</v>
      </c>
      <c r="G4130">
        <v>50</v>
      </c>
      <c r="I4130" t="str">
        <f t="shared" si="51"/>
        <v>Single-Family Residences|Fair</v>
      </c>
      <c r="J4130" t="s">
        <v>1373</v>
      </c>
    </row>
    <row r="4131" spans="2:10">
      <c r="B4131" t="s">
        <v>388</v>
      </c>
      <c r="C4131" t="s">
        <v>226</v>
      </c>
      <c r="F4131">
        <v>50</v>
      </c>
      <c r="G4131">
        <v>45</v>
      </c>
      <c r="I4131" t="str">
        <f t="shared" si="51"/>
        <v>Single-Family Residences|Low Cost</v>
      </c>
      <c r="J4131" t="s">
        <v>1349</v>
      </c>
    </row>
    <row r="4132" spans="2:10">
      <c r="B4132" t="s">
        <v>388</v>
      </c>
      <c r="C4132" t="s">
        <v>314</v>
      </c>
      <c r="F4132">
        <v>35</v>
      </c>
      <c r="G4132">
        <v>30</v>
      </c>
      <c r="I4132" t="str">
        <f t="shared" si="51"/>
        <v>Single-Family Residences|Cheap</v>
      </c>
      <c r="J4132" t="s">
        <v>1374</v>
      </c>
    </row>
    <row r="4133" spans="2:10">
      <c r="B4133" t="s">
        <v>391</v>
      </c>
      <c r="C4133" t="s">
        <v>231</v>
      </c>
      <c r="F4133">
        <v>65</v>
      </c>
      <c r="G4133">
        <v>60</v>
      </c>
      <c r="I4133" t="str">
        <f t="shared" si="51"/>
        <v>Guest Houses|Excellent</v>
      </c>
      <c r="J4133" t="s">
        <v>1371</v>
      </c>
    </row>
    <row r="4134" spans="2:10">
      <c r="B4134" t="s">
        <v>391</v>
      </c>
      <c r="C4134" t="s">
        <v>250</v>
      </c>
      <c r="F4134">
        <v>60</v>
      </c>
      <c r="G4134">
        <v>55</v>
      </c>
      <c r="H4134">
        <v>55</v>
      </c>
      <c r="I4134" t="str">
        <f t="shared" si="51"/>
        <v>Guest Houses|Very Good</v>
      </c>
      <c r="J4134" t="s">
        <v>1372</v>
      </c>
    </row>
    <row r="4135" spans="2:10">
      <c r="B4135" t="s">
        <v>391</v>
      </c>
      <c r="C4135" t="s">
        <v>229</v>
      </c>
      <c r="F4135">
        <v>60</v>
      </c>
      <c r="G4135">
        <v>55</v>
      </c>
      <c r="H4135">
        <v>55</v>
      </c>
      <c r="I4135" t="str">
        <f t="shared" si="51"/>
        <v>Guest Houses|Good</v>
      </c>
      <c r="J4135" t="s">
        <v>1372</v>
      </c>
    </row>
    <row r="4136" spans="2:10">
      <c r="B4136" t="s">
        <v>391</v>
      </c>
      <c r="C4136" t="s">
        <v>44</v>
      </c>
      <c r="F4136">
        <v>60</v>
      </c>
      <c r="G4136">
        <v>55</v>
      </c>
      <c r="H4136">
        <v>55</v>
      </c>
      <c r="I4136" t="str">
        <f t="shared" si="51"/>
        <v>Guest Houses|Average</v>
      </c>
      <c r="J4136" t="s">
        <v>1372</v>
      </c>
    </row>
    <row r="4137" spans="2:10">
      <c r="B4137" t="s">
        <v>391</v>
      </c>
      <c r="C4137" t="s">
        <v>226</v>
      </c>
      <c r="F4137">
        <v>50</v>
      </c>
      <c r="G4137">
        <v>45</v>
      </c>
      <c r="I4137" t="str">
        <f t="shared" si="51"/>
        <v>Guest Houses|Low Cost</v>
      </c>
      <c r="J4137" t="s">
        <v>1349</v>
      </c>
    </row>
    <row r="4138" spans="2:10">
      <c r="B4138" t="s">
        <v>391</v>
      </c>
      <c r="C4138" t="s">
        <v>314</v>
      </c>
      <c r="F4138">
        <v>35</v>
      </c>
      <c r="G4138">
        <v>30</v>
      </c>
      <c r="I4138" t="str">
        <f t="shared" si="51"/>
        <v>Guest Houses|Cheap</v>
      </c>
      <c r="J4138" t="s">
        <v>1374</v>
      </c>
    </row>
    <row r="4139" spans="2:10">
      <c r="B4139" t="s">
        <v>393</v>
      </c>
      <c r="C4139" t="s">
        <v>231</v>
      </c>
      <c r="G4139">
        <v>55</v>
      </c>
      <c r="I4139" t="str">
        <f t="shared" si="51"/>
        <v>Log Homes|Excellent</v>
      </c>
      <c r="J4139" t="s">
        <v>1375</v>
      </c>
    </row>
    <row r="4140" spans="2:10">
      <c r="B4140" t="s">
        <v>393</v>
      </c>
      <c r="C4140" t="s">
        <v>229</v>
      </c>
      <c r="G4140">
        <v>50</v>
      </c>
      <c r="I4140" t="str">
        <f t="shared" si="51"/>
        <v>Log Homes|Good</v>
      </c>
      <c r="J4140" t="s">
        <v>1360</v>
      </c>
    </row>
    <row r="4141" spans="2:10">
      <c r="B4141" t="s">
        <v>393</v>
      </c>
      <c r="C4141" t="s">
        <v>44</v>
      </c>
      <c r="G4141">
        <v>50</v>
      </c>
      <c r="I4141" t="str">
        <f t="shared" si="51"/>
        <v>Log Homes|Average</v>
      </c>
      <c r="J4141" t="s">
        <v>1360</v>
      </c>
    </row>
    <row r="4142" spans="2:10">
      <c r="B4142" t="s">
        <v>393</v>
      </c>
      <c r="C4142" t="s">
        <v>226</v>
      </c>
      <c r="G4142">
        <v>45</v>
      </c>
      <c r="I4142" t="str">
        <f t="shared" si="51"/>
        <v>Log Homes|Low Cost</v>
      </c>
      <c r="J4142" t="s">
        <v>1349</v>
      </c>
    </row>
    <row r="4143" spans="2:10">
      <c r="B4143" t="s">
        <v>396</v>
      </c>
      <c r="C4143" t="s">
        <v>231</v>
      </c>
      <c r="F4143">
        <v>60</v>
      </c>
      <c r="G4143">
        <v>55</v>
      </c>
      <c r="I4143" t="str">
        <f t="shared" si="51"/>
        <v>Town Houses|Excellent</v>
      </c>
      <c r="J4143" t="s">
        <v>1376</v>
      </c>
    </row>
    <row r="4144" spans="2:10">
      <c r="B4144" t="s">
        <v>396</v>
      </c>
      <c r="C4144" t="s">
        <v>229</v>
      </c>
      <c r="F4144">
        <v>55</v>
      </c>
      <c r="G4144">
        <v>50</v>
      </c>
      <c r="H4144">
        <v>50</v>
      </c>
      <c r="I4144" t="str">
        <f t="shared" si="51"/>
        <v>Town Houses|Good</v>
      </c>
      <c r="J4144" t="s">
        <v>1347</v>
      </c>
    </row>
    <row r="4145" spans="2:10">
      <c r="B4145" t="s">
        <v>396</v>
      </c>
      <c r="C4145" t="s">
        <v>44</v>
      </c>
      <c r="F4145">
        <v>55</v>
      </c>
      <c r="G4145">
        <v>50</v>
      </c>
      <c r="H4145">
        <v>50</v>
      </c>
      <c r="I4145" t="str">
        <f t="shared" si="51"/>
        <v>Town Houses|Average</v>
      </c>
      <c r="J4145" t="s">
        <v>1345</v>
      </c>
    </row>
    <row r="4146" spans="2:10">
      <c r="B4146" t="s">
        <v>396</v>
      </c>
      <c r="C4146" t="s">
        <v>302</v>
      </c>
      <c r="F4146">
        <v>50</v>
      </c>
      <c r="G4146">
        <v>45</v>
      </c>
      <c r="I4146" t="str">
        <f t="shared" si="51"/>
        <v>Town Houses|Fair</v>
      </c>
      <c r="J4146" t="s">
        <v>1351</v>
      </c>
    </row>
    <row r="4147" spans="2:10">
      <c r="B4147" t="s">
        <v>396</v>
      </c>
      <c r="C4147" t="s">
        <v>226</v>
      </c>
      <c r="F4147">
        <v>50</v>
      </c>
      <c r="G4147">
        <v>45</v>
      </c>
      <c r="I4147" t="str">
        <f t="shared" si="51"/>
        <v>Town Houses|Low Cost</v>
      </c>
      <c r="J4147" t="s">
        <v>1351</v>
      </c>
    </row>
    <row r="4148" spans="2:10">
      <c r="B4148" t="s">
        <v>399</v>
      </c>
      <c r="C4148" t="s">
        <v>231</v>
      </c>
      <c r="F4148">
        <v>60</v>
      </c>
      <c r="G4148">
        <v>55</v>
      </c>
      <c r="I4148" t="str">
        <f t="shared" si="51"/>
        <v>Senior Citizen Town Houses|Excellent</v>
      </c>
      <c r="J4148" t="s">
        <v>1376</v>
      </c>
    </row>
    <row r="4149" spans="2:10">
      <c r="B4149" t="s">
        <v>399</v>
      </c>
      <c r="C4149" t="s">
        <v>229</v>
      </c>
      <c r="F4149">
        <v>55</v>
      </c>
      <c r="G4149">
        <v>50</v>
      </c>
      <c r="H4149">
        <v>50</v>
      </c>
      <c r="I4149" t="str">
        <f t="shared" si="51"/>
        <v>Senior Citizen Town Houses|Good</v>
      </c>
      <c r="J4149" t="s">
        <v>1347</v>
      </c>
    </row>
    <row r="4150" spans="2:10">
      <c r="B4150" t="s">
        <v>399</v>
      </c>
      <c r="C4150" t="s">
        <v>44</v>
      </c>
      <c r="F4150">
        <v>55</v>
      </c>
      <c r="G4150">
        <v>50</v>
      </c>
      <c r="H4150">
        <v>50</v>
      </c>
      <c r="I4150" t="str">
        <f t="shared" si="51"/>
        <v>Senior Citizen Town Houses|Average</v>
      </c>
      <c r="J4150" t="s">
        <v>1345</v>
      </c>
    </row>
    <row r="4151" spans="2:10">
      <c r="B4151" t="s">
        <v>399</v>
      </c>
      <c r="C4151" t="s">
        <v>302</v>
      </c>
      <c r="F4151">
        <v>50</v>
      </c>
      <c r="G4151">
        <v>45</v>
      </c>
      <c r="I4151" t="str">
        <f t="shared" si="51"/>
        <v>Senior Citizen Town Houses|Fair</v>
      </c>
      <c r="J4151" t="s">
        <v>1351</v>
      </c>
    </row>
    <row r="4152" spans="2:10">
      <c r="B4152" t="s">
        <v>402</v>
      </c>
      <c r="C4152" t="s">
        <v>231</v>
      </c>
      <c r="F4152">
        <v>60</v>
      </c>
      <c r="G4152">
        <v>55</v>
      </c>
      <c r="I4152" t="str">
        <f t="shared" ref="I4152:I4215" si="52">B4152&amp;"|"&amp;C4152</f>
        <v>Urban Row (Town) Houses|Excellent</v>
      </c>
      <c r="J4152" t="s">
        <v>1376</v>
      </c>
    </row>
    <row r="4153" spans="2:10">
      <c r="B4153" t="s">
        <v>402</v>
      </c>
      <c r="C4153" t="s">
        <v>229</v>
      </c>
      <c r="F4153">
        <v>55</v>
      </c>
      <c r="G4153">
        <v>50</v>
      </c>
      <c r="H4153">
        <v>50</v>
      </c>
      <c r="I4153" t="str">
        <f t="shared" si="52"/>
        <v>Urban Row (Town) Houses|Good</v>
      </c>
      <c r="J4153" t="s">
        <v>1347</v>
      </c>
    </row>
    <row r="4154" spans="2:10">
      <c r="B4154" t="s">
        <v>402</v>
      </c>
      <c r="C4154" t="s">
        <v>44</v>
      </c>
      <c r="F4154">
        <v>55</v>
      </c>
      <c r="G4154">
        <v>50</v>
      </c>
      <c r="H4154">
        <v>50</v>
      </c>
      <c r="I4154" t="str">
        <f t="shared" si="52"/>
        <v>Urban Row (Town) Houses|Average</v>
      </c>
      <c r="J4154" t="s">
        <v>1345</v>
      </c>
    </row>
    <row r="4155" spans="2:10">
      <c r="B4155" t="s">
        <v>402</v>
      </c>
      <c r="C4155" t="s">
        <v>302</v>
      </c>
      <c r="F4155">
        <v>50</v>
      </c>
      <c r="G4155">
        <v>45</v>
      </c>
      <c r="I4155" t="str">
        <f t="shared" si="52"/>
        <v>Urban Row (Town) Houses|Fair</v>
      </c>
      <c r="J4155" t="s">
        <v>1351</v>
      </c>
    </row>
    <row r="4156" spans="2:10">
      <c r="B4156" t="s">
        <v>405</v>
      </c>
      <c r="C4156" t="s">
        <v>231</v>
      </c>
      <c r="F4156">
        <v>60</v>
      </c>
      <c r="G4156">
        <v>55</v>
      </c>
      <c r="I4156" t="str">
        <f t="shared" si="52"/>
        <v>Shell Town House Buildings|Excellent</v>
      </c>
      <c r="J4156" t="s">
        <v>1376</v>
      </c>
    </row>
    <row r="4157" spans="2:10">
      <c r="B4157" t="s">
        <v>405</v>
      </c>
      <c r="C4157" t="s">
        <v>229</v>
      </c>
      <c r="F4157">
        <v>55</v>
      </c>
      <c r="G4157">
        <v>50</v>
      </c>
      <c r="H4157">
        <v>50</v>
      </c>
      <c r="I4157" t="str">
        <f t="shared" si="52"/>
        <v>Shell Town House Buildings|Good</v>
      </c>
      <c r="J4157" t="s">
        <v>1347</v>
      </c>
    </row>
    <row r="4158" spans="2:10">
      <c r="B4158" t="s">
        <v>405</v>
      </c>
      <c r="C4158" t="s">
        <v>44</v>
      </c>
      <c r="F4158">
        <v>55</v>
      </c>
      <c r="G4158">
        <v>50</v>
      </c>
      <c r="H4158">
        <v>50</v>
      </c>
      <c r="I4158" t="str">
        <f t="shared" si="52"/>
        <v>Shell Town House Buildings|Average</v>
      </c>
      <c r="J4158" t="s">
        <v>1345</v>
      </c>
    </row>
    <row r="4159" spans="2:10">
      <c r="B4159" t="s">
        <v>405</v>
      </c>
      <c r="C4159" t="s">
        <v>302</v>
      </c>
      <c r="F4159">
        <v>50</v>
      </c>
      <c r="G4159">
        <v>45</v>
      </c>
      <c r="I4159" t="str">
        <f t="shared" si="52"/>
        <v>Shell Town House Buildings|Fair</v>
      </c>
      <c r="J4159" t="s">
        <v>1351</v>
      </c>
    </row>
    <row r="4160" spans="2:10">
      <c r="B4160" t="s">
        <v>409</v>
      </c>
      <c r="C4160" t="s">
        <v>44</v>
      </c>
      <c r="D4160">
        <v>45</v>
      </c>
      <c r="E4160">
        <v>45</v>
      </c>
      <c r="F4160">
        <v>40</v>
      </c>
      <c r="G4160">
        <v>40</v>
      </c>
      <c r="H4160">
        <v>40</v>
      </c>
      <c r="I4160" t="str">
        <f t="shared" si="52"/>
        <v>Bars/Taverns|Average</v>
      </c>
      <c r="J4160" t="s">
        <v>1345</v>
      </c>
    </row>
    <row r="4161" spans="2:10">
      <c r="B4161" t="s">
        <v>409</v>
      </c>
      <c r="C4161" t="s">
        <v>229</v>
      </c>
      <c r="F4161">
        <v>45</v>
      </c>
      <c r="G4161">
        <v>40</v>
      </c>
      <c r="I4161" t="str">
        <f t="shared" si="52"/>
        <v>Bars/Taverns|Good</v>
      </c>
      <c r="J4161" t="s">
        <v>1377</v>
      </c>
    </row>
    <row r="4162" spans="2:10">
      <c r="B4162" t="s">
        <v>409</v>
      </c>
      <c r="C4162" t="s">
        <v>226</v>
      </c>
      <c r="F4162">
        <v>40</v>
      </c>
      <c r="G4162">
        <v>35</v>
      </c>
      <c r="H4162">
        <v>35</v>
      </c>
      <c r="I4162" t="str">
        <f t="shared" si="52"/>
        <v>Bars/Taverns|Low Cost</v>
      </c>
      <c r="J4162" t="s">
        <v>1349</v>
      </c>
    </row>
    <row r="4163" spans="2:10">
      <c r="B4163" t="s">
        <v>412</v>
      </c>
      <c r="C4163" t="s">
        <v>229</v>
      </c>
      <c r="D4163">
        <v>45</v>
      </c>
      <c r="E4163">
        <v>45</v>
      </c>
      <c r="F4163">
        <v>40</v>
      </c>
      <c r="G4163">
        <v>40</v>
      </c>
      <c r="H4163">
        <v>40</v>
      </c>
      <c r="I4163" t="str">
        <f t="shared" si="52"/>
        <v>Cocktail Lounges|Good</v>
      </c>
      <c r="J4163" t="s">
        <v>1378</v>
      </c>
    </row>
    <row r="4164" spans="2:10">
      <c r="B4164" t="s">
        <v>412</v>
      </c>
      <c r="C4164" t="s">
        <v>44</v>
      </c>
      <c r="D4164">
        <v>40</v>
      </c>
      <c r="E4164">
        <v>40</v>
      </c>
      <c r="F4164">
        <v>40</v>
      </c>
      <c r="G4164">
        <v>35</v>
      </c>
      <c r="H4164">
        <v>35</v>
      </c>
      <c r="I4164" t="str">
        <f t="shared" si="52"/>
        <v>Cocktail Lounges|Average</v>
      </c>
      <c r="J4164" t="s">
        <v>1345</v>
      </c>
    </row>
    <row r="4165" spans="2:10">
      <c r="B4165" t="s">
        <v>412</v>
      </c>
      <c r="C4165" t="s">
        <v>231</v>
      </c>
      <c r="D4165">
        <v>45</v>
      </c>
      <c r="E4165">
        <v>45</v>
      </c>
      <c r="F4165">
        <v>40</v>
      </c>
      <c r="G4165">
        <v>40</v>
      </c>
      <c r="H4165">
        <v>40</v>
      </c>
      <c r="I4165" t="str">
        <f t="shared" si="52"/>
        <v>Cocktail Lounges|Excellent</v>
      </c>
      <c r="J4165" t="s">
        <v>1378</v>
      </c>
    </row>
    <row r="4166" spans="2:10">
      <c r="B4166" t="s">
        <v>412</v>
      </c>
      <c r="C4166" t="s">
        <v>226</v>
      </c>
      <c r="F4166">
        <v>35</v>
      </c>
      <c r="G4166">
        <v>35</v>
      </c>
      <c r="H4166">
        <v>35</v>
      </c>
      <c r="I4166" t="str">
        <f t="shared" si="52"/>
        <v>Cocktail Lounges|Low Cost</v>
      </c>
      <c r="J4166" t="s">
        <v>1349</v>
      </c>
    </row>
    <row r="4167" spans="2:10">
      <c r="B4167" t="s">
        <v>414</v>
      </c>
      <c r="C4167" t="s">
        <v>231</v>
      </c>
      <c r="D4167">
        <v>45</v>
      </c>
      <c r="E4167">
        <v>45</v>
      </c>
      <c r="F4167">
        <v>40</v>
      </c>
      <c r="G4167">
        <v>40</v>
      </c>
      <c r="H4167">
        <v>40</v>
      </c>
      <c r="I4167" t="str">
        <f t="shared" si="52"/>
        <v>Restaurants|Excellent</v>
      </c>
      <c r="J4167" t="s">
        <v>1379</v>
      </c>
    </row>
    <row r="4168" spans="2:10">
      <c r="B4168" t="s">
        <v>414</v>
      </c>
      <c r="C4168" t="s">
        <v>229</v>
      </c>
      <c r="D4168">
        <v>40</v>
      </c>
      <c r="E4168">
        <v>40</v>
      </c>
      <c r="F4168">
        <v>35</v>
      </c>
      <c r="G4168">
        <v>35</v>
      </c>
      <c r="H4168">
        <v>35</v>
      </c>
      <c r="I4168" t="str">
        <f t="shared" si="52"/>
        <v>Restaurants|Good</v>
      </c>
      <c r="J4168" t="s">
        <v>1360</v>
      </c>
    </row>
    <row r="4169" spans="2:10">
      <c r="B4169" t="s">
        <v>414</v>
      </c>
      <c r="C4169" t="s">
        <v>44</v>
      </c>
      <c r="D4169">
        <v>40</v>
      </c>
      <c r="E4169">
        <v>40</v>
      </c>
      <c r="F4169">
        <v>35</v>
      </c>
      <c r="G4169">
        <v>35</v>
      </c>
      <c r="H4169">
        <v>35</v>
      </c>
      <c r="I4169" t="str">
        <f t="shared" si="52"/>
        <v>Restaurants|Average</v>
      </c>
      <c r="J4169" t="s">
        <v>1360</v>
      </c>
    </row>
    <row r="4170" spans="2:10">
      <c r="B4170" t="s">
        <v>414</v>
      </c>
      <c r="C4170" t="s">
        <v>250</v>
      </c>
      <c r="D4170">
        <v>45</v>
      </c>
      <c r="E4170">
        <v>45</v>
      </c>
      <c r="F4170">
        <v>40</v>
      </c>
      <c r="G4170">
        <v>40</v>
      </c>
      <c r="H4170">
        <v>40</v>
      </c>
      <c r="I4170" t="str">
        <f t="shared" si="52"/>
        <v>Restaurants|Very Good</v>
      </c>
      <c r="J4170" t="s">
        <v>1379</v>
      </c>
    </row>
    <row r="4171" spans="2:10">
      <c r="B4171" t="s">
        <v>414</v>
      </c>
      <c r="C4171" t="s">
        <v>226</v>
      </c>
      <c r="F4171">
        <v>30</v>
      </c>
      <c r="G4171">
        <v>30</v>
      </c>
      <c r="H4171">
        <v>30</v>
      </c>
      <c r="I4171" t="str">
        <f t="shared" si="52"/>
        <v>Restaurants|Low Cost</v>
      </c>
      <c r="J4171" t="s">
        <v>1349</v>
      </c>
    </row>
    <row r="4172" spans="2:10">
      <c r="B4172" t="s">
        <v>417</v>
      </c>
      <c r="C4172" t="s">
        <v>229</v>
      </c>
      <c r="D4172">
        <v>45</v>
      </c>
      <c r="E4172">
        <v>45</v>
      </c>
      <c r="F4172">
        <v>35</v>
      </c>
      <c r="G4172">
        <v>35</v>
      </c>
      <c r="H4172">
        <v>35</v>
      </c>
      <c r="I4172" t="str">
        <f t="shared" si="52"/>
        <v>Restaurants – Cafeterias|Good</v>
      </c>
      <c r="J4172" t="s">
        <v>1347</v>
      </c>
    </row>
    <row r="4173" spans="2:10">
      <c r="B4173" t="s">
        <v>417</v>
      </c>
      <c r="C4173" t="s">
        <v>44</v>
      </c>
      <c r="D4173">
        <v>40</v>
      </c>
      <c r="E4173">
        <v>40</v>
      </c>
      <c r="F4173">
        <v>35</v>
      </c>
      <c r="G4173">
        <v>30</v>
      </c>
      <c r="H4173">
        <v>30</v>
      </c>
      <c r="I4173" t="str">
        <f t="shared" si="52"/>
        <v>Restaurants – Cafeterias|Average</v>
      </c>
      <c r="J4173" t="s">
        <v>1341</v>
      </c>
    </row>
    <row r="4174" spans="2:10">
      <c r="B4174" t="s">
        <v>417</v>
      </c>
      <c r="C4174" t="s">
        <v>231</v>
      </c>
      <c r="F4174">
        <v>45</v>
      </c>
      <c r="G4174">
        <v>40</v>
      </c>
      <c r="I4174" t="str">
        <f t="shared" si="52"/>
        <v>Restaurants – Cafeterias|Excellent</v>
      </c>
      <c r="J4174" t="s">
        <v>1380</v>
      </c>
    </row>
    <row r="4175" spans="2:10">
      <c r="B4175" t="s">
        <v>417</v>
      </c>
      <c r="C4175" t="s">
        <v>226</v>
      </c>
      <c r="D4175">
        <v>40</v>
      </c>
      <c r="E4175">
        <v>40</v>
      </c>
      <c r="F4175">
        <v>35</v>
      </c>
      <c r="G4175">
        <v>30</v>
      </c>
      <c r="H4175">
        <v>30</v>
      </c>
      <c r="I4175" t="str">
        <f t="shared" si="52"/>
        <v>Restaurants – Cafeterias|Low Cost</v>
      </c>
      <c r="J4175" t="s">
        <v>1341</v>
      </c>
    </row>
    <row r="4176" spans="2:10">
      <c r="B4176" t="s">
        <v>420</v>
      </c>
      <c r="C4176" t="s">
        <v>231</v>
      </c>
      <c r="F4176">
        <v>35</v>
      </c>
      <c r="G4176">
        <v>35</v>
      </c>
      <c r="H4176">
        <v>35</v>
      </c>
      <c r="I4176" t="str">
        <f t="shared" si="52"/>
        <v>Truck Stop Restaurants|Excellent</v>
      </c>
      <c r="J4176" t="s">
        <v>1381</v>
      </c>
    </row>
    <row r="4177" spans="2:10">
      <c r="B4177" t="s">
        <v>420</v>
      </c>
      <c r="C4177" t="s">
        <v>229</v>
      </c>
      <c r="F4177">
        <v>35</v>
      </c>
      <c r="G4177">
        <v>35</v>
      </c>
      <c r="H4177">
        <v>35</v>
      </c>
      <c r="I4177" t="str">
        <f t="shared" si="52"/>
        <v>Truck Stop Restaurants|Good</v>
      </c>
      <c r="J4177" t="s">
        <v>1381</v>
      </c>
    </row>
    <row r="4178" spans="2:10">
      <c r="B4178" t="s">
        <v>420</v>
      </c>
      <c r="C4178" t="s">
        <v>44</v>
      </c>
      <c r="F4178">
        <v>30</v>
      </c>
      <c r="G4178">
        <v>30</v>
      </c>
      <c r="H4178">
        <v>30</v>
      </c>
      <c r="I4178" t="str">
        <f t="shared" si="52"/>
        <v>Truck Stop Restaurants|Average</v>
      </c>
      <c r="J4178" t="s">
        <v>1345</v>
      </c>
    </row>
    <row r="4179" spans="2:10">
      <c r="B4179" t="s">
        <v>423</v>
      </c>
      <c r="C4179" t="s">
        <v>229</v>
      </c>
      <c r="F4179">
        <v>35</v>
      </c>
      <c r="G4179">
        <v>35</v>
      </c>
      <c r="H4179">
        <v>35</v>
      </c>
      <c r="I4179" t="str">
        <f t="shared" si="52"/>
        <v>Dining Atriums/Play Rooms|Good</v>
      </c>
      <c r="J4179" t="s">
        <v>1382</v>
      </c>
    </row>
    <row r="4180" spans="2:10">
      <c r="B4180" t="s">
        <v>423</v>
      </c>
      <c r="C4180" t="s">
        <v>44</v>
      </c>
      <c r="F4180">
        <v>30</v>
      </c>
      <c r="G4180">
        <v>30</v>
      </c>
      <c r="H4180">
        <v>30</v>
      </c>
      <c r="I4180" t="str">
        <f t="shared" si="52"/>
        <v>Dining Atriums/Play Rooms|Average</v>
      </c>
      <c r="J4180" t="s">
        <v>1341</v>
      </c>
    </row>
    <row r="4181" spans="2:10">
      <c r="B4181" t="s">
        <v>423</v>
      </c>
      <c r="C4181" t="s">
        <v>226</v>
      </c>
      <c r="F4181">
        <v>30</v>
      </c>
      <c r="G4181">
        <v>30</v>
      </c>
      <c r="H4181">
        <v>30</v>
      </c>
      <c r="I4181" t="str">
        <f t="shared" si="52"/>
        <v>Dining Atriums/Play Rooms|Low Cost</v>
      </c>
      <c r="J4181" t="s">
        <v>1341</v>
      </c>
    </row>
    <row r="4182" spans="2:10">
      <c r="B4182" t="s">
        <v>423</v>
      </c>
      <c r="C4182" t="s">
        <v>231</v>
      </c>
      <c r="F4182">
        <v>35</v>
      </c>
      <c r="G4182">
        <v>35</v>
      </c>
      <c r="H4182">
        <v>35</v>
      </c>
      <c r="I4182" t="str">
        <f t="shared" si="52"/>
        <v>Dining Atriums/Play Rooms|Excellent</v>
      </c>
      <c r="J4182" t="s">
        <v>1382</v>
      </c>
    </row>
    <row r="4183" spans="2:10">
      <c r="B4183" t="s">
        <v>423</v>
      </c>
      <c r="C4183" t="s">
        <v>250</v>
      </c>
      <c r="F4183">
        <v>35</v>
      </c>
      <c r="G4183">
        <v>35</v>
      </c>
      <c r="H4183">
        <v>35</v>
      </c>
      <c r="I4183" t="str">
        <f t="shared" si="52"/>
        <v>Dining Atriums/Play Rooms|Very Good</v>
      </c>
      <c r="J4183" t="s">
        <v>1382</v>
      </c>
    </row>
    <row r="4184" spans="2:10">
      <c r="B4184" t="s">
        <v>423</v>
      </c>
      <c r="C4184" t="s">
        <v>314</v>
      </c>
      <c r="H4184">
        <v>10</v>
      </c>
      <c r="I4184" t="str">
        <f t="shared" si="52"/>
        <v>Dining Atriums/Play Rooms|Cheap</v>
      </c>
      <c r="J4184" t="s">
        <v>1356</v>
      </c>
    </row>
    <row r="4185" spans="2:10">
      <c r="B4185" t="s">
        <v>425</v>
      </c>
      <c r="C4185" t="s">
        <v>229</v>
      </c>
      <c r="D4185">
        <v>35</v>
      </c>
      <c r="E4185">
        <v>35</v>
      </c>
      <c r="F4185">
        <v>30</v>
      </c>
      <c r="G4185">
        <v>30</v>
      </c>
      <c r="H4185">
        <v>30</v>
      </c>
      <c r="I4185" t="str">
        <f t="shared" si="52"/>
        <v>Restaurants – Fast Food|Good</v>
      </c>
      <c r="J4185" t="s">
        <v>1383</v>
      </c>
    </row>
    <row r="4186" spans="2:10">
      <c r="B4186" t="s">
        <v>425</v>
      </c>
      <c r="C4186" t="s">
        <v>44</v>
      </c>
      <c r="D4186">
        <v>35</v>
      </c>
      <c r="E4186">
        <v>35</v>
      </c>
      <c r="F4186">
        <v>30</v>
      </c>
      <c r="G4186">
        <v>30</v>
      </c>
      <c r="H4186">
        <v>30</v>
      </c>
      <c r="I4186" t="str">
        <f t="shared" si="52"/>
        <v>Restaurants – Fast Food|Average</v>
      </c>
      <c r="J4186" t="s">
        <v>1383</v>
      </c>
    </row>
    <row r="4187" spans="2:10">
      <c r="B4187" t="s">
        <v>425</v>
      </c>
      <c r="C4187" t="s">
        <v>231</v>
      </c>
      <c r="D4187">
        <v>40</v>
      </c>
      <c r="E4187">
        <v>40</v>
      </c>
      <c r="F4187">
        <v>35</v>
      </c>
      <c r="G4187">
        <v>35</v>
      </c>
      <c r="H4187">
        <v>35</v>
      </c>
      <c r="I4187" t="str">
        <f t="shared" si="52"/>
        <v>Restaurants – Fast Food|Excellent</v>
      </c>
      <c r="J4187" t="s">
        <v>1384</v>
      </c>
    </row>
    <row r="4188" spans="2:10">
      <c r="B4188" t="s">
        <v>425</v>
      </c>
      <c r="C4188" t="s">
        <v>250</v>
      </c>
      <c r="D4188">
        <v>40</v>
      </c>
      <c r="E4188">
        <v>40</v>
      </c>
      <c r="F4188">
        <v>35</v>
      </c>
      <c r="G4188">
        <v>35</v>
      </c>
      <c r="H4188">
        <v>35</v>
      </c>
      <c r="I4188" t="str">
        <f t="shared" si="52"/>
        <v>Restaurants – Fast Food|Very Good</v>
      </c>
      <c r="J4188" t="s">
        <v>1384</v>
      </c>
    </row>
    <row r="4189" spans="2:10">
      <c r="B4189" t="s">
        <v>425</v>
      </c>
      <c r="C4189" t="s">
        <v>226</v>
      </c>
      <c r="D4189">
        <v>35</v>
      </c>
      <c r="E4189">
        <v>35</v>
      </c>
      <c r="F4189">
        <v>30</v>
      </c>
      <c r="G4189">
        <v>30</v>
      </c>
      <c r="H4189">
        <v>30</v>
      </c>
      <c r="I4189" t="str">
        <f t="shared" si="52"/>
        <v>Restaurants – Fast Food|Low Cost</v>
      </c>
      <c r="J4189" t="s">
        <v>1383</v>
      </c>
    </row>
    <row r="4190" spans="2:10">
      <c r="B4190" t="s">
        <v>428</v>
      </c>
      <c r="C4190" t="s">
        <v>231</v>
      </c>
      <c r="F4190">
        <v>35</v>
      </c>
      <c r="G4190">
        <v>35</v>
      </c>
      <c r="I4190" t="str">
        <f t="shared" si="52"/>
        <v>Snack Bars|Excellent</v>
      </c>
      <c r="J4190" t="s">
        <v>1385</v>
      </c>
    </row>
    <row r="4191" spans="2:10">
      <c r="B4191" t="s">
        <v>428</v>
      </c>
      <c r="C4191" t="s">
        <v>229</v>
      </c>
      <c r="F4191">
        <v>35</v>
      </c>
      <c r="G4191">
        <v>30</v>
      </c>
      <c r="I4191" t="str">
        <f t="shared" si="52"/>
        <v>Snack Bars|Good</v>
      </c>
      <c r="J4191" t="s">
        <v>1347</v>
      </c>
    </row>
    <row r="4192" spans="2:10">
      <c r="B4192" t="s">
        <v>428</v>
      </c>
      <c r="C4192" t="s">
        <v>44</v>
      </c>
      <c r="F4192">
        <v>30</v>
      </c>
      <c r="G4192">
        <v>25</v>
      </c>
      <c r="H4192">
        <v>25</v>
      </c>
      <c r="I4192" t="str">
        <f t="shared" si="52"/>
        <v>Snack Bars|Average</v>
      </c>
      <c r="J4192" t="s">
        <v>1345</v>
      </c>
    </row>
    <row r="4193" spans="2:10">
      <c r="B4193" t="s">
        <v>428</v>
      </c>
      <c r="C4193" t="s">
        <v>226</v>
      </c>
      <c r="F4193">
        <v>25</v>
      </c>
      <c r="G4193">
        <v>20</v>
      </c>
      <c r="H4193">
        <v>20</v>
      </c>
      <c r="I4193" t="str">
        <f t="shared" si="52"/>
        <v>Snack Bars|Low Cost</v>
      </c>
      <c r="J4193" t="s">
        <v>1349</v>
      </c>
    </row>
    <row r="4194" spans="2:10">
      <c r="B4194" t="s">
        <v>428</v>
      </c>
      <c r="C4194" t="s">
        <v>314</v>
      </c>
      <c r="F4194">
        <v>20</v>
      </c>
      <c r="G4194">
        <v>15</v>
      </c>
      <c r="H4194">
        <v>15</v>
      </c>
      <c r="I4194" t="str">
        <f t="shared" si="52"/>
        <v>Snack Bars|Cheap</v>
      </c>
      <c r="J4194" t="s">
        <v>1356</v>
      </c>
    </row>
    <row r="4195" spans="2:10">
      <c r="B4195" t="s">
        <v>431</v>
      </c>
      <c r="C4195" t="s">
        <v>231</v>
      </c>
      <c r="F4195">
        <v>50</v>
      </c>
      <c r="G4195">
        <v>45</v>
      </c>
      <c r="I4195" t="str">
        <f t="shared" si="52"/>
        <v>Banquet Halls|Excellent</v>
      </c>
      <c r="J4195" t="s">
        <v>1386</v>
      </c>
    </row>
    <row r="4196" spans="2:10">
      <c r="B4196" t="s">
        <v>431</v>
      </c>
      <c r="C4196" t="s">
        <v>229</v>
      </c>
      <c r="F4196">
        <v>45</v>
      </c>
      <c r="G4196">
        <v>40</v>
      </c>
      <c r="H4196">
        <v>40</v>
      </c>
      <c r="I4196" t="str">
        <f t="shared" si="52"/>
        <v>Banquet Halls|Good</v>
      </c>
      <c r="J4196" t="s">
        <v>1347</v>
      </c>
    </row>
    <row r="4197" spans="2:10">
      <c r="B4197" t="s">
        <v>431</v>
      </c>
      <c r="C4197" t="s">
        <v>44</v>
      </c>
      <c r="F4197">
        <v>40</v>
      </c>
      <c r="G4197">
        <v>35</v>
      </c>
      <c r="H4197">
        <v>35</v>
      </c>
      <c r="I4197" t="str">
        <f t="shared" si="52"/>
        <v>Banquet Halls|Average</v>
      </c>
      <c r="J4197" t="s">
        <v>1345</v>
      </c>
    </row>
    <row r="4198" spans="2:10">
      <c r="B4198" t="s">
        <v>431</v>
      </c>
      <c r="C4198" t="s">
        <v>226</v>
      </c>
      <c r="F4198">
        <v>35</v>
      </c>
      <c r="G4198">
        <v>30</v>
      </c>
      <c r="H4198">
        <v>30</v>
      </c>
      <c r="I4198" t="str">
        <f t="shared" si="52"/>
        <v>Banquet Halls|Low Cost</v>
      </c>
      <c r="J4198" t="s">
        <v>1349</v>
      </c>
    </row>
    <row r="4199" spans="2:10">
      <c r="B4199" t="s">
        <v>434</v>
      </c>
      <c r="C4199" t="s">
        <v>231</v>
      </c>
      <c r="H4199">
        <v>35</v>
      </c>
      <c r="I4199" t="str">
        <f t="shared" si="52"/>
        <v>Modular Restaurants – Diners|Excellent</v>
      </c>
      <c r="J4199" t="s">
        <v>1387</v>
      </c>
    </row>
    <row r="4200" spans="2:10">
      <c r="B4200" t="s">
        <v>434</v>
      </c>
      <c r="C4200" t="s">
        <v>229</v>
      </c>
      <c r="H4200">
        <v>30</v>
      </c>
      <c r="I4200" t="str">
        <f t="shared" si="52"/>
        <v>Modular Restaurants – Diners|Good</v>
      </c>
      <c r="J4200" t="s">
        <v>1383</v>
      </c>
    </row>
    <row r="4201" spans="2:10">
      <c r="B4201" t="s">
        <v>434</v>
      </c>
      <c r="C4201" t="s">
        <v>44</v>
      </c>
      <c r="H4201">
        <v>30</v>
      </c>
      <c r="I4201" t="str">
        <f t="shared" si="52"/>
        <v>Modular Restaurants – Diners|Average</v>
      </c>
      <c r="J4201" t="s">
        <v>1383</v>
      </c>
    </row>
    <row r="4202" spans="2:10">
      <c r="B4202" t="s">
        <v>434</v>
      </c>
      <c r="C4202" t="s">
        <v>226</v>
      </c>
      <c r="H4202">
        <v>30</v>
      </c>
      <c r="I4202" t="str">
        <f t="shared" si="52"/>
        <v>Modular Restaurants – Diners|Low Cost</v>
      </c>
      <c r="J4202" t="s">
        <v>1383</v>
      </c>
    </row>
    <row r="4203" spans="2:10">
      <c r="B4203" t="s">
        <v>436</v>
      </c>
      <c r="C4203" t="s">
        <v>229</v>
      </c>
      <c r="D4203">
        <v>40</v>
      </c>
      <c r="E4203">
        <v>40</v>
      </c>
      <c r="F4203">
        <v>40</v>
      </c>
      <c r="G4203">
        <v>35</v>
      </c>
      <c r="H4203">
        <v>35</v>
      </c>
      <c r="I4203" t="str">
        <f t="shared" si="52"/>
        <v>Supermarkets|Good</v>
      </c>
      <c r="J4203" t="s">
        <v>1360</v>
      </c>
    </row>
    <row r="4204" spans="2:10">
      <c r="B4204" t="s">
        <v>436</v>
      </c>
      <c r="C4204" t="s">
        <v>44</v>
      </c>
      <c r="D4204">
        <v>40</v>
      </c>
      <c r="E4204">
        <v>40</v>
      </c>
      <c r="F4204">
        <v>40</v>
      </c>
      <c r="G4204">
        <v>35</v>
      </c>
      <c r="H4204">
        <v>35</v>
      </c>
      <c r="I4204" t="str">
        <f t="shared" si="52"/>
        <v>Supermarkets|Average</v>
      </c>
      <c r="J4204" t="s">
        <v>1360</v>
      </c>
    </row>
    <row r="4205" spans="2:10">
      <c r="B4205" t="s">
        <v>436</v>
      </c>
      <c r="C4205" t="s">
        <v>231</v>
      </c>
      <c r="F4205">
        <v>45</v>
      </c>
      <c r="G4205">
        <v>40</v>
      </c>
      <c r="H4205">
        <v>40</v>
      </c>
      <c r="I4205" t="str">
        <f t="shared" si="52"/>
        <v>Supermarkets|Excellent</v>
      </c>
      <c r="J4205" t="s">
        <v>1388</v>
      </c>
    </row>
    <row r="4206" spans="2:10">
      <c r="B4206" t="s">
        <v>436</v>
      </c>
      <c r="C4206" t="s">
        <v>226</v>
      </c>
      <c r="F4206">
        <v>35</v>
      </c>
      <c r="G4206">
        <v>30</v>
      </c>
      <c r="H4206">
        <v>30</v>
      </c>
      <c r="I4206" t="str">
        <f t="shared" si="52"/>
        <v>Supermarkets|Low Cost</v>
      </c>
      <c r="J4206" t="s">
        <v>1349</v>
      </c>
    </row>
    <row r="4207" spans="2:10">
      <c r="B4207" t="s">
        <v>439</v>
      </c>
      <c r="C4207" t="s">
        <v>44</v>
      </c>
      <c r="D4207">
        <v>45</v>
      </c>
      <c r="E4207">
        <v>45</v>
      </c>
      <c r="F4207">
        <v>40</v>
      </c>
      <c r="G4207">
        <v>35</v>
      </c>
      <c r="I4207" t="str">
        <f t="shared" si="52"/>
        <v>Drug Stores|Average</v>
      </c>
      <c r="J4207" t="s">
        <v>1360</v>
      </c>
    </row>
    <row r="4208" spans="2:10">
      <c r="B4208" t="s">
        <v>439</v>
      </c>
      <c r="C4208" t="s">
        <v>231</v>
      </c>
      <c r="F4208">
        <v>45</v>
      </c>
      <c r="G4208">
        <v>40</v>
      </c>
      <c r="I4208" t="str">
        <f t="shared" si="52"/>
        <v>Drug Stores|Excellent</v>
      </c>
      <c r="J4208" t="s">
        <v>1389</v>
      </c>
    </row>
    <row r="4209" spans="2:10">
      <c r="B4209" t="s">
        <v>439</v>
      </c>
      <c r="C4209" t="s">
        <v>229</v>
      </c>
      <c r="D4209">
        <v>45</v>
      </c>
      <c r="E4209">
        <v>45</v>
      </c>
      <c r="F4209">
        <v>40</v>
      </c>
      <c r="G4209">
        <v>35</v>
      </c>
      <c r="I4209" t="str">
        <f t="shared" si="52"/>
        <v>Drug Stores|Good</v>
      </c>
      <c r="J4209" t="s">
        <v>1360</v>
      </c>
    </row>
    <row r="4210" spans="2:10">
      <c r="B4210" t="s">
        <v>439</v>
      </c>
      <c r="C4210" t="s">
        <v>226</v>
      </c>
      <c r="F4210">
        <v>35</v>
      </c>
      <c r="G4210">
        <v>30</v>
      </c>
      <c r="H4210">
        <v>30</v>
      </c>
      <c r="I4210" t="str">
        <f t="shared" si="52"/>
        <v>Drug Stores|Low Cost</v>
      </c>
      <c r="J4210" t="s">
        <v>1349</v>
      </c>
    </row>
    <row r="4211" spans="2:10">
      <c r="B4211" t="s">
        <v>441</v>
      </c>
      <c r="C4211" t="s">
        <v>44</v>
      </c>
      <c r="D4211">
        <v>40</v>
      </c>
      <c r="E4211">
        <v>40</v>
      </c>
      <c r="F4211">
        <v>40</v>
      </c>
      <c r="G4211">
        <v>35</v>
      </c>
      <c r="H4211">
        <v>35</v>
      </c>
      <c r="I4211" t="str">
        <f t="shared" si="52"/>
        <v>Markets|Average</v>
      </c>
      <c r="J4211" t="s">
        <v>1360</v>
      </c>
    </row>
    <row r="4212" spans="2:10">
      <c r="B4212" t="s">
        <v>441</v>
      </c>
      <c r="C4212" t="s">
        <v>231</v>
      </c>
      <c r="F4212">
        <v>45</v>
      </c>
      <c r="G4212">
        <v>40</v>
      </c>
      <c r="H4212">
        <v>40</v>
      </c>
      <c r="I4212" t="str">
        <f t="shared" si="52"/>
        <v>Markets|Excellent</v>
      </c>
      <c r="J4212" t="s">
        <v>1388</v>
      </c>
    </row>
    <row r="4213" spans="2:10">
      <c r="B4213" t="s">
        <v>441</v>
      </c>
      <c r="C4213" t="s">
        <v>229</v>
      </c>
      <c r="D4213">
        <v>40</v>
      </c>
      <c r="E4213">
        <v>40</v>
      </c>
      <c r="F4213">
        <v>40</v>
      </c>
      <c r="G4213">
        <v>35</v>
      </c>
      <c r="H4213">
        <v>35</v>
      </c>
      <c r="I4213" t="str">
        <f t="shared" si="52"/>
        <v>Markets|Good</v>
      </c>
      <c r="J4213" t="s">
        <v>1360</v>
      </c>
    </row>
    <row r="4214" spans="2:10">
      <c r="B4214" t="s">
        <v>441</v>
      </c>
      <c r="C4214" t="s">
        <v>226</v>
      </c>
      <c r="F4214">
        <v>35</v>
      </c>
      <c r="G4214">
        <v>30</v>
      </c>
      <c r="H4214">
        <v>30</v>
      </c>
      <c r="I4214" t="str">
        <f t="shared" si="52"/>
        <v>Markets|Low Cost</v>
      </c>
      <c r="J4214" t="s">
        <v>1349</v>
      </c>
    </row>
    <row r="4215" spans="2:10">
      <c r="B4215" t="s">
        <v>444</v>
      </c>
      <c r="C4215" t="s">
        <v>44</v>
      </c>
      <c r="D4215">
        <v>50</v>
      </c>
      <c r="E4215">
        <v>50</v>
      </c>
      <c r="F4215">
        <v>40</v>
      </c>
      <c r="G4215">
        <v>35</v>
      </c>
      <c r="H4215">
        <v>35</v>
      </c>
      <c r="I4215" t="str">
        <f t="shared" si="52"/>
        <v>Florist Shops|Average</v>
      </c>
      <c r="J4215" t="s">
        <v>1360</v>
      </c>
    </row>
    <row r="4216" spans="2:10">
      <c r="B4216" t="s">
        <v>444</v>
      </c>
      <c r="C4216" t="s">
        <v>231</v>
      </c>
      <c r="F4216">
        <v>45</v>
      </c>
      <c r="G4216">
        <v>40</v>
      </c>
      <c r="H4216">
        <v>40</v>
      </c>
      <c r="I4216" t="str">
        <f t="shared" ref="I4216:I4279" si="53">B4216&amp;"|"&amp;C4216</f>
        <v>Florist Shops|Excellent</v>
      </c>
      <c r="J4216" t="s">
        <v>1390</v>
      </c>
    </row>
    <row r="4217" spans="2:10">
      <c r="B4217" t="s">
        <v>444</v>
      </c>
      <c r="C4217" t="s">
        <v>229</v>
      </c>
      <c r="D4217">
        <v>50</v>
      </c>
      <c r="E4217">
        <v>50</v>
      </c>
      <c r="F4217">
        <v>40</v>
      </c>
      <c r="G4217">
        <v>35</v>
      </c>
      <c r="H4217">
        <v>35</v>
      </c>
      <c r="I4217" t="str">
        <f t="shared" si="53"/>
        <v>Florist Shops|Good</v>
      </c>
      <c r="J4217" t="s">
        <v>1360</v>
      </c>
    </row>
    <row r="4218" spans="2:10">
      <c r="B4218" t="s">
        <v>444</v>
      </c>
      <c r="C4218" t="s">
        <v>226</v>
      </c>
      <c r="F4218">
        <v>35</v>
      </c>
      <c r="G4218">
        <v>30</v>
      </c>
      <c r="H4218">
        <v>30</v>
      </c>
      <c r="I4218" t="str">
        <f t="shared" si="53"/>
        <v>Florist Shops|Low Cost</v>
      </c>
      <c r="J4218" t="s">
        <v>1349</v>
      </c>
    </row>
    <row r="4219" spans="2:10">
      <c r="B4219" t="s">
        <v>446</v>
      </c>
      <c r="C4219" t="s">
        <v>44</v>
      </c>
      <c r="D4219">
        <v>45</v>
      </c>
      <c r="E4219">
        <v>45</v>
      </c>
      <c r="F4219">
        <v>40</v>
      </c>
      <c r="G4219">
        <v>35</v>
      </c>
      <c r="H4219">
        <v>35</v>
      </c>
      <c r="I4219" t="str">
        <f t="shared" si="53"/>
        <v>Convenience Stores|Average</v>
      </c>
      <c r="J4219" t="s">
        <v>1360</v>
      </c>
    </row>
    <row r="4220" spans="2:10">
      <c r="B4220" t="s">
        <v>446</v>
      </c>
      <c r="C4220" t="s">
        <v>231</v>
      </c>
      <c r="F4220">
        <v>45</v>
      </c>
      <c r="G4220">
        <v>40</v>
      </c>
      <c r="H4220">
        <v>40</v>
      </c>
      <c r="I4220" t="str">
        <f t="shared" si="53"/>
        <v>Convenience Stores|Excellent</v>
      </c>
      <c r="J4220" t="s">
        <v>1391</v>
      </c>
    </row>
    <row r="4221" spans="2:10">
      <c r="B4221" t="s">
        <v>446</v>
      </c>
      <c r="C4221" t="s">
        <v>229</v>
      </c>
      <c r="D4221">
        <v>45</v>
      </c>
      <c r="E4221">
        <v>45</v>
      </c>
      <c r="F4221">
        <v>40</v>
      </c>
      <c r="G4221">
        <v>35</v>
      </c>
      <c r="H4221">
        <v>35</v>
      </c>
      <c r="I4221" t="str">
        <f t="shared" si="53"/>
        <v>Convenience Stores|Good</v>
      </c>
      <c r="J4221" t="s">
        <v>1360</v>
      </c>
    </row>
    <row r="4222" spans="2:10">
      <c r="B4222" t="s">
        <v>446</v>
      </c>
      <c r="C4222" t="s">
        <v>226</v>
      </c>
      <c r="F4222">
        <v>35</v>
      </c>
      <c r="G4222">
        <v>30</v>
      </c>
      <c r="H4222">
        <v>30</v>
      </c>
      <c r="I4222" t="str">
        <f t="shared" si="53"/>
        <v>Convenience Stores|Low Cost</v>
      </c>
      <c r="J4222" t="s">
        <v>1349</v>
      </c>
    </row>
    <row r="4223" spans="2:10">
      <c r="B4223" t="s">
        <v>449</v>
      </c>
      <c r="C4223" t="s">
        <v>231</v>
      </c>
      <c r="F4223">
        <v>40</v>
      </c>
      <c r="G4223">
        <v>35</v>
      </c>
      <c r="H4223">
        <v>30</v>
      </c>
      <c r="I4223" t="str">
        <f t="shared" si="53"/>
        <v>Mini-Mart Convenience Stores|Excellent</v>
      </c>
      <c r="J4223" t="s">
        <v>1392</v>
      </c>
    </row>
    <row r="4224" spans="2:10">
      <c r="B4224" t="s">
        <v>449</v>
      </c>
      <c r="C4224" t="s">
        <v>229</v>
      </c>
      <c r="F4224">
        <v>40</v>
      </c>
      <c r="G4224">
        <v>35</v>
      </c>
      <c r="H4224">
        <v>30</v>
      </c>
      <c r="I4224" t="str">
        <f t="shared" si="53"/>
        <v>Mini-Mart Convenience Stores|Good</v>
      </c>
      <c r="J4224" t="s">
        <v>1392</v>
      </c>
    </row>
    <row r="4225" spans="2:10">
      <c r="B4225" t="s">
        <v>449</v>
      </c>
      <c r="C4225" t="s">
        <v>44</v>
      </c>
      <c r="F4225">
        <v>35</v>
      </c>
      <c r="G4225">
        <v>30</v>
      </c>
      <c r="H4225">
        <v>25</v>
      </c>
      <c r="I4225" t="str">
        <f t="shared" si="53"/>
        <v>Mini-Mart Convenience Stores|Average</v>
      </c>
      <c r="J4225" t="s">
        <v>1341</v>
      </c>
    </row>
    <row r="4226" spans="2:10">
      <c r="B4226" t="s">
        <v>449</v>
      </c>
      <c r="C4226" t="s">
        <v>226</v>
      </c>
      <c r="F4226">
        <v>35</v>
      </c>
      <c r="G4226">
        <v>30</v>
      </c>
      <c r="H4226">
        <v>25</v>
      </c>
      <c r="I4226" t="str">
        <f t="shared" si="53"/>
        <v>Mini-Mart Convenience Stores|Low Cost</v>
      </c>
      <c r="J4226" t="s">
        <v>1341</v>
      </c>
    </row>
    <row r="4227" spans="2:10">
      <c r="B4227" t="s">
        <v>451</v>
      </c>
      <c r="C4227" t="s">
        <v>231</v>
      </c>
      <c r="F4227">
        <v>40</v>
      </c>
      <c r="G4227">
        <v>35</v>
      </c>
      <c r="H4227">
        <v>35</v>
      </c>
      <c r="I4227" t="str">
        <f t="shared" si="53"/>
        <v>Roadside Markets|Excellent</v>
      </c>
      <c r="J4227" t="s">
        <v>1393</v>
      </c>
    </row>
    <row r="4228" spans="2:10">
      <c r="B4228" t="s">
        <v>451</v>
      </c>
      <c r="C4228" t="s">
        <v>229</v>
      </c>
      <c r="F4228">
        <v>35</v>
      </c>
      <c r="G4228">
        <v>30</v>
      </c>
      <c r="H4228">
        <v>30</v>
      </c>
      <c r="I4228" t="str">
        <f t="shared" si="53"/>
        <v>Roadside Markets|Good</v>
      </c>
      <c r="J4228" t="s">
        <v>1347</v>
      </c>
    </row>
    <row r="4229" spans="2:10">
      <c r="B4229" t="s">
        <v>451</v>
      </c>
      <c r="C4229" t="s">
        <v>44</v>
      </c>
      <c r="F4229">
        <v>30</v>
      </c>
      <c r="G4229">
        <v>25</v>
      </c>
      <c r="H4229">
        <v>25</v>
      </c>
      <c r="I4229" t="str">
        <f t="shared" si="53"/>
        <v>Roadside Markets|Average</v>
      </c>
      <c r="J4229" t="s">
        <v>1345</v>
      </c>
    </row>
    <row r="4230" spans="2:10">
      <c r="B4230" t="s">
        <v>451</v>
      </c>
      <c r="C4230" t="s">
        <v>226</v>
      </c>
      <c r="G4230">
        <v>20</v>
      </c>
      <c r="H4230">
        <v>20</v>
      </c>
      <c r="I4230" t="str">
        <f t="shared" si="53"/>
        <v>Roadside Markets|Low Cost</v>
      </c>
      <c r="J4230" t="s">
        <v>1349</v>
      </c>
    </row>
    <row r="4231" spans="2:10">
      <c r="B4231" t="s">
        <v>451</v>
      </c>
      <c r="C4231" t="s">
        <v>314</v>
      </c>
      <c r="G4231">
        <v>15</v>
      </c>
      <c r="I4231" t="str">
        <f t="shared" si="53"/>
        <v>Roadside Markets|Cheap</v>
      </c>
      <c r="J4231" t="s">
        <v>1356</v>
      </c>
    </row>
    <row r="4232" spans="2:10">
      <c r="B4232" t="s">
        <v>454</v>
      </c>
      <c r="C4232" t="s">
        <v>229</v>
      </c>
      <c r="D4232">
        <v>60</v>
      </c>
      <c r="E4232">
        <v>60</v>
      </c>
      <c r="F4232">
        <v>55</v>
      </c>
      <c r="G4232">
        <v>50</v>
      </c>
      <c r="I4232" t="str">
        <f t="shared" si="53"/>
        <v>Luxury Boutiques|Good</v>
      </c>
      <c r="J4232" t="s">
        <v>1394</v>
      </c>
    </row>
    <row r="4233" spans="2:10">
      <c r="B4233" t="s">
        <v>454</v>
      </c>
      <c r="C4233" t="s">
        <v>44</v>
      </c>
      <c r="D4233">
        <v>55</v>
      </c>
      <c r="E4233">
        <v>55</v>
      </c>
      <c r="F4233">
        <v>50</v>
      </c>
      <c r="G4233">
        <v>45</v>
      </c>
      <c r="I4233" t="str">
        <f t="shared" si="53"/>
        <v>Luxury Boutiques|Average</v>
      </c>
      <c r="J4233" t="s">
        <v>1341</v>
      </c>
    </row>
    <row r="4234" spans="2:10">
      <c r="B4234" t="s">
        <v>454</v>
      </c>
      <c r="C4234" t="s">
        <v>226</v>
      </c>
      <c r="D4234">
        <v>55</v>
      </c>
      <c r="E4234">
        <v>55</v>
      </c>
      <c r="F4234">
        <v>50</v>
      </c>
      <c r="G4234">
        <v>45</v>
      </c>
      <c r="I4234" t="str">
        <f t="shared" si="53"/>
        <v>Luxury Boutiques|Low Cost</v>
      </c>
      <c r="J4234" t="s">
        <v>1341</v>
      </c>
    </row>
    <row r="4235" spans="2:10">
      <c r="B4235" t="s">
        <v>457</v>
      </c>
      <c r="C4235" t="s">
        <v>231</v>
      </c>
      <c r="F4235">
        <v>50</v>
      </c>
      <c r="G4235">
        <v>45</v>
      </c>
      <c r="I4235" t="str">
        <f t="shared" si="53"/>
        <v>Winery (Tasting – Display) Shops|Excellent</v>
      </c>
      <c r="J4235" t="s">
        <v>1395</v>
      </c>
    </row>
    <row r="4236" spans="2:10">
      <c r="B4236" t="s">
        <v>457</v>
      </c>
      <c r="C4236" t="s">
        <v>229</v>
      </c>
      <c r="F4236">
        <v>45</v>
      </c>
      <c r="G4236">
        <v>40</v>
      </c>
      <c r="I4236" t="str">
        <f t="shared" si="53"/>
        <v>Winery (Tasting – Display) Shops|Good</v>
      </c>
      <c r="J4236" t="s">
        <v>1347</v>
      </c>
    </row>
    <row r="4237" spans="2:10">
      <c r="B4237" t="s">
        <v>457</v>
      </c>
      <c r="C4237" t="s">
        <v>44</v>
      </c>
      <c r="F4237">
        <v>40</v>
      </c>
      <c r="G4237">
        <v>35</v>
      </c>
      <c r="H4237">
        <v>35</v>
      </c>
      <c r="I4237" t="str">
        <f t="shared" si="53"/>
        <v>Winery (Tasting – Display) Shops|Average</v>
      </c>
      <c r="J4237" t="s">
        <v>1345</v>
      </c>
    </row>
    <row r="4238" spans="2:10">
      <c r="B4238" t="s">
        <v>457</v>
      </c>
      <c r="C4238" t="s">
        <v>226</v>
      </c>
      <c r="F4238">
        <v>35</v>
      </c>
      <c r="G4238">
        <v>30</v>
      </c>
      <c r="H4238">
        <v>30</v>
      </c>
      <c r="I4238" t="str">
        <f t="shared" si="53"/>
        <v>Winery (Tasting – Display) Shops|Low Cost</v>
      </c>
      <c r="J4238" t="s">
        <v>1349</v>
      </c>
    </row>
    <row r="4239" spans="2:10">
      <c r="B4239" t="s">
        <v>459</v>
      </c>
      <c r="C4239" t="s">
        <v>44</v>
      </c>
      <c r="D4239">
        <v>40</v>
      </c>
      <c r="E4239">
        <v>40</v>
      </c>
      <c r="F4239">
        <v>35</v>
      </c>
      <c r="G4239">
        <v>30</v>
      </c>
      <c r="H4239">
        <v>30</v>
      </c>
      <c r="I4239" t="str">
        <f t="shared" si="53"/>
        <v>Barber Shops/Beauty Salons|Average</v>
      </c>
      <c r="J4239" t="s">
        <v>1341</v>
      </c>
    </row>
    <row r="4240" spans="2:10">
      <c r="B4240" t="s">
        <v>459</v>
      </c>
      <c r="C4240" t="s">
        <v>229</v>
      </c>
      <c r="D4240">
        <v>45</v>
      </c>
      <c r="E4240">
        <v>45</v>
      </c>
      <c r="F4240">
        <v>40</v>
      </c>
      <c r="G4240">
        <v>35</v>
      </c>
      <c r="H4240">
        <v>35</v>
      </c>
      <c r="I4240" t="str">
        <f t="shared" si="53"/>
        <v>Barber Shops/Beauty Salons|Good</v>
      </c>
      <c r="J4240" t="s">
        <v>1396</v>
      </c>
    </row>
    <row r="4241" spans="2:10">
      <c r="B4241" t="s">
        <v>462</v>
      </c>
      <c r="C4241" t="s">
        <v>44</v>
      </c>
      <c r="F4241">
        <v>35</v>
      </c>
      <c r="G4241">
        <v>30</v>
      </c>
      <c r="H4241">
        <v>30</v>
      </c>
      <c r="I4241" t="str">
        <f t="shared" si="53"/>
        <v>Laundromats|Average</v>
      </c>
      <c r="J4241" t="s">
        <v>1397</v>
      </c>
    </row>
    <row r="4242" spans="2:10">
      <c r="B4242" t="s">
        <v>464</v>
      </c>
      <c r="C4242" t="s">
        <v>229</v>
      </c>
      <c r="F4242">
        <v>45</v>
      </c>
      <c r="G4242">
        <v>40</v>
      </c>
      <c r="H4242">
        <v>40</v>
      </c>
      <c r="I4242" t="str">
        <f t="shared" si="53"/>
        <v>Laundry/Dry Cleaning|Good</v>
      </c>
      <c r="J4242" t="s">
        <v>1398</v>
      </c>
    </row>
    <row r="4243" spans="2:10">
      <c r="B4243" t="s">
        <v>464</v>
      </c>
      <c r="C4243" t="s">
        <v>44</v>
      </c>
      <c r="F4243">
        <v>40</v>
      </c>
      <c r="G4243">
        <v>35</v>
      </c>
      <c r="H4243">
        <v>35</v>
      </c>
      <c r="I4243" t="str">
        <f t="shared" si="53"/>
        <v>Laundry/Dry Cleaning|Average</v>
      </c>
      <c r="J4243" t="s">
        <v>1345</v>
      </c>
    </row>
    <row r="4244" spans="2:10">
      <c r="B4244" t="s">
        <v>466</v>
      </c>
      <c r="C4244" t="s">
        <v>44</v>
      </c>
      <c r="F4244">
        <v>35</v>
      </c>
      <c r="G4244">
        <v>30</v>
      </c>
      <c r="H4244">
        <v>30</v>
      </c>
      <c r="I4244" t="str">
        <f t="shared" si="53"/>
        <v>Dairy Sales|Average</v>
      </c>
      <c r="J4244" t="s">
        <v>1399</v>
      </c>
    </row>
    <row r="4245" spans="2:10">
      <c r="B4245" t="s">
        <v>468</v>
      </c>
      <c r="C4245" t="s">
        <v>231</v>
      </c>
      <c r="D4245">
        <v>55</v>
      </c>
      <c r="E4245">
        <v>55</v>
      </c>
      <c r="F4245">
        <v>50</v>
      </c>
      <c r="G4245">
        <v>45</v>
      </c>
      <c r="H4245">
        <v>45</v>
      </c>
      <c r="I4245" t="str">
        <f t="shared" si="53"/>
        <v>Retail Stores|Excellent</v>
      </c>
      <c r="J4245" t="s">
        <v>1400</v>
      </c>
    </row>
    <row r="4246" spans="2:10">
      <c r="B4246" t="s">
        <v>468</v>
      </c>
      <c r="C4246" t="s">
        <v>229</v>
      </c>
      <c r="D4246">
        <v>55</v>
      </c>
      <c r="E4246">
        <v>55</v>
      </c>
      <c r="F4246">
        <v>50</v>
      </c>
      <c r="G4246">
        <v>45</v>
      </c>
      <c r="H4246">
        <v>45</v>
      </c>
      <c r="I4246" t="str">
        <f t="shared" si="53"/>
        <v>Retail Stores|Good</v>
      </c>
      <c r="J4246" t="s">
        <v>1400</v>
      </c>
    </row>
    <row r="4247" spans="2:10">
      <c r="B4247" t="s">
        <v>468</v>
      </c>
      <c r="C4247" t="s">
        <v>44</v>
      </c>
      <c r="D4247">
        <v>50</v>
      </c>
      <c r="E4247">
        <v>50</v>
      </c>
      <c r="F4247">
        <v>45</v>
      </c>
      <c r="G4247">
        <v>40</v>
      </c>
      <c r="H4247">
        <v>40</v>
      </c>
      <c r="I4247" t="str">
        <f t="shared" si="53"/>
        <v>Retail Stores|Average</v>
      </c>
      <c r="J4247" t="s">
        <v>1345</v>
      </c>
    </row>
    <row r="4248" spans="2:10">
      <c r="B4248" t="s">
        <v>468</v>
      </c>
      <c r="C4248" t="s">
        <v>226</v>
      </c>
      <c r="D4248">
        <v>45</v>
      </c>
      <c r="E4248">
        <v>45</v>
      </c>
      <c r="F4248">
        <v>40</v>
      </c>
      <c r="G4248">
        <v>40</v>
      </c>
      <c r="H4248">
        <v>40</v>
      </c>
      <c r="I4248" t="str">
        <f t="shared" si="53"/>
        <v>Retail Stores|Low Cost</v>
      </c>
      <c r="J4248" t="s">
        <v>1349</v>
      </c>
    </row>
    <row r="4249" spans="2:10">
      <c r="B4249" t="s">
        <v>471</v>
      </c>
      <c r="C4249" t="s">
        <v>231</v>
      </c>
      <c r="D4249">
        <v>55</v>
      </c>
      <c r="E4249">
        <v>55</v>
      </c>
      <c r="F4249">
        <v>50</v>
      </c>
      <c r="I4249" t="str">
        <f t="shared" si="53"/>
        <v>Department Stores|Excellent</v>
      </c>
      <c r="J4249" t="s">
        <v>1401</v>
      </c>
    </row>
    <row r="4250" spans="2:10">
      <c r="B4250" t="s">
        <v>471</v>
      </c>
      <c r="C4250" t="s">
        <v>229</v>
      </c>
      <c r="D4250">
        <v>55</v>
      </c>
      <c r="E4250">
        <v>55</v>
      </c>
      <c r="F4250">
        <v>50</v>
      </c>
      <c r="I4250" t="str">
        <f t="shared" si="53"/>
        <v>Department Stores|Good</v>
      </c>
      <c r="J4250" t="s">
        <v>1401</v>
      </c>
    </row>
    <row r="4251" spans="2:10">
      <c r="B4251" t="s">
        <v>471</v>
      </c>
      <c r="C4251" t="s">
        <v>44</v>
      </c>
      <c r="D4251">
        <v>50</v>
      </c>
      <c r="E4251">
        <v>50</v>
      </c>
      <c r="F4251">
        <v>45</v>
      </c>
      <c r="I4251" t="str">
        <f t="shared" si="53"/>
        <v>Department Stores|Average</v>
      </c>
      <c r="J4251" t="s">
        <v>1341</v>
      </c>
    </row>
    <row r="4252" spans="2:10">
      <c r="B4252" t="s">
        <v>474</v>
      </c>
      <c r="C4252" t="s">
        <v>229</v>
      </c>
      <c r="D4252">
        <v>50</v>
      </c>
      <c r="E4252">
        <v>50</v>
      </c>
      <c r="F4252">
        <v>45</v>
      </c>
      <c r="G4252">
        <v>40</v>
      </c>
      <c r="I4252" t="str">
        <f t="shared" si="53"/>
        <v>Mall Anchor (Department/Big Box) Stores|Good</v>
      </c>
      <c r="J4252" t="s">
        <v>1402</v>
      </c>
    </row>
    <row r="4253" spans="2:10">
      <c r="B4253" t="s">
        <v>474</v>
      </c>
      <c r="C4253" t="s">
        <v>44</v>
      </c>
      <c r="D4253">
        <v>50</v>
      </c>
      <c r="E4253">
        <v>50</v>
      </c>
      <c r="F4253">
        <v>45</v>
      </c>
      <c r="G4253">
        <v>40</v>
      </c>
      <c r="I4253" t="str">
        <f t="shared" si="53"/>
        <v>Mall Anchor (Department/Big Box) Stores|Average</v>
      </c>
      <c r="J4253" t="s">
        <v>1402</v>
      </c>
    </row>
    <row r="4254" spans="2:10">
      <c r="B4254" t="s">
        <v>474</v>
      </c>
      <c r="C4254" t="s">
        <v>226</v>
      </c>
      <c r="D4254">
        <v>45</v>
      </c>
      <c r="E4254">
        <v>45</v>
      </c>
      <c r="F4254">
        <v>40</v>
      </c>
      <c r="G4254">
        <v>35</v>
      </c>
      <c r="H4254">
        <v>35</v>
      </c>
      <c r="I4254" t="str">
        <f t="shared" si="53"/>
        <v>Mall Anchor (Department/Big Box) Stores|Low Cost</v>
      </c>
      <c r="J4254" t="s">
        <v>1349</v>
      </c>
    </row>
    <row r="4255" spans="2:10">
      <c r="B4255" t="s">
        <v>476</v>
      </c>
      <c r="C4255" t="s">
        <v>44</v>
      </c>
      <c r="D4255">
        <v>40</v>
      </c>
      <c r="E4255">
        <v>40</v>
      </c>
      <c r="F4255">
        <v>35</v>
      </c>
      <c r="G4255">
        <v>30</v>
      </c>
      <c r="H4255">
        <v>30</v>
      </c>
      <c r="I4255" t="str">
        <f t="shared" si="53"/>
        <v>Discount Stores|Average</v>
      </c>
      <c r="J4255" t="s">
        <v>1341</v>
      </c>
    </row>
    <row r="4256" spans="2:10">
      <c r="B4256" t="s">
        <v>476</v>
      </c>
      <c r="C4256" t="s">
        <v>229</v>
      </c>
      <c r="F4256">
        <v>40</v>
      </c>
      <c r="G4256">
        <v>35</v>
      </c>
      <c r="H4256">
        <v>35</v>
      </c>
      <c r="I4256" t="str">
        <f t="shared" si="53"/>
        <v>Discount Stores|Good</v>
      </c>
      <c r="J4256" t="s">
        <v>1403</v>
      </c>
    </row>
    <row r="4257" spans="2:10">
      <c r="B4257" t="s">
        <v>476</v>
      </c>
      <c r="C4257" t="s">
        <v>226</v>
      </c>
      <c r="D4257">
        <v>40</v>
      </c>
      <c r="E4257">
        <v>40</v>
      </c>
      <c r="F4257">
        <v>35</v>
      </c>
      <c r="G4257">
        <v>30</v>
      </c>
      <c r="H4257">
        <v>30</v>
      </c>
      <c r="I4257" t="str">
        <f t="shared" si="53"/>
        <v>Discount Stores|Low Cost</v>
      </c>
      <c r="J4257" t="s">
        <v>1341</v>
      </c>
    </row>
    <row r="4258" spans="2:10">
      <c r="B4258" t="s">
        <v>479</v>
      </c>
      <c r="C4258" t="s">
        <v>229</v>
      </c>
      <c r="F4258">
        <v>35</v>
      </c>
      <c r="G4258">
        <v>30</v>
      </c>
      <c r="H4258">
        <v>30</v>
      </c>
      <c r="I4258" t="str">
        <f t="shared" si="53"/>
        <v>Warehouse Discount Stores|Good</v>
      </c>
      <c r="J4258" t="s">
        <v>1404</v>
      </c>
    </row>
    <row r="4259" spans="2:10">
      <c r="B4259" t="s">
        <v>479</v>
      </c>
      <c r="C4259" t="s">
        <v>44</v>
      </c>
      <c r="F4259">
        <v>30</v>
      </c>
      <c r="G4259">
        <v>30</v>
      </c>
      <c r="H4259">
        <v>30</v>
      </c>
      <c r="I4259" t="str">
        <f t="shared" si="53"/>
        <v>Warehouse Discount Stores|Average</v>
      </c>
      <c r="J4259" t="s">
        <v>1341</v>
      </c>
    </row>
    <row r="4260" spans="2:10">
      <c r="B4260" t="s">
        <v>479</v>
      </c>
      <c r="C4260" t="s">
        <v>226</v>
      </c>
      <c r="F4260">
        <v>30</v>
      </c>
      <c r="G4260">
        <v>30</v>
      </c>
      <c r="H4260">
        <v>30</v>
      </c>
      <c r="I4260" t="str">
        <f t="shared" si="53"/>
        <v>Warehouse Discount Stores|Low Cost</v>
      </c>
      <c r="J4260" t="s">
        <v>1341</v>
      </c>
    </row>
    <row r="4261" spans="2:10">
      <c r="B4261" t="s">
        <v>481</v>
      </c>
      <c r="C4261" t="s">
        <v>229</v>
      </c>
      <c r="F4261">
        <v>40</v>
      </c>
      <c r="G4261">
        <v>35</v>
      </c>
      <c r="H4261">
        <v>35</v>
      </c>
      <c r="I4261" t="str">
        <f t="shared" si="53"/>
        <v>Warehouse Showroom Stores|Good</v>
      </c>
      <c r="J4261" t="s">
        <v>1405</v>
      </c>
    </row>
    <row r="4262" spans="2:10">
      <c r="B4262" t="s">
        <v>481</v>
      </c>
      <c r="C4262" t="s">
        <v>44</v>
      </c>
      <c r="F4262">
        <v>35</v>
      </c>
      <c r="G4262">
        <v>30</v>
      </c>
      <c r="H4262">
        <v>30</v>
      </c>
      <c r="I4262" t="str">
        <f t="shared" si="53"/>
        <v>Warehouse Showroom Stores|Average</v>
      </c>
      <c r="J4262" t="s">
        <v>1341</v>
      </c>
    </row>
    <row r="4263" spans="2:10">
      <c r="B4263" t="s">
        <v>481</v>
      </c>
      <c r="C4263" t="s">
        <v>226</v>
      </c>
      <c r="F4263">
        <v>35</v>
      </c>
      <c r="G4263">
        <v>30</v>
      </c>
      <c r="H4263">
        <v>30</v>
      </c>
      <c r="I4263" t="str">
        <f t="shared" si="53"/>
        <v>Warehouse Showroom Stores|Low Cost</v>
      </c>
      <c r="J4263" t="s">
        <v>1341</v>
      </c>
    </row>
    <row r="4264" spans="2:10">
      <c r="B4264" t="s">
        <v>484</v>
      </c>
      <c r="C4264" t="s">
        <v>229</v>
      </c>
      <c r="F4264">
        <v>40</v>
      </c>
      <c r="G4264">
        <v>35</v>
      </c>
      <c r="H4264">
        <v>35</v>
      </c>
      <c r="I4264" t="str">
        <f t="shared" si="53"/>
        <v>Warehouse Food Stores|Good</v>
      </c>
      <c r="J4264" t="s">
        <v>1406</v>
      </c>
    </row>
    <row r="4265" spans="2:10">
      <c r="B4265" t="s">
        <v>484</v>
      </c>
      <c r="C4265" t="s">
        <v>44</v>
      </c>
      <c r="F4265">
        <v>35</v>
      </c>
      <c r="G4265">
        <v>30</v>
      </c>
      <c r="H4265">
        <v>30</v>
      </c>
      <c r="I4265" t="str">
        <f t="shared" si="53"/>
        <v>Warehouse Food Stores|Average</v>
      </c>
      <c r="J4265" t="s">
        <v>1345</v>
      </c>
    </row>
    <row r="4266" spans="2:10">
      <c r="B4266" t="s">
        <v>484</v>
      </c>
      <c r="C4266" t="s">
        <v>226</v>
      </c>
      <c r="F4266">
        <v>30</v>
      </c>
      <c r="G4266">
        <v>30</v>
      </c>
      <c r="H4266">
        <v>30</v>
      </c>
      <c r="I4266" t="str">
        <f t="shared" si="53"/>
        <v>Warehouse Food Stores|Low Cost</v>
      </c>
      <c r="J4266" t="s">
        <v>1349</v>
      </c>
    </row>
    <row r="4267" spans="2:10">
      <c r="B4267" t="s">
        <v>486</v>
      </c>
      <c r="C4267" t="s">
        <v>229</v>
      </c>
      <c r="F4267">
        <v>35</v>
      </c>
      <c r="H4267">
        <v>30</v>
      </c>
      <c r="I4267" t="str">
        <f t="shared" si="53"/>
        <v>Mega Warehouse Stores|Good</v>
      </c>
      <c r="J4267" t="s">
        <v>1407</v>
      </c>
    </row>
    <row r="4268" spans="2:10">
      <c r="B4268" t="s">
        <v>486</v>
      </c>
      <c r="C4268" t="s">
        <v>44</v>
      </c>
      <c r="F4268">
        <v>35</v>
      </c>
      <c r="H4268">
        <v>30</v>
      </c>
      <c r="I4268" t="str">
        <f t="shared" si="53"/>
        <v>Mega Warehouse Stores|Average</v>
      </c>
      <c r="J4268" t="s">
        <v>1407</v>
      </c>
    </row>
    <row r="4269" spans="2:10">
      <c r="B4269" t="s">
        <v>486</v>
      </c>
      <c r="C4269" t="s">
        <v>226</v>
      </c>
      <c r="F4269">
        <v>30</v>
      </c>
      <c r="H4269">
        <v>30</v>
      </c>
      <c r="I4269" t="str">
        <f t="shared" si="53"/>
        <v>Mega Warehouse Stores|Low Cost</v>
      </c>
      <c r="J4269" t="s">
        <v>1349</v>
      </c>
    </row>
    <row r="4270" spans="2:10">
      <c r="B4270" t="s">
        <v>489</v>
      </c>
      <c r="C4270" t="s">
        <v>229</v>
      </c>
      <c r="F4270">
        <v>45</v>
      </c>
      <c r="G4270">
        <v>40</v>
      </c>
      <c r="I4270" t="str">
        <f t="shared" si="53"/>
        <v>Neighborhood Shopping Centers|Good</v>
      </c>
      <c r="J4270" t="s">
        <v>1408</v>
      </c>
    </row>
    <row r="4271" spans="2:10">
      <c r="B4271" t="s">
        <v>489</v>
      </c>
      <c r="C4271" t="s">
        <v>44</v>
      </c>
      <c r="F4271">
        <v>40</v>
      </c>
      <c r="G4271">
        <v>35</v>
      </c>
      <c r="H4271">
        <v>35</v>
      </c>
      <c r="I4271" t="str">
        <f t="shared" si="53"/>
        <v>Neighborhood Shopping Centers|Average</v>
      </c>
      <c r="J4271" t="s">
        <v>1345</v>
      </c>
    </row>
    <row r="4272" spans="2:10">
      <c r="B4272" t="s">
        <v>489</v>
      </c>
      <c r="C4272" t="s">
        <v>226</v>
      </c>
      <c r="F4272">
        <v>35</v>
      </c>
      <c r="G4272">
        <v>30</v>
      </c>
      <c r="H4272">
        <v>30</v>
      </c>
      <c r="I4272" t="str">
        <f t="shared" si="53"/>
        <v>Neighborhood Shopping Centers|Low Cost</v>
      </c>
      <c r="J4272" t="s">
        <v>1349</v>
      </c>
    </row>
    <row r="4273" spans="2:10">
      <c r="B4273" t="s">
        <v>492</v>
      </c>
      <c r="C4273" t="s">
        <v>229</v>
      </c>
      <c r="F4273">
        <v>50</v>
      </c>
      <c r="G4273">
        <v>45</v>
      </c>
      <c r="I4273" t="str">
        <f t="shared" si="53"/>
        <v>Mixed Retail Centers with Residential Units|Good</v>
      </c>
      <c r="J4273" t="s">
        <v>1409</v>
      </c>
    </row>
    <row r="4274" spans="2:10">
      <c r="B4274" t="s">
        <v>492</v>
      </c>
      <c r="C4274" t="s">
        <v>44</v>
      </c>
      <c r="F4274">
        <v>45</v>
      </c>
      <c r="G4274">
        <v>40</v>
      </c>
      <c r="I4274" t="str">
        <f t="shared" si="53"/>
        <v>Mixed Retail Centers with Residential Units|Average</v>
      </c>
      <c r="J4274" t="s">
        <v>1341</v>
      </c>
    </row>
    <row r="4275" spans="2:10">
      <c r="B4275" t="s">
        <v>492</v>
      </c>
      <c r="C4275" t="s">
        <v>226</v>
      </c>
      <c r="F4275">
        <v>45</v>
      </c>
      <c r="G4275">
        <v>40</v>
      </c>
      <c r="I4275" t="str">
        <f t="shared" si="53"/>
        <v>Mixed Retail Centers with Residential Units|Low Cost</v>
      </c>
      <c r="J4275" t="s">
        <v>1341</v>
      </c>
    </row>
    <row r="4276" spans="2:10">
      <c r="B4276" t="s">
        <v>494</v>
      </c>
      <c r="C4276" t="s">
        <v>229</v>
      </c>
      <c r="F4276">
        <v>50</v>
      </c>
      <c r="G4276">
        <v>45</v>
      </c>
      <c r="I4276" t="str">
        <f t="shared" si="53"/>
        <v>Mixed Retail Centers with Office Units|Good</v>
      </c>
      <c r="J4276" t="s">
        <v>1409</v>
      </c>
    </row>
    <row r="4277" spans="2:10">
      <c r="B4277" t="s">
        <v>494</v>
      </c>
      <c r="C4277" t="s">
        <v>44</v>
      </c>
      <c r="F4277">
        <v>45</v>
      </c>
      <c r="G4277">
        <v>40</v>
      </c>
      <c r="I4277" t="str">
        <f t="shared" si="53"/>
        <v>Mixed Retail Centers with Office Units|Average</v>
      </c>
      <c r="J4277" t="s">
        <v>1341</v>
      </c>
    </row>
    <row r="4278" spans="2:10">
      <c r="B4278" t="s">
        <v>494</v>
      </c>
      <c r="C4278" t="s">
        <v>226</v>
      </c>
      <c r="F4278">
        <v>45</v>
      </c>
      <c r="G4278">
        <v>40</v>
      </c>
      <c r="I4278" t="str">
        <f t="shared" si="53"/>
        <v>Mixed Retail Centers with Office Units|Low Cost</v>
      </c>
      <c r="J4278" t="s">
        <v>1341</v>
      </c>
    </row>
    <row r="4279" spans="2:10">
      <c r="B4279" t="s">
        <v>497</v>
      </c>
      <c r="C4279" t="s">
        <v>231</v>
      </c>
      <c r="F4279">
        <v>50</v>
      </c>
      <c r="G4279">
        <v>45</v>
      </c>
      <c r="H4279">
        <v>45</v>
      </c>
      <c r="I4279" t="str">
        <f t="shared" si="53"/>
        <v>Community Shopping Centers|Excellent</v>
      </c>
      <c r="J4279" t="s">
        <v>1410</v>
      </c>
    </row>
    <row r="4280" spans="2:10">
      <c r="B4280" t="s">
        <v>497</v>
      </c>
      <c r="C4280" t="s">
        <v>229</v>
      </c>
      <c r="F4280">
        <v>50</v>
      </c>
      <c r="G4280">
        <v>45</v>
      </c>
      <c r="H4280">
        <v>45</v>
      </c>
      <c r="I4280" t="str">
        <f t="shared" ref="I4280:I4343" si="54">B4280&amp;"|"&amp;C4280</f>
        <v>Community Shopping Centers|Good</v>
      </c>
      <c r="J4280" t="s">
        <v>1410</v>
      </c>
    </row>
    <row r="4281" spans="2:10">
      <c r="B4281" t="s">
        <v>497</v>
      </c>
      <c r="C4281" t="s">
        <v>44</v>
      </c>
      <c r="F4281">
        <v>45</v>
      </c>
      <c r="G4281">
        <v>40</v>
      </c>
      <c r="H4281">
        <v>40</v>
      </c>
      <c r="I4281" t="str">
        <f t="shared" si="54"/>
        <v>Community Shopping Centers|Average</v>
      </c>
      <c r="J4281" t="s">
        <v>1345</v>
      </c>
    </row>
    <row r="4282" spans="2:10">
      <c r="B4282" t="s">
        <v>497</v>
      </c>
      <c r="C4282" t="s">
        <v>226</v>
      </c>
      <c r="F4282">
        <v>45</v>
      </c>
      <c r="G4282">
        <v>40</v>
      </c>
      <c r="H4282">
        <v>40</v>
      </c>
      <c r="I4282" t="str">
        <f t="shared" si="54"/>
        <v>Community Shopping Centers|Low Cost</v>
      </c>
      <c r="J4282" t="s">
        <v>1345</v>
      </c>
    </row>
    <row r="4283" spans="2:10">
      <c r="B4283" t="s">
        <v>499</v>
      </c>
      <c r="C4283" t="s">
        <v>229</v>
      </c>
      <c r="D4283">
        <v>50</v>
      </c>
      <c r="E4283">
        <v>50</v>
      </c>
      <c r="F4283">
        <v>50</v>
      </c>
      <c r="G4283">
        <v>45</v>
      </c>
      <c r="I4283" t="str">
        <f t="shared" si="54"/>
        <v>Regional Discount Shopping Centers|Good</v>
      </c>
      <c r="J4283" t="s">
        <v>1411</v>
      </c>
    </row>
    <row r="4284" spans="2:10">
      <c r="B4284" t="s">
        <v>499</v>
      </c>
      <c r="C4284" t="s">
        <v>44</v>
      </c>
      <c r="D4284">
        <v>45</v>
      </c>
      <c r="E4284">
        <v>45</v>
      </c>
      <c r="F4284">
        <v>45</v>
      </c>
      <c r="G4284">
        <v>40</v>
      </c>
      <c r="H4284">
        <v>40</v>
      </c>
      <c r="I4284" t="str">
        <f t="shared" si="54"/>
        <v>Regional Discount Shopping Centers|Average</v>
      </c>
      <c r="J4284" t="s">
        <v>1345</v>
      </c>
    </row>
    <row r="4285" spans="2:10">
      <c r="B4285" t="s">
        <v>499</v>
      </c>
      <c r="C4285" t="s">
        <v>231</v>
      </c>
      <c r="D4285">
        <v>50</v>
      </c>
      <c r="E4285">
        <v>50</v>
      </c>
      <c r="F4285">
        <v>50</v>
      </c>
      <c r="G4285">
        <v>45</v>
      </c>
      <c r="I4285" t="str">
        <f t="shared" si="54"/>
        <v>Regional Discount Shopping Centers|Excellent</v>
      </c>
      <c r="J4285" t="s">
        <v>1411</v>
      </c>
    </row>
    <row r="4286" spans="2:10">
      <c r="B4286" t="s">
        <v>503</v>
      </c>
      <c r="C4286" t="s">
        <v>231</v>
      </c>
      <c r="D4286">
        <v>55</v>
      </c>
      <c r="E4286">
        <v>55</v>
      </c>
      <c r="F4286">
        <v>55</v>
      </c>
      <c r="G4286">
        <v>50</v>
      </c>
      <c r="I4286" t="str">
        <f t="shared" si="54"/>
        <v>Regional Shopping Centers|Excellent</v>
      </c>
      <c r="J4286" t="s">
        <v>1412</v>
      </c>
    </row>
    <row r="4287" spans="2:10">
      <c r="B4287" t="s">
        <v>503</v>
      </c>
      <c r="C4287" t="s">
        <v>229</v>
      </c>
      <c r="D4287">
        <v>55</v>
      </c>
      <c r="E4287">
        <v>55</v>
      </c>
      <c r="F4287">
        <v>55</v>
      </c>
      <c r="G4287">
        <v>50</v>
      </c>
      <c r="I4287" t="str">
        <f t="shared" si="54"/>
        <v>Regional Shopping Centers|Good</v>
      </c>
      <c r="J4287" t="s">
        <v>1412</v>
      </c>
    </row>
    <row r="4288" spans="2:10">
      <c r="B4288" t="s">
        <v>503</v>
      </c>
      <c r="C4288" t="s">
        <v>44</v>
      </c>
      <c r="F4288">
        <v>50</v>
      </c>
      <c r="G4288">
        <v>45</v>
      </c>
      <c r="H4288">
        <v>45</v>
      </c>
      <c r="I4288" t="str">
        <f t="shared" si="54"/>
        <v>Regional Shopping Centers|Average</v>
      </c>
      <c r="J4288" t="s">
        <v>1345</v>
      </c>
    </row>
    <row r="4289" spans="2:10">
      <c r="B4289" t="s">
        <v>505</v>
      </c>
      <c r="C4289" t="s">
        <v>231</v>
      </c>
      <c r="D4289">
        <v>55</v>
      </c>
      <c r="E4289">
        <v>55</v>
      </c>
      <c r="F4289">
        <v>55</v>
      </c>
      <c r="G4289">
        <v>50</v>
      </c>
      <c r="I4289" t="str">
        <f t="shared" si="54"/>
        <v>Regional Shopping Center Shell Buildings|Excellent</v>
      </c>
      <c r="J4289" t="s">
        <v>1412</v>
      </c>
    </row>
    <row r="4290" spans="2:10">
      <c r="B4290" t="s">
        <v>505</v>
      </c>
      <c r="C4290" t="s">
        <v>229</v>
      </c>
      <c r="D4290">
        <v>55</v>
      </c>
      <c r="E4290">
        <v>55</v>
      </c>
      <c r="F4290">
        <v>55</v>
      </c>
      <c r="G4290">
        <v>50</v>
      </c>
      <c r="I4290" t="str">
        <f t="shared" si="54"/>
        <v>Regional Shopping Center Shell Buildings|Good</v>
      </c>
      <c r="J4290" t="s">
        <v>1412</v>
      </c>
    </row>
    <row r="4291" spans="2:10">
      <c r="B4291" t="s">
        <v>505</v>
      </c>
      <c r="C4291" t="s">
        <v>44</v>
      </c>
      <c r="F4291">
        <v>50</v>
      </c>
      <c r="G4291">
        <v>45</v>
      </c>
      <c r="H4291">
        <v>45</v>
      </c>
      <c r="I4291" t="str">
        <f t="shared" si="54"/>
        <v>Regional Shopping Center Shell Buildings|Average</v>
      </c>
      <c r="J4291" t="s">
        <v>1345</v>
      </c>
    </row>
    <row r="4292" spans="2:10">
      <c r="B4292" t="s">
        <v>509</v>
      </c>
      <c r="C4292" t="s">
        <v>231</v>
      </c>
      <c r="F4292">
        <v>50</v>
      </c>
      <c r="G4292">
        <v>45</v>
      </c>
      <c r="H4292">
        <v>45</v>
      </c>
      <c r="I4292" t="str">
        <f t="shared" si="54"/>
        <v>Community Shopping Center Shell Buildings|Excellent</v>
      </c>
      <c r="J4292" t="s">
        <v>1410</v>
      </c>
    </row>
    <row r="4293" spans="2:10">
      <c r="B4293" t="s">
        <v>509</v>
      </c>
      <c r="C4293" t="s">
        <v>229</v>
      </c>
      <c r="F4293">
        <v>50</v>
      </c>
      <c r="G4293">
        <v>45</v>
      </c>
      <c r="H4293">
        <v>45</v>
      </c>
      <c r="I4293" t="str">
        <f t="shared" si="54"/>
        <v>Community Shopping Center Shell Buildings|Good</v>
      </c>
      <c r="J4293" t="s">
        <v>1410</v>
      </c>
    </row>
    <row r="4294" spans="2:10">
      <c r="B4294" t="s">
        <v>509</v>
      </c>
      <c r="C4294" t="s">
        <v>44</v>
      </c>
      <c r="F4294">
        <v>45</v>
      </c>
      <c r="G4294">
        <v>40</v>
      </c>
      <c r="H4294">
        <v>40</v>
      </c>
      <c r="I4294" t="str">
        <f t="shared" si="54"/>
        <v>Community Shopping Center Shell Buildings|Average</v>
      </c>
      <c r="J4294" t="s">
        <v>1345</v>
      </c>
    </row>
    <row r="4295" spans="2:10">
      <c r="B4295" t="s">
        <v>511</v>
      </c>
      <c r="C4295" t="s">
        <v>229</v>
      </c>
      <c r="F4295">
        <v>45</v>
      </c>
      <c r="G4295">
        <v>40</v>
      </c>
      <c r="I4295" t="str">
        <f t="shared" si="54"/>
        <v>Neighborhood Shopping Center Shell Buildings|Good</v>
      </c>
      <c r="J4295" t="s">
        <v>1408</v>
      </c>
    </row>
    <row r="4296" spans="2:10">
      <c r="B4296" t="s">
        <v>511</v>
      </c>
      <c r="C4296" t="s">
        <v>44</v>
      </c>
      <c r="F4296">
        <v>40</v>
      </c>
      <c r="G4296">
        <v>35</v>
      </c>
      <c r="H4296">
        <v>35</v>
      </c>
      <c r="I4296" t="str">
        <f t="shared" si="54"/>
        <v>Neighborhood Shopping Center Shell Buildings|Average</v>
      </c>
      <c r="J4296" t="s">
        <v>1345</v>
      </c>
    </row>
    <row r="4297" spans="2:10">
      <c r="B4297" t="s">
        <v>511</v>
      </c>
      <c r="C4297" t="s">
        <v>226</v>
      </c>
      <c r="F4297">
        <v>35</v>
      </c>
      <c r="G4297">
        <v>30</v>
      </c>
      <c r="H4297">
        <v>30</v>
      </c>
      <c r="I4297" t="str">
        <f t="shared" si="54"/>
        <v>Neighborhood Shopping Center Shell Buildings|Low Cost</v>
      </c>
      <c r="J4297" t="s">
        <v>1349</v>
      </c>
    </row>
    <row r="4298" spans="2:10">
      <c r="B4298" t="s">
        <v>511</v>
      </c>
      <c r="C4298" t="s">
        <v>314</v>
      </c>
      <c r="F4298">
        <v>35</v>
      </c>
      <c r="G4298">
        <v>30</v>
      </c>
      <c r="H4298">
        <v>30</v>
      </c>
      <c r="I4298" t="str">
        <f t="shared" si="54"/>
        <v>Neighborhood Shopping Center Shell Buildings|Cheap</v>
      </c>
      <c r="J4298" t="s">
        <v>1349</v>
      </c>
    </row>
    <row r="4299" spans="2:10">
      <c r="B4299" t="s">
        <v>515</v>
      </c>
      <c r="C4299" t="s">
        <v>231</v>
      </c>
      <c r="D4299">
        <v>60</v>
      </c>
      <c r="E4299">
        <v>60</v>
      </c>
      <c r="I4299" t="str">
        <f t="shared" si="54"/>
        <v>Lofts|Excellent</v>
      </c>
      <c r="J4299" t="s">
        <v>1413</v>
      </c>
    </row>
    <row r="4300" spans="2:10">
      <c r="B4300" t="s">
        <v>515</v>
      </c>
      <c r="C4300" t="s">
        <v>229</v>
      </c>
      <c r="D4300">
        <v>55</v>
      </c>
      <c r="E4300">
        <v>55</v>
      </c>
      <c r="F4300">
        <v>50</v>
      </c>
      <c r="G4300">
        <v>40</v>
      </c>
      <c r="H4300">
        <v>40</v>
      </c>
      <c r="I4300" t="str">
        <f t="shared" si="54"/>
        <v>Lofts|Good</v>
      </c>
      <c r="J4300" t="s">
        <v>1360</v>
      </c>
    </row>
    <row r="4301" spans="2:10">
      <c r="B4301" t="s">
        <v>515</v>
      </c>
      <c r="C4301" t="s">
        <v>44</v>
      </c>
      <c r="D4301">
        <v>55</v>
      </c>
      <c r="E4301">
        <v>55</v>
      </c>
      <c r="F4301">
        <v>50</v>
      </c>
      <c r="G4301">
        <v>40</v>
      </c>
      <c r="H4301">
        <v>40</v>
      </c>
      <c r="I4301" t="str">
        <f t="shared" si="54"/>
        <v>Lofts|Average</v>
      </c>
      <c r="J4301" t="s">
        <v>1360</v>
      </c>
    </row>
    <row r="4302" spans="2:10">
      <c r="B4302" t="s">
        <v>515</v>
      </c>
      <c r="C4302" t="s">
        <v>226</v>
      </c>
      <c r="D4302">
        <v>50</v>
      </c>
      <c r="E4302">
        <v>50</v>
      </c>
      <c r="F4302">
        <v>40</v>
      </c>
      <c r="G4302">
        <v>35</v>
      </c>
      <c r="I4302" t="str">
        <f t="shared" si="54"/>
        <v>Lofts|Low Cost</v>
      </c>
      <c r="J4302" t="s">
        <v>1349</v>
      </c>
    </row>
    <row r="4303" spans="2:10">
      <c r="B4303" t="s">
        <v>518</v>
      </c>
      <c r="C4303" t="s">
        <v>229</v>
      </c>
      <c r="F4303">
        <v>50</v>
      </c>
      <c r="G4303">
        <v>40</v>
      </c>
      <c r="H4303">
        <v>40</v>
      </c>
      <c r="I4303" t="str">
        <f t="shared" si="54"/>
        <v>Industrial Flex (Mall) Buildings|Good</v>
      </c>
      <c r="J4303" t="s">
        <v>1414</v>
      </c>
    </row>
    <row r="4304" spans="2:10">
      <c r="B4304" t="s">
        <v>518</v>
      </c>
      <c r="C4304" t="s">
        <v>44</v>
      </c>
      <c r="F4304">
        <v>50</v>
      </c>
      <c r="G4304">
        <v>40</v>
      </c>
      <c r="H4304">
        <v>40</v>
      </c>
      <c r="I4304" t="str">
        <f t="shared" si="54"/>
        <v>Industrial Flex (Mall) Buildings|Average</v>
      </c>
      <c r="J4304" t="s">
        <v>1414</v>
      </c>
    </row>
    <row r="4305" spans="2:10">
      <c r="B4305" t="s">
        <v>518</v>
      </c>
      <c r="C4305" t="s">
        <v>226</v>
      </c>
      <c r="F4305">
        <v>40</v>
      </c>
      <c r="G4305">
        <v>35</v>
      </c>
      <c r="H4305">
        <v>35</v>
      </c>
      <c r="I4305" t="str">
        <f t="shared" si="54"/>
        <v>Industrial Flex (Mall) Buildings|Low Cost</v>
      </c>
      <c r="J4305" t="s">
        <v>1349</v>
      </c>
    </row>
    <row r="4306" spans="2:10">
      <c r="B4306" t="s">
        <v>520</v>
      </c>
      <c r="C4306" t="s">
        <v>44</v>
      </c>
      <c r="D4306">
        <v>50</v>
      </c>
      <c r="E4306">
        <v>50</v>
      </c>
      <c r="F4306">
        <v>40</v>
      </c>
      <c r="G4306">
        <v>35</v>
      </c>
      <c r="H4306">
        <v>35</v>
      </c>
      <c r="I4306" t="str">
        <f t="shared" si="54"/>
        <v>Industrials, Light Manufacturing|Average</v>
      </c>
      <c r="J4306" t="s">
        <v>1345</v>
      </c>
    </row>
    <row r="4307" spans="2:10">
      <c r="B4307" t="s">
        <v>520</v>
      </c>
      <c r="C4307" t="s">
        <v>226</v>
      </c>
      <c r="D4307">
        <v>45</v>
      </c>
      <c r="E4307">
        <v>45</v>
      </c>
      <c r="F4307">
        <v>40</v>
      </c>
      <c r="G4307">
        <v>35</v>
      </c>
      <c r="H4307">
        <v>35</v>
      </c>
      <c r="I4307" t="str">
        <f t="shared" si="54"/>
        <v>Industrials, Light Manufacturing|Low Cost</v>
      </c>
      <c r="J4307" t="s">
        <v>1349</v>
      </c>
    </row>
    <row r="4308" spans="2:10">
      <c r="B4308" t="s">
        <v>520</v>
      </c>
      <c r="C4308" t="s">
        <v>229</v>
      </c>
      <c r="D4308">
        <v>50</v>
      </c>
      <c r="E4308">
        <v>50</v>
      </c>
      <c r="F4308">
        <v>45</v>
      </c>
      <c r="G4308">
        <v>40</v>
      </c>
      <c r="H4308">
        <v>40</v>
      </c>
      <c r="I4308" t="str">
        <f t="shared" si="54"/>
        <v>Industrials, Light Manufacturing|Good</v>
      </c>
      <c r="J4308" t="s">
        <v>1415</v>
      </c>
    </row>
    <row r="4309" spans="2:10">
      <c r="B4309" t="s">
        <v>523</v>
      </c>
      <c r="C4309" t="s">
        <v>231</v>
      </c>
      <c r="D4309">
        <v>60</v>
      </c>
      <c r="E4309">
        <v>60</v>
      </c>
      <c r="F4309">
        <v>55</v>
      </c>
      <c r="H4309">
        <v>50</v>
      </c>
      <c r="I4309" t="str">
        <f t="shared" si="54"/>
        <v>Industrials, Heavy (Process) Manufacturing|Excellent</v>
      </c>
      <c r="J4309" t="s">
        <v>1416</v>
      </c>
    </row>
    <row r="4310" spans="2:10">
      <c r="B4310" t="s">
        <v>523</v>
      </c>
      <c r="C4310" t="s">
        <v>229</v>
      </c>
      <c r="D4310">
        <v>60</v>
      </c>
      <c r="E4310">
        <v>60</v>
      </c>
      <c r="F4310">
        <v>55</v>
      </c>
      <c r="H4310">
        <v>50</v>
      </c>
      <c r="I4310" t="str">
        <f t="shared" si="54"/>
        <v>Industrials, Heavy (Process) Manufacturing|Good</v>
      </c>
      <c r="J4310" t="s">
        <v>1416</v>
      </c>
    </row>
    <row r="4311" spans="2:10">
      <c r="B4311" t="s">
        <v>523</v>
      </c>
      <c r="C4311" t="s">
        <v>44</v>
      </c>
      <c r="D4311">
        <v>55</v>
      </c>
      <c r="E4311">
        <v>55</v>
      </c>
      <c r="F4311">
        <v>50</v>
      </c>
      <c r="G4311">
        <v>45</v>
      </c>
      <c r="H4311">
        <v>45</v>
      </c>
      <c r="I4311" t="str">
        <f t="shared" si="54"/>
        <v>Industrials, Heavy (Process) Manufacturing|Average</v>
      </c>
      <c r="J4311" t="s">
        <v>1341</v>
      </c>
    </row>
    <row r="4312" spans="2:10">
      <c r="B4312" t="s">
        <v>523</v>
      </c>
      <c r="C4312" t="s">
        <v>226</v>
      </c>
      <c r="D4312">
        <v>55</v>
      </c>
      <c r="E4312">
        <v>55</v>
      </c>
      <c r="F4312">
        <v>50</v>
      </c>
      <c r="G4312">
        <v>45</v>
      </c>
      <c r="H4312">
        <v>45</v>
      </c>
      <c r="I4312" t="str">
        <f t="shared" si="54"/>
        <v>Industrials, Heavy (Process) Manufacturing|Low Cost</v>
      </c>
      <c r="J4312" t="s">
        <v>1341</v>
      </c>
    </row>
    <row r="4313" spans="2:10">
      <c r="B4313" t="s">
        <v>526</v>
      </c>
      <c r="C4313" t="s">
        <v>231</v>
      </c>
      <c r="D4313">
        <v>55</v>
      </c>
      <c r="E4313">
        <v>55</v>
      </c>
      <c r="F4313">
        <v>50</v>
      </c>
      <c r="G4313">
        <v>45</v>
      </c>
      <c r="H4313">
        <v>45</v>
      </c>
      <c r="I4313" t="str">
        <f t="shared" si="54"/>
        <v>Industrial, Engineering (R&amp;D) Buildings|Excellent</v>
      </c>
      <c r="J4313" t="s">
        <v>1417</v>
      </c>
    </row>
    <row r="4314" spans="2:10">
      <c r="B4314" t="s">
        <v>526</v>
      </c>
      <c r="C4314" t="s">
        <v>229</v>
      </c>
      <c r="D4314">
        <v>55</v>
      </c>
      <c r="E4314">
        <v>55</v>
      </c>
      <c r="F4314">
        <v>50</v>
      </c>
      <c r="G4314">
        <v>45</v>
      </c>
      <c r="H4314">
        <v>45</v>
      </c>
      <c r="I4314" t="str">
        <f t="shared" si="54"/>
        <v>Industrial, Engineering (R&amp;D) Buildings|Good</v>
      </c>
      <c r="J4314" t="s">
        <v>1417</v>
      </c>
    </row>
    <row r="4315" spans="2:10">
      <c r="B4315" t="s">
        <v>526</v>
      </c>
      <c r="C4315" t="s">
        <v>44</v>
      </c>
      <c r="D4315">
        <v>50</v>
      </c>
      <c r="E4315">
        <v>50</v>
      </c>
      <c r="F4315">
        <v>45</v>
      </c>
      <c r="G4315">
        <v>40</v>
      </c>
      <c r="H4315">
        <v>40</v>
      </c>
      <c r="I4315" t="str">
        <f t="shared" si="54"/>
        <v>Industrial, Engineering (R&amp;D) Buildings|Average</v>
      </c>
      <c r="J4315" t="s">
        <v>1345</v>
      </c>
    </row>
    <row r="4316" spans="2:10">
      <c r="B4316" t="s">
        <v>526</v>
      </c>
      <c r="C4316" t="s">
        <v>226</v>
      </c>
      <c r="D4316">
        <v>50</v>
      </c>
      <c r="E4316">
        <v>50</v>
      </c>
      <c r="F4316">
        <v>40</v>
      </c>
      <c r="G4316">
        <v>35</v>
      </c>
      <c r="H4316">
        <v>35</v>
      </c>
      <c r="I4316" t="str">
        <f t="shared" si="54"/>
        <v>Industrial, Engineering (R&amp;D) Buildings|Low Cost</v>
      </c>
      <c r="J4316" t="s">
        <v>1349</v>
      </c>
    </row>
    <row r="4317" spans="2:10">
      <c r="B4317" t="s">
        <v>529</v>
      </c>
      <c r="C4317" t="s">
        <v>231</v>
      </c>
      <c r="D4317">
        <v>55</v>
      </c>
      <c r="E4317">
        <v>55</v>
      </c>
      <c r="F4317">
        <v>50</v>
      </c>
      <c r="G4317">
        <v>45</v>
      </c>
      <c r="H4317">
        <v>45</v>
      </c>
      <c r="I4317" t="str">
        <f t="shared" si="54"/>
        <v>Laboratory Buildings|Excellent</v>
      </c>
      <c r="J4317" t="s">
        <v>1418</v>
      </c>
    </row>
    <row r="4318" spans="2:10">
      <c r="B4318" t="s">
        <v>529</v>
      </c>
      <c r="C4318" t="s">
        <v>229</v>
      </c>
      <c r="D4318">
        <v>55</v>
      </c>
      <c r="E4318">
        <v>55</v>
      </c>
      <c r="F4318">
        <v>50</v>
      </c>
      <c r="G4318">
        <v>45</v>
      </c>
      <c r="H4318">
        <v>45</v>
      </c>
      <c r="I4318" t="str">
        <f t="shared" si="54"/>
        <v>Laboratory Buildings|Good</v>
      </c>
      <c r="J4318" t="s">
        <v>1418</v>
      </c>
    </row>
    <row r="4319" spans="2:10">
      <c r="B4319" t="s">
        <v>529</v>
      </c>
      <c r="C4319" t="s">
        <v>44</v>
      </c>
      <c r="D4319">
        <v>50</v>
      </c>
      <c r="E4319">
        <v>50</v>
      </c>
      <c r="F4319">
        <v>45</v>
      </c>
      <c r="G4319">
        <v>40</v>
      </c>
      <c r="H4319">
        <v>40</v>
      </c>
      <c r="I4319" t="str">
        <f t="shared" si="54"/>
        <v>Laboratory Buildings|Average</v>
      </c>
      <c r="J4319" t="s">
        <v>1341</v>
      </c>
    </row>
    <row r="4320" spans="2:10">
      <c r="B4320" t="s">
        <v>529</v>
      </c>
      <c r="C4320" t="s">
        <v>226</v>
      </c>
      <c r="D4320">
        <v>50</v>
      </c>
      <c r="E4320">
        <v>50</v>
      </c>
      <c r="F4320">
        <v>45</v>
      </c>
      <c r="G4320">
        <v>40</v>
      </c>
      <c r="H4320">
        <v>40</v>
      </c>
      <c r="I4320" t="str">
        <f t="shared" si="54"/>
        <v>Laboratory Buildings|Low Cost</v>
      </c>
      <c r="J4320" t="s">
        <v>1341</v>
      </c>
    </row>
    <row r="4321" spans="2:10">
      <c r="B4321" t="s">
        <v>532</v>
      </c>
      <c r="C4321" t="s">
        <v>231</v>
      </c>
      <c r="D4321">
        <v>50</v>
      </c>
      <c r="E4321">
        <v>50</v>
      </c>
      <c r="F4321">
        <v>45</v>
      </c>
      <c r="G4321">
        <v>40</v>
      </c>
      <c r="H4321">
        <v>40</v>
      </c>
      <c r="I4321" t="str">
        <f t="shared" si="54"/>
        <v>Computer (Data) Centers|Excellent</v>
      </c>
      <c r="J4321" t="s">
        <v>1419</v>
      </c>
    </row>
    <row r="4322" spans="2:10">
      <c r="B4322" t="s">
        <v>532</v>
      </c>
      <c r="C4322" t="s">
        <v>229</v>
      </c>
      <c r="D4322">
        <v>50</v>
      </c>
      <c r="E4322">
        <v>50</v>
      </c>
      <c r="F4322">
        <v>45</v>
      </c>
      <c r="G4322">
        <v>40</v>
      </c>
      <c r="H4322">
        <v>40</v>
      </c>
      <c r="I4322" t="str">
        <f t="shared" si="54"/>
        <v>Computer (Data) Centers|Good</v>
      </c>
      <c r="J4322" t="s">
        <v>1419</v>
      </c>
    </row>
    <row r="4323" spans="2:10">
      <c r="B4323" t="s">
        <v>532</v>
      </c>
      <c r="C4323" t="s">
        <v>44</v>
      </c>
      <c r="D4323">
        <v>45</v>
      </c>
      <c r="E4323">
        <v>45</v>
      </c>
      <c r="F4323">
        <v>40</v>
      </c>
      <c r="G4323">
        <v>35</v>
      </c>
      <c r="H4323">
        <v>35</v>
      </c>
      <c r="I4323" t="str">
        <f t="shared" si="54"/>
        <v>Computer (Data) Centers|Average</v>
      </c>
      <c r="J4323" t="s">
        <v>1341</v>
      </c>
    </row>
    <row r="4324" spans="2:10">
      <c r="B4324" t="s">
        <v>532</v>
      </c>
      <c r="C4324" t="s">
        <v>226</v>
      </c>
      <c r="D4324">
        <v>45</v>
      </c>
      <c r="E4324">
        <v>45</v>
      </c>
      <c r="F4324">
        <v>40</v>
      </c>
      <c r="G4324">
        <v>35</v>
      </c>
      <c r="H4324">
        <v>35</v>
      </c>
      <c r="I4324" t="str">
        <f t="shared" si="54"/>
        <v>Computer (Data) Centers|Low Cost</v>
      </c>
      <c r="J4324" t="s">
        <v>1341</v>
      </c>
    </row>
    <row r="4325" spans="2:10">
      <c r="B4325" t="s">
        <v>535</v>
      </c>
      <c r="C4325" t="s">
        <v>229</v>
      </c>
      <c r="D4325">
        <v>55</v>
      </c>
      <c r="E4325">
        <v>55</v>
      </c>
      <c r="F4325">
        <v>50</v>
      </c>
      <c r="G4325">
        <v>45</v>
      </c>
      <c r="H4325">
        <v>45</v>
      </c>
      <c r="I4325" t="str">
        <f t="shared" si="54"/>
        <v>Broadcasting Facilities|Good</v>
      </c>
      <c r="J4325" t="s">
        <v>1420</v>
      </c>
    </row>
    <row r="4326" spans="2:10">
      <c r="B4326" t="s">
        <v>535</v>
      </c>
      <c r="C4326" t="s">
        <v>44</v>
      </c>
      <c r="D4326">
        <v>50</v>
      </c>
      <c r="E4326">
        <v>50</v>
      </c>
      <c r="F4326">
        <v>45</v>
      </c>
      <c r="G4326">
        <v>40</v>
      </c>
      <c r="H4326">
        <v>40</v>
      </c>
      <c r="I4326" t="str">
        <f t="shared" si="54"/>
        <v>Broadcasting Facilities|Average</v>
      </c>
      <c r="J4326" t="s">
        <v>1345</v>
      </c>
    </row>
    <row r="4327" spans="2:10">
      <c r="B4327" t="s">
        <v>535</v>
      </c>
      <c r="C4327" t="s">
        <v>226</v>
      </c>
      <c r="D4327">
        <v>45</v>
      </c>
      <c r="E4327">
        <v>45</v>
      </c>
      <c r="F4327">
        <v>40</v>
      </c>
      <c r="G4327">
        <v>35</v>
      </c>
      <c r="H4327">
        <v>35</v>
      </c>
      <c r="I4327" t="str">
        <f t="shared" si="54"/>
        <v>Broadcasting Facilities|Low Cost</v>
      </c>
      <c r="J4327" t="s">
        <v>1349</v>
      </c>
    </row>
    <row r="4328" spans="2:10">
      <c r="B4328" t="s">
        <v>535</v>
      </c>
      <c r="C4328" t="s">
        <v>231</v>
      </c>
      <c r="D4328">
        <v>55</v>
      </c>
      <c r="E4328">
        <v>55</v>
      </c>
      <c r="F4328">
        <v>50</v>
      </c>
      <c r="G4328">
        <v>45</v>
      </c>
      <c r="H4328">
        <v>45</v>
      </c>
      <c r="I4328" t="str">
        <f t="shared" si="54"/>
        <v>Broadcasting Facilities|Excellent</v>
      </c>
      <c r="J4328" t="s">
        <v>1420</v>
      </c>
    </row>
    <row r="4329" spans="2:10">
      <c r="B4329" t="s">
        <v>538</v>
      </c>
      <c r="C4329" t="s">
        <v>231</v>
      </c>
      <c r="D4329">
        <v>45</v>
      </c>
      <c r="E4329">
        <v>45</v>
      </c>
      <c r="F4329">
        <v>40</v>
      </c>
      <c r="G4329">
        <v>40</v>
      </c>
      <c r="I4329" t="str">
        <f t="shared" si="54"/>
        <v>Passenger Terminals|Excellent</v>
      </c>
      <c r="J4329" t="s">
        <v>1421</v>
      </c>
    </row>
    <row r="4330" spans="2:10">
      <c r="B4330" t="s">
        <v>538</v>
      </c>
      <c r="C4330" t="s">
        <v>229</v>
      </c>
      <c r="D4330">
        <v>40</v>
      </c>
      <c r="E4330">
        <v>40</v>
      </c>
      <c r="F4330">
        <v>35</v>
      </c>
      <c r="G4330">
        <v>35</v>
      </c>
      <c r="H4330">
        <v>35</v>
      </c>
      <c r="I4330" t="str">
        <f t="shared" si="54"/>
        <v>Passenger Terminals|Good</v>
      </c>
      <c r="J4330" t="s">
        <v>1360</v>
      </c>
    </row>
    <row r="4331" spans="2:10">
      <c r="B4331" t="s">
        <v>538</v>
      </c>
      <c r="C4331" t="s">
        <v>44</v>
      </c>
      <c r="D4331">
        <v>40</v>
      </c>
      <c r="E4331">
        <v>40</v>
      </c>
      <c r="F4331">
        <v>35</v>
      </c>
      <c r="G4331">
        <v>35</v>
      </c>
      <c r="H4331">
        <v>35</v>
      </c>
      <c r="I4331" t="str">
        <f t="shared" si="54"/>
        <v>Passenger Terminals|Average</v>
      </c>
      <c r="J4331" t="s">
        <v>1360</v>
      </c>
    </row>
    <row r="4332" spans="2:10">
      <c r="B4332" t="s">
        <v>538</v>
      </c>
      <c r="C4332" t="s">
        <v>226</v>
      </c>
      <c r="D4332">
        <v>35</v>
      </c>
      <c r="E4332">
        <v>35</v>
      </c>
      <c r="F4332">
        <v>30</v>
      </c>
      <c r="G4332">
        <v>30</v>
      </c>
      <c r="H4332">
        <v>30</v>
      </c>
      <c r="I4332" t="str">
        <f t="shared" si="54"/>
        <v>Passenger Terminals|Low Cost</v>
      </c>
      <c r="J4332" t="s">
        <v>1351</v>
      </c>
    </row>
    <row r="4333" spans="2:10">
      <c r="B4333" t="s">
        <v>538</v>
      </c>
      <c r="C4333" t="s">
        <v>250</v>
      </c>
      <c r="D4333">
        <v>45</v>
      </c>
      <c r="E4333">
        <v>45</v>
      </c>
      <c r="F4333">
        <v>40</v>
      </c>
      <c r="G4333">
        <v>40</v>
      </c>
      <c r="I4333" t="str">
        <f t="shared" si="54"/>
        <v>Passenger Terminals|Very Good</v>
      </c>
      <c r="J4333" t="s">
        <v>1421</v>
      </c>
    </row>
    <row r="4334" spans="2:10">
      <c r="B4334" t="s">
        <v>538</v>
      </c>
      <c r="C4334" t="s">
        <v>302</v>
      </c>
      <c r="D4334">
        <v>35</v>
      </c>
      <c r="E4334">
        <v>35</v>
      </c>
      <c r="F4334">
        <v>30</v>
      </c>
      <c r="G4334">
        <v>30</v>
      </c>
      <c r="H4334">
        <v>30</v>
      </c>
      <c r="I4334" t="str">
        <f t="shared" si="54"/>
        <v>Passenger Terminals|Fair</v>
      </c>
      <c r="J4334" t="s">
        <v>1351</v>
      </c>
    </row>
    <row r="4335" spans="2:10">
      <c r="B4335" t="s">
        <v>541</v>
      </c>
      <c r="C4335" t="s">
        <v>229</v>
      </c>
      <c r="D4335">
        <v>60</v>
      </c>
      <c r="E4335">
        <v>60</v>
      </c>
      <c r="F4335">
        <v>55</v>
      </c>
      <c r="G4335">
        <v>50</v>
      </c>
      <c r="H4335">
        <v>50</v>
      </c>
      <c r="I4335" t="str">
        <f t="shared" si="54"/>
        <v>Main Post Offices|Good</v>
      </c>
      <c r="J4335" t="s">
        <v>1422</v>
      </c>
    </row>
    <row r="4336" spans="2:10">
      <c r="B4336" t="s">
        <v>541</v>
      </c>
      <c r="C4336" t="s">
        <v>44</v>
      </c>
      <c r="D4336">
        <v>55</v>
      </c>
      <c r="E4336">
        <v>55</v>
      </c>
      <c r="F4336">
        <v>50</v>
      </c>
      <c r="G4336">
        <v>45</v>
      </c>
      <c r="H4336">
        <v>45</v>
      </c>
      <c r="I4336" t="str">
        <f t="shared" si="54"/>
        <v>Main Post Offices|Average</v>
      </c>
      <c r="J4336" t="s">
        <v>1341</v>
      </c>
    </row>
    <row r="4337" spans="2:10">
      <c r="B4337" t="s">
        <v>541</v>
      </c>
      <c r="C4337" t="s">
        <v>231</v>
      </c>
      <c r="D4337">
        <v>60</v>
      </c>
      <c r="E4337">
        <v>60</v>
      </c>
      <c r="F4337">
        <v>55</v>
      </c>
      <c r="G4337">
        <v>50</v>
      </c>
      <c r="H4337">
        <v>50</v>
      </c>
      <c r="I4337" t="str">
        <f t="shared" si="54"/>
        <v>Main Post Offices|Excellent</v>
      </c>
      <c r="J4337" t="s">
        <v>1422</v>
      </c>
    </row>
    <row r="4338" spans="2:10">
      <c r="B4338" t="s">
        <v>541</v>
      </c>
      <c r="C4338" t="s">
        <v>250</v>
      </c>
      <c r="D4338">
        <v>60</v>
      </c>
      <c r="E4338">
        <v>60</v>
      </c>
      <c r="F4338">
        <v>55</v>
      </c>
      <c r="G4338">
        <v>50</v>
      </c>
      <c r="H4338">
        <v>50</v>
      </c>
      <c r="I4338" t="str">
        <f t="shared" si="54"/>
        <v>Main Post Offices|Very Good</v>
      </c>
      <c r="J4338" t="s">
        <v>1422</v>
      </c>
    </row>
    <row r="4339" spans="2:10">
      <c r="B4339" t="s">
        <v>544</v>
      </c>
      <c r="C4339" t="s">
        <v>44</v>
      </c>
      <c r="D4339">
        <v>50</v>
      </c>
      <c r="E4339">
        <v>50</v>
      </c>
      <c r="F4339">
        <v>45</v>
      </c>
      <c r="H4339">
        <v>40</v>
      </c>
      <c r="I4339" t="str">
        <f t="shared" si="54"/>
        <v>Mail - Processing Facilities|Average</v>
      </c>
      <c r="J4339" t="s">
        <v>1345</v>
      </c>
    </row>
    <row r="4340" spans="2:10">
      <c r="B4340" t="s">
        <v>544</v>
      </c>
      <c r="C4340" t="s">
        <v>229</v>
      </c>
      <c r="F4340">
        <v>50</v>
      </c>
      <c r="H4340">
        <v>45</v>
      </c>
      <c r="I4340" t="str">
        <f t="shared" si="54"/>
        <v>Mail - Processing Facilities|Good</v>
      </c>
      <c r="J4340" t="s">
        <v>1423</v>
      </c>
    </row>
    <row r="4341" spans="2:10">
      <c r="B4341" t="s">
        <v>546</v>
      </c>
      <c r="C4341" t="s">
        <v>44</v>
      </c>
      <c r="D4341">
        <v>55</v>
      </c>
      <c r="E4341">
        <v>55</v>
      </c>
      <c r="F4341">
        <v>50</v>
      </c>
      <c r="G4341">
        <v>45</v>
      </c>
      <c r="H4341">
        <v>45</v>
      </c>
      <c r="I4341" t="str">
        <f t="shared" si="54"/>
        <v>Branch Post Offices|Average</v>
      </c>
      <c r="J4341" t="s">
        <v>1341</v>
      </c>
    </row>
    <row r="4342" spans="2:10">
      <c r="B4342" t="s">
        <v>546</v>
      </c>
      <c r="C4342" t="s">
        <v>231</v>
      </c>
      <c r="D4342">
        <v>60</v>
      </c>
      <c r="E4342">
        <v>60</v>
      </c>
      <c r="F4342">
        <v>55</v>
      </c>
      <c r="G4342">
        <v>50</v>
      </c>
      <c r="H4342">
        <v>50</v>
      </c>
      <c r="I4342" t="str">
        <f t="shared" si="54"/>
        <v>Branch Post Offices|Excellent</v>
      </c>
      <c r="J4342" t="s">
        <v>1422</v>
      </c>
    </row>
    <row r="4343" spans="2:10">
      <c r="B4343" t="s">
        <v>546</v>
      </c>
      <c r="C4343" t="s">
        <v>229</v>
      </c>
      <c r="D4343">
        <v>60</v>
      </c>
      <c r="E4343">
        <v>60</v>
      </c>
      <c r="F4343">
        <v>55</v>
      </c>
      <c r="G4343">
        <v>50</v>
      </c>
      <c r="H4343">
        <v>50</v>
      </c>
      <c r="I4343" t="str">
        <f t="shared" si="54"/>
        <v>Branch Post Offices|Good</v>
      </c>
      <c r="J4343" t="s">
        <v>1422</v>
      </c>
    </row>
    <row r="4344" spans="2:10">
      <c r="B4344" t="s">
        <v>546</v>
      </c>
      <c r="C4344" t="s">
        <v>226</v>
      </c>
      <c r="D4344">
        <v>55</v>
      </c>
      <c r="E4344">
        <v>55</v>
      </c>
      <c r="F4344">
        <v>50</v>
      </c>
      <c r="G4344">
        <v>45</v>
      </c>
      <c r="H4344">
        <v>45</v>
      </c>
      <c r="I4344" t="str">
        <f t="shared" ref="I4344:I4407" si="55">B4344&amp;"|"&amp;C4344</f>
        <v>Branch Post Offices|Low Cost</v>
      </c>
      <c r="J4344" t="s">
        <v>1341</v>
      </c>
    </row>
    <row r="4345" spans="2:10">
      <c r="B4345" t="s">
        <v>549</v>
      </c>
      <c r="C4345" t="s">
        <v>231</v>
      </c>
      <c r="F4345">
        <v>55</v>
      </c>
      <c r="G4345">
        <v>50</v>
      </c>
      <c r="I4345" t="str">
        <f t="shared" si="55"/>
        <v>Armories|Excellent</v>
      </c>
      <c r="J4345" t="s">
        <v>1424</v>
      </c>
    </row>
    <row r="4346" spans="2:10">
      <c r="B4346" t="s">
        <v>549</v>
      </c>
      <c r="C4346" t="s">
        <v>229</v>
      </c>
      <c r="F4346">
        <v>55</v>
      </c>
      <c r="G4346">
        <v>50</v>
      </c>
      <c r="I4346" t="str">
        <f t="shared" si="55"/>
        <v>Armories|Good</v>
      </c>
      <c r="J4346" t="s">
        <v>1424</v>
      </c>
    </row>
    <row r="4347" spans="2:10">
      <c r="B4347" t="s">
        <v>549</v>
      </c>
      <c r="C4347" t="s">
        <v>44</v>
      </c>
      <c r="F4347">
        <v>50</v>
      </c>
      <c r="G4347">
        <v>40</v>
      </c>
      <c r="H4347">
        <v>40</v>
      </c>
      <c r="I4347" t="str">
        <f t="shared" si="55"/>
        <v>Armories|Average</v>
      </c>
      <c r="J4347" t="s">
        <v>1345</v>
      </c>
    </row>
    <row r="4348" spans="2:10">
      <c r="B4348" t="s">
        <v>552</v>
      </c>
      <c r="C4348" t="s">
        <v>229</v>
      </c>
      <c r="D4348">
        <v>55</v>
      </c>
      <c r="E4348">
        <v>55</v>
      </c>
      <c r="F4348">
        <v>50</v>
      </c>
      <c r="G4348">
        <v>45</v>
      </c>
      <c r="H4348">
        <v>45</v>
      </c>
      <c r="I4348" t="str">
        <f t="shared" si="55"/>
        <v>Distribution Warehouses|Good</v>
      </c>
      <c r="J4348" t="s">
        <v>1425</v>
      </c>
    </row>
    <row r="4349" spans="2:10">
      <c r="B4349" t="s">
        <v>552</v>
      </c>
      <c r="C4349" t="s">
        <v>44</v>
      </c>
      <c r="D4349">
        <v>50</v>
      </c>
      <c r="E4349">
        <v>50</v>
      </c>
      <c r="F4349">
        <v>45</v>
      </c>
      <c r="G4349">
        <v>40</v>
      </c>
      <c r="H4349">
        <v>40</v>
      </c>
      <c r="I4349" t="str">
        <f t="shared" si="55"/>
        <v>Distribution Warehouses|Average</v>
      </c>
      <c r="J4349" t="s">
        <v>1345</v>
      </c>
    </row>
    <row r="4350" spans="2:10">
      <c r="B4350" t="s">
        <v>552</v>
      </c>
      <c r="C4350" t="s">
        <v>231</v>
      </c>
      <c r="D4350">
        <v>55</v>
      </c>
      <c r="E4350">
        <v>55</v>
      </c>
      <c r="F4350">
        <v>50</v>
      </c>
      <c r="G4350">
        <v>45</v>
      </c>
      <c r="H4350">
        <v>45</v>
      </c>
      <c r="I4350" t="str">
        <f t="shared" si="55"/>
        <v>Distribution Warehouses|Excellent</v>
      </c>
      <c r="J4350" t="s">
        <v>1425</v>
      </c>
    </row>
    <row r="4351" spans="2:10">
      <c r="B4351" t="s">
        <v>552</v>
      </c>
      <c r="C4351" t="s">
        <v>226</v>
      </c>
      <c r="F4351">
        <v>40</v>
      </c>
      <c r="G4351">
        <v>35</v>
      </c>
      <c r="H4351">
        <v>35</v>
      </c>
      <c r="I4351" t="str">
        <f t="shared" si="55"/>
        <v>Distribution Warehouses|Low Cost</v>
      </c>
      <c r="J4351" t="s">
        <v>1349</v>
      </c>
    </row>
    <row r="4352" spans="2:10">
      <c r="B4352" t="s">
        <v>555</v>
      </c>
      <c r="C4352" t="s">
        <v>229</v>
      </c>
      <c r="F4352">
        <v>45</v>
      </c>
      <c r="G4352">
        <v>40</v>
      </c>
      <c r="H4352">
        <v>40</v>
      </c>
      <c r="I4352" t="str">
        <f t="shared" si="55"/>
        <v>Transit Warehouses|Good</v>
      </c>
      <c r="J4352" t="s">
        <v>1426</v>
      </c>
    </row>
    <row r="4353" spans="2:10">
      <c r="B4353" t="s">
        <v>555</v>
      </c>
      <c r="C4353" t="s">
        <v>44</v>
      </c>
      <c r="F4353">
        <v>45</v>
      </c>
      <c r="G4353">
        <v>40</v>
      </c>
      <c r="H4353">
        <v>40</v>
      </c>
      <c r="I4353" t="str">
        <f t="shared" si="55"/>
        <v>Transit Warehouses|Average</v>
      </c>
      <c r="J4353" t="s">
        <v>1426</v>
      </c>
    </row>
    <row r="4354" spans="2:10">
      <c r="B4354" t="s">
        <v>557</v>
      </c>
      <c r="C4354" t="s">
        <v>229</v>
      </c>
      <c r="D4354">
        <v>50</v>
      </c>
      <c r="E4354">
        <v>50</v>
      </c>
      <c r="F4354">
        <v>45</v>
      </c>
      <c r="G4354">
        <v>40</v>
      </c>
      <c r="H4354">
        <v>40</v>
      </c>
      <c r="I4354" t="str">
        <f t="shared" si="55"/>
        <v>Cold Storage Facilities|Good</v>
      </c>
      <c r="J4354" t="s">
        <v>1360</v>
      </c>
    </row>
    <row r="4355" spans="2:10">
      <c r="B4355" t="s">
        <v>557</v>
      </c>
      <c r="C4355" t="s">
        <v>44</v>
      </c>
      <c r="D4355">
        <v>50</v>
      </c>
      <c r="E4355">
        <v>50</v>
      </c>
      <c r="F4355">
        <v>45</v>
      </c>
      <c r="G4355">
        <v>40</v>
      </c>
      <c r="H4355">
        <v>40</v>
      </c>
      <c r="I4355" t="str">
        <f t="shared" si="55"/>
        <v>Cold Storage Facilities|Average</v>
      </c>
      <c r="J4355" t="s">
        <v>1360</v>
      </c>
    </row>
    <row r="4356" spans="2:10">
      <c r="B4356" t="s">
        <v>557</v>
      </c>
      <c r="C4356" t="s">
        <v>231</v>
      </c>
      <c r="F4356">
        <v>50</v>
      </c>
      <c r="H4356">
        <v>45</v>
      </c>
      <c r="I4356" t="str">
        <f t="shared" si="55"/>
        <v>Cold Storage Facilities|Excellent</v>
      </c>
      <c r="J4356" t="s">
        <v>1427</v>
      </c>
    </row>
    <row r="4357" spans="2:10">
      <c r="B4357" t="s">
        <v>557</v>
      </c>
      <c r="C4357" t="s">
        <v>302</v>
      </c>
      <c r="F4357">
        <v>40</v>
      </c>
      <c r="G4357">
        <v>35</v>
      </c>
      <c r="H4357">
        <v>35</v>
      </c>
      <c r="I4357" t="str">
        <f t="shared" si="55"/>
        <v>Cold Storage Facilities|Fair</v>
      </c>
      <c r="J4357" t="s">
        <v>1351</v>
      </c>
    </row>
    <row r="4358" spans="2:10">
      <c r="B4358" t="s">
        <v>557</v>
      </c>
      <c r="C4358" t="s">
        <v>226</v>
      </c>
      <c r="F4358">
        <v>40</v>
      </c>
      <c r="G4358">
        <v>35</v>
      </c>
      <c r="H4358">
        <v>35</v>
      </c>
      <c r="I4358" t="str">
        <f t="shared" si="55"/>
        <v>Cold Storage Facilities|Low Cost</v>
      </c>
      <c r="J4358" t="s">
        <v>1351</v>
      </c>
    </row>
    <row r="4359" spans="2:10">
      <c r="B4359" t="s">
        <v>560</v>
      </c>
      <c r="C4359" t="s">
        <v>44</v>
      </c>
      <c r="D4359">
        <v>45</v>
      </c>
      <c r="E4359">
        <v>45</v>
      </c>
      <c r="F4359">
        <v>35</v>
      </c>
      <c r="G4359">
        <v>30</v>
      </c>
      <c r="H4359">
        <v>30</v>
      </c>
      <c r="I4359" t="str">
        <f t="shared" si="55"/>
        <v>Creameries|Average</v>
      </c>
      <c r="J4359" t="s">
        <v>1345</v>
      </c>
    </row>
    <row r="4360" spans="2:10">
      <c r="B4360" t="s">
        <v>560</v>
      </c>
      <c r="C4360" t="s">
        <v>229</v>
      </c>
      <c r="F4360">
        <v>45</v>
      </c>
      <c r="G4360">
        <v>45</v>
      </c>
      <c r="H4360">
        <v>45</v>
      </c>
      <c r="I4360" t="str">
        <f t="shared" si="55"/>
        <v>Creameries|Good</v>
      </c>
      <c r="J4360" t="s">
        <v>1428</v>
      </c>
    </row>
    <row r="4361" spans="2:10">
      <c r="B4361" t="s">
        <v>560</v>
      </c>
      <c r="C4361" t="s">
        <v>226</v>
      </c>
      <c r="F4361">
        <v>25</v>
      </c>
      <c r="G4361">
        <v>20</v>
      </c>
      <c r="H4361">
        <v>20</v>
      </c>
      <c r="I4361" t="str">
        <f t="shared" si="55"/>
        <v>Creameries|Low Cost</v>
      </c>
      <c r="J4361" t="s">
        <v>1349</v>
      </c>
    </row>
    <row r="4362" spans="2:10">
      <c r="B4362" t="s">
        <v>563</v>
      </c>
      <c r="C4362" t="s">
        <v>229</v>
      </c>
      <c r="D4362">
        <v>50</v>
      </c>
      <c r="E4362">
        <v>50</v>
      </c>
      <c r="F4362">
        <v>45</v>
      </c>
      <c r="G4362">
        <v>40</v>
      </c>
      <c r="H4362">
        <v>40</v>
      </c>
      <c r="I4362" t="str">
        <f t="shared" si="55"/>
        <v>Mega (Storage/Distribution) Warehouses|Good</v>
      </c>
      <c r="J4362" t="s">
        <v>1360</v>
      </c>
    </row>
    <row r="4363" spans="2:10">
      <c r="B4363" t="s">
        <v>563</v>
      </c>
      <c r="C4363" t="s">
        <v>44</v>
      </c>
      <c r="D4363">
        <v>50</v>
      </c>
      <c r="E4363">
        <v>50</v>
      </c>
      <c r="F4363">
        <v>45</v>
      </c>
      <c r="G4363">
        <v>40</v>
      </c>
      <c r="H4363">
        <v>40</v>
      </c>
      <c r="I4363" t="str">
        <f t="shared" si="55"/>
        <v>Mega (Storage/Distribution) Warehouses|Average</v>
      </c>
      <c r="J4363" t="s">
        <v>1360</v>
      </c>
    </row>
    <row r="4364" spans="2:10">
      <c r="B4364" t="s">
        <v>563</v>
      </c>
      <c r="C4364" t="s">
        <v>226</v>
      </c>
      <c r="D4364">
        <v>45</v>
      </c>
      <c r="E4364">
        <v>45</v>
      </c>
      <c r="F4364">
        <v>40</v>
      </c>
      <c r="G4364">
        <v>35</v>
      </c>
      <c r="H4364">
        <v>35</v>
      </c>
      <c r="I4364" t="str">
        <f t="shared" si="55"/>
        <v>Mega (Storage/Distribution) Warehouses|Low Cost</v>
      </c>
      <c r="J4364" t="s">
        <v>1429</v>
      </c>
    </row>
    <row r="4365" spans="2:10">
      <c r="B4365" t="s">
        <v>563</v>
      </c>
      <c r="C4365" t="s">
        <v>314</v>
      </c>
      <c r="D4365">
        <v>45</v>
      </c>
      <c r="E4365">
        <v>45</v>
      </c>
      <c r="F4365">
        <v>40</v>
      </c>
      <c r="G4365">
        <v>35</v>
      </c>
      <c r="H4365">
        <v>35</v>
      </c>
      <c r="I4365" t="str">
        <f t="shared" si="55"/>
        <v>Mega (Storage/Distribution) Warehouses|Cheap</v>
      </c>
      <c r="J4365" t="s">
        <v>1429</v>
      </c>
    </row>
    <row r="4366" spans="2:10">
      <c r="B4366" t="s">
        <v>565</v>
      </c>
      <c r="C4366" t="s">
        <v>229</v>
      </c>
      <c r="D4366">
        <v>50</v>
      </c>
      <c r="E4366">
        <v>50</v>
      </c>
      <c r="F4366">
        <v>45</v>
      </c>
      <c r="G4366">
        <v>40</v>
      </c>
      <c r="H4366">
        <v>40</v>
      </c>
      <c r="I4366" t="str">
        <f t="shared" si="55"/>
        <v>Storage Warehouses|Good</v>
      </c>
      <c r="J4366" t="s">
        <v>1360</v>
      </c>
    </row>
    <row r="4367" spans="2:10">
      <c r="B4367" t="s">
        <v>565</v>
      </c>
      <c r="C4367" t="s">
        <v>44</v>
      </c>
      <c r="D4367">
        <v>50</v>
      </c>
      <c r="E4367">
        <v>50</v>
      </c>
      <c r="F4367">
        <v>45</v>
      </c>
      <c r="G4367">
        <v>40</v>
      </c>
      <c r="H4367">
        <v>40</v>
      </c>
      <c r="I4367" t="str">
        <f t="shared" si="55"/>
        <v>Storage Warehouses|Average</v>
      </c>
      <c r="J4367" t="s">
        <v>1360</v>
      </c>
    </row>
    <row r="4368" spans="2:10">
      <c r="B4368" t="s">
        <v>565</v>
      </c>
      <c r="C4368" t="s">
        <v>226</v>
      </c>
      <c r="D4368">
        <v>45</v>
      </c>
      <c r="E4368">
        <v>45</v>
      </c>
      <c r="F4368">
        <v>40</v>
      </c>
      <c r="G4368">
        <v>35</v>
      </c>
      <c r="H4368">
        <v>35</v>
      </c>
      <c r="I4368" t="str">
        <f t="shared" si="55"/>
        <v>Storage Warehouses|Low Cost</v>
      </c>
      <c r="J4368" t="s">
        <v>1429</v>
      </c>
    </row>
    <row r="4369" spans="2:10">
      <c r="B4369" t="s">
        <v>565</v>
      </c>
      <c r="C4369" t="s">
        <v>231</v>
      </c>
      <c r="F4369">
        <v>50</v>
      </c>
      <c r="H4369">
        <v>45</v>
      </c>
      <c r="I4369" t="str">
        <f t="shared" si="55"/>
        <v>Storage Warehouses|Excellent</v>
      </c>
      <c r="J4369" t="s">
        <v>1430</v>
      </c>
    </row>
    <row r="4370" spans="2:10">
      <c r="B4370" t="s">
        <v>568</v>
      </c>
      <c r="C4370" t="s">
        <v>229</v>
      </c>
      <c r="F4370">
        <v>45</v>
      </c>
      <c r="G4370">
        <v>40</v>
      </c>
      <c r="H4370">
        <v>40</v>
      </c>
      <c r="I4370" t="str">
        <f t="shared" si="55"/>
        <v>Mini-Warehouses / Self-Storage|Good</v>
      </c>
      <c r="J4370" t="s">
        <v>1431</v>
      </c>
    </row>
    <row r="4371" spans="2:10">
      <c r="B4371" t="s">
        <v>568</v>
      </c>
      <c r="C4371" t="s">
        <v>44</v>
      </c>
      <c r="D4371">
        <v>45</v>
      </c>
      <c r="E4371">
        <v>45</v>
      </c>
      <c r="F4371">
        <v>40</v>
      </c>
      <c r="G4371">
        <v>35</v>
      </c>
      <c r="H4371">
        <v>35</v>
      </c>
      <c r="I4371" t="str">
        <f t="shared" si="55"/>
        <v>Mini-Warehouses / Self-Storage|Average</v>
      </c>
      <c r="J4371" t="s">
        <v>1345</v>
      </c>
    </row>
    <row r="4372" spans="2:10">
      <c r="B4372" t="s">
        <v>568</v>
      </c>
      <c r="C4372" t="s">
        <v>226</v>
      </c>
      <c r="F4372">
        <v>35</v>
      </c>
      <c r="G4372">
        <v>30</v>
      </c>
      <c r="H4372">
        <v>30</v>
      </c>
      <c r="I4372" t="str">
        <f t="shared" si="55"/>
        <v>Mini-Warehouses / Self-Storage|Low Cost</v>
      </c>
      <c r="J4372" t="s">
        <v>1349</v>
      </c>
    </row>
    <row r="4373" spans="2:10">
      <c r="B4373" t="s">
        <v>568</v>
      </c>
      <c r="C4373" t="s">
        <v>314</v>
      </c>
      <c r="F4373">
        <v>35</v>
      </c>
      <c r="G4373">
        <v>30</v>
      </c>
      <c r="H4373">
        <v>30</v>
      </c>
      <c r="I4373" t="str">
        <f t="shared" si="55"/>
        <v>Mini-Warehouses / Self-Storage|Cheap</v>
      </c>
      <c r="J4373" t="s">
        <v>1349</v>
      </c>
    </row>
    <row r="4374" spans="2:10">
      <c r="B4374" t="s">
        <v>571</v>
      </c>
      <c r="C4374" t="s">
        <v>44</v>
      </c>
      <c r="D4374">
        <v>45</v>
      </c>
      <c r="E4374">
        <v>45</v>
      </c>
      <c r="F4374">
        <v>40</v>
      </c>
      <c r="G4374">
        <v>35</v>
      </c>
      <c r="H4374">
        <v>35</v>
      </c>
      <c r="I4374" t="str">
        <f t="shared" si="55"/>
        <v>Mini-Warehouses, High-Rise|Average</v>
      </c>
      <c r="J4374" t="s">
        <v>1345</v>
      </c>
    </row>
    <row r="4375" spans="2:10">
      <c r="B4375" t="s">
        <v>571</v>
      </c>
      <c r="C4375" t="s">
        <v>229</v>
      </c>
      <c r="F4375">
        <v>45</v>
      </c>
      <c r="G4375">
        <v>40</v>
      </c>
      <c r="H4375">
        <v>40</v>
      </c>
      <c r="I4375" t="str">
        <f t="shared" si="55"/>
        <v>Mini-Warehouses, High-Rise|Good</v>
      </c>
      <c r="J4375" t="s">
        <v>1431</v>
      </c>
    </row>
    <row r="4376" spans="2:10">
      <c r="B4376" t="s">
        <v>573</v>
      </c>
      <c r="C4376" t="s">
        <v>231</v>
      </c>
      <c r="F4376">
        <v>45</v>
      </c>
      <c r="H4376">
        <v>40</v>
      </c>
      <c r="I4376" t="str">
        <f t="shared" si="55"/>
        <v>Maintenance Hangars|Excellent</v>
      </c>
      <c r="J4376" t="s">
        <v>1432</v>
      </c>
    </row>
    <row r="4377" spans="2:10">
      <c r="B4377" t="s">
        <v>573</v>
      </c>
      <c r="C4377" t="s">
        <v>229</v>
      </c>
      <c r="F4377">
        <v>40</v>
      </c>
      <c r="H4377">
        <v>40</v>
      </c>
      <c r="I4377" t="str">
        <f t="shared" si="55"/>
        <v>Maintenance Hangars|Good</v>
      </c>
      <c r="J4377" t="s">
        <v>1347</v>
      </c>
    </row>
    <row r="4378" spans="2:10">
      <c r="B4378" t="s">
        <v>573</v>
      </c>
      <c r="C4378" t="s">
        <v>44</v>
      </c>
      <c r="F4378">
        <v>40</v>
      </c>
      <c r="G4378">
        <v>35</v>
      </c>
      <c r="H4378">
        <v>35</v>
      </c>
      <c r="I4378" t="str">
        <f t="shared" si="55"/>
        <v>Maintenance Hangars|Average</v>
      </c>
      <c r="J4378" t="s">
        <v>1345</v>
      </c>
    </row>
    <row r="4379" spans="2:10">
      <c r="B4379" t="s">
        <v>573</v>
      </c>
      <c r="C4379" t="s">
        <v>226</v>
      </c>
      <c r="F4379">
        <v>35</v>
      </c>
      <c r="G4379">
        <v>30</v>
      </c>
      <c r="H4379">
        <v>30</v>
      </c>
      <c r="I4379" t="str">
        <f t="shared" si="55"/>
        <v>Maintenance Hangars|Low Cost</v>
      </c>
      <c r="J4379" t="s">
        <v>1349</v>
      </c>
    </row>
    <row r="4380" spans="2:10">
      <c r="B4380" t="s">
        <v>576</v>
      </c>
      <c r="C4380" t="s">
        <v>231</v>
      </c>
      <c r="F4380">
        <v>40</v>
      </c>
      <c r="H4380">
        <v>40</v>
      </c>
      <c r="I4380" t="str">
        <f t="shared" si="55"/>
        <v>Storage Hangars|Excellent</v>
      </c>
      <c r="J4380" t="s">
        <v>1433</v>
      </c>
    </row>
    <row r="4381" spans="2:10">
      <c r="B4381" t="s">
        <v>576</v>
      </c>
      <c r="C4381" t="s">
        <v>229</v>
      </c>
      <c r="F4381">
        <v>40</v>
      </c>
      <c r="H4381">
        <v>35</v>
      </c>
      <c r="I4381" t="str">
        <f t="shared" si="55"/>
        <v>Storage Hangars|Good</v>
      </c>
      <c r="J4381" t="s">
        <v>1347</v>
      </c>
    </row>
    <row r="4382" spans="2:10">
      <c r="B4382" t="s">
        <v>576</v>
      </c>
      <c r="C4382" t="s">
        <v>44</v>
      </c>
      <c r="F4382">
        <v>35</v>
      </c>
      <c r="G4382">
        <v>30</v>
      </c>
      <c r="H4382">
        <v>30</v>
      </c>
      <c r="I4382" t="str">
        <f t="shared" si="55"/>
        <v>Storage Hangars|Average</v>
      </c>
      <c r="J4382" t="s">
        <v>1345</v>
      </c>
    </row>
    <row r="4383" spans="2:10">
      <c r="B4383" t="s">
        <v>576</v>
      </c>
      <c r="C4383" t="s">
        <v>226</v>
      </c>
      <c r="F4383">
        <v>30</v>
      </c>
      <c r="G4383">
        <v>30</v>
      </c>
      <c r="H4383">
        <v>30</v>
      </c>
      <c r="I4383" t="str">
        <f t="shared" si="55"/>
        <v>Storage Hangars|Low Cost</v>
      </c>
      <c r="J4383" t="s">
        <v>1349</v>
      </c>
    </row>
    <row r="4384" spans="2:10">
      <c r="B4384" t="s">
        <v>576</v>
      </c>
      <c r="C4384" t="s">
        <v>314</v>
      </c>
      <c r="G4384">
        <v>20</v>
      </c>
      <c r="H4384">
        <v>20</v>
      </c>
      <c r="I4384" t="str">
        <f t="shared" si="55"/>
        <v>Storage Hangars|Cheap</v>
      </c>
      <c r="J4384" t="s">
        <v>1356</v>
      </c>
    </row>
    <row r="4385" spans="2:10">
      <c r="B4385" t="s">
        <v>578</v>
      </c>
      <c r="C4385" t="s">
        <v>44</v>
      </c>
      <c r="F4385">
        <v>30</v>
      </c>
      <c r="H4385">
        <v>30</v>
      </c>
      <c r="I4385" t="str">
        <f t="shared" si="55"/>
        <v>T-Hangars|Average</v>
      </c>
      <c r="J4385" t="s">
        <v>1434</v>
      </c>
    </row>
    <row r="4386" spans="2:10">
      <c r="B4386" t="s">
        <v>578</v>
      </c>
      <c r="C4386" t="s">
        <v>226</v>
      </c>
      <c r="G4386">
        <v>20</v>
      </c>
      <c r="H4386">
        <v>20</v>
      </c>
      <c r="I4386" t="str">
        <f t="shared" si="55"/>
        <v>T-Hangars|Low Cost</v>
      </c>
      <c r="J4386" t="s">
        <v>1349</v>
      </c>
    </row>
    <row r="4387" spans="2:10">
      <c r="B4387" t="s">
        <v>581</v>
      </c>
      <c r="C4387" t="s">
        <v>44</v>
      </c>
      <c r="D4387">
        <v>45</v>
      </c>
      <c r="E4387">
        <v>45</v>
      </c>
      <c r="F4387">
        <v>40</v>
      </c>
      <c r="G4387">
        <v>35</v>
      </c>
      <c r="H4387">
        <v>35</v>
      </c>
      <c r="I4387" t="str">
        <f t="shared" si="55"/>
        <v>Complete Auto Dealerships|Average</v>
      </c>
      <c r="J4387" t="s">
        <v>1345</v>
      </c>
    </row>
    <row r="4388" spans="2:10">
      <c r="B4388" t="s">
        <v>581</v>
      </c>
      <c r="C4388" t="s">
        <v>231</v>
      </c>
      <c r="D4388">
        <v>50</v>
      </c>
      <c r="E4388">
        <v>50</v>
      </c>
      <c r="F4388">
        <v>45</v>
      </c>
      <c r="G4388">
        <v>40</v>
      </c>
      <c r="H4388">
        <v>40</v>
      </c>
      <c r="I4388" t="str">
        <f t="shared" si="55"/>
        <v>Complete Auto Dealerships|Excellent</v>
      </c>
      <c r="J4388" t="s">
        <v>1435</v>
      </c>
    </row>
    <row r="4389" spans="2:10">
      <c r="B4389" t="s">
        <v>581</v>
      </c>
      <c r="C4389" t="s">
        <v>229</v>
      </c>
      <c r="D4389">
        <v>50</v>
      </c>
      <c r="E4389">
        <v>50</v>
      </c>
      <c r="F4389">
        <v>45</v>
      </c>
      <c r="G4389">
        <v>40</v>
      </c>
      <c r="H4389">
        <v>40</v>
      </c>
      <c r="I4389" t="str">
        <f t="shared" si="55"/>
        <v>Complete Auto Dealerships|Good</v>
      </c>
      <c r="J4389" t="s">
        <v>1435</v>
      </c>
    </row>
    <row r="4390" spans="2:10">
      <c r="B4390" t="s">
        <v>581</v>
      </c>
      <c r="C4390" t="s">
        <v>226</v>
      </c>
      <c r="F4390">
        <v>35</v>
      </c>
      <c r="G4390">
        <v>30</v>
      </c>
      <c r="H4390">
        <v>30</v>
      </c>
      <c r="I4390" t="str">
        <f t="shared" si="55"/>
        <v>Complete Auto Dealerships|Low Cost</v>
      </c>
      <c r="J4390" t="s">
        <v>1349</v>
      </c>
    </row>
    <row r="4391" spans="2:10">
      <c r="B4391" t="s">
        <v>583</v>
      </c>
      <c r="C4391" t="s">
        <v>229</v>
      </c>
      <c r="F4391">
        <v>45</v>
      </c>
      <c r="G4391">
        <v>40</v>
      </c>
      <c r="H4391">
        <v>40</v>
      </c>
      <c r="I4391" t="str">
        <f t="shared" si="55"/>
        <v>Automotive Service Centers|Good</v>
      </c>
      <c r="J4391" t="s">
        <v>1436</v>
      </c>
    </row>
    <row r="4392" spans="2:10">
      <c r="B4392" t="s">
        <v>583</v>
      </c>
      <c r="C4392" t="s">
        <v>44</v>
      </c>
      <c r="F4392">
        <v>40</v>
      </c>
      <c r="G4392">
        <v>35</v>
      </c>
      <c r="H4392">
        <v>35</v>
      </c>
      <c r="I4392" t="str">
        <f t="shared" si="55"/>
        <v>Automotive Service Centers|Average</v>
      </c>
      <c r="J4392" t="s">
        <v>1345</v>
      </c>
    </row>
    <row r="4393" spans="2:10">
      <c r="B4393" t="s">
        <v>583</v>
      </c>
      <c r="C4393" t="s">
        <v>226</v>
      </c>
      <c r="F4393">
        <v>35</v>
      </c>
      <c r="G4393">
        <v>30</v>
      </c>
      <c r="H4393">
        <v>30</v>
      </c>
      <c r="I4393" t="str">
        <f t="shared" si="55"/>
        <v>Automotive Service Centers|Low Cost</v>
      </c>
      <c r="J4393" t="s">
        <v>1349</v>
      </c>
    </row>
    <row r="4394" spans="2:10">
      <c r="B4394" t="s">
        <v>586</v>
      </c>
      <c r="C4394" t="s">
        <v>44</v>
      </c>
      <c r="D4394">
        <v>45</v>
      </c>
      <c r="E4394">
        <v>45</v>
      </c>
      <c r="F4394">
        <v>40</v>
      </c>
      <c r="G4394">
        <v>35</v>
      </c>
      <c r="H4394">
        <v>35</v>
      </c>
      <c r="I4394" t="str">
        <f t="shared" si="55"/>
        <v>Showrooms|Average</v>
      </c>
      <c r="J4394" t="s">
        <v>1345</v>
      </c>
    </row>
    <row r="4395" spans="2:10">
      <c r="B4395" t="s">
        <v>586</v>
      </c>
      <c r="C4395" t="s">
        <v>231</v>
      </c>
      <c r="D4395">
        <v>50</v>
      </c>
      <c r="E4395">
        <v>50</v>
      </c>
      <c r="F4395">
        <v>45</v>
      </c>
      <c r="G4395">
        <v>40</v>
      </c>
      <c r="H4395">
        <v>40</v>
      </c>
      <c r="I4395" t="str">
        <f t="shared" si="55"/>
        <v>Showrooms|Excellent</v>
      </c>
      <c r="J4395" t="s">
        <v>1437</v>
      </c>
    </row>
    <row r="4396" spans="2:10">
      <c r="B4396" t="s">
        <v>586</v>
      </c>
      <c r="C4396" t="s">
        <v>229</v>
      </c>
      <c r="D4396">
        <v>50</v>
      </c>
      <c r="E4396">
        <v>50</v>
      </c>
      <c r="F4396">
        <v>45</v>
      </c>
      <c r="G4396">
        <v>40</v>
      </c>
      <c r="H4396">
        <v>40</v>
      </c>
      <c r="I4396" t="str">
        <f t="shared" si="55"/>
        <v>Showrooms|Good</v>
      </c>
      <c r="J4396" t="s">
        <v>1437</v>
      </c>
    </row>
    <row r="4397" spans="2:10">
      <c r="B4397" t="s">
        <v>586</v>
      </c>
      <c r="C4397" t="s">
        <v>226</v>
      </c>
      <c r="F4397">
        <v>35</v>
      </c>
      <c r="G4397">
        <v>30</v>
      </c>
      <c r="H4397">
        <v>30</v>
      </c>
      <c r="I4397" t="str">
        <f t="shared" si="55"/>
        <v>Showrooms|Low Cost</v>
      </c>
      <c r="J4397" t="s">
        <v>1349</v>
      </c>
    </row>
    <row r="4398" spans="2:10">
      <c r="B4398" t="s">
        <v>588</v>
      </c>
      <c r="C4398" t="s">
        <v>44</v>
      </c>
      <c r="D4398">
        <v>40</v>
      </c>
      <c r="E4398">
        <v>40</v>
      </c>
      <c r="F4398">
        <v>35</v>
      </c>
      <c r="G4398">
        <v>30</v>
      </c>
      <c r="H4398">
        <v>30</v>
      </c>
      <c r="I4398" t="str">
        <f t="shared" si="55"/>
        <v>Service Garages (Commercial/Repair)|Average</v>
      </c>
      <c r="J4398" t="s">
        <v>1341</v>
      </c>
    </row>
    <row r="4399" spans="2:10">
      <c r="B4399" t="s">
        <v>588</v>
      </c>
      <c r="C4399" t="s">
        <v>231</v>
      </c>
      <c r="F4399">
        <v>40</v>
      </c>
      <c r="G4399">
        <v>35</v>
      </c>
      <c r="H4399">
        <v>35</v>
      </c>
      <c r="I4399" t="str">
        <f t="shared" si="55"/>
        <v>Service Garages (Commercial/Repair)|Excellent</v>
      </c>
      <c r="J4399" t="s">
        <v>1438</v>
      </c>
    </row>
    <row r="4400" spans="2:10">
      <c r="B4400" t="s">
        <v>588</v>
      </c>
      <c r="C4400" t="s">
        <v>229</v>
      </c>
      <c r="F4400">
        <v>40</v>
      </c>
      <c r="G4400">
        <v>35</v>
      </c>
      <c r="H4400">
        <v>35</v>
      </c>
      <c r="I4400" t="str">
        <f t="shared" si="55"/>
        <v>Service Garages (Commercial/Repair)|Good</v>
      </c>
      <c r="J4400" t="s">
        <v>1438</v>
      </c>
    </row>
    <row r="4401" spans="2:10">
      <c r="B4401" t="s">
        <v>588</v>
      </c>
      <c r="C4401" t="s">
        <v>226</v>
      </c>
      <c r="D4401">
        <v>40</v>
      </c>
      <c r="E4401">
        <v>40</v>
      </c>
      <c r="F4401">
        <v>35</v>
      </c>
      <c r="G4401">
        <v>30</v>
      </c>
      <c r="H4401">
        <v>30</v>
      </c>
      <c r="I4401" t="str">
        <f t="shared" si="55"/>
        <v>Service Garages (Commercial/Repair)|Low Cost</v>
      </c>
      <c r="J4401" t="s">
        <v>1341</v>
      </c>
    </row>
    <row r="4402" spans="2:10">
      <c r="B4402" t="s">
        <v>591</v>
      </c>
      <c r="C4402" t="s">
        <v>229</v>
      </c>
      <c r="F4402">
        <v>35</v>
      </c>
      <c r="G4402">
        <v>30</v>
      </c>
      <c r="H4402">
        <v>30</v>
      </c>
      <c r="I4402" t="str">
        <f t="shared" si="55"/>
        <v>Service Garage Sheds|Good</v>
      </c>
      <c r="J4402" t="s">
        <v>1439</v>
      </c>
    </row>
    <row r="4403" spans="2:10">
      <c r="B4403" t="s">
        <v>591</v>
      </c>
      <c r="C4403" t="s">
        <v>44</v>
      </c>
      <c r="F4403">
        <v>30</v>
      </c>
      <c r="G4403">
        <v>25</v>
      </c>
      <c r="H4403">
        <v>25</v>
      </c>
      <c r="I4403" t="str">
        <f t="shared" si="55"/>
        <v>Service Garage Sheds|Average</v>
      </c>
      <c r="J4403" t="s">
        <v>1341</v>
      </c>
    </row>
    <row r="4404" spans="2:10">
      <c r="B4404" t="s">
        <v>591</v>
      </c>
      <c r="C4404" t="s">
        <v>226</v>
      </c>
      <c r="F4404">
        <v>30</v>
      </c>
      <c r="G4404">
        <v>25</v>
      </c>
      <c r="H4404">
        <v>25</v>
      </c>
      <c r="I4404" t="str">
        <f t="shared" si="55"/>
        <v>Service Garage Sheds|Low Cost</v>
      </c>
      <c r="J4404" t="s">
        <v>1341</v>
      </c>
    </row>
    <row r="4405" spans="2:10">
      <c r="B4405" t="s">
        <v>593</v>
      </c>
      <c r="C4405" t="s">
        <v>231</v>
      </c>
      <c r="F4405">
        <v>45</v>
      </c>
      <c r="H4405">
        <v>40</v>
      </c>
      <c r="I4405" t="str">
        <f t="shared" si="55"/>
        <v>Municipal Service Garages|Excellent</v>
      </c>
      <c r="J4405" t="s">
        <v>1440</v>
      </c>
    </row>
    <row r="4406" spans="2:10">
      <c r="B4406" t="s">
        <v>593</v>
      </c>
      <c r="C4406" t="s">
        <v>229</v>
      </c>
      <c r="F4406">
        <v>40</v>
      </c>
      <c r="G4406">
        <v>35</v>
      </c>
      <c r="H4406">
        <v>35</v>
      </c>
      <c r="I4406" t="str">
        <f t="shared" si="55"/>
        <v>Municipal Service Garages|Good</v>
      </c>
      <c r="J4406" t="s">
        <v>1360</v>
      </c>
    </row>
    <row r="4407" spans="2:10">
      <c r="B4407" t="s">
        <v>593</v>
      </c>
      <c r="C4407" t="s">
        <v>44</v>
      </c>
      <c r="F4407">
        <v>40</v>
      </c>
      <c r="G4407">
        <v>35</v>
      </c>
      <c r="H4407">
        <v>35</v>
      </c>
      <c r="I4407" t="str">
        <f t="shared" si="55"/>
        <v>Municipal Service Garages|Average</v>
      </c>
      <c r="J4407" t="s">
        <v>1360</v>
      </c>
    </row>
    <row r="4408" spans="2:10">
      <c r="B4408" t="s">
        <v>596</v>
      </c>
      <c r="C4408" t="s">
        <v>231</v>
      </c>
      <c r="F4408">
        <v>40</v>
      </c>
      <c r="G4408">
        <v>35</v>
      </c>
      <c r="H4408">
        <v>35</v>
      </c>
      <c r="I4408" t="str">
        <f t="shared" ref="I4408:I4471" si="56">B4408&amp;"|"&amp;C4408</f>
        <v>Mini-Lube Garages|Excellent</v>
      </c>
      <c r="J4408" t="s">
        <v>1441</v>
      </c>
    </row>
    <row r="4409" spans="2:10">
      <c r="B4409" t="s">
        <v>596</v>
      </c>
      <c r="C4409" t="s">
        <v>229</v>
      </c>
      <c r="F4409">
        <v>40</v>
      </c>
      <c r="G4409">
        <v>35</v>
      </c>
      <c r="H4409">
        <v>35</v>
      </c>
      <c r="I4409" t="str">
        <f t="shared" si="56"/>
        <v>Mini-Lube Garages|Good</v>
      </c>
      <c r="J4409" t="s">
        <v>1441</v>
      </c>
    </row>
    <row r="4410" spans="2:10">
      <c r="B4410" t="s">
        <v>596</v>
      </c>
      <c r="C4410" t="s">
        <v>44</v>
      </c>
      <c r="F4410">
        <v>35</v>
      </c>
      <c r="G4410">
        <v>30</v>
      </c>
      <c r="H4410">
        <v>30</v>
      </c>
      <c r="I4410" t="str">
        <f t="shared" si="56"/>
        <v>Mini-Lube Garages|Average</v>
      </c>
      <c r="J4410" t="s">
        <v>1341</v>
      </c>
    </row>
    <row r="4411" spans="2:10">
      <c r="B4411" t="s">
        <v>596</v>
      </c>
      <c r="C4411" t="s">
        <v>226</v>
      </c>
      <c r="F4411">
        <v>35</v>
      </c>
      <c r="G4411">
        <v>30</v>
      </c>
      <c r="H4411">
        <v>30</v>
      </c>
      <c r="I4411" t="str">
        <f t="shared" si="56"/>
        <v>Mini-Lube Garages|Low Cost</v>
      </c>
      <c r="J4411" t="s">
        <v>1341</v>
      </c>
    </row>
    <row r="4412" spans="2:10">
      <c r="B4412" t="s">
        <v>598</v>
      </c>
      <c r="C4412" t="s">
        <v>229</v>
      </c>
      <c r="D4412">
        <v>45</v>
      </c>
      <c r="E4412">
        <v>45</v>
      </c>
      <c r="I4412" t="str">
        <f t="shared" si="56"/>
        <v>Parking (Parkade) Structures|Good</v>
      </c>
      <c r="J4412" t="s">
        <v>1442</v>
      </c>
    </row>
    <row r="4413" spans="2:10">
      <c r="B4413" t="s">
        <v>598</v>
      </c>
      <c r="C4413" t="s">
        <v>44</v>
      </c>
      <c r="D4413">
        <v>40</v>
      </c>
      <c r="E4413">
        <v>40</v>
      </c>
      <c r="H4413">
        <v>35</v>
      </c>
      <c r="I4413" t="str">
        <f t="shared" si="56"/>
        <v>Parking (Parkade) Structures|Average</v>
      </c>
      <c r="J4413" t="s">
        <v>1341</v>
      </c>
    </row>
    <row r="4414" spans="2:10">
      <c r="B4414" t="s">
        <v>598</v>
      </c>
      <c r="C4414" t="s">
        <v>226</v>
      </c>
      <c r="D4414">
        <v>40</v>
      </c>
      <c r="E4414">
        <v>40</v>
      </c>
      <c r="H4414">
        <v>35</v>
      </c>
      <c r="I4414" t="str">
        <f t="shared" si="56"/>
        <v>Parking (Parkade) Structures|Low Cost</v>
      </c>
      <c r="J4414" t="s">
        <v>1341</v>
      </c>
    </row>
    <row r="4415" spans="2:10">
      <c r="B4415" t="s">
        <v>598</v>
      </c>
      <c r="C4415" t="s">
        <v>314</v>
      </c>
      <c r="H4415">
        <v>30</v>
      </c>
      <c r="I4415" t="str">
        <f t="shared" si="56"/>
        <v>Parking (Parkade) Structures|Cheap</v>
      </c>
      <c r="J4415" t="s">
        <v>1356</v>
      </c>
    </row>
    <row r="4416" spans="2:10">
      <c r="B4416" t="s">
        <v>601</v>
      </c>
      <c r="C4416" t="s">
        <v>44</v>
      </c>
      <c r="D4416">
        <v>45</v>
      </c>
      <c r="E4416">
        <v>45</v>
      </c>
      <c r="F4416">
        <v>40</v>
      </c>
      <c r="G4416">
        <v>35</v>
      </c>
      <c r="H4416">
        <v>35</v>
      </c>
      <c r="I4416" t="str">
        <f t="shared" si="56"/>
        <v>Storage Garages|Average</v>
      </c>
      <c r="J4416" t="s">
        <v>1443</v>
      </c>
    </row>
    <row r="4417" spans="2:10">
      <c r="B4417" t="s">
        <v>603</v>
      </c>
      <c r="C4417" t="s">
        <v>229</v>
      </c>
      <c r="D4417">
        <v>50</v>
      </c>
      <c r="E4417">
        <v>50</v>
      </c>
      <c r="F4417">
        <v>45</v>
      </c>
      <c r="G4417">
        <v>40</v>
      </c>
      <c r="H4417">
        <v>40</v>
      </c>
      <c r="I4417" t="str">
        <f t="shared" si="56"/>
        <v>Light Industrial/Warehouse Shell Buildings|Good</v>
      </c>
      <c r="J4417" t="s">
        <v>1415</v>
      </c>
    </row>
    <row r="4418" spans="2:10">
      <c r="B4418" t="s">
        <v>603</v>
      </c>
      <c r="C4418" t="s">
        <v>44</v>
      </c>
      <c r="D4418">
        <v>50</v>
      </c>
      <c r="E4418">
        <v>50</v>
      </c>
      <c r="F4418">
        <v>40</v>
      </c>
      <c r="G4418">
        <v>35</v>
      </c>
      <c r="H4418">
        <v>35</v>
      </c>
      <c r="I4418" t="str">
        <f t="shared" si="56"/>
        <v>Light Industrial/Warehouse Shell Buildings|Average</v>
      </c>
      <c r="J4418" t="s">
        <v>1345</v>
      </c>
    </row>
    <row r="4419" spans="2:10">
      <c r="B4419" t="s">
        <v>603</v>
      </c>
      <c r="C4419" t="s">
        <v>226</v>
      </c>
      <c r="D4419">
        <v>45</v>
      </c>
      <c r="E4419">
        <v>45</v>
      </c>
      <c r="F4419">
        <v>40</v>
      </c>
      <c r="G4419">
        <v>35</v>
      </c>
      <c r="H4419">
        <v>35</v>
      </c>
      <c r="I4419" t="str">
        <f t="shared" si="56"/>
        <v>Light Industrial/Warehouse Shell Buildings|Low Cost</v>
      </c>
      <c r="J4419" t="s">
        <v>1349</v>
      </c>
    </row>
    <row r="4420" spans="2:10">
      <c r="B4420" t="s">
        <v>603</v>
      </c>
      <c r="C4420" t="s">
        <v>314</v>
      </c>
      <c r="D4420">
        <v>45</v>
      </c>
      <c r="E4420">
        <v>45</v>
      </c>
      <c r="F4420">
        <v>40</v>
      </c>
      <c r="G4420">
        <v>35</v>
      </c>
      <c r="H4420">
        <v>35</v>
      </c>
      <c r="I4420" t="str">
        <f t="shared" si="56"/>
        <v>Light Industrial/Warehouse Shell Buildings|Cheap</v>
      </c>
      <c r="J4420" t="s">
        <v>1349</v>
      </c>
    </row>
    <row r="4421" spans="2:10">
      <c r="B4421" t="s">
        <v>606</v>
      </c>
      <c r="C4421" t="s">
        <v>231</v>
      </c>
      <c r="D4421">
        <v>60</v>
      </c>
      <c r="E4421">
        <v>60</v>
      </c>
      <c r="F4421">
        <v>55</v>
      </c>
      <c r="G4421">
        <v>50</v>
      </c>
      <c r="H4421">
        <v>50</v>
      </c>
      <c r="I4421" t="str">
        <f t="shared" si="56"/>
        <v>Office Buildings|Excellent</v>
      </c>
      <c r="J4421" t="s">
        <v>1444</v>
      </c>
    </row>
    <row r="4422" spans="2:10">
      <c r="B4422" t="s">
        <v>606</v>
      </c>
      <c r="C4422" t="s">
        <v>229</v>
      </c>
      <c r="D4422">
        <v>60</v>
      </c>
      <c r="E4422">
        <v>60</v>
      </c>
      <c r="F4422">
        <v>55</v>
      </c>
      <c r="G4422">
        <v>50</v>
      </c>
      <c r="H4422">
        <v>50</v>
      </c>
      <c r="I4422" t="str">
        <f t="shared" si="56"/>
        <v>Office Buildings|Good</v>
      </c>
      <c r="J4422" t="s">
        <v>1444</v>
      </c>
    </row>
    <row r="4423" spans="2:10">
      <c r="B4423" t="s">
        <v>606</v>
      </c>
      <c r="C4423" t="s">
        <v>44</v>
      </c>
      <c r="D4423">
        <v>55</v>
      </c>
      <c r="E4423">
        <v>55</v>
      </c>
      <c r="F4423">
        <v>50</v>
      </c>
      <c r="G4423">
        <v>45</v>
      </c>
      <c r="H4423">
        <v>45</v>
      </c>
      <c r="I4423" t="str">
        <f t="shared" si="56"/>
        <v>Office Buildings|Average</v>
      </c>
      <c r="J4423" t="s">
        <v>1345</v>
      </c>
    </row>
    <row r="4424" spans="2:10">
      <c r="B4424" t="s">
        <v>606</v>
      </c>
      <c r="C4424" t="s">
        <v>226</v>
      </c>
      <c r="D4424">
        <v>50</v>
      </c>
      <c r="E4424">
        <v>50</v>
      </c>
      <c r="F4424">
        <v>45</v>
      </c>
      <c r="G4424">
        <v>40</v>
      </c>
      <c r="H4424">
        <v>40</v>
      </c>
      <c r="I4424" t="str">
        <f t="shared" si="56"/>
        <v>Office Buildings|Low Cost</v>
      </c>
      <c r="J4424" t="s">
        <v>1349</v>
      </c>
    </row>
    <row r="4425" spans="2:10">
      <c r="B4425" t="s">
        <v>609</v>
      </c>
      <c r="C4425" t="s">
        <v>231</v>
      </c>
      <c r="D4425">
        <v>60</v>
      </c>
      <c r="E4425">
        <v>60</v>
      </c>
      <c r="F4425">
        <v>55</v>
      </c>
      <c r="G4425">
        <v>50</v>
      </c>
      <c r="H4425">
        <v>50</v>
      </c>
      <c r="I4425" t="str">
        <f t="shared" si="56"/>
        <v>Atriums/Vestibules|Excellent</v>
      </c>
      <c r="J4425" t="s">
        <v>1445</v>
      </c>
    </row>
    <row r="4426" spans="2:10">
      <c r="B4426" t="s">
        <v>609</v>
      </c>
      <c r="C4426" t="s">
        <v>229</v>
      </c>
      <c r="D4426">
        <v>60</v>
      </c>
      <c r="E4426">
        <v>60</v>
      </c>
      <c r="F4426">
        <v>55</v>
      </c>
      <c r="G4426">
        <v>50</v>
      </c>
      <c r="H4426">
        <v>50</v>
      </c>
      <c r="I4426" t="str">
        <f t="shared" si="56"/>
        <v>Atriums/Vestibules|Good</v>
      </c>
      <c r="J4426" t="s">
        <v>1445</v>
      </c>
    </row>
    <row r="4427" spans="2:10">
      <c r="B4427" t="s">
        <v>609</v>
      </c>
      <c r="C4427" t="s">
        <v>44</v>
      </c>
      <c r="D4427">
        <v>55</v>
      </c>
      <c r="E4427">
        <v>55</v>
      </c>
      <c r="F4427">
        <v>50</v>
      </c>
      <c r="G4427">
        <v>45</v>
      </c>
      <c r="H4427">
        <v>45</v>
      </c>
      <c r="I4427" t="str">
        <f t="shared" si="56"/>
        <v>Atriums/Vestibules|Average</v>
      </c>
      <c r="J4427" t="s">
        <v>1345</v>
      </c>
    </row>
    <row r="4428" spans="2:10">
      <c r="B4428" t="s">
        <v>609</v>
      </c>
      <c r="C4428" t="s">
        <v>226</v>
      </c>
      <c r="D4428">
        <v>55</v>
      </c>
      <c r="E4428">
        <v>55</v>
      </c>
      <c r="F4428">
        <v>50</v>
      </c>
      <c r="G4428">
        <v>45</v>
      </c>
      <c r="H4428">
        <v>45</v>
      </c>
      <c r="I4428" t="str">
        <f t="shared" si="56"/>
        <v>Atriums/Vestibules|Low Cost</v>
      </c>
      <c r="J4428" t="s">
        <v>1345</v>
      </c>
    </row>
    <row r="4429" spans="2:10">
      <c r="B4429" t="s">
        <v>609</v>
      </c>
      <c r="C4429" t="s">
        <v>314</v>
      </c>
      <c r="D4429">
        <v>55</v>
      </c>
      <c r="E4429">
        <v>55</v>
      </c>
      <c r="F4429">
        <v>50</v>
      </c>
      <c r="G4429">
        <v>45</v>
      </c>
      <c r="H4429">
        <v>45</v>
      </c>
      <c r="I4429" t="str">
        <f t="shared" si="56"/>
        <v>Atriums/Vestibules|Cheap</v>
      </c>
      <c r="J4429" t="s">
        <v>1345</v>
      </c>
    </row>
    <row r="4430" spans="2:10">
      <c r="B4430" t="s">
        <v>612</v>
      </c>
      <c r="C4430" t="s">
        <v>231</v>
      </c>
      <c r="D4430">
        <v>60</v>
      </c>
      <c r="E4430">
        <v>60</v>
      </c>
      <c r="I4430" t="str">
        <f t="shared" si="56"/>
        <v>Parking Levels (Intermediate/Under Building)|Excellent</v>
      </c>
      <c r="J4430" t="s">
        <v>1446</v>
      </c>
    </row>
    <row r="4431" spans="2:10">
      <c r="B4431" t="s">
        <v>612</v>
      </c>
      <c r="C4431" t="s">
        <v>229</v>
      </c>
      <c r="D4431">
        <v>55</v>
      </c>
      <c r="E4431">
        <v>55</v>
      </c>
      <c r="F4431">
        <v>50</v>
      </c>
      <c r="G4431">
        <v>50</v>
      </c>
      <c r="H4431">
        <v>50</v>
      </c>
      <c r="I4431" t="str">
        <f t="shared" si="56"/>
        <v>Parking Levels (Intermediate/Under Building)|Good</v>
      </c>
      <c r="J4431" t="s">
        <v>1347</v>
      </c>
    </row>
    <row r="4432" spans="2:10">
      <c r="B4432" t="s">
        <v>612</v>
      </c>
      <c r="C4432" t="s">
        <v>44</v>
      </c>
      <c r="D4432">
        <v>50</v>
      </c>
      <c r="E4432">
        <v>50</v>
      </c>
      <c r="F4432">
        <v>45</v>
      </c>
      <c r="G4432">
        <v>45</v>
      </c>
      <c r="H4432">
        <v>45</v>
      </c>
      <c r="I4432" t="str">
        <f t="shared" si="56"/>
        <v>Parking Levels (Intermediate/Under Building)|Average</v>
      </c>
      <c r="J4432" t="s">
        <v>1345</v>
      </c>
    </row>
    <row r="4433" spans="2:10">
      <c r="B4433" t="s">
        <v>612</v>
      </c>
      <c r="C4433" t="s">
        <v>226</v>
      </c>
      <c r="D4433">
        <v>30</v>
      </c>
      <c r="E4433">
        <v>30</v>
      </c>
      <c r="F4433">
        <v>25</v>
      </c>
      <c r="G4433">
        <v>25</v>
      </c>
      <c r="H4433">
        <v>25</v>
      </c>
      <c r="I4433" t="str">
        <f t="shared" si="56"/>
        <v>Parking Levels (Intermediate/Under Building)|Low Cost</v>
      </c>
      <c r="J4433" t="s">
        <v>1349</v>
      </c>
    </row>
    <row r="4434" spans="2:10">
      <c r="B4434" t="s">
        <v>612</v>
      </c>
      <c r="C4434" t="s">
        <v>314</v>
      </c>
      <c r="D4434">
        <v>25</v>
      </c>
      <c r="E4434">
        <v>25</v>
      </c>
      <c r="F4434">
        <v>20</v>
      </c>
      <c r="G4434">
        <v>20</v>
      </c>
      <c r="H4434">
        <v>20</v>
      </c>
      <c r="I4434" t="str">
        <f t="shared" si="56"/>
        <v>Parking Levels (Intermediate/Under Building)|Cheap</v>
      </c>
      <c r="J4434" t="s">
        <v>1356</v>
      </c>
    </row>
    <row r="4435" spans="2:10">
      <c r="B4435" t="s">
        <v>614</v>
      </c>
      <c r="C4435" t="s">
        <v>231</v>
      </c>
      <c r="D4435">
        <v>60</v>
      </c>
      <c r="E4435">
        <v>60</v>
      </c>
      <c r="F4435">
        <v>55</v>
      </c>
      <c r="G4435">
        <v>50</v>
      </c>
      <c r="H4435">
        <v>50</v>
      </c>
      <c r="I4435" t="str">
        <f t="shared" si="56"/>
        <v>Mechanical Penthouses|Excellent</v>
      </c>
      <c r="J4435" t="s">
        <v>1444</v>
      </c>
    </row>
    <row r="4436" spans="2:10">
      <c r="B4436" t="s">
        <v>614</v>
      </c>
      <c r="C4436" t="s">
        <v>229</v>
      </c>
      <c r="D4436">
        <v>60</v>
      </c>
      <c r="E4436">
        <v>60</v>
      </c>
      <c r="F4436">
        <v>55</v>
      </c>
      <c r="G4436">
        <v>50</v>
      </c>
      <c r="H4436">
        <v>50</v>
      </c>
      <c r="I4436" t="str">
        <f t="shared" si="56"/>
        <v>Mechanical Penthouses|Good</v>
      </c>
      <c r="J4436" t="s">
        <v>1444</v>
      </c>
    </row>
    <row r="4437" spans="2:10">
      <c r="B4437" t="s">
        <v>614</v>
      </c>
      <c r="C4437" t="s">
        <v>44</v>
      </c>
      <c r="D4437">
        <v>55</v>
      </c>
      <c r="E4437">
        <v>55</v>
      </c>
      <c r="F4437">
        <v>50</v>
      </c>
      <c r="G4437">
        <v>45</v>
      </c>
      <c r="H4437">
        <v>45</v>
      </c>
      <c r="I4437" t="str">
        <f t="shared" si="56"/>
        <v>Mechanical Penthouses|Average</v>
      </c>
      <c r="J4437" t="s">
        <v>1345</v>
      </c>
    </row>
    <row r="4438" spans="2:10">
      <c r="B4438" t="s">
        <v>614</v>
      </c>
      <c r="C4438" t="s">
        <v>226</v>
      </c>
      <c r="D4438">
        <v>50</v>
      </c>
      <c r="E4438">
        <v>50</v>
      </c>
      <c r="F4438">
        <v>45</v>
      </c>
      <c r="G4438">
        <v>40</v>
      </c>
      <c r="H4438">
        <v>40</v>
      </c>
      <c r="I4438" t="str">
        <f t="shared" si="56"/>
        <v>Mechanical Penthouses|Low Cost</v>
      </c>
      <c r="J4438" t="s">
        <v>1349</v>
      </c>
    </row>
    <row r="4439" spans="2:10">
      <c r="B4439" t="s">
        <v>617</v>
      </c>
      <c r="C4439" t="s">
        <v>231</v>
      </c>
      <c r="D4439">
        <v>60</v>
      </c>
      <c r="E4439">
        <v>60</v>
      </c>
      <c r="F4439">
        <v>55</v>
      </c>
      <c r="G4439">
        <v>50</v>
      </c>
      <c r="H4439">
        <v>50</v>
      </c>
      <c r="I4439" t="str">
        <f t="shared" si="56"/>
        <v>Banks – Central Offices|Excellent</v>
      </c>
      <c r="J4439" t="s">
        <v>1447</v>
      </c>
    </row>
    <row r="4440" spans="2:10">
      <c r="B4440" t="s">
        <v>617</v>
      </c>
      <c r="C4440" t="s">
        <v>229</v>
      </c>
      <c r="D4440">
        <v>60</v>
      </c>
      <c r="E4440">
        <v>60</v>
      </c>
      <c r="F4440">
        <v>55</v>
      </c>
      <c r="G4440">
        <v>50</v>
      </c>
      <c r="H4440">
        <v>50</v>
      </c>
      <c r="I4440" t="str">
        <f t="shared" si="56"/>
        <v>Banks – Central Offices|Good</v>
      </c>
      <c r="J4440" t="s">
        <v>1447</v>
      </c>
    </row>
    <row r="4441" spans="2:10">
      <c r="B4441" t="s">
        <v>617</v>
      </c>
      <c r="C4441" t="s">
        <v>44</v>
      </c>
      <c r="D4441">
        <v>55</v>
      </c>
      <c r="E4441">
        <v>55</v>
      </c>
      <c r="F4441">
        <v>50</v>
      </c>
      <c r="G4441">
        <v>45</v>
      </c>
      <c r="H4441">
        <v>45</v>
      </c>
      <c r="I4441" t="str">
        <f t="shared" si="56"/>
        <v>Banks – Central Offices|Average</v>
      </c>
      <c r="J4441" t="s">
        <v>1345</v>
      </c>
    </row>
    <row r="4442" spans="2:10">
      <c r="B4442" t="s">
        <v>620</v>
      </c>
      <c r="C4442" t="s">
        <v>229</v>
      </c>
      <c r="D4442">
        <v>55</v>
      </c>
      <c r="E4442">
        <v>55</v>
      </c>
      <c r="F4442">
        <v>50</v>
      </c>
      <c r="G4442">
        <v>45</v>
      </c>
      <c r="H4442">
        <v>45</v>
      </c>
      <c r="I4442" t="str">
        <f t="shared" si="56"/>
        <v>Mini-Banks (Walk-Up and Drive-Through)|Good</v>
      </c>
      <c r="J4442" t="s">
        <v>1448</v>
      </c>
    </row>
    <row r="4443" spans="2:10">
      <c r="B4443" t="s">
        <v>620</v>
      </c>
      <c r="C4443" t="s">
        <v>44</v>
      </c>
      <c r="D4443">
        <v>50</v>
      </c>
      <c r="E4443">
        <v>50</v>
      </c>
      <c r="F4443">
        <v>45</v>
      </c>
      <c r="G4443">
        <v>40</v>
      </c>
      <c r="H4443">
        <v>40</v>
      </c>
      <c r="I4443" t="str">
        <f t="shared" si="56"/>
        <v>Mini-Banks (Walk-Up and Drive-Through)|Average</v>
      </c>
      <c r="J4443" t="s">
        <v>1341</v>
      </c>
    </row>
    <row r="4444" spans="2:10">
      <c r="B4444" t="s">
        <v>620</v>
      </c>
      <c r="C4444" t="s">
        <v>231</v>
      </c>
      <c r="D4444">
        <v>55</v>
      </c>
      <c r="E4444">
        <v>55</v>
      </c>
      <c r="F4444">
        <v>50</v>
      </c>
      <c r="G4444">
        <v>45</v>
      </c>
      <c r="H4444">
        <v>45</v>
      </c>
      <c r="I4444" t="str">
        <f t="shared" si="56"/>
        <v>Mini-Banks (Walk-Up and Drive-Through)|Excellent</v>
      </c>
      <c r="J4444" t="s">
        <v>1448</v>
      </c>
    </row>
    <row r="4445" spans="2:10">
      <c r="B4445" t="s">
        <v>620</v>
      </c>
      <c r="C4445" t="s">
        <v>226</v>
      </c>
      <c r="D4445">
        <v>50</v>
      </c>
      <c r="E4445">
        <v>50</v>
      </c>
      <c r="F4445">
        <v>45</v>
      </c>
      <c r="G4445">
        <v>40</v>
      </c>
      <c r="H4445">
        <v>40</v>
      </c>
      <c r="I4445" t="str">
        <f t="shared" si="56"/>
        <v>Mini-Banks (Walk-Up and Drive-Through)|Low Cost</v>
      </c>
      <c r="J4445" t="s">
        <v>1341</v>
      </c>
    </row>
    <row r="4446" spans="2:10">
      <c r="B4446" t="s">
        <v>622</v>
      </c>
      <c r="C4446" t="s">
        <v>229</v>
      </c>
      <c r="D4446">
        <v>60</v>
      </c>
      <c r="E4446">
        <v>60</v>
      </c>
      <c r="F4446">
        <v>55</v>
      </c>
      <c r="G4446">
        <v>50</v>
      </c>
      <c r="H4446">
        <v>50</v>
      </c>
      <c r="I4446" t="str">
        <f t="shared" si="56"/>
        <v>Banks, Branch|Good</v>
      </c>
      <c r="J4446" t="s">
        <v>1447</v>
      </c>
    </row>
    <row r="4447" spans="2:10">
      <c r="B4447" t="s">
        <v>622</v>
      </c>
      <c r="C4447" t="s">
        <v>44</v>
      </c>
      <c r="D4447">
        <v>55</v>
      </c>
      <c r="E4447">
        <v>55</v>
      </c>
      <c r="F4447">
        <v>50</v>
      </c>
      <c r="G4447">
        <v>45</v>
      </c>
      <c r="H4447">
        <v>45</v>
      </c>
      <c r="I4447" t="str">
        <f t="shared" si="56"/>
        <v>Banks, Branch|Average</v>
      </c>
      <c r="J4447" t="s">
        <v>1345</v>
      </c>
    </row>
    <row r="4448" spans="2:10">
      <c r="B4448" t="s">
        <v>622</v>
      </c>
      <c r="C4448" t="s">
        <v>226</v>
      </c>
      <c r="D4448">
        <v>50</v>
      </c>
      <c r="E4448">
        <v>50</v>
      </c>
      <c r="F4448">
        <v>45</v>
      </c>
      <c r="G4448">
        <v>40</v>
      </c>
      <c r="H4448">
        <v>40</v>
      </c>
      <c r="I4448" t="str">
        <f t="shared" si="56"/>
        <v>Banks, Branch|Low Cost</v>
      </c>
      <c r="J4448" t="s">
        <v>1349</v>
      </c>
    </row>
    <row r="4449" spans="2:10">
      <c r="B4449" t="s">
        <v>622</v>
      </c>
      <c r="C4449" t="s">
        <v>231</v>
      </c>
      <c r="D4449">
        <v>60</v>
      </c>
      <c r="E4449">
        <v>60</v>
      </c>
      <c r="F4449">
        <v>55</v>
      </c>
      <c r="G4449">
        <v>50</v>
      </c>
      <c r="H4449">
        <v>50</v>
      </c>
      <c r="I4449" t="str">
        <f t="shared" si="56"/>
        <v>Banks, Branch|Excellent</v>
      </c>
      <c r="J4449" t="s">
        <v>1447</v>
      </c>
    </row>
    <row r="4450" spans="2:10">
      <c r="B4450" t="s">
        <v>625</v>
      </c>
      <c r="C4450" t="s">
        <v>231</v>
      </c>
      <c r="D4450">
        <v>50</v>
      </c>
      <c r="E4450">
        <v>50</v>
      </c>
      <c r="F4450">
        <v>45</v>
      </c>
      <c r="G4450">
        <v>40</v>
      </c>
      <c r="H4450">
        <v>40</v>
      </c>
      <c r="I4450" t="str">
        <f t="shared" si="56"/>
        <v>Medical Office Buildings|Excellent</v>
      </c>
      <c r="J4450" t="s">
        <v>1449</v>
      </c>
    </row>
    <row r="4451" spans="2:10">
      <c r="B4451" t="s">
        <v>625</v>
      </c>
      <c r="C4451" t="s">
        <v>229</v>
      </c>
      <c r="D4451">
        <v>50</v>
      </c>
      <c r="E4451">
        <v>50</v>
      </c>
      <c r="F4451">
        <v>45</v>
      </c>
      <c r="G4451">
        <v>40</v>
      </c>
      <c r="H4451">
        <v>40</v>
      </c>
      <c r="I4451" t="str">
        <f t="shared" si="56"/>
        <v>Medical Office Buildings|Good</v>
      </c>
      <c r="J4451" t="s">
        <v>1449</v>
      </c>
    </row>
    <row r="4452" spans="2:10">
      <c r="B4452" t="s">
        <v>625</v>
      </c>
      <c r="C4452" t="s">
        <v>44</v>
      </c>
      <c r="D4452">
        <v>45</v>
      </c>
      <c r="E4452">
        <v>45</v>
      </c>
      <c r="F4452">
        <v>40</v>
      </c>
      <c r="G4452">
        <v>35</v>
      </c>
      <c r="H4452">
        <v>35</v>
      </c>
      <c r="I4452" t="str">
        <f t="shared" si="56"/>
        <v>Medical Office Buildings|Average</v>
      </c>
      <c r="J4452" t="s">
        <v>1341</v>
      </c>
    </row>
    <row r="4453" spans="2:10">
      <c r="B4453" t="s">
        <v>625</v>
      </c>
      <c r="C4453" t="s">
        <v>226</v>
      </c>
      <c r="D4453">
        <v>45</v>
      </c>
      <c r="E4453">
        <v>45</v>
      </c>
      <c r="F4453">
        <v>40</v>
      </c>
      <c r="G4453">
        <v>35</v>
      </c>
      <c r="H4453">
        <v>35</v>
      </c>
      <c r="I4453" t="str">
        <f t="shared" si="56"/>
        <v>Medical Office Buildings|Low Cost</v>
      </c>
      <c r="J4453" t="s">
        <v>1341</v>
      </c>
    </row>
    <row r="4454" spans="2:10">
      <c r="B4454" t="s">
        <v>628</v>
      </c>
      <c r="C4454" t="s">
        <v>231</v>
      </c>
      <c r="F4454">
        <v>45</v>
      </c>
      <c r="G4454">
        <v>40</v>
      </c>
      <c r="H4454">
        <v>40</v>
      </c>
      <c r="I4454" t="str">
        <f t="shared" si="56"/>
        <v>Dental Clinics|Excellent</v>
      </c>
      <c r="J4454" t="s">
        <v>1450</v>
      </c>
    </row>
    <row r="4455" spans="2:10">
      <c r="B4455" t="s">
        <v>628</v>
      </c>
      <c r="C4455" t="s">
        <v>229</v>
      </c>
      <c r="F4455">
        <v>45</v>
      </c>
      <c r="G4455">
        <v>40</v>
      </c>
      <c r="H4455">
        <v>40</v>
      </c>
      <c r="I4455" t="str">
        <f t="shared" si="56"/>
        <v>Dental Clinics|Good</v>
      </c>
      <c r="J4455" t="s">
        <v>1450</v>
      </c>
    </row>
    <row r="4456" spans="2:10">
      <c r="B4456" t="s">
        <v>628</v>
      </c>
      <c r="C4456" t="s">
        <v>44</v>
      </c>
      <c r="F4456">
        <v>40</v>
      </c>
      <c r="G4456">
        <v>35</v>
      </c>
      <c r="H4456">
        <v>35</v>
      </c>
      <c r="I4456" t="str">
        <f t="shared" si="56"/>
        <v>Dental Clinics|Average</v>
      </c>
      <c r="J4456" t="s">
        <v>1341</v>
      </c>
    </row>
    <row r="4457" spans="2:10">
      <c r="B4457" t="s">
        <v>628</v>
      </c>
      <c r="C4457" t="s">
        <v>226</v>
      </c>
      <c r="F4457">
        <v>40</v>
      </c>
      <c r="G4457">
        <v>35</v>
      </c>
      <c r="H4457">
        <v>35</v>
      </c>
      <c r="I4457" t="str">
        <f t="shared" si="56"/>
        <v>Dental Clinics|Low Cost</v>
      </c>
      <c r="J4457" t="s">
        <v>1341</v>
      </c>
    </row>
    <row r="4458" spans="2:10">
      <c r="B4458" t="s">
        <v>631</v>
      </c>
      <c r="C4458" t="s">
        <v>229</v>
      </c>
      <c r="D4458">
        <v>50</v>
      </c>
      <c r="E4458">
        <v>50</v>
      </c>
      <c r="F4458">
        <v>40</v>
      </c>
      <c r="G4458">
        <v>35</v>
      </c>
      <c r="H4458">
        <v>35</v>
      </c>
      <c r="I4458" t="str">
        <f t="shared" si="56"/>
        <v>Urgent Care Clinics|Good</v>
      </c>
      <c r="J4458" t="s">
        <v>1451</v>
      </c>
    </row>
    <row r="4459" spans="2:10">
      <c r="B4459" t="s">
        <v>631</v>
      </c>
      <c r="C4459" t="s">
        <v>44</v>
      </c>
      <c r="D4459">
        <v>45</v>
      </c>
      <c r="E4459">
        <v>45</v>
      </c>
      <c r="F4459">
        <v>35</v>
      </c>
      <c r="G4459">
        <v>30</v>
      </c>
      <c r="H4459">
        <v>30</v>
      </c>
      <c r="I4459" t="str">
        <f t="shared" si="56"/>
        <v>Urgent Care Clinics|Average</v>
      </c>
      <c r="J4459" t="s">
        <v>1345</v>
      </c>
    </row>
    <row r="4460" spans="2:10">
      <c r="B4460" t="s">
        <v>631</v>
      </c>
      <c r="C4460" t="s">
        <v>231</v>
      </c>
      <c r="D4460">
        <v>50</v>
      </c>
      <c r="E4460">
        <v>50</v>
      </c>
      <c r="F4460">
        <v>40</v>
      </c>
      <c r="G4460">
        <v>35</v>
      </c>
      <c r="H4460">
        <v>35</v>
      </c>
      <c r="I4460" t="str">
        <f t="shared" si="56"/>
        <v>Urgent Care Clinics|Excellent</v>
      </c>
      <c r="J4460" t="s">
        <v>1451</v>
      </c>
    </row>
    <row r="4461" spans="2:10">
      <c r="B4461" t="s">
        <v>633</v>
      </c>
      <c r="C4461" t="s">
        <v>231</v>
      </c>
      <c r="D4461">
        <v>50</v>
      </c>
      <c r="E4461">
        <v>50</v>
      </c>
      <c r="F4461">
        <v>45</v>
      </c>
      <c r="G4461">
        <v>40</v>
      </c>
      <c r="I4461" t="str">
        <f t="shared" si="56"/>
        <v>General Hospitals|Excellent</v>
      </c>
      <c r="J4461" t="s">
        <v>1452</v>
      </c>
    </row>
    <row r="4462" spans="2:10">
      <c r="B4462" t="s">
        <v>633</v>
      </c>
      <c r="C4462" t="s">
        <v>229</v>
      </c>
      <c r="D4462">
        <v>50</v>
      </c>
      <c r="E4462">
        <v>50</v>
      </c>
      <c r="F4462">
        <v>45</v>
      </c>
      <c r="G4462">
        <v>40</v>
      </c>
      <c r="I4462" t="str">
        <f t="shared" si="56"/>
        <v>General Hospitals|Good</v>
      </c>
      <c r="J4462" t="s">
        <v>1452</v>
      </c>
    </row>
    <row r="4463" spans="2:10">
      <c r="B4463" t="s">
        <v>633</v>
      </c>
      <c r="C4463" t="s">
        <v>44</v>
      </c>
      <c r="D4463">
        <v>45</v>
      </c>
      <c r="E4463">
        <v>45</v>
      </c>
      <c r="F4463">
        <v>40</v>
      </c>
      <c r="G4463">
        <v>35</v>
      </c>
      <c r="H4463">
        <v>35</v>
      </c>
      <c r="I4463" t="str">
        <f t="shared" si="56"/>
        <v>General Hospitals|Average</v>
      </c>
      <c r="J4463" t="s">
        <v>1341</v>
      </c>
    </row>
    <row r="4464" spans="2:10">
      <c r="B4464" t="s">
        <v>633</v>
      </c>
      <c r="C4464" t="s">
        <v>226</v>
      </c>
      <c r="D4464">
        <v>45</v>
      </c>
      <c r="E4464">
        <v>45</v>
      </c>
      <c r="F4464">
        <v>40</v>
      </c>
      <c r="G4464">
        <v>35</v>
      </c>
      <c r="H4464">
        <v>35</v>
      </c>
      <c r="I4464" t="str">
        <f t="shared" si="56"/>
        <v>General Hospitals|Low Cost</v>
      </c>
      <c r="J4464" t="s">
        <v>1341</v>
      </c>
    </row>
    <row r="4465" spans="2:10">
      <c r="B4465" t="s">
        <v>636</v>
      </c>
      <c r="C4465" t="s">
        <v>229</v>
      </c>
      <c r="D4465">
        <v>50</v>
      </c>
      <c r="E4465">
        <v>50</v>
      </c>
      <c r="F4465">
        <v>45</v>
      </c>
      <c r="G4465">
        <v>40</v>
      </c>
      <c r="I4465" t="str">
        <f t="shared" si="56"/>
        <v>Outpatient (Surgical) Centers|Good</v>
      </c>
      <c r="J4465" t="s">
        <v>1453</v>
      </c>
    </row>
    <row r="4466" spans="2:10">
      <c r="B4466" t="s">
        <v>636</v>
      </c>
      <c r="C4466" t="s">
        <v>44</v>
      </c>
      <c r="D4466">
        <v>45</v>
      </c>
      <c r="E4466">
        <v>45</v>
      </c>
      <c r="F4466">
        <v>40</v>
      </c>
      <c r="G4466">
        <v>35</v>
      </c>
      <c r="H4466">
        <v>35</v>
      </c>
      <c r="I4466" t="str">
        <f t="shared" si="56"/>
        <v>Outpatient (Surgical) Centers|Average</v>
      </c>
      <c r="J4466" t="s">
        <v>1341</v>
      </c>
    </row>
    <row r="4467" spans="2:10">
      <c r="B4467" t="s">
        <v>636</v>
      </c>
      <c r="C4467" t="s">
        <v>231</v>
      </c>
      <c r="D4467">
        <v>50</v>
      </c>
      <c r="E4467">
        <v>50</v>
      </c>
      <c r="F4467">
        <v>45</v>
      </c>
      <c r="G4467">
        <v>40</v>
      </c>
      <c r="I4467" t="str">
        <f t="shared" si="56"/>
        <v>Outpatient (Surgical) Centers|Excellent</v>
      </c>
      <c r="J4467" t="s">
        <v>1453</v>
      </c>
    </row>
    <row r="4468" spans="2:10">
      <c r="B4468" t="s">
        <v>636</v>
      </c>
      <c r="C4468" t="s">
        <v>302</v>
      </c>
      <c r="D4468">
        <v>45</v>
      </c>
      <c r="E4468">
        <v>45</v>
      </c>
      <c r="F4468">
        <v>40</v>
      </c>
      <c r="G4468">
        <v>35</v>
      </c>
      <c r="H4468">
        <v>35</v>
      </c>
      <c r="I4468" t="str">
        <f t="shared" si="56"/>
        <v>Outpatient (Surgical) Centers|Fair</v>
      </c>
      <c r="J4468" t="s">
        <v>1341</v>
      </c>
    </row>
    <row r="4469" spans="2:10">
      <c r="B4469" t="s">
        <v>636</v>
      </c>
      <c r="C4469" t="s">
        <v>226</v>
      </c>
      <c r="D4469">
        <v>45</v>
      </c>
      <c r="E4469">
        <v>45</v>
      </c>
      <c r="F4469">
        <v>40</v>
      </c>
      <c r="G4469">
        <v>35</v>
      </c>
      <c r="H4469">
        <v>35</v>
      </c>
      <c r="I4469" t="str">
        <f t="shared" si="56"/>
        <v>Outpatient (Surgical) Centers|Low Cost</v>
      </c>
      <c r="J4469" t="s">
        <v>1341</v>
      </c>
    </row>
    <row r="4470" spans="2:10">
      <c r="B4470" t="s">
        <v>639</v>
      </c>
      <c r="C4470" t="s">
        <v>229</v>
      </c>
      <c r="D4470">
        <v>50</v>
      </c>
      <c r="E4470">
        <v>50</v>
      </c>
      <c r="F4470">
        <v>45</v>
      </c>
      <c r="G4470">
        <v>40</v>
      </c>
      <c r="I4470" t="str">
        <f t="shared" si="56"/>
        <v>Nursing Homes (Convalescent Hospitals)|Good</v>
      </c>
      <c r="J4470" t="s">
        <v>1454</v>
      </c>
    </row>
    <row r="4471" spans="2:10">
      <c r="B4471" t="s">
        <v>639</v>
      </c>
      <c r="C4471" t="s">
        <v>44</v>
      </c>
      <c r="D4471">
        <v>45</v>
      </c>
      <c r="E4471">
        <v>45</v>
      </c>
      <c r="F4471">
        <v>40</v>
      </c>
      <c r="G4471">
        <v>35</v>
      </c>
      <c r="H4471">
        <v>35</v>
      </c>
      <c r="I4471" t="str">
        <f t="shared" si="56"/>
        <v>Nursing Homes (Convalescent Hospitals)|Average</v>
      </c>
      <c r="J4471" t="s">
        <v>1341</v>
      </c>
    </row>
    <row r="4472" spans="2:10">
      <c r="B4472" t="s">
        <v>639</v>
      </c>
      <c r="C4472" t="s">
        <v>231</v>
      </c>
      <c r="D4472">
        <v>50</v>
      </c>
      <c r="E4472">
        <v>50</v>
      </c>
      <c r="F4472">
        <v>45</v>
      </c>
      <c r="G4472">
        <v>40</v>
      </c>
      <c r="I4472" t="str">
        <f t="shared" ref="I4472:I4535" si="57">B4472&amp;"|"&amp;C4472</f>
        <v>Nursing Homes (Convalescent Hospitals)|Excellent</v>
      </c>
      <c r="J4472" t="s">
        <v>1454</v>
      </c>
    </row>
    <row r="4473" spans="2:10">
      <c r="B4473" t="s">
        <v>639</v>
      </c>
      <c r="C4473" t="s">
        <v>226</v>
      </c>
      <c r="D4473">
        <v>45</v>
      </c>
      <c r="E4473">
        <v>45</v>
      </c>
      <c r="F4473">
        <v>40</v>
      </c>
      <c r="G4473">
        <v>35</v>
      </c>
      <c r="H4473">
        <v>35</v>
      </c>
      <c r="I4473" t="str">
        <f t="shared" si="57"/>
        <v>Nursing Homes (Convalescent Hospitals)|Low Cost</v>
      </c>
      <c r="J4473" t="s">
        <v>1341</v>
      </c>
    </row>
    <row r="4474" spans="2:10">
      <c r="B4474" t="s">
        <v>642</v>
      </c>
      <c r="C4474" t="s">
        <v>231</v>
      </c>
      <c r="F4474">
        <v>45</v>
      </c>
      <c r="G4474">
        <v>40</v>
      </c>
      <c r="I4474" t="str">
        <f t="shared" si="57"/>
        <v>Kennels|Excellent</v>
      </c>
      <c r="J4474" t="s">
        <v>1455</v>
      </c>
    </row>
    <row r="4475" spans="2:10">
      <c r="B4475" t="s">
        <v>642</v>
      </c>
      <c r="C4475" t="s">
        <v>250</v>
      </c>
      <c r="F4475">
        <v>45</v>
      </c>
      <c r="G4475">
        <v>40</v>
      </c>
      <c r="I4475" t="str">
        <f t="shared" si="57"/>
        <v>Kennels|Very Good</v>
      </c>
      <c r="J4475" t="s">
        <v>1455</v>
      </c>
    </row>
    <row r="4476" spans="2:10">
      <c r="B4476" t="s">
        <v>642</v>
      </c>
      <c r="C4476" t="s">
        <v>229</v>
      </c>
      <c r="F4476">
        <v>40</v>
      </c>
      <c r="G4476">
        <v>35</v>
      </c>
      <c r="H4476">
        <v>35</v>
      </c>
      <c r="I4476" t="str">
        <f t="shared" si="57"/>
        <v>Kennels|Good</v>
      </c>
      <c r="J4476" t="s">
        <v>1360</v>
      </c>
    </row>
    <row r="4477" spans="2:10">
      <c r="B4477" t="s">
        <v>642</v>
      </c>
      <c r="C4477" t="s">
        <v>44</v>
      </c>
      <c r="F4477">
        <v>40</v>
      </c>
      <c r="G4477">
        <v>35</v>
      </c>
      <c r="H4477">
        <v>35</v>
      </c>
      <c r="I4477" t="str">
        <f t="shared" si="57"/>
        <v>Kennels|Average</v>
      </c>
      <c r="J4477" t="s">
        <v>1360</v>
      </c>
    </row>
    <row r="4478" spans="2:10">
      <c r="B4478" t="s">
        <v>642</v>
      </c>
      <c r="C4478" t="s">
        <v>226</v>
      </c>
      <c r="F4478">
        <v>35</v>
      </c>
      <c r="G4478">
        <v>30</v>
      </c>
      <c r="H4478">
        <v>30</v>
      </c>
      <c r="I4478" t="str">
        <f t="shared" si="57"/>
        <v>Kennels|Low Cost</v>
      </c>
      <c r="J4478" t="s">
        <v>1349</v>
      </c>
    </row>
    <row r="4479" spans="2:10">
      <c r="B4479" t="s">
        <v>642</v>
      </c>
      <c r="C4479" t="s">
        <v>314</v>
      </c>
      <c r="F4479">
        <v>25</v>
      </c>
      <c r="G4479">
        <v>20</v>
      </c>
      <c r="H4479">
        <v>20</v>
      </c>
      <c r="I4479" t="str">
        <f t="shared" si="57"/>
        <v>Kennels|Cheap</v>
      </c>
      <c r="J4479" t="s">
        <v>1356</v>
      </c>
    </row>
    <row r="4480" spans="2:10">
      <c r="B4480" t="s">
        <v>645</v>
      </c>
      <c r="C4480" t="s">
        <v>44</v>
      </c>
      <c r="D4480">
        <v>45</v>
      </c>
      <c r="E4480">
        <v>45</v>
      </c>
      <c r="F4480">
        <v>40</v>
      </c>
      <c r="G4480">
        <v>35</v>
      </c>
      <c r="H4480">
        <v>35</v>
      </c>
      <c r="I4480" t="str">
        <f t="shared" si="57"/>
        <v>Veterinary Hospitals|Average</v>
      </c>
      <c r="J4480" t="s">
        <v>1360</v>
      </c>
    </row>
    <row r="4481" spans="2:10">
      <c r="B4481" t="s">
        <v>645</v>
      </c>
      <c r="C4481" t="s">
        <v>231</v>
      </c>
      <c r="F4481">
        <v>45</v>
      </c>
      <c r="G4481">
        <v>40</v>
      </c>
      <c r="I4481" t="str">
        <f t="shared" si="57"/>
        <v>Veterinary Hospitals|Excellent</v>
      </c>
      <c r="J4481" t="s">
        <v>1456</v>
      </c>
    </row>
    <row r="4482" spans="2:10">
      <c r="B4482" t="s">
        <v>645</v>
      </c>
      <c r="C4482" t="s">
        <v>229</v>
      </c>
      <c r="D4482">
        <v>45</v>
      </c>
      <c r="E4482">
        <v>45</v>
      </c>
      <c r="F4482">
        <v>40</v>
      </c>
      <c r="G4482">
        <v>35</v>
      </c>
      <c r="H4482">
        <v>35</v>
      </c>
      <c r="I4482" t="str">
        <f t="shared" si="57"/>
        <v>Veterinary Hospitals|Good</v>
      </c>
      <c r="J4482" t="s">
        <v>1360</v>
      </c>
    </row>
    <row r="4483" spans="2:10">
      <c r="B4483" t="s">
        <v>645</v>
      </c>
      <c r="C4483" t="s">
        <v>226</v>
      </c>
      <c r="F4483">
        <v>35</v>
      </c>
      <c r="G4483">
        <v>30</v>
      </c>
      <c r="H4483">
        <v>30</v>
      </c>
      <c r="I4483" t="str">
        <f t="shared" si="57"/>
        <v>Veterinary Hospitals|Low Cost</v>
      </c>
      <c r="J4483" t="s">
        <v>1349</v>
      </c>
    </row>
    <row r="4484" spans="2:10">
      <c r="B4484" t="s">
        <v>648</v>
      </c>
      <c r="C4484" t="s">
        <v>44</v>
      </c>
      <c r="D4484">
        <v>40</v>
      </c>
      <c r="E4484">
        <v>40</v>
      </c>
      <c r="F4484">
        <v>35</v>
      </c>
      <c r="G4484">
        <v>30</v>
      </c>
      <c r="H4484">
        <v>30</v>
      </c>
      <c r="I4484" t="str">
        <f t="shared" si="57"/>
        <v>Fire Stations – Volunteer|Average</v>
      </c>
      <c r="J4484" t="s">
        <v>1341</v>
      </c>
    </row>
    <row r="4485" spans="2:10">
      <c r="B4485" t="s">
        <v>648</v>
      </c>
      <c r="C4485" t="s">
        <v>226</v>
      </c>
      <c r="D4485">
        <v>40</v>
      </c>
      <c r="E4485">
        <v>40</v>
      </c>
      <c r="F4485">
        <v>35</v>
      </c>
      <c r="G4485">
        <v>30</v>
      </c>
      <c r="H4485">
        <v>30</v>
      </c>
      <c r="I4485" t="str">
        <f t="shared" si="57"/>
        <v>Fire Stations – Volunteer|Low Cost</v>
      </c>
      <c r="J4485" t="s">
        <v>1341</v>
      </c>
    </row>
    <row r="4486" spans="2:10">
      <c r="B4486" t="s">
        <v>648</v>
      </c>
      <c r="C4486" t="s">
        <v>229</v>
      </c>
      <c r="F4486">
        <v>40</v>
      </c>
      <c r="G4486">
        <v>35</v>
      </c>
      <c r="H4486">
        <v>35</v>
      </c>
      <c r="I4486" t="str">
        <f t="shared" si="57"/>
        <v>Fire Stations – Volunteer|Good</v>
      </c>
      <c r="J4486" t="s">
        <v>1457</v>
      </c>
    </row>
    <row r="4487" spans="2:10">
      <c r="B4487" t="s">
        <v>650</v>
      </c>
      <c r="C4487" t="s">
        <v>229</v>
      </c>
      <c r="D4487">
        <v>50</v>
      </c>
      <c r="E4487">
        <v>50</v>
      </c>
      <c r="F4487">
        <v>45</v>
      </c>
      <c r="G4487">
        <v>40</v>
      </c>
      <c r="H4487">
        <v>40</v>
      </c>
      <c r="I4487" t="str">
        <f t="shared" si="57"/>
        <v>Fire Stations – Staffed|Good</v>
      </c>
      <c r="J4487" t="s">
        <v>1458</v>
      </c>
    </row>
    <row r="4488" spans="2:10">
      <c r="B4488" t="s">
        <v>650</v>
      </c>
      <c r="C4488" t="s">
        <v>44</v>
      </c>
      <c r="D4488">
        <v>45</v>
      </c>
      <c r="E4488">
        <v>45</v>
      </c>
      <c r="F4488">
        <v>40</v>
      </c>
      <c r="G4488">
        <v>35</v>
      </c>
      <c r="H4488">
        <v>35</v>
      </c>
      <c r="I4488" t="str">
        <f t="shared" si="57"/>
        <v>Fire Stations – Staffed|Average</v>
      </c>
      <c r="J4488" t="s">
        <v>1341</v>
      </c>
    </row>
    <row r="4489" spans="2:10">
      <c r="B4489" t="s">
        <v>650</v>
      </c>
      <c r="C4489" t="s">
        <v>231</v>
      </c>
      <c r="D4489">
        <v>50</v>
      </c>
      <c r="E4489">
        <v>50</v>
      </c>
      <c r="F4489">
        <v>45</v>
      </c>
      <c r="G4489">
        <v>40</v>
      </c>
      <c r="H4489">
        <v>40</v>
      </c>
      <c r="I4489" t="str">
        <f t="shared" si="57"/>
        <v>Fire Stations – Staffed|Excellent</v>
      </c>
      <c r="J4489" t="s">
        <v>1458</v>
      </c>
    </row>
    <row r="4490" spans="2:10">
      <c r="B4490" t="s">
        <v>650</v>
      </c>
      <c r="C4490" t="s">
        <v>250</v>
      </c>
      <c r="D4490">
        <v>50</v>
      </c>
      <c r="E4490">
        <v>50</v>
      </c>
      <c r="F4490">
        <v>45</v>
      </c>
      <c r="G4490">
        <v>40</v>
      </c>
      <c r="H4490">
        <v>40</v>
      </c>
      <c r="I4490" t="str">
        <f t="shared" si="57"/>
        <v>Fire Stations – Staffed|Very Good</v>
      </c>
      <c r="J4490" t="s">
        <v>1458</v>
      </c>
    </row>
    <row r="4491" spans="2:10">
      <c r="B4491" t="s">
        <v>650</v>
      </c>
      <c r="C4491" t="s">
        <v>226</v>
      </c>
      <c r="D4491">
        <v>45</v>
      </c>
      <c r="E4491">
        <v>45</v>
      </c>
      <c r="F4491">
        <v>40</v>
      </c>
      <c r="G4491">
        <v>35</v>
      </c>
      <c r="H4491">
        <v>35</v>
      </c>
      <c r="I4491" t="str">
        <f t="shared" si="57"/>
        <v>Fire Stations – Staffed|Low Cost</v>
      </c>
      <c r="J4491" t="s">
        <v>1341</v>
      </c>
    </row>
    <row r="4492" spans="2:10">
      <c r="B4492" t="s">
        <v>653</v>
      </c>
      <c r="C4492" t="s">
        <v>231</v>
      </c>
      <c r="D4492">
        <v>60</v>
      </c>
      <c r="E4492">
        <v>60</v>
      </c>
      <c r="F4492">
        <v>55</v>
      </c>
      <c r="G4492">
        <v>50</v>
      </c>
      <c r="I4492" t="str">
        <f t="shared" si="57"/>
        <v>Governmental Buildings|Excellent</v>
      </c>
      <c r="J4492" t="s">
        <v>1459</v>
      </c>
    </row>
    <row r="4493" spans="2:10">
      <c r="B4493" t="s">
        <v>653</v>
      </c>
      <c r="C4493" t="s">
        <v>229</v>
      </c>
      <c r="D4493">
        <v>60</v>
      </c>
      <c r="E4493">
        <v>60</v>
      </c>
      <c r="F4493">
        <v>55</v>
      </c>
      <c r="G4493">
        <v>50</v>
      </c>
      <c r="I4493" t="str">
        <f t="shared" si="57"/>
        <v>Governmental Buildings|Good</v>
      </c>
      <c r="J4493" t="s">
        <v>1459</v>
      </c>
    </row>
    <row r="4494" spans="2:10">
      <c r="B4494" t="s">
        <v>653</v>
      </c>
      <c r="C4494" t="s">
        <v>44</v>
      </c>
      <c r="D4494">
        <v>55</v>
      </c>
      <c r="E4494">
        <v>55</v>
      </c>
      <c r="F4494">
        <v>50</v>
      </c>
      <c r="G4494">
        <v>40</v>
      </c>
      <c r="H4494">
        <v>40</v>
      </c>
      <c r="I4494" t="str">
        <f t="shared" si="57"/>
        <v>Governmental Buildings|Average</v>
      </c>
      <c r="J4494" t="s">
        <v>1341</v>
      </c>
    </row>
    <row r="4495" spans="2:10">
      <c r="B4495" t="s">
        <v>653</v>
      </c>
      <c r="C4495" t="s">
        <v>226</v>
      </c>
      <c r="D4495">
        <v>55</v>
      </c>
      <c r="E4495">
        <v>55</v>
      </c>
      <c r="F4495">
        <v>50</v>
      </c>
      <c r="G4495">
        <v>40</v>
      </c>
      <c r="H4495">
        <v>40</v>
      </c>
      <c r="I4495" t="str">
        <f t="shared" si="57"/>
        <v>Governmental Buildings|Low Cost</v>
      </c>
      <c r="J4495" t="s">
        <v>1341</v>
      </c>
    </row>
    <row r="4496" spans="2:10">
      <c r="B4496" t="s">
        <v>656</v>
      </c>
      <c r="C4496" t="s">
        <v>44</v>
      </c>
      <c r="D4496">
        <v>55</v>
      </c>
      <c r="E4496">
        <v>55</v>
      </c>
      <c r="F4496">
        <v>50</v>
      </c>
      <c r="G4496">
        <v>40</v>
      </c>
      <c r="H4496">
        <v>40</v>
      </c>
      <c r="I4496" t="str">
        <f t="shared" si="57"/>
        <v>Governmental – Community Service Buildings|Average</v>
      </c>
      <c r="J4496" t="s">
        <v>1360</v>
      </c>
    </row>
    <row r="4497" spans="2:10">
      <c r="B4497" t="s">
        <v>656</v>
      </c>
      <c r="C4497" t="s">
        <v>226</v>
      </c>
      <c r="D4497">
        <v>50</v>
      </c>
      <c r="E4497">
        <v>50</v>
      </c>
      <c r="F4497">
        <v>45</v>
      </c>
      <c r="G4497">
        <v>35</v>
      </c>
      <c r="H4497">
        <v>35</v>
      </c>
      <c r="I4497" t="str">
        <f t="shared" si="57"/>
        <v>Governmental – Community Service Buildings|Low Cost</v>
      </c>
      <c r="J4497" t="s">
        <v>1349</v>
      </c>
    </row>
    <row r="4498" spans="2:10">
      <c r="B4498" t="s">
        <v>656</v>
      </c>
      <c r="C4498" t="s">
        <v>231</v>
      </c>
      <c r="F4498">
        <v>55</v>
      </c>
      <c r="G4498">
        <v>50</v>
      </c>
      <c r="I4498" t="str">
        <f t="shared" si="57"/>
        <v>Governmental – Community Service Buildings|Excellent</v>
      </c>
      <c r="J4498" t="s">
        <v>1460</v>
      </c>
    </row>
    <row r="4499" spans="2:10">
      <c r="B4499" t="s">
        <v>656</v>
      </c>
      <c r="C4499" t="s">
        <v>229</v>
      </c>
      <c r="D4499">
        <v>55</v>
      </c>
      <c r="E4499">
        <v>55</v>
      </c>
      <c r="F4499">
        <v>50</v>
      </c>
      <c r="G4499">
        <v>40</v>
      </c>
      <c r="H4499">
        <v>40</v>
      </c>
      <c r="I4499" t="str">
        <f t="shared" si="57"/>
        <v>Governmental – Community Service Buildings|Good</v>
      </c>
      <c r="J4499" t="s">
        <v>1360</v>
      </c>
    </row>
    <row r="4500" spans="2:10">
      <c r="B4500" t="s">
        <v>659</v>
      </c>
      <c r="C4500" t="s">
        <v>229</v>
      </c>
      <c r="D4500">
        <v>60</v>
      </c>
      <c r="E4500">
        <v>60</v>
      </c>
      <c r="F4500">
        <v>55</v>
      </c>
      <c r="G4500">
        <v>50</v>
      </c>
      <c r="H4500">
        <v>50</v>
      </c>
      <c r="I4500" t="str">
        <f t="shared" si="57"/>
        <v>Public Libraries|Good</v>
      </c>
      <c r="J4500" t="s">
        <v>1461</v>
      </c>
    </row>
    <row r="4501" spans="2:10">
      <c r="B4501" t="s">
        <v>659</v>
      </c>
      <c r="C4501" t="s">
        <v>44</v>
      </c>
      <c r="D4501">
        <v>55</v>
      </c>
      <c r="E4501">
        <v>55</v>
      </c>
      <c r="F4501">
        <v>50</v>
      </c>
      <c r="G4501">
        <v>45</v>
      </c>
      <c r="H4501">
        <v>45</v>
      </c>
      <c r="I4501" t="str">
        <f t="shared" si="57"/>
        <v>Public Libraries|Average</v>
      </c>
      <c r="J4501" t="s">
        <v>1345</v>
      </c>
    </row>
    <row r="4502" spans="2:10">
      <c r="B4502" t="s">
        <v>659</v>
      </c>
      <c r="C4502" t="s">
        <v>231</v>
      </c>
      <c r="D4502">
        <v>60</v>
      </c>
      <c r="E4502">
        <v>60</v>
      </c>
      <c r="F4502">
        <v>55</v>
      </c>
      <c r="G4502">
        <v>50</v>
      </c>
      <c r="H4502">
        <v>50</v>
      </c>
      <c r="I4502" t="str">
        <f t="shared" si="57"/>
        <v>Public Libraries|Excellent</v>
      </c>
      <c r="J4502" t="s">
        <v>1461</v>
      </c>
    </row>
    <row r="4503" spans="2:10">
      <c r="B4503" t="s">
        <v>659</v>
      </c>
      <c r="C4503" t="s">
        <v>250</v>
      </c>
      <c r="D4503">
        <v>60</v>
      </c>
      <c r="E4503">
        <v>60</v>
      </c>
      <c r="F4503">
        <v>55</v>
      </c>
      <c r="G4503">
        <v>50</v>
      </c>
      <c r="H4503">
        <v>50</v>
      </c>
      <c r="I4503" t="str">
        <f t="shared" si="57"/>
        <v>Public Libraries|Very Good</v>
      </c>
      <c r="J4503" t="s">
        <v>1461</v>
      </c>
    </row>
    <row r="4504" spans="2:10">
      <c r="B4504" t="s">
        <v>659</v>
      </c>
      <c r="C4504" t="s">
        <v>226</v>
      </c>
      <c r="F4504">
        <v>45</v>
      </c>
      <c r="G4504">
        <v>40</v>
      </c>
      <c r="H4504">
        <v>40</v>
      </c>
      <c r="I4504" t="str">
        <f t="shared" si="57"/>
        <v>Public Libraries|Low Cost</v>
      </c>
      <c r="J4504" t="s">
        <v>1349</v>
      </c>
    </row>
    <row r="4505" spans="2:10">
      <c r="B4505" t="s">
        <v>662</v>
      </c>
      <c r="C4505" t="s">
        <v>231</v>
      </c>
      <c r="D4505">
        <v>55</v>
      </c>
      <c r="E4505">
        <v>55</v>
      </c>
      <c r="F4505">
        <v>45</v>
      </c>
      <c r="G4505">
        <v>40</v>
      </c>
      <c r="I4505" t="str">
        <f t="shared" si="57"/>
        <v>Jails – Correctional Facilities|Excellent</v>
      </c>
      <c r="J4505" t="s">
        <v>1462</v>
      </c>
    </row>
    <row r="4506" spans="2:10">
      <c r="B4506" t="s">
        <v>662</v>
      </c>
      <c r="C4506" t="s">
        <v>229</v>
      </c>
      <c r="D4506">
        <v>55</v>
      </c>
      <c r="E4506">
        <v>55</v>
      </c>
      <c r="F4506">
        <v>45</v>
      </c>
      <c r="G4506">
        <v>40</v>
      </c>
      <c r="I4506" t="str">
        <f t="shared" si="57"/>
        <v>Jails – Correctional Facilities|Good</v>
      </c>
      <c r="J4506" t="s">
        <v>1462</v>
      </c>
    </row>
    <row r="4507" spans="2:10">
      <c r="B4507" t="s">
        <v>662</v>
      </c>
      <c r="C4507" t="s">
        <v>44</v>
      </c>
      <c r="D4507">
        <v>50</v>
      </c>
      <c r="E4507">
        <v>50</v>
      </c>
      <c r="F4507">
        <v>40</v>
      </c>
      <c r="G4507">
        <v>35</v>
      </c>
      <c r="H4507">
        <v>35</v>
      </c>
      <c r="I4507" t="str">
        <f t="shared" si="57"/>
        <v>Jails – Correctional Facilities|Average</v>
      </c>
      <c r="J4507" t="s">
        <v>1341</v>
      </c>
    </row>
    <row r="4508" spans="2:10">
      <c r="B4508" t="s">
        <v>662</v>
      </c>
      <c r="C4508" t="s">
        <v>226</v>
      </c>
      <c r="D4508">
        <v>50</v>
      </c>
      <c r="E4508">
        <v>50</v>
      </c>
      <c r="F4508">
        <v>40</v>
      </c>
      <c r="G4508">
        <v>35</v>
      </c>
      <c r="H4508">
        <v>35</v>
      </c>
      <c r="I4508" t="str">
        <f t="shared" si="57"/>
        <v>Jails – Correctional Facilities|Low Cost</v>
      </c>
      <c r="J4508" t="s">
        <v>1341</v>
      </c>
    </row>
    <row r="4509" spans="2:10">
      <c r="B4509" t="s">
        <v>665</v>
      </c>
      <c r="C4509" t="s">
        <v>231</v>
      </c>
      <c r="D4509">
        <v>55</v>
      </c>
      <c r="E4509">
        <v>55</v>
      </c>
      <c r="F4509">
        <v>50</v>
      </c>
      <c r="G4509">
        <v>45</v>
      </c>
      <c r="I4509" t="str">
        <f t="shared" si="57"/>
        <v>Jails – Police Stations|Excellent</v>
      </c>
      <c r="J4509" t="s">
        <v>1463</v>
      </c>
    </row>
    <row r="4510" spans="2:10">
      <c r="B4510" t="s">
        <v>665</v>
      </c>
      <c r="C4510" t="s">
        <v>229</v>
      </c>
      <c r="D4510">
        <v>55</v>
      </c>
      <c r="E4510">
        <v>55</v>
      </c>
      <c r="F4510">
        <v>50</v>
      </c>
      <c r="G4510">
        <v>45</v>
      </c>
      <c r="I4510" t="str">
        <f t="shared" si="57"/>
        <v>Jails – Police Stations|Good</v>
      </c>
      <c r="J4510" t="s">
        <v>1463</v>
      </c>
    </row>
    <row r="4511" spans="2:10">
      <c r="B4511" t="s">
        <v>665</v>
      </c>
      <c r="C4511" t="s">
        <v>44</v>
      </c>
      <c r="D4511">
        <v>50</v>
      </c>
      <c r="E4511">
        <v>50</v>
      </c>
      <c r="F4511">
        <v>45</v>
      </c>
      <c r="G4511">
        <v>40</v>
      </c>
      <c r="I4511" t="str">
        <f t="shared" si="57"/>
        <v>Jails – Police Stations|Average</v>
      </c>
      <c r="J4511" t="s">
        <v>1345</v>
      </c>
    </row>
    <row r="4512" spans="2:10">
      <c r="B4512" t="s">
        <v>665</v>
      </c>
      <c r="C4512" t="s">
        <v>226</v>
      </c>
      <c r="D4512">
        <v>45</v>
      </c>
      <c r="E4512">
        <v>45</v>
      </c>
      <c r="F4512">
        <v>40</v>
      </c>
      <c r="I4512" t="str">
        <f t="shared" si="57"/>
        <v>Jails – Police Stations|Low Cost</v>
      </c>
      <c r="J4512" t="s">
        <v>1349</v>
      </c>
    </row>
    <row r="4513" spans="2:10">
      <c r="B4513" t="s">
        <v>667</v>
      </c>
      <c r="C4513" t="s">
        <v>231</v>
      </c>
      <c r="D4513">
        <v>60</v>
      </c>
      <c r="E4513">
        <v>60</v>
      </c>
      <c r="F4513">
        <v>55</v>
      </c>
      <c r="G4513">
        <v>50</v>
      </c>
      <c r="H4513">
        <v>50</v>
      </c>
      <c r="I4513" t="str">
        <f t="shared" si="57"/>
        <v>Shell Office Buildings|Excellent</v>
      </c>
      <c r="J4513" t="s">
        <v>1444</v>
      </c>
    </row>
    <row r="4514" spans="2:10">
      <c r="B4514" t="s">
        <v>667</v>
      </c>
      <c r="C4514" t="s">
        <v>229</v>
      </c>
      <c r="D4514">
        <v>60</v>
      </c>
      <c r="E4514">
        <v>60</v>
      </c>
      <c r="F4514">
        <v>55</v>
      </c>
      <c r="G4514">
        <v>50</v>
      </c>
      <c r="H4514">
        <v>50</v>
      </c>
      <c r="I4514" t="str">
        <f t="shared" si="57"/>
        <v>Shell Office Buildings|Good</v>
      </c>
      <c r="J4514" t="s">
        <v>1444</v>
      </c>
    </row>
    <row r="4515" spans="2:10">
      <c r="B4515" t="s">
        <v>667</v>
      </c>
      <c r="C4515" t="s">
        <v>44</v>
      </c>
      <c r="D4515">
        <v>55</v>
      </c>
      <c r="E4515">
        <v>55</v>
      </c>
      <c r="F4515">
        <v>50</v>
      </c>
      <c r="G4515">
        <v>45</v>
      </c>
      <c r="H4515">
        <v>45</v>
      </c>
      <c r="I4515" t="str">
        <f t="shared" si="57"/>
        <v>Shell Office Buildings|Average</v>
      </c>
      <c r="J4515" t="s">
        <v>1345</v>
      </c>
    </row>
    <row r="4516" spans="2:10">
      <c r="B4516" t="s">
        <v>667</v>
      </c>
      <c r="C4516" t="s">
        <v>226</v>
      </c>
      <c r="D4516">
        <v>50</v>
      </c>
      <c r="E4516">
        <v>50</v>
      </c>
      <c r="F4516">
        <v>45</v>
      </c>
      <c r="G4516">
        <v>40</v>
      </c>
      <c r="H4516">
        <v>40</v>
      </c>
      <c r="I4516" t="str">
        <f t="shared" si="57"/>
        <v>Shell Office Buildings|Low Cost</v>
      </c>
      <c r="J4516" t="s">
        <v>1349</v>
      </c>
    </row>
    <row r="4517" spans="2:10">
      <c r="B4517" t="s">
        <v>671</v>
      </c>
      <c r="C4517" t="s">
        <v>229</v>
      </c>
      <c r="D4517">
        <v>60</v>
      </c>
      <c r="E4517">
        <v>60</v>
      </c>
      <c r="F4517">
        <v>50</v>
      </c>
      <c r="G4517">
        <v>45</v>
      </c>
      <c r="H4517">
        <v>45</v>
      </c>
      <c r="I4517" t="str">
        <f t="shared" si="57"/>
        <v>Churches with Sunday Schools|Good</v>
      </c>
      <c r="J4517" t="s">
        <v>1347</v>
      </c>
    </row>
    <row r="4518" spans="2:10">
      <c r="B4518" t="s">
        <v>671</v>
      </c>
      <c r="C4518" t="s">
        <v>44</v>
      </c>
      <c r="D4518">
        <v>50</v>
      </c>
      <c r="E4518">
        <v>50</v>
      </c>
      <c r="F4518">
        <v>45</v>
      </c>
      <c r="G4518">
        <v>40</v>
      </c>
      <c r="H4518">
        <v>40</v>
      </c>
      <c r="I4518" t="str">
        <f t="shared" si="57"/>
        <v>Churches with Sunday Schools|Average</v>
      </c>
      <c r="J4518" t="s">
        <v>1345</v>
      </c>
    </row>
    <row r="4519" spans="2:10">
      <c r="B4519" t="s">
        <v>671</v>
      </c>
      <c r="C4519" t="s">
        <v>231</v>
      </c>
      <c r="D4519">
        <v>60</v>
      </c>
      <c r="E4519">
        <v>60</v>
      </c>
      <c r="F4519">
        <v>60</v>
      </c>
      <c r="G4519">
        <v>50</v>
      </c>
      <c r="I4519" t="str">
        <f t="shared" si="57"/>
        <v>Churches with Sunday Schools|Excellent</v>
      </c>
      <c r="J4519" t="s">
        <v>1464</v>
      </c>
    </row>
    <row r="4520" spans="2:10">
      <c r="B4520" t="s">
        <v>675</v>
      </c>
      <c r="C4520" t="s">
        <v>231</v>
      </c>
      <c r="D4520">
        <v>60</v>
      </c>
      <c r="E4520">
        <v>60</v>
      </c>
      <c r="F4520">
        <v>60</v>
      </c>
      <c r="G4520">
        <v>50</v>
      </c>
      <c r="I4520" t="str">
        <f t="shared" si="57"/>
        <v>Churches – Sanctuaries (Chapels)|Excellent</v>
      </c>
      <c r="J4520" t="s">
        <v>1464</v>
      </c>
    </row>
    <row r="4521" spans="2:10">
      <c r="B4521" t="s">
        <v>675</v>
      </c>
      <c r="C4521" t="s">
        <v>229</v>
      </c>
      <c r="D4521">
        <v>60</v>
      </c>
      <c r="E4521">
        <v>60</v>
      </c>
      <c r="F4521">
        <v>50</v>
      </c>
      <c r="G4521">
        <v>45</v>
      </c>
      <c r="H4521">
        <v>45</v>
      </c>
      <c r="I4521" t="str">
        <f t="shared" si="57"/>
        <v>Churches – Sanctuaries (Chapels)|Good</v>
      </c>
      <c r="J4521" t="s">
        <v>1347</v>
      </c>
    </row>
    <row r="4522" spans="2:10">
      <c r="B4522" t="s">
        <v>675</v>
      </c>
      <c r="C4522" t="s">
        <v>44</v>
      </c>
      <c r="D4522">
        <v>50</v>
      </c>
      <c r="E4522">
        <v>50</v>
      </c>
      <c r="F4522">
        <v>45</v>
      </c>
      <c r="G4522">
        <v>40</v>
      </c>
      <c r="H4522">
        <v>40</v>
      </c>
      <c r="I4522" t="str">
        <f t="shared" si="57"/>
        <v>Churches – Sanctuaries (Chapels)|Average</v>
      </c>
      <c r="J4522" t="s">
        <v>1345</v>
      </c>
    </row>
    <row r="4523" spans="2:10">
      <c r="B4523" t="s">
        <v>678</v>
      </c>
      <c r="C4523" t="s">
        <v>229</v>
      </c>
      <c r="D4523">
        <v>50</v>
      </c>
      <c r="E4523">
        <v>50</v>
      </c>
      <c r="F4523">
        <v>45</v>
      </c>
      <c r="G4523">
        <v>40</v>
      </c>
      <c r="H4523">
        <v>40</v>
      </c>
      <c r="I4523" t="str">
        <f t="shared" si="57"/>
        <v>Fellowship Halls|Good</v>
      </c>
      <c r="J4523" t="s">
        <v>1465</v>
      </c>
    </row>
    <row r="4524" spans="2:10">
      <c r="B4524" t="s">
        <v>678</v>
      </c>
      <c r="C4524" t="s">
        <v>44</v>
      </c>
      <c r="D4524">
        <v>45</v>
      </c>
      <c r="E4524">
        <v>45</v>
      </c>
      <c r="F4524">
        <v>40</v>
      </c>
      <c r="G4524">
        <v>35</v>
      </c>
      <c r="H4524">
        <v>35</v>
      </c>
      <c r="I4524" t="str">
        <f t="shared" si="57"/>
        <v>Fellowship Halls|Average</v>
      </c>
      <c r="J4524" t="s">
        <v>1341</v>
      </c>
    </row>
    <row r="4525" spans="2:10">
      <c r="B4525" t="s">
        <v>678</v>
      </c>
      <c r="C4525" t="s">
        <v>231</v>
      </c>
      <c r="D4525">
        <v>50</v>
      </c>
      <c r="E4525">
        <v>50</v>
      </c>
      <c r="F4525">
        <v>45</v>
      </c>
      <c r="G4525">
        <v>40</v>
      </c>
      <c r="H4525">
        <v>40</v>
      </c>
      <c r="I4525" t="str">
        <f t="shared" si="57"/>
        <v>Fellowship Halls|Excellent</v>
      </c>
      <c r="J4525" t="s">
        <v>1465</v>
      </c>
    </row>
    <row r="4526" spans="2:10">
      <c r="B4526" t="s">
        <v>678</v>
      </c>
      <c r="C4526" t="s">
        <v>314</v>
      </c>
      <c r="G4526">
        <v>30</v>
      </c>
      <c r="H4526">
        <v>30</v>
      </c>
      <c r="I4526" t="str">
        <f t="shared" si="57"/>
        <v>Fellowship Halls|Cheap</v>
      </c>
      <c r="J4526" t="s">
        <v>1356</v>
      </c>
    </row>
    <row r="4527" spans="2:10">
      <c r="B4527" t="s">
        <v>681</v>
      </c>
      <c r="C4527" t="s">
        <v>231</v>
      </c>
      <c r="D4527">
        <v>60</v>
      </c>
      <c r="E4527">
        <v>60</v>
      </c>
      <c r="F4527">
        <v>60</v>
      </c>
      <c r="G4527">
        <v>50</v>
      </c>
      <c r="I4527" t="str">
        <f t="shared" si="57"/>
        <v>Foyers / Narthexes|Excellent</v>
      </c>
      <c r="J4527" t="s">
        <v>1464</v>
      </c>
    </row>
    <row r="4528" spans="2:10">
      <c r="B4528" t="s">
        <v>681</v>
      </c>
      <c r="C4528" t="s">
        <v>229</v>
      </c>
      <c r="D4528">
        <v>60</v>
      </c>
      <c r="E4528">
        <v>60</v>
      </c>
      <c r="F4528">
        <v>50</v>
      </c>
      <c r="G4528">
        <v>45</v>
      </c>
      <c r="H4528">
        <v>45</v>
      </c>
      <c r="I4528" t="str">
        <f t="shared" si="57"/>
        <v>Foyers / Narthexes|Good</v>
      </c>
      <c r="J4528" t="s">
        <v>1347</v>
      </c>
    </row>
    <row r="4529" spans="2:10">
      <c r="B4529" t="s">
        <v>681</v>
      </c>
      <c r="C4529" t="s">
        <v>44</v>
      </c>
      <c r="D4529">
        <v>50</v>
      </c>
      <c r="E4529">
        <v>50</v>
      </c>
      <c r="F4529">
        <v>45</v>
      </c>
      <c r="G4529">
        <v>40</v>
      </c>
      <c r="H4529">
        <v>40</v>
      </c>
      <c r="I4529" t="str">
        <f t="shared" si="57"/>
        <v>Foyers / Narthexes|Average</v>
      </c>
      <c r="J4529" t="s">
        <v>1345</v>
      </c>
    </row>
    <row r="4530" spans="2:10">
      <c r="B4530" t="s">
        <v>683</v>
      </c>
      <c r="C4530" t="s">
        <v>229</v>
      </c>
      <c r="D4530">
        <v>60</v>
      </c>
      <c r="E4530">
        <v>60</v>
      </c>
      <c r="F4530">
        <v>50</v>
      </c>
      <c r="G4530">
        <v>45</v>
      </c>
      <c r="H4530">
        <v>45</v>
      </c>
      <c r="I4530" t="str">
        <f t="shared" si="57"/>
        <v>Church Educational Wings|Good</v>
      </c>
      <c r="J4530" t="s">
        <v>1347</v>
      </c>
    </row>
    <row r="4531" spans="2:10">
      <c r="B4531" t="s">
        <v>683</v>
      </c>
      <c r="C4531" t="s">
        <v>44</v>
      </c>
      <c r="D4531">
        <v>50</v>
      </c>
      <c r="E4531">
        <v>50</v>
      </c>
      <c r="F4531">
        <v>45</v>
      </c>
      <c r="G4531">
        <v>40</v>
      </c>
      <c r="H4531">
        <v>40</v>
      </c>
      <c r="I4531" t="str">
        <f t="shared" si="57"/>
        <v>Church Educational Wings|Average</v>
      </c>
      <c r="J4531" t="s">
        <v>1345</v>
      </c>
    </row>
    <row r="4532" spans="2:10">
      <c r="B4532" t="s">
        <v>683</v>
      </c>
      <c r="C4532" t="s">
        <v>231</v>
      </c>
      <c r="D4532">
        <v>60</v>
      </c>
      <c r="E4532">
        <v>60</v>
      </c>
      <c r="F4532">
        <v>60</v>
      </c>
      <c r="G4532">
        <v>50</v>
      </c>
      <c r="I4532" t="str">
        <f t="shared" si="57"/>
        <v>Church Educational Wings|Excellent</v>
      </c>
      <c r="J4532" t="s">
        <v>1464</v>
      </c>
    </row>
    <row r="4533" spans="2:10">
      <c r="B4533" t="s">
        <v>686</v>
      </c>
      <c r="C4533" t="s">
        <v>231</v>
      </c>
      <c r="D4533">
        <v>50</v>
      </c>
      <c r="E4533">
        <v>50</v>
      </c>
      <c r="F4533">
        <v>45</v>
      </c>
      <c r="G4533">
        <v>40</v>
      </c>
      <c r="I4533" t="str">
        <f t="shared" si="57"/>
        <v>Theaters: Live-Stage|Excellent</v>
      </c>
      <c r="J4533" t="s">
        <v>1466</v>
      </c>
    </row>
    <row r="4534" spans="2:10">
      <c r="B4534" t="s">
        <v>686</v>
      </c>
      <c r="C4534" t="s">
        <v>229</v>
      </c>
      <c r="D4534">
        <v>50</v>
      </c>
      <c r="E4534">
        <v>50</v>
      </c>
      <c r="F4534">
        <v>45</v>
      </c>
      <c r="G4534">
        <v>40</v>
      </c>
      <c r="I4534" t="str">
        <f t="shared" si="57"/>
        <v>Theaters: Live-Stage|Good</v>
      </c>
      <c r="J4534" t="s">
        <v>1466</v>
      </c>
    </row>
    <row r="4535" spans="2:10">
      <c r="B4535" t="s">
        <v>686</v>
      </c>
      <c r="C4535" t="s">
        <v>44</v>
      </c>
      <c r="D4535">
        <v>45</v>
      </c>
      <c r="E4535">
        <v>45</v>
      </c>
      <c r="F4535">
        <v>45</v>
      </c>
      <c r="G4535">
        <v>40</v>
      </c>
      <c r="H4535">
        <v>40</v>
      </c>
      <c r="I4535" t="str">
        <f t="shared" si="57"/>
        <v>Theaters: Live-Stage|Average</v>
      </c>
      <c r="J4535" t="s">
        <v>1467</v>
      </c>
    </row>
    <row r="4536" spans="2:10">
      <c r="B4536" t="s">
        <v>689</v>
      </c>
      <c r="C4536" t="s">
        <v>229</v>
      </c>
      <c r="D4536">
        <v>45</v>
      </c>
      <c r="E4536">
        <v>45</v>
      </c>
      <c r="F4536">
        <v>40</v>
      </c>
      <c r="G4536">
        <v>35</v>
      </c>
      <c r="H4536">
        <v>35</v>
      </c>
      <c r="I4536" t="str">
        <f t="shared" ref="I4536:I4599" si="58">B4536&amp;"|"&amp;C4536</f>
        <v>Theaters: Cinema|Good</v>
      </c>
      <c r="J4536" t="s">
        <v>1360</v>
      </c>
    </row>
    <row r="4537" spans="2:10">
      <c r="B4537" t="s">
        <v>689</v>
      </c>
      <c r="C4537" t="s">
        <v>44</v>
      </c>
      <c r="D4537">
        <v>45</v>
      </c>
      <c r="E4537">
        <v>45</v>
      </c>
      <c r="F4537">
        <v>40</v>
      </c>
      <c r="G4537">
        <v>35</v>
      </c>
      <c r="H4537">
        <v>35</v>
      </c>
      <c r="I4537" t="str">
        <f t="shared" si="58"/>
        <v>Theaters: Cinema|Average</v>
      </c>
      <c r="J4537" t="s">
        <v>1360</v>
      </c>
    </row>
    <row r="4538" spans="2:10">
      <c r="B4538" t="s">
        <v>689</v>
      </c>
      <c r="C4538" t="s">
        <v>231</v>
      </c>
      <c r="D4538">
        <v>50</v>
      </c>
      <c r="E4538">
        <v>50</v>
      </c>
      <c r="F4538">
        <v>45</v>
      </c>
      <c r="G4538">
        <v>40</v>
      </c>
      <c r="I4538" t="str">
        <f t="shared" si="58"/>
        <v>Theaters: Cinema|Excellent</v>
      </c>
      <c r="J4538" t="s">
        <v>1468</v>
      </c>
    </row>
    <row r="4539" spans="2:10">
      <c r="B4539" t="s">
        <v>689</v>
      </c>
      <c r="C4539" t="s">
        <v>250</v>
      </c>
      <c r="D4539">
        <v>50</v>
      </c>
      <c r="E4539">
        <v>50</v>
      </c>
      <c r="F4539">
        <v>45</v>
      </c>
      <c r="G4539">
        <v>40</v>
      </c>
      <c r="I4539" t="str">
        <f t="shared" si="58"/>
        <v>Theaters: Cinema|Very Good</v>
      </c>
      <c r="J4539" t="s">
        <v>1468</v>
      </c>
    </row>
    <row r="4540" spans="2:10">
      <c r="B4540" t="s">
        <v>689</v>
      </c>
      <c r="C4540" t="s">
        <v>302</v>
      </c>
      <c r="F4540">
        <v>35</v>
      </c>
      <c r="G4540">
        <v>30</v>
      </c>
      <c r="H4540">
        <v>30</v>
      </c>
      <c r="I4540" t="str">
        <f t="shared" si="58"/>
        <v>Theaters: Cinema|Fair</v>
      </c>
      <c r="J4540" t="s">
        <v>1351</v>
      </c>
    </row>
    <row r="4541" spans="2:10">
      <c r="B4541" t="s">
        <v>692</v>
      </c>
      <c r="C4541" t="s">
        <v>231</v>
      </c>
      <c r="D4541">
        <v>55</v>
      </c>
      <c r="E4541">
        <v>55</v>
      </c>
      <c r="F4541">
        <v>50</v>
      </c>
      <c r="G4541">
        <v>45</v>
      </c>
      <c r="I4541" t="str">
        <f t="shared" si="58"/>
        <v>Auditoriums|Excellent</v>
      </c>
      <c r="J4541" t="s">
        <v>1469</v>
      </c>
    </row>
    <row r="4542" spans="2:10">
      <c r="B4542" t="s">
        <v>692</v>
      </c>
      <c r="C4542" t="s">
        <v>229</v>
      </c>
      <c r="D4542">
        <v>50</v>
      </c>
      <c r="E4542">
        <v>50</v>
      </c>
      <c r="F4542">
        <v>45</v>
      </c>
      <c r="G4542">
        <v>40</v>
      </c>
      <c r="H4542">
        <v>40</v>
      </c>
      <c r="I4542" t="str">
        <f t="shared" si="58"/>
        <v>Auditoriums|Good</v>
      </c>
      <c r="J4542" t="s">
        <v>1360</v>
      </c>
    </row>
    <row r="4543" spans="2:10">
      <c r="B4543" t="s">
        <v>692</v>
      </c>
      <c r="C4543" t="s">
        <v>44</v>
      </c>
      <c r="D4543">
        <v>50</v>
      </c>
      <c r="E4543">
        <v>50</v>
      </c>
      <c r="F4543">
        <v>45</v>
      </c>
      <c r="G4543">
        <v>40</v>
      </c>
      <c r="H4543">
        <v>40</v>
      </c>
      <c r="I4543" t="str">
        <f t="shared" si="58"/>
        <v>Auditoriums|Average</v>
      </c>
      <c r="J4543" t="s">
        <v>1360</v>
      </c>
    </row>
    <row r="4544" spans="2:10">
      <c r="B4544" t="s">
        <v>695</v>
      </c>
      <c r="C4544" t="s">
        <v>44</v>
      </c>
      <c r="D4544">
        <v>45</v>
      </c>
      <c r="E4544">
        <v>45</v>
      </c>
      <c r="F4544">
        <v>40</v>
      </c>
      <c r="G4544">
        <v>35</v>
      </c>
      <c r="H4544">
        <v>35</v>
      </c>
      <c r="I4544" t="str">
        <f t="shared" si="58"/>
        <v>Fraternal Buildings|Average</v>
      </c>
      <c r="J4544" t="s">
        <v>1345</v>
      </c>
    </row>
    <row r="4545" spans="2:10">
      <c r="B4545" t="s">
        <v>695</v>
      </c>
      <c r="C4545" t="s">
        <v>231</v>
      </c>
      <c r="D4545">
        <v>55</v>
      </c>
      <c r="E4545">
        <v>55</v>
      </c>
      <c r="F4545">
        <v>50</v>
      </c>
      <c r="G4545">
        <v>45</v>
      </c>
      <c r="I4545" t="str">
        <f t="shared" si="58"/>
        <v>Fraternal Buildings|Excellent</v>
      </c>
      <c r="J4545" t="s">
        <v>1470</v>
      </c>
    </row>
    <row r="4546" spans="2:10">
      <c r="B4546" t="s">
        <v>695</v>
      </c>
      <c r="C4546" t="s">
        <v>229</v>
      </c>
      <c r="D4546">
        <v>50</v>
      </c>
      <c r="E4546">
        <v>50</v>
      </c>
      <c r="F4546">
        <v>45</v>
      </c>
      <c r="G4546">
        <v>40</v>
      </c>
      <c r="I4546" t="str">
        <f t="shared" si="58"/>
        <v>Fraternal Buildings|Good</v>
      </c>
      <c r="J4546" t="s">
        <v>1347</v>
      </c>
    </row>
    <row r="4547" spans="2:10">
      <c r="B4547" t="s">
        <v>698</v>
      </c>
      <c r="C4547" t="s">
        <v>229</v>
      </c>
      <c r="D4547">
        <v>55</v>
      </c>
      <c r="E4547">
        <v>55</v>
      </c>
      <c r="F4547">
        <v>50</v>
      </c>
      <c r="G4547">
        <v>45</v>
      </c>
      <c r="I4547" t="str">
        <f t="shared" si="58"/>
        <v>Visitor Centers|Good</v>
      </c>
      <c r="J4547" t="s">
        <v>1471</v>
      </c>
    </row>
    <row r="4548" spans="2:10">
      <c r="B4548" t="s">
        <v>698</v>
      </c>
      <c r="C4548" t="s">
        <v>44</v>
      </c>
      <c r="D4548">
        <v>50</v>
      </c>
      <c r="E4548">
        <v>50</v>
      </c>
      <c r="F4548">
        <v>45</v>
      </c>
      <c r="G4548">
        <v>40</v>
      </c>
      <c r="H4548">
        <v>40</v>
      </c>
      <c r="I4548" t="str">
        <f t="shared" si="58"/>
        <v>Visitor Centers|Average</v>
      </c>
      <c r="J4548" t="s">
        <v>1345</v>
      </c>
    </row>
    <row r="4549" spans="2:10">
      <c r="B4549" t="s">
        <v>698</v>
      </c>
      <c r="C4549" t="s">
        <v>231</v>
      </c>
      <c r="D4549">
        <v>55</v>
      </c>
      <c r="E4549">
        <v>55</v>
      </c>
      <c r="F4549">
        <v>50</v>
      </c>
      <c r="G4549">
        <v>45</v>
      </c>
      <c r="I4549" t="str">
        <f t="shared" si="58"/>
        <v>Visitor Centers|Excellent</v>
      </c>
      <c r="J4549" t="s">
        <v>1471</v>
      </c>
    </row>
    <row r="4550" spans="2:10">
      <c r="B4550" t="s">
        <v>700</v>
      </c>
      <c r="C4550" t="s">
        <v>229</v>
      </c>
      <c r="D4550">
        <v>55</v>
      </c>
      <c r="E4550">
        <v>55</v>
      </c>
      <c r="F4550">
        <v>50</v>
      </c>
      <c r="G4550">
        <v>45</v>
      </c>
      <c r="I4550" t="str">
        <f t="shared" si="58"/>
        <v>Convention Centers|Good</v>
      </c>
      <c r="J4550" t="s">
        <v>1472</v>
      </c>
    </row>
    <row r="4551" spans="2:10">
      <c r="B4551" t="s">
        <v>700</v>
      </c>
      <c r="C4551" t="s">
        <v>44</v>
      </c>
      <c r="D4551">
        <v>50</v>
      </c>
      <c r="E4551">
        <v>50</v>
      </c>
      <c r="F4551">
        <v>45</v>
      </c>
      <c r="G4551">
        <v>40</v>
      </c>
      <c r="H4551">
        <v>40</v>
      </c>
      <c r="I4551" t="str">
        <f t="shared" si="58"/>
        <v>Convention Centers|Average</v>
      </c>
      <c r="J4551" t="s">
        <v>1345</v>
      </c>
    </row>
    <row r="4552" spans="2:10">
      <c r="B4552" t="s">
        <v>700</v>
      </c>
      <c r="C4552" t="s">
        <v>231</v>
      </c>
      <c r="D4552">
        <v>55</v>
      </c>
      <c r="E4552">
        <v>55</v>
      </c>
      <c r="F4552">
        <v>50</v>
      </c>
      <c r="G4552">
        <v>45</v>
      </c>
      <c r="I4552" t="str">
        <f t="shared" si="58"/>
        <v>Convention Centers|Excellent</v>
      </c>
      <c r="J4552" t="s">
        <v>1472</v>
      </c>
    </row>
    <row r="4553" spans="2:10">
      <c r="B4553" t="s">
        <v>703</v>
      </c>
      <c r="C4553" t="s">
        <v>231</v>
      </c>
      <c r="F4553">
        <v>50</v>
      </c>
      <c r="I4553" t="str">
        <f t="shared" si="58"/>
        <v>Casinos|Excellent</v>
      </c>
      <c r="J4553" t="s">
        <v>1473</v>
      </c>
    </row>
    <row r="4554" spans="2:10">
      <c r="B4554" t="s">
        <v>703</v>
      </c>
      <c r="C4554" t="s">
        <v>250</v>
      </c>
      <c r="F4554">
        <v>50</v>
      </c>
      <c r="I4554" t="str">
        <f t="shared" si="58"/>
        <v>Casinos|Very Good</v>
      </c>
      <c r="J4554" t="s">
        <v>1473</v>
      </c>
    </row>
    <row r="4555" spans="2:10">
      <c r="B4555" t="s">
        <v>703</v>
      </c>
      <c r="C4555" t="s">
        <v>229</v>
      </c>
      <c r="F4555">
        <v>45</v>
      </c>
      <c r="G4555">
        <v>40</v>
      </c>
      <c r="I4555" t="str">
        <f t="shared" si="58"/>
        <v>Casinos|Good</v>
      </c>
      <c r="J4555" t="s">
        <v>1347</v>
      </c>
    </row>
    <row r="4556" spans="2:10">
      <c r="B4556" t="s">
        <v>703</v>
      </c>
      <c r="C4556" t="s">
        <v>44</v>
      </c>
      <c r="F4556">
        <v>40</v>
      </c>
      <c r="G4556">
        <v>35</v>
      </c>
      <c r="H4556">
        <v>35</v>
      </c>
      <c r="I4556" t="str">
        <f t="shared" si="58"/>
        <v>Casinos|Average</v>
      </c>
      <c r="J4556" t="s">
        <v>1345</v>
      </c>
    </row>
    <row r="4557" spans="2:10">
      <c r="B4557" t="s">
        <v>706</v>
      </c>
      <c r="C4557" t="s">
        <v>229</v>
      </c>
      <c r="D4557">
        <v>50</v>
      </c>
      <c r="E4557">
        <v>50</v>
      </c>
      <c r="F4557">
        <v>45</v>
      </c>
      <c r="G4557">
        <v>40</v>
      </c>
      <c r="H4557">
        <v>40</v>
      </c>
      <c r="I4557" t="str">
        <f t="shared" si="58"/>
        <v>Community Recreation Centers|Good</v>
      </c>
      <c r="J4557" t="s">
        <v>1474</v>
      </c>
    </row>
    <row r="4558" spans="2:10">
      <c r="B4558" t="s">
        <v>706</v>
      </c>
      <c r="C4558" t="s">
        <v>44</v>
      </c>
      <c r="D4558">
        <v>45</v>
      </c>
      <c r="E4558">
        <v>45</v>
      </c>
      <c r="F4558">
        <v>40</v>
      </c>
      <c r="G4558">
        <v>35</v>
      </c>
      <c r="H4558">
        <v>35</v>
      </c>
      <c r="I4558" t="str">
        <f t="shared" si="58"/>
        <v>Community Recreation Centers|Average</v>
      </c>
      <c r="J4558" t="s">
        <v>1341</v>
      </c>
    </row>
    <row r="4559" spans="2:10">
      <c r="B4559" t="s">
        <v>706</v>
      </c>
      <c r="C4559" t="s">
        <v>231</v>
      </c>
      <c r="D4559">
        <v>50</v>
      </c>
      <c r="E4559">
        <v>50</v>
      </c>
      <c r="F4559">
        <v>45</v>
      </c>
      <c r="G4559">
        <v>40</v>
      </c>
      <c r="H4559">
        <v>40</v>
      </c>
      <c r="I4559" t="str">
        <f t="shared" si="58"/>
        <v>Community Recreation Centers|Excellent</v>
      </c>
      <c r="J4559" t="s">
        <v>1474</v>
      </c>
    </row>
    <row r="4560" spans="2:10">
      <c r="B4560" t="s">
        <v>709</v>
      </c>
      <c r="C4560" t="s">
        <v>231</v>
      </c>
      <c r="F4560">
        <v>45</v>
      </c>
      <c r="G4560">
        <v>40</v>
      </c>
      <c r="I4560" t="str">
        <f t="shared" si="58"/>
        <v>Arcade Buildings|Excellent</v>
      </c>
      <c r="J4560" t="s">
        <v>1475</v>
      </c>
    </row>
    <row r="4561" spans="2:10">
      <c r="B4561" t="s">
        <v>709</v>
      </c>
      <c r="C4561" t="s">
        <v>229</v>
      </c>
      <c r="F4561">
        <v>45</v>
      </c>
      <c r="G4561">
        <v>40</v>
      </c>
      <c r="I4561" t="str">
        <f t="shared" si="58"/>
        <v>Arcade Buildings|Good</v>
      </c>
      <c r="J4561" t="s">
        <v>1475</v>
      </c>
    </row>
    <row r="4562" spans="2:10">
      <c r="B4562" t="s">
        <v>709</v>
      </c>
      <c r="C4562" t="s">
        <v>44</v>
      </c>
      <c r="F4562">
        <v>40</v>
      </c>
      <c r="G4562">
        <v>35</v>
      </c>
      <c r="H4562">
        <v>35</v>
      </c>
      <c r="I4562" t="str">
        <f t="shared" si="58"/>
        <v>Arcade Buildings|Average</v>
      </c>
      <c r="J4562" t="s">
        <v>1345</v>
      </c>
    </row>
    <row r="4563" spans="2:10">
      <c r="B4563" t="s">
        <v>711</v>
      </c>
      <c r="C4563" t="s">
        <v>229</v>
      </c>
      <c r="D4563">
        <v>60</v>
      </c>
      <c r="E4563">
        <v>60</v>
      </c>
      <c r="F4563">
        <v>55</v>
      </c>
      <c r="G4563">
        <v>50</v>
      </c>
      <c r="I4563" t="str">
        <f t="shared" si="58"/>
        <v>Museums|Good</v>
      </c>
      <c r="J4563" t="s">
        <v>1476</v>
      </c>
    </row>
    <row r="4564" spans="2:10">
      <c r="B4564" t="s">
        <v>711</v>
      </c>
      <c r="C4564" t="s">
        <v>44</v>
      </c>
      <c r="D4564">
        <v>55</v>
      </c>
      <c r="E4564">
        <v>55</v>
      </c>
      <c r="F4564">
        <v>50</v>
      </c>
      <c r="G4564">
        <v>45</v>
      </c>
      <c r="I4564" t="str">
        <f t="shared" si="58"/>
        <v>Museums|Average</v>
      </c>
      <c r="J4564" t="s">
        <v>1345</v>
      </c>
    </row>
    <row r="4565" spans="2:10">
      <c r="B4565" t="s">
        <v>711</v>
      </c>
      <c r="C4565" t="s">
        <v>231</v>
      </c>
      <c r="D4565">
        <v>60</v>
      </c>
      <c r="E4565">
        <v>60</v>
      </c>
      <c r="F4565">
        <v>55</v>
      </c>
      <c r="G4565">
        <v>50</v>
      </c>
      <c r="I4565" t="str">
        <f t="shared" si="58"/>
        <v>Museums|Excellent</v>
      </c>
      <c r="J4565" t="s">
        <v>1476</v>
      </c>
    </row>
    <row r="4566" spans="2:10">
      <c r="B4566" t="s">
        <v>714</v>
      </c>
      <c r="C4566" t="s">
        <v>229</v>
      </c>
      <c r="D4566">
        <v>50</v>
      </c>
      <c r="E4566">
        <v>50</v>
      </c>
      <c r="F4566">
        <v>45</v>
      </c>
      <c r="G4566">
        <v>40</v>
      </c>
      <c r="H4566">
        <v>40</v>
      </c>
      <c r="I4566" t="str">
        <f t="shared" si="58"/>
        <v>Ice Skating Rinks|Good</v>
      </c>
      <c r="J4566" t="s">
        <v>1477</v>
      </c>
    </row>
    <row r="4567" spans="2:10">
      <c r="B4567" t="s">
        <v>714</v>
      </c>
      <c r="C4567" t="s">
        <v>44</v>
      </c>
      <c r="D4567">
        <v>45</v>
      </c>
      <c r="E4567">
        <v>45</v>
      </c>
      <c r="F4567">
        <v>40</v>
      </c>
      <c r="G4567">
        <v>35</v>
      </c>
      <c r="H4567">
        <v>35</v>
      </c>
      <c r="I4567" t="str">
        <f t="shared" si="58"/>
        <v>Ice Skating Rinks|Average</v>
      </c>
      <c r="J4567" t="s">
        <v>1345</v>
      </c>
    </row>
    <row r="4568" spans="2:10">
      <c r="B4568" t="s">
        <v>714</v>
      </c>
      <c r="C4568" t="s">
        <v>231</v>
      </c>
      <c r="D4568">
        <v>50</v>
      </c>
      <c r="E4568">
        <v>50</v>
      </c>
      <c r="F4568">
        <v>45</v>
      </c>
      <c r="G4568">
        <v>40</v>
      </c>
      <c r="H4568">
        <v>40</v>
      </c>
      <c r="I4568" t="str">
        <f t="shared" si="58"/>
        <v>Ice Skating Rinks|Excellent</v>
      </c>
      <c r="J4568" t="s">
        <v>1477</v>
      </c>
    </row>
    <row r="4569" spans="2:10">
      <c r="B4569" t="s">
        <v>717</v>
      </c>
      <c r="C4569" t="s">
        <v>229</v>
      </c>
      <c r="D4569">
        <v>50</v>
      </c>
      <c r="E4569">
        <v>50</v>
      </c>
      <c r="F4569">
        <v>45</v>
      </c>
      <c r="G4569">
        <v>40</v>
      </c>
      <c r="H4569">
        <v>40</v>
      </c>
      <c r="I4569" t="str">
        <f t="shared" si="58"/>
        <v>Roller Skating Rinks|Good</v>
      </c>
      <c r="J4569" t="s">
        <v>1477</v>
      </c>
    </row>
    <row r="4570" spans="2:10">
      <c r="B4570" t="s">
        <v>717</v>
      </c>
      <c r="C4570" t="s">
        <v>44</v>
      </c>
      <c r="D4570">
        <v>45</v>
      </c>
      <c r="E4570">
        <v>45</v>
      </c>
      <c r="F4570">
        <v>40</v>
      </c>
      <c r="G4570">
        <v>35</v>
      </c>
      <c r="H4570">
        <v>35</v>
      </c>
      <c r="I4570" t="str">
        <f t="shared" si="58"/>
        <v>Roller Skating Rinks|Average</v>
      </c>
      <c r="J4570" t="s">
        <v>1345</v>
      </c>
    </row>
    <row r="4571" spans="2:10">
      <c r="B4571" t="s">
        <v>720</v>
      </c>
      <c r="C4571" t="s">
        <v>229</v>
      </c>
      <c r="F4571">
        <v>45</v>
      </c>
      <c r="G4571">
        <v>40</v>
      </c>
      <c r="H4571">
        <v>40</v>
      </c>
      <c r="I4571" t="str">
        <f t="shared" si="58"/>
        <v>Handball/Racquetball Clubs|Good</v>
      </c>
      <c r="J4571" t="s">
        <v>1478</v>
      </c>
    </row>
    <row r="4572" spans="2:10">
      <c r="B4572" t="s">
        <v>720</v>
      </c>
      <c r="C4572" t="s">
        <v>44</v>
      </c>
      <c r="F4572">
        <v>40</v>
      </c>
      <c r="G4572">
        <v>35</v>
      </c>
      <c r="H4572">
        <v>35</v>
      </c>
      <c r="I4572" t="str">
        <f t="shared" si="58"/>
        <v>Handball/Racquetball Clubs|Average</v>
      </c>
      <c r="J4572" t="s">
        <v>1345</v>
      </c>
    </row>
    <row r="4573" spans="2:10">
      <c r="B4573" t="s">
        <v>722</v>
      </c>
      <c r="C4573" t="s">
        <v>229</v>
      </c>
      <c r="D4573">
        <v>50</v>
      </c>
      <c r="E4573">
        <v>50</v>
      </c>
      <c r="F4573">
        <v>45</v>
      </c>
      <c r="G4573">
        <v>40</v>
      </c>
      <c r="H4573">
        <v>40</v>
      </c>
      <c r="I4573" t="str">
        <f t="shared" si="58"/>
        <v>Fitness Centers|Good</v>
      </c>
      <c r="J4573" t="s">
        <v>1479</v>
      </c>
    </row>
    <row r="4574" spans="2:10">
      <c r="B4574" t="s">
        <v>722</v>
      </c>
      <c r="C4574" t="s">
        <v>44</v>
      </c>
      <c r="D4574">
        <v>45</v>
      </c>
      <c r="E4574">
        <v>45</v>
      </c>
      <c r="F4574">
        <v>40</v>
      </c>
      <c r="G4574">
        <v>35</v>
      </c>
      <c r="H4574">
        <v>35</v>
      </c>
      <c r="I4574" t="str">
        <f t="shared" si="58"/>
        <v>Fitness Centers|Average</v>
      </c>
      <c r="J4574" t="s">
        <v>1345</v>
      </c>
    </row>
    <row r="4575" spans="2:10">
      <c r="B4575" t="s">
        <v>722</v>
      </c>
      <c r="C4575" t="s">
        <v>231</v>
      </c>
      <c r="D4575">
        <v>50</v>
      </c>
      <c r="E4575">
        <v>50</v>
      </c>
      <c r="F4575">
        <v>45</v>
      </c>
      <c r="G4575">
        <v>40</v>
      </c>
      <c r="H4575">
        <v>40</v>
      </c>
      <c r="I4575" t="str">
        <f t="shared" si="58"/>
        <v>Fitness Centers|Excellent</v>
      </c>
      <c r="J4575" t="s">
        <v>1479</v>
      </c>
    </row>
    <row r="4576" spans="2:10">
      <c r="B4576" t="s">
        <v>724</v>
      </c>
      <c r="C4576" t="s">
        <v>231</v>
      </c>
      <c r="F4576">
        <v>40</v>
      </c>
      <c r="G4576">
        <v>35</v>
      </c>
      <c r="H4576">
        <v>35</v>
      </c>
      <c r="I4576" t="str">
        <f t="shared" si="58"/>
        <v>Bowling Centers|Excellent</v>
      </c>
      <c r="J4576" t="s">
        <v>1480</v>
      </c>
    </row>
    <row r="4577" spans="2:10">
      <c r="B4577" t="s">
        <v>724</v>
      </c>
      <c r="C4577" t="s">
        <v>229</v>
      </c>
      <c r="F4577">
        <v>40</v>
      </c>
      <c r="G4577">
        <v>35</v>
      </c>
      <c r="H4577">
        <v>35</v>
      </c>
      <c r="I4577" t="str">
        <f t="shared" si="58"/>
        <v>Bowling Centers|Good</v>
      </c>
      <c r="J4577" t="s">
        <v>1480</v>
      </c>
    </row>
    <row r="4578" spans="2:10">
      <c r="B4578" t="s">
        <v>724</v>
      </c>
      <c r="C4578" t="s">
        <v>44</v>
      </c>
      <c r="F4578">
        <v>35</v>
      </c>
      <c r="G4578">
        <v>30</v>
      </c>
      <c r="H4578">
        <v>30</v>
      </c>
      <c r="I4578" t="str">
        <f t="shared" si="58"/>
        <v>Bowling Centers|Average</v>
      </c>
      <c r="J4578" t="s">
        <v>1341</v>
      </c>
    </row>
    <row r="4579" spans="2:10">
      <c r="B4579" t="s">
        <v>727</v>
      </c>
      <c r="C4579" t="s">
        <v>229</v>
      </c>
      <c r="F4579">
        <v>45</v>
      </c>
      <c r="G4579">
        <v>40</v>
      </c>
      <c r="H4579">
        <v>40</v>
      </c>
      <c r="I4579" t="str">
        <f t="shared" si="58"/>
        <v>Indoor Tennis Clubs|Good</v>
      </c>
      <c r="J4579" t="s">
        <v>1481</v>
      </c>
    </row>
    <row r="4580" spans="2:10">
      <c r="B4580" t="s">
        <v>727</v>
      </c>
      <c r="C4580" t="s">
        <v>44</v>
      </c>
      <c r="F4580">
        <v>40</v>
      </c>
      <c r="G4580">
        <v>35</v>
      </c>
      <c r="H4580">
        <v>35</v>
      </c>
      <c r="I4580" t="str">
        <f t="shared" si="58"/>
        <v>Indoor Tennis Clubs|Average</v>
      </c>
      <c r="J4580" t="s">
        <v>1345</v>
      </c>
    </row>
    <row r="4581" spans="2:10">
      <c r="B4581" t="s">
        <v>729</v>
      </c>
      <c r="C4581" t="s">
        <v>231</v>
      </c>
      <c r="F4581">
        <v>50</v>
      </c>
      <c r="G4581">
        <v>45</v>
      </c>
      <c r="I4581" t="str">
        <f t="shared" si="58"/>
        <v>Pavilions|Excellent</v>
      </c>
      <c r="J4581" t="s">
        <v>1482</v>
      </c>
    </row>
    <row r="4582" spans="2:10">
      <c r="B4582" t="s">
        <v>729</v>
      </c>
      <c r="C4582" t="s">
        <v>250</v>
      </c>
      <c r="F4582">
        <v>45</v>
      </c>
      <c r="G4582">
        <v>40</v>
      </c>
      <c r="I4582" t="str">
        <f t="shared" si="58"/>
        <v>Pavilions|Very Good</v>
      </c>
      <c r="J4582" t="s">
        <v>1483</v>
      </c>
    </row>
    <row r="4583" spans="2:10">
      <c r="B4583" t="s">
        <v>729</v>
      </c>
      <c r="C4583" t="s">
        <v>229</v>
      </c>
      <c r="F4583">
        <v>40</v>
      </c>
      <c r="G4583">
        <v>35</v>
      </c>
      <c r="I4583" t="str">
        <f t="shared" si="58"/>
        <v>Pavilions|Good</v>
      </c>
      <c r="J4583" t="s">
        <v>1347</v>
      </c>
    </row>
    <row r="4584" spans="2:10">
      <c r="B4584" t="s">
        <v>729</v>
      </c>
      <c r="C4584" t="s">
        <v>44</v>
      </c>
      <c r="F4584">
        <v>35</v>
      </c>
      <c r="G4584">
        <v>30</v>
      </c>
      <c r="H4584">
        <v>30</v>
      </c>
      <c r="I4584" t="str">
        <f t="shared" si="58"/>
        <v>Pavilions|Average</v>
      </c>
      <c r="J4584" t="s">
        <v>1484</v>
      </c>
    </row>
    <row r="4585" spans="2:10">
      <c r="B4585" t="s">
        <v>729</v>
      </c>
      <c r="C4585" t="s">
        <v>302</v>
      </c>
      <c r="F4585">
        <v>35</v>
      </c>
      <c r="G4585">
        <v>30</v>
      </c>
      <c r="H4585">
        <v>30</v>
      </c>
      <c r="I4585" t="str">
        <f t="shared" si="58"/>
        <v>Pavilions|Fair</v>
      </c>
      <c r="J4585" t="s">
        <v>1484</v>
      </c>
    </row>
    <row r="4586" spans="2:10">
      <c r="B4586" t="s">
        <v>729</v>
      </c>
      <c r="C4586" t="s">
        <v>314</v>
      </c>
      <c r="F4586">
        <v>25</v>
      </c>
      <c r="G4586">
        <v>20</v>
      </c>
      <c r="H4586">
        <v>20</v>
      </c>
      <c r="I4586" t="str">
        <f t="shared" si="58"/>
        <v>Pavilions|Cheap</v>
      </c>
      <c r="J4586" t="s">
        <v>1356</v>
      </c>
    </row>
    <row r="4587" spans="2:10">
      <c r="B4587" t="s">
        <v>732</v>
      </c>
      <c r="C4587" t="s">
        <v>229</v>
      </c>
      <c r="F4587">
        <v>35</v>
      </c>
      <c r="G4587">
        <v>30</v>
      </c>
      <c r="H4587">
        <v>30</v>
      </c>
      <c r="I4587" t="str">
        <f t="shared" si="58"/>
        <v>Light Commercial – Commodity Warehouse|Good</v>
      </c>
      <c r="J4587" t="s">
        <v>1485</v>
      </c>
    </row>
    <row r="4588" spans="2:10">
      <c r="B4588" t="s">
        <v>732</v>
      </c>
      <c r="C4588" t="s">
        <v>44</v>
      </c>
      <c r="F4588">
        <v>30</v>
      </c>
      <c r="G4588">
        <v>25</v>
      </c>
      <c r="H4588">
        <v>25</v>
      </c>
      <c r="I4588" t="str">
        <f t="shared" si="58"/>
        <v>Light Commercial – Commodity Warehouse|Average</v>
      </c>
      <c r="J4588" t="s">
        <v>1345</v>
      </c>
    </row>
    <row r="4589" spans="2:10">
      <c r="B4589" t="s">
        <v>732</v>
      </c>
      <c r="C4589" t="s">
        <v>226</v>
      </c>
      <c r="G4589">
        <v>20</v>
      </c>
      <c r="H4589">
        <v>20</v>
      </c>
      <c r="I4589" t="str">
        <f t="shared" si="58"/>
        <v>Light Commercial – Commodity Warehouse|Low Cost</v>
      </c>
      <c r="J4589" t="s">
        <v>1349</v>
      </c>
    </row>
    <row r="4590" spans="2:10">
      <c r="B4590" t="s">
        <v>736</v>
      </c>
      <c r="C4590" t="s">
        <v>229</v>
      </c>
      <c r="G4590">
        <v>30</v>
      </c>
      <c r="H4590">
        <v>35</v>
      </c>
      <c r="I4590" t="str">
        <f t="shared" si="58"/>
        <v>Light Commercial – Manufacturing Utility Buildings|Good</v>
      </c>
      <c r="J4590" t="s">
        <v>1486</v>
      </c>
    </row>
    <row r="4591" spans="2:10">
      <c r="B4591" t="s">
        <v>736</v>
      </c>
      <c r="C4591" t="s">
        <v>44</v>
      </c>
      <c r="G4591">
        <v>25</v>
      </c>
      <c r="H4591">
        <v>30</v>
      </c>
      <c r="I4591" t="str">
        <f t="shared" si="58"/>
        <v>Light Commercial – Manufacturing Utility Buildings|Average</v>
      </c>
      <c r="J4591" t="s">
        <v>1345</v>
      </c>
    </row>
    <row r="4592" spans="2:10">
      <c r="B4592" t="s">
        <v>736</v>
      </c>
      <c r="C4592" t="s">
        <v>226</v>
      </c>
      <c r="G4592">
        <v>20</v>
      </c>
      <c r="H4592">
        <v>25</v>
      </c>
      <c r="I4592" t="str">
        <f t="shared" si="58"/>
        <v>Light Commercial – Manufacturing Utility Buildings|Low Cost</v>
      </c>
      <c r="J4592" t="s">
        <v>1349</v>
      </c>
    </row>
    <row r="4593" spans="2:10">
      <c r="B4593" t="s">
        <v>738</v>
      </c>
      <c r="C4593" t="s">
        <v>229</v>
      </c>
      <c r="G4593">
        <v>25</v>
      </c>
      <c r="H4593">
        <v>30</v>
      </c>
      <c r="I4593" t="str">
        <f t="shared" si="58"/>
        <v>Material – Commodity Shelters|Good</v>
      </c>
      <c r="J4593" t="s">
        <v>1487</v>
      </c>
    </row>
    <row r="4594" spans="2:10">
      <c r="B4594" t="s">
        <v>738</v>
      </c>
      <c r="C4594" t="s">
        <v>226</v>
      </c>
      <c r="G4594">
        <v>15</v>
      </c>
      <c r="H4594">
        <v>15</v>
      </c>
      <c r="I4594" t="str">
        <f t="shared" si="58"/>
        <v>Material – Commodity Shelters|Low Cost</v>
      </c>
      <c r="J4594" t="s">
        <v>1349</v>
      </c>
    </row>
    <row r="4595" spans="2:10">
      <c r="B4595" t="s">
        <v>738</v>
      </c>
      <c r="C4595" t="s">
        <v>250</v>
      </c>
      <c r="G4595">
        <v>25</v>
      </c>
      <c r="H4595">
        <v>30</v>
      </c>
      <c r="I4595" t="str">
        <f t="shared" si="58"/>
        <v>Material – Commodity Shelters|Very Good</v>
      </c>
      <c r="J4595" t="s">
        <v>1487</v>
      </c>
    </row>
    <row r="4596" spans="2:10">
      <c r="B4596" t="s">
        <v>738</v>
      </c>
      <c r="C4596" t="s">
        <v>44</v>
      </c>
      <c r="G4596">
        <v>20</v>
      </c>
      <c r="H4596">
        <v>20</v>
      </c>
      <c r="I4596" t="str">
        <f t="shared" si="58"/>
        <v>Material – Commodity Shelters|Average</v>
      </c>
      <c r="J4596" t="s">
        <v>1345</v>
      </c>
    </row>
    <row r="4597" spans="2:10">
      <c r="B4597" t="s">
        <v>746</v>
      </c>
      <c r="C4597" t="s">
        <v>229</v>
      </c>
      <c r="F4597">
        <v>35</v>
      </c>
      <c r="G4597">
        <v>30</v>
      </c>
      <c r="H4597">
        <v>30</v>
      </c>
      <c r="I4597" t="str">
        <f t="shared" si="58"/>
        <v>Light Commercial Utility Buildings|Good</v>
      </c>
      <c r="J4597" t="s">
        <v>1488</v>
      </c>
    </row>
    <row r="4598" spans="2:10">
      <c r="B4598" t="s">
        <v>746</v>
      </c>
      <c r="C4598" t="s">
        <v>44</v>
      </c>
      <c r="F4598">
        <v>30</v>
      </c>
      <c r="G4598">
        <v>25</v>
      </c>
      <c r="H4598">
        <v>25</v>
      </c>
      <c r="I4598" t="str">
        <f t="shared" si="58"/>
        <v>Light Commercial Utility Buildings|Average</v>
      </c>
      <c r="J4598" t="s">
        <v>1345</v>
      </c>
    </row>
    <row r="4599" spans="2:10">
      <c r="B4599" t="s">
        <v>746</v>
      </c>
      <c r="C4599" t="s">
        <v>226</v>
      </c>
      <c r="G4599">
        <v>20</v>
      </c>
      <c r="H4599">
        <v>20</v>
      </c>
      <c r="I4599" t="str">
        <f t="shared" si="58"/>
        <v>Light Commercial Utility Buildings|Low Cost</v>
      </c>
      <c r="J4599" t="s">
        <v>1349</v>
      </c>
    </row>
    <row r="4600" spans="2:10">
      <c r="B4600" t="s">
        <v>749</v>
      </c>
      <c r="C4600" t="s">
        <v>229</v>
      </c>
      <c r="F4600">
        <v>25</v>
      </c>
      <c r="G4600">
        <v>20</v>
      </c>
      <c r="I4600" t="str">
        <f t="shared" ref="I4600:I4663" si="59">B4600&amp;"|"&amp;C4600</f>
        <v>Toolshed Buildings|Good</v>
      </c>
      <c r="J4600" t="s">
        <v>1489</v>
      </c>
    </row>
    <row r="4601" spans="2:10">
      <c r="B4601" t="s">
        <v>749</v>
      </c>
      <c r="C4601" t="s">
        <v>44</v>
      </c>
      <c r="G4601">
        <v>15</v>
      </c>
      <c r="I4601" t="str">
        <f t="shared" si="59"/>
        <v>Toolshed Buildings|Average</v>
      </c>
      <c r="J4601" t="s">
        <v>1345</v>
      </c>
    </row>
    <row r="4602" spans="2:10">
      <c r="B4602" t="s">
        <v>749</v>
      </c>
      <c r="C4602" t="s">
        <v>226</v>
      </c>
      <c r="G4602">
        <v>10</v>
      </c>
      <c r="I4602" t="str">
        <f t="shared" si="59"/>
        <v>Toolshed Buildings|Low Cost</v>
      </c>
      <c r="J4602" t="s">
        <v>1349</v>
      </c>
    </row>
    <row r="4603" spans="2:10">
      <c r="B4603" t="s">
        <v>751</v>
      </c>
      <c r="C4603" t="s">
        <v>229</v>
      </c>
      <c r="F4603">
        <v>35</v>
      </c>
      <c r="G4603">
        <v>30</v>
      </c>
      <c r="H4603">
        <v>30</v>
      </c>
      <c r="I4603" t="str">
        <f t="shared" si="59"/>
        <v>Light Commercial Arch-Rib (Quonset) Buildings|Good</v>
      </c>
      <c r="J4603" t="s">
        <v>1488</v>
      </c>
    </row>
    <row r="4604" spans="2:10">
      <c r="B4604" t="s">
        <v>751</v>
      </c>
      <c r="C4604" t="s">
        <v>44</v>
      </c>
      <c r="F4604">
        <v>30</v>
      </c>
      <c r="G4604">
        <v>25</v>
      </c>
      <c r="H4604">
        <v>25</v>
      </c>
      <c r="I4604" t="str">
        <f t="shared" si="59"/>
        <v>Light Commercial Arch-Rib (Quonset) Buildings|Average</v>
      </c>
      <c r="J4604" t="s">
        <v>1345</v>
      </c>
    </row>
    <row r="4605" spans="2:10">
      <c r="B4605" t="s">
        <v>751</v>
      </c>
      <c r="C4605" t="s">
        <v>226</v>
      </c>
      <c r="G4605">
        <v>20</v>
      </c>
      <c r="H4605">
        <v>20</v>
      </c>
      <c r="I4605" t="str">
        <f t="shared" si="59"/>
        <v>Light Commercial Arch-Rib (Quonset) Buildings|Low Cost</v>
      </c>
      <c r="J4605" t="s">
        <v>1349</v>
      </c>
    </row>
    <row r="4606" spans="2:10">
      <c r="B4606" t="s">
        <v>754</v>
      </c>
      <c r="C4606" t="s">
        <v>229</v>
      </c>
      <c r="F4606">
        <v>35</v>
      </c>
      <c r="G4606">
        <v>30</v>
      </c>
      <c r="H4606">
        <v>30</v>
      </c>
      <c r="I4606" t="str">
        <f t="shared" si="59"/>
        <v>Light Commercial Equipment (Shop) Buildings|Good</v>
      </c>
      <c r="J4606" t="s">
        <v>1490</v>
      </c>
    </row>
    <row r="4607" spans="2:10">
      <c r="B4607" t="s">
        <v>754</v>
      </c>
      <c r="C4607" t="s">
        <v>44</v>
      </c>
      <c r="F4607">
        <v>30</v>
      </c>
      <c r="G4607">
        <v>25</v>
      </c>
      <c r="H4607">
        <v>25</v>
      </c>
      <c r="I4607" t="str">
        <f t="shared" si="59"/>
        <v>Light Commercial Equipment (Shop) Buildings|Average</v>
      </c>
      <c r="J4607" t="s">
        <v>1345</v>
      </c>
    </row>
    <row r="4608" spans="2:10">
      <c r="B4608" t="s">
        <v>756</v>
      </c>
      <c r="C4608" t="s">
        <v>229</v>
      </c>
      <c r="F4608">
        <v>30</v>
      </c>
      <c r="G4608">
        <v>25</v>
      </c>
      <c r="H4608">
        <v>25</v>
      </c>
      <c r="I4608" t="str">
        <f t="shared" si="59"/>
        <v>Light Commercial Equipment Sheds|Good</v>
      </c>
      <c r="J4608" t="s">
        <v>1491</v>
      </c>
    </row>
    <row r="4609" spans="2:10">
      <c r="B4609" t="s">
        <v>756</v>
      </c>
      <c r="C4609" t="s">
        <v>44</v>
      </c>
      <c r="F4609">
        <v>25</v>
      </c>
      <c r="G4609">
        <v>20</v>
      </c>
      <c r="H4609">
        <v>20</v>
      </c>
      <c r="I4609" t="str">
        <f t="shared" si="59"/>
        <v>Light Commercial Equipment Sheds|Average</v>
      </c>
      <c r="J4609" t="s">
        <v>1345</v>
      </c>
    </row>
    <row r="4610" spans="2:10">
      <c r="B4610" t="s">
        <v>759</v>
      </c>
      <c r="C4610" t="s">
        <v>229</v>
      </c>
      <c r="F4610">
        <v>40</v>
      </c>
      <c r="G4610">
        <v>35</v>
      </c>
      <c r="H4610">
        <v>35</v>
      </c>
      <c r="I4610" t="str">
        <f t="shared" si="59"/>
        <v>Shed Office Structures|Good</v>
      </c>
      <c r="J4610" t="s">
        <v>1492</v>
      </c>
    </row>
    <row r="4611" spans="2:10">
      <c r="B4611" t="s">
        <v>759</v>
      </c>
      <c r="C4611" t="s">
        <v>44</v>
      </c>
      <c r="F4611">
        <v>35</v>
      </c>
      <c r="G4611">
        <v>30</v>
      </c>
      <c r="H4611">
        <v>30</v>
      </c>
      <c r="I4611" t="str">
        <f t="shared" si="59"/>
        <v>Shed Office Structures|Average</v>
      </c>
      <c r="J4611" t="s">
        <v>1345</v>
      </c>
    </row>
    <row r="4612" spans="2:10">
      <c r="B4612" t="s">
        <v>759</v>
      </c>
      <c r="C4612" t="s">
        <v>226</v>
      </c>
      <c r="G4612">
        <v>25</v>
      </c>
      <c r="H4612">
        <v>25</v>
      </c>
      <c r="I4612" t="str">
        <f t="shared" si="59"/>
        <v>Shed Office Structures|Low Cost</v>
      </c>
      <c r="J4612" t="s">
        <v>1349</v>
      </c>
    </row>
    <row r="4613" spans="2:10">
      <c r="B4613" t="s">
        <v>761</v>
      </c>
      <c r="C4613" t="s">
        <v>231</v>
      </c>
      <c r="G4613">
        <v>35</v>
      </c>
      <c r="H4613">
        <v>30</v>
      </c>
      <c r="I4613" t="str">
        <f t="shared" si="59"/>
        <v>Golf Cart Storage Buildings|Excellent</v>
      </c>
      <c r="J4613" t="s">
        <v>1493</v>
      </c>
    </row>
    <row r="4614" spans="2:10">
      <c r="B4614" t="s">
        <v>761</v>
      </c>
      <c r="C4614" t="s">
        <v>229</v>
      </c>
      <c r="G4614">
        <v>35</v>
      </c>
      <c r="H4614">
        <v>30</v>
      </c>
      <c r="I4614" t="str">
        <f t="shared" si="59"/>
        <v>Golf Cart Storage Buildings|Good</v>
      </c>
      <c r="J4614" t="s">
        <v>1493</v>
      </c>
    </row>
    <row r="4615" spans="2:10">
      <c r="B4615" t="s">
        <v>761</v>
      </c>
      <c r="C4615" t="s">
        <v>44</v>
      </c>
      <c r="G4615">
        <v>30</v>
      </c>
      <c r="H4615">
        <v>25</v>
      </c>
      <c r="I4615" t="str">
        <f t="shared" si="59"/>
        <v>Golf Cart Storage Buildings|Average</v>
      </c>
      <c r="J4615" t="s">
        <v>1345</v>
      </c>
    </row>
    <row r="4616" spans="2:10">
      <c r="B4616" t="s">
        <v>764</v>
      </c>
      <c r="C4616" t="s">
        <v>231</v>
      </c>
      <c r="F4616">
        <v>40</v>
      </c>
      <c r="G4616">
        <v>35</v>
      </c>
      <c r="I4616" t="str">
        <f t="shared" si="59"/>
        <v>Golf Starter (Guard House) Booths|Excellent</v>
      </c>
      <c r="J4616" t="s">
        <v>1494</v>
      </c>
    </row>
    <row r="4617" spans="2:10">
      <c r="B4617" t="s">
        <v>764</v>
      </c>
      <c r="C4617" t="s">
        <v>229</v>
      </c>
      <c r="F4617">
        <v>35</v>
      </c>
      <c r="G4617">
        <v>30</v>
      </c>
      <c r="H4617">
        <v>25</v>
      </c>
      <c r="I4617" t="str">
        <f t="shared" si="59"/>
        <v>Golf Starter (Guard House) Booths|Good</v>
      </c>
      <c r="J4617" t="s">
        <v>1347</v>
      </c>
    </row>
    <row r="4618" spans="2:10">
      <c r="B4618" t="s">
        <v>764</v>
      </c>
      <c r="C4618" t="s">
        <v>44</v>
      </c>
      <c r="F4618">
        <v>25</v>
      </c>
      <c r="G4618">
        <v>20</v>
      </c>
      <c r="H4618">
        <v>20</v>
      </c>
      <c r="I4618" t="str">
        <f t="shared" si="59"/>
        <v>Golf Starter (Guard House) Booths|Average</v>
      </c>
      <c r="J4618" t="s">
        <v>1345</v>
      </c>
    </row>
    <row r="4619" spans="2:10">
      <c r="B4619" t="s">
        <v>764</v>
      </c>
      <c r="C4619" t="s">
        <v>226</v>
      </c>
      <c r="G4619">
        <v>15</v>
      </c>
      <c r="H4619">
        <v>10</v>
      </c>
      <c r="I4619" t="str">
        <f t="shared" si="59"/>
        <v>Golf Starter (Guard House) Booths|Low Cost</v>
      </c>
      <c r="J4619" t="s">
        <v>1349</v>
      </c>
    </row>
    <row r="4620" spans="2:10">
      <c r="B4620" t="s">
        <v>766</v>
      </c>
      <c r="C4620" t="s">
        <v>250</v>
      </c>
      <c r="F4620">
        <v>30</v>
      </c>
      <c r="G4620">
        <v>25</v>
      </c>
      <c r="H4620">
        <v>25</v>
      </c>
      <c r="I4620" t="str">
        <f t="shared" si="59"/>
        <v>Material Storage Buildings|Very Good</v>
      </c>
      <c r="J4620" t="s">
        <v>1495</v>
      </c>
    </row>
    <row r="4621" spans="2:10">
      <c r="B4621" t="s">
        <v>766</v>
      </c>
      <c r="C4621" t="s">
        <v>229</v>
      </c>
      <c r="F4621">
        <v>30</v>
      </c>
      <c r="G4621">
        <v>25</v>
      </c>
      <c r="H4621">
        <v>25</v>
      </c>
      <c r="I4621" t="str">
        <f t="shared" si="59"/>
        <v>Material Storage Buildings|Good</v>
      </c>
      <c r="J4621" t="s">
        <v>1495</v>
      </c>
    </row>
    <row r="4622" spans="2:10">
      <c r="B4622" t="s">
        <v>766</v>
      </c>
      <c r="C4622" t="s">
        <v>44</v>
      </c>
      <c r="F4622">
        <v>25</v>
      </c>
      <c r="G4622">
        <v>20</v>
      </c>
      <c r="H4622">
        <v>20</v>
      </c>
      <c r="I4622" t="str">
        <f t="shared" si="59"/>
        <v>Material Storage Buildings|Average</v>
      </c>
      <c r="J4622" t="s">
        <v>1345</v>
      </c>
    </row>
    <row r="4623" spans="2:10">
      <c r="B4623" t="s">
        <v>769</v>
      </c>
      <c r="C4623" t="s">
        <v>44</v>
      </c>
      <c r="F4623">
        <v>25</v>
      </c>
      <c r="G4623">
        <v>20</v>
      </c>
      <c r="H4623">
        <v>20</v>
      </c>
      <c r="I4623" t="str">
        <f t="shared" si="59"/>
        <v>Material Storage Sheds|Average</v>
      </c>
      <c r="J4623" t="s">
        <v>1496</v>
      </c>
    </row>
    <row r="4624" spans="2:10">
      <c r="B4624" t="s">
        <v>769</v>
      </c>
      <c r="C4624" t="s">
        <v>226</v>
      </c>
      <c r="F4624">
        <v>20</v>
      </c>
      <c r="G4624">
        <v>15</v>
      </c>
      <c r="H4624">
        <v>15</v>
      </c>
      <c r="I4624" t="str">
        <f t="shared" si="59"/>
        <v>Material Storage Sheds|Low Cost</v>
      </c>
      <c r="J4624" t="s">
        <v>1349</v>
      </c>
    </row>
    <row r="4625" spans="2:10">
      <c r="B4625" t="s">
        <v>771</v>
      </c>
      <c r="C4625" t="s">
        <v>44</v>
      </c>
      <c r="G4625">
        <v>30</v>
      </c>
      <c r="H4625">
        <v>30</v>
      </c>
      <c r="I4625" t="str">
        <f t="shared" si="59"/>
        <v>Bulk Oil Storage|Average</v>
      </c>
      <c r="J4625" t="s">
        <v>1497</v>
      </c>
    </row>
    <row r="4626" spans="2:10">
      <c r="B4626" t="s">
        <v>773</v>
      </c>
      <c r="C4626" t="s">
        <v>229</v>
      </c>
      <c r="G4626">
        <v>25</v>
      </c>
      <c r="H4626">
        <v>25</v>
      </c>
      <c r="I4626" t="str">
        <f t="shared" si="59"/>
        <v>Lumber Storage Buildings|Good</v>
      </c>
      <c r="J4626" t="s">
        <v>1498</v>
      </c>
    </row>
    <row r="4627" spans="2:10">
      <c r="B4627" t="s">
        <v>773</v>
      </c>
      <c r="C4627" t="s">
        <v>44</v>
      </c>
      <c r="G4627">
        <v>20</v>
      </c>
      <c r="H4627">
        <v>20</v>
      </c>
      <c r="I4627" t="str">
        <f t="shared" si="59"/>
        <v>Lumber Storage Buildings|Average</v>
      </c>
      <c r="J4627" t="s">
        <v>1345</v>
      </c>
    </row>
    <row r="4628" spans="2:10">
      <c r="B4628" t="s">
        <v>773</v>
      </c>
      <c r="C4628" t="s">
        <v>226</v>
      </c>
      <c r="G4628">
        <v>15</v>
      </c>
      <c r="H4628">
        <v>15</v>
      </c>
      <c r="I4628" t="str">
        <f t="shared" si="59"/>
        <v>Lumber Storage Buildings|Low Cost</v>
      </c>
      <c r="J4628" t="s">
        <v>1349</v>
      </c>
    </row>
    <row r="4629" spans="2:10">
      <c r="B4629" t="s">
        <v>776</v>
      </c>
      <c r="C4629" t="s">
        <v>229</v>
      </c>
      <c r="G4629">
        <v>25</v>
      </c>
      <c r="H4629">
        <v>20</v>
      </c>
      <c r="I4629" t="str">
        <f t="shared" si="59"/>
        <v>Lumber Storage Sheds|Good</v>
      </c>
      <c r="J4629" t="s">
        <v>1499</v>
      </c>
    </row>
    <row r="4630" spans="2:10">
      <c r="B4630" t="s">
        <v>776</v>
      </c>
      <c r="C4630" t="s">
        <v>44</v>
      </c>
      <c r="G4630">
        <v>15</v>
      </c>
      <c r="H4630">
        <v>15</v>
      </c>
      <c r="I4630" t="str">
        <f t="shared" si="59"/>
        <v>Lumber Storage Sheds|Average</v>
      </c>
      <c r="J4630" t="s">
        <v>1341</v>
      </c>
    </row>
    <row r="4631" spans="2:10">
      <c r="B4631" t="s">
        <v>776</v>
      </c>
      <c r="C4631" t="s">
        <v>226</v>
      </c>
      <c r="G4631">
        <v>15</v>
      </c>
      <c r="H4631">
        <v>15</v>
      </c>
      <c r="I4631" t="str">
        <f t="shared" si="59"/>
        <v>Lumber Storage Sheds|Low Cost</v>
      </c>
      <c r="J4631" t="s">
        <v>1341</v>
      </c>
    </row>
    <row r="4632" spans="2:10">
      <c r="B4632" t="s">
        <v>778</v>
      </c>
      <c r="C4632" t="s">
        <v>44</v>
      </c>
      <c r="G4632">
        <v>25</v>
      </c>
      <c r="H4632">
        <v>25</v>
      </c>
      <c r="I4632" t="str">
        <f t="shared" si="59"/>
        <v>Boat Storage Buildings|Average</v>
      </c>
      <c r="J4632" t="s">
        <v>1345</v>
      </c>
    </row>
    <row r="4633" spans="2:10">
      <c r="B4633" t="s">
        <v>778</v>
      </c>
      <c r="C4633" t="s">
        <v>226</v>
      </c>
      <c r="G4633">
        <v>20</v>
      </c>
      <c r="H4633">
        <v>20</v>
      </c>
      <c r="I4633" t="str">
        <f t="shared" si="59"/>
        <v>Boat Storage Buildings|Low Cost</v>
      </c>
      <c r="J4633" t="s">
        <v>1349</v>
      </c>
    </row>
    <row r="4634" spans="2:10">
      <c r="B4634" t="s">
        <v>778</v>
      </c>
      <c r="C4634" t="s">
        <v>229</v>
      </c>
      <c r="H4634">
        <v>30</v>
      </c>
      <c r="I4634" t="str">
        <f t="shared" si="59"/>
        <v>Boat Storage Buildings|Good</v>
      </c>
      <c r="J4634" t="s">
        <v>1500</v>
      </c>
    </row>
    <row r="4635" spans="2:10">
      <c r="B4635" t="s">
        <v>781</v>
      </c>
      <c r="C4635" t="s">
        <v>229</v>
      </c>
      <c r="G4635">
        <v>20</v>
      </c>
      <c r="H4635">
        <v>20</v>
      </c>
      <c r="I4635" t="str">
        <f t="shared" si="59"/>
        <v>Boat Storage Sheds|Good</v>
      </c>
      <c r="J4635" t="s">
        <v>1501</v>
      </c>
    </row>
    <row r="4636" spans="2:10">
      <c r="B4636" t="s">
        <v>781</v>
      </c>
      <c r="C4636" t="s">
        <v>44</v>
      </c>
      <c r="G4636">
        <v>15</v>
      </c>
      <c r="H4636">
        <v>15</v>
      </c>
      <c r="I4636" t="str">
        <f t="shared" si="59"/>
        <v>Boat Storage Sheds|Average</v>
      </c>
      <c r="J4636" t="s">
        <v>1341</v>
      </c>
    </row>
    <row r="4637" spans="2:10">
      <c r="B4637" t="s">
        <v>781</v>
      </c>
      <c r="C4637" t="s">
        <v>226</v>
      </c>
      <c r="G4637">
        <v>15</v>
      </c>
      <c r="H4637">
        <v>15</v>
      </c>
      <c r="I4637" t="str">
        <f t="shared" si="59"/>
        <v>Boat Storage Sheds|Low Cost</v>
      </c>
      <c r="J4637" t="s">
        <v>1341</v>
      </c>
    </row>
    <row r="4638" spans="2:10">
      <c r="B4638" t="s">
        <v>783</v>
      </c>
      <c r="C4638" t="s">
        <v>44</v>
      </c>
      <c r="G4638">
        <v>30</v>
      </c>
      <c r="H4638">
        <v>30</v>
      </c>
      <c r="I4638" t="str">
        <f t="shared" si="59"/>
        <v>Bag Fertilizer Storage|Average</v>
      </c>
      <c r="J4638" t="s">
        <v>1502</v>
      </c>
    </row>
    <row r="4639" spans="2:10">
      <c r="B4639" t="s">
        <v>786</v>
      </c>
      <c r="C4639" t="s">
        <v>44</v>
      </c>
      <c r="F4639">
        <v>35</v>
      </c>
      <c r="G4639">
        <v>30</v>
      </c>
      <c r="H4639">
        <v>30</v>
      </c>
      <c r="I4639" t="str">
        <f t="shared" si="59"/>
        <v>Bulk Fertilizer Storage|Average</v>
      </c>
      <c r="J4639" t="s">
        <v>1503</v>
      </c>
    </row>
    <row r="4640" spans="2:10">
      <c r="B4640" t="s">
        <v>788</v>
      </c>
      <c r="C4640" t="s">
        <v>44</v>
      </c>
      <c r="F4640">
        <v>25</v>
      </c>
      <c r="G4640">
        <v>20</v>
      </c>
      <c r="H4640">
        <v>20</v>
      </c>
      <c r="I4640" t="str">
        <f t="shared" si="59"/>
        <v>Tobacco Barns – Flue Curing|Average</v>
      </c>
      <c r="J4640" t="s">
        <v>1504</v>
      </c>
    </row>
    <row r="4641" spans="2:10">
      <c r="B4641" t="s">
        <v>790</v>
      </c>
      <c r="C4641" t="s">
        <v>44</v>
      </c>
      <c r="G4641">
        <v>25</v>
      </c>
      <c r="I4641" t="str">
        <f t="shared" si="59"/>
        <v>Tobacco Barns – Air Curing|Average</v>
      </c>
      <c r="J4641" t="s">
        <v>1505</v>
      </c>
    </row>
    <row r="4642" spans="2:10">
      <c r="B4642" t="s">
        <v>790</v>
      </c>
      <c r="C4642" t="s">
        <v>226</v>
      </c>
      <c r="G4642">
        <v>20</v>
      </c>
      <c r="I4642" t="str">
        <f t="shared" si="59"/>
        <v>Tobacco Barns – Air Curing|Low Cost</v>
      </c>
      <c r="J4642" t="s">
        <v>1349</v>
      </c>
    </row>
    <row r="4643" spans="2:10">
      <c r="B4643" t="s">
        <v>792</v>
      </c>
      <c r="C4643" t="s">
        <v>44</v>
      </c>
      <c r="F4643">
        <v>35</v>
      </c>
      <c r="I4643" t="str">
        <f t="shared" si="59"/>
        <v>Dehydrator Shed Buildings|Average</v>
      </c>
      <c r="J4643" t="s">
        <v>1506</v>
      </c>
    </row>
    <row r="4644" spans="2:10">
      <c r="B4644" t="s">
        <v>794</v>
      </c>
      <c r="C4644" t="s">
        <v>229</v>
      </c>
      <c r="F4644">
        <v>40</v>
      </c>
      <c r="G4644">
        <v>35</v>
      </c>
      <c r="H4644">
        <v>35</v>
      </c>
      <c r="I4644" t="str">
        <f t="shared" si="59"/>
        <v>Farm Cold Storage Buildings|Good</v>
      </c>
      <c r="J4644" t="s">
        <v>1507</v>
      </c>
    </row>
    <row r="4645" spans="2:10">
      <c r="B4645" t="s">
        <v>794</v>
      </c>
      <c r="C4645" t="s">
        <v>44</v>
      </c>
      <c r="F4645">
        <v>35</v>
      </c>
      <c r="G4645">
        <v>30</v>
      </c>
      <c r="H4645">
        <v>30</v>
      </c>
      <c r="I4645" t="str">
        <f t="shared" si="59"/>
        <v>Farm Cold Storage Buildings|Average</v>
      </c>
      <c r="J4645" t="s">
        <v>1345</v>
      </c>
    </row>
    <row r="4646" spans="2:10">
      <c r="B4646" t="s">
        <v>794</v>
      </c>
      <c r="C4646" t="s">
        <v>226</v>
      </c>
      <c r="F4646">
        <v>30</v>
      </c>
      <c r="G4646">
        <v>25</v>
      </c>
      <c r="H4646">
        <v>25</v>
      </c>
      <c r="I4646" t="str">
        <f t="shared" si="59"/>
        <v>Farm Cold Storage Buildings|Low Cost</v>
      </c>
      <c r="J4646" t="s">
        <v>1349</v>
      </c>
    </row>
    <row r="4647" spans="2:10">
      <c r="B4647" t="s">
        <v>797</v>
      </c>
      <c r="C4647" t="s">
        <v>44</v>
      </c>
      <c r="F4647">
        <v>30</v>
      </c>
      <c r="G4647">
        <v>25</v>
      </c>
      <c r="H4647">
        <v>25</v>
      </c>
      <c r="I4647" t="str">
        <f t="shared" si="59"/>
        <v>Fruit Packing Barns|Average</v>
      </c>
      <c r="J4647" t="s">
        <v>1508</v>
      </c>
    </row>
    <row r="4648" spans="2:10">
      <c r="B4648" t="s">
        <v>799</v>
      </c>
      <c r="C4648" t="s">
        <v>229</v>
      </c>
      <c r="F4648">
        <v>30</v>
      </c>
      <c r="G4648">
        <v>25</v>
      </c>
      <c r="H4648">
        <v>25</v>
      </c>
      <c r="I4648" t="str">
        <f t="shared" si="59"/>
        <v>Potato Storage Buildings|Good</v>
      </c>
      <c r="J4648" t="s">
        <v>1509</v>
      </c>
    </row>
    <row r="4649" spans="2:10">
      <c r="B4649" t="s">
        <v>799</v>
      </c>
      <c r="C4649" t="s">
        <v>44</v>
      </c>
      <c r="F4649">
        <v>25</v>
      </c>
      <c r="G4649">
        <v>20</v>
      </c>
      <c r="H4649">
        <v>20</v>
      </c>
      <c r="I4649" t="str">
        <f t="shared" si="59"/>
        <v>Potato Storage Buildings|Average</v>
      </c>
      <c r="J4649" t="s">
        <v>1345</v>
      </c>
    </row>
    <row r="4650" spans="2:10">
      <c r="B4650" t="s">
        <v>799</v>
      </c>
      <c r="C4650" t="s">
        <v>226</v>
      </c>
      <c r="F4650">
        <v>20</v>
      </c>
      <c r="G4650">
        <v>15</v>
      </c>
      <c r="H4650">
        <v>15</v>
      </c>
      <c r="I4650" t="str">
        <f t="shared" si="59"/>
        <v>Potato Storage Buildings|Low Cost</v>
      </c>
      <c r="J4650" t="s">
        <v>1429</v>
      </c>
    </row>
    <row r="4651" spans="2:10">
      <c r="B4651" t="s">
        <v>799</v>
      </c>
      <c r="C4651" t="s">
        <v>314</v>
      </c>
      <c r="F4651">
        <v>20</v>
      </c>
      <c r="G4651">
        <v>15</v>
      </c>
      <c r="H4651">
        <v>15</v>
      </c>
      <c r="I4651" t="str">
        <f t="shared" si="59"/>
        <v>Potato Storage Buildings|Cheap</v>
      </c>
      <c r="J4651" t="s">
        <v>1429</v>
      </c>
    </row>
    <row r="4652" spans="2:10">
      <c r="B4652" t="s">
        <v>802</v>
      </c>
      <c r="C4652" t="s">
        <v>229</v>
      </c>
      <c r="H4652">
        <v>35</v>
      </c>
      <c r="I4652" t="str">
        <f t="shared" si="59"/>
        <v>Vegetable Buildings – Environmental|Good</v>
      </c>
      <c r="J4652" t="s">
        <v>1510</v>
      </c>
    </row>
    <row r="4653" spans="2:10">
      <c r="B4653" t="s">
        <v>802</v>
      </c>
      <c r="C4653" t="s">
        <v>302</v>
      </c>
      <c r="H4653">
        <v>30</v>
      </c>
      <c r="I4653" t="str">
        <f t="shared" si="59"/>
        <v>Vegetable Buildings – Environmental|Fair</v>
      </c>
      <c r="J4653" t="s">
        <v>1351</v>
      </c>
    </row>
    <row r="4654" spans="2:10">
      <c r="B4654" t="s">
        <v>802</v>
      </c>
      <c r="C4654" t="s">
        <v>226</v>
      </c>
      <c r="H4654">
        <v>30</v>
      </c>
      <c r="I4654" t="str">
        <f t="shared" si="59"/>
        <v>Vegetable Buildings – Environmental|Low Cost</v>
      </c>
      <c r="J4654" t="s">
        <v>1351</v>
      </c>
    </row>
    <row r="4655" spans="2:10">
      <c r="B4655" t="s">
        <v>804</v>
      </c>
      <c r="C4655" t="s">
        <v>44</v>
      </c>
      <c r="F4655">
        <v>35</v>
      </c>
      <c r="G4655">
        <v>30</v>
      </c>
      <c r="H4655">
        <v>30</v>
      </c>
      <c r="I4655" t="str">
        <f t="shared" si="59"/>
        <v>Controlled Atmosphere Buildings|Average</v>
      </c>
      <c r="J4655" t="s">
        <v>1511</v>
      </c>
    </row>
    <row r="4656" spans="2:10">
      <c r="B4656" t="s">
        <v>806</v>
      </c>
      <c r="C4656" t="s">
        <v>44</v>
      </c>
      <c r="G4656">
        <v>20</v>
      </c>
      <c r="H4656">
        <v>25</v>
      </c>
      <c r="I4656" t="str">
        <f t="shared" si="59"/>
        <v>Greenhouse – Straight-Wall Structures|Average</v>
      </c>
      <c r="J4656" t="s">
        <v>1345</v>
      </c>
    </row>
    <row r="4657" spans="2:10">
      <c r="B4657" t="s">
        <v>806</v>
      </c>
      <c r="C4657" t="s">
        <v>302</v>
      </c>
      <c r="G4657">
        <v>15</v>
      </c>
      <c r="H4657">
        <v>20</v>
      </c>
      <c r="I4657" t="str">
        <f t="shared" si="59"/>
        <v>Greenhouse – Straight-Wall Structures|Fair</v>
      </c>
      <c r="J4657" t="s">
        <v>1512</v>
      </c>
    </row>
    <row r="4658" spans="2:10">
      <c r="B4658" t="s">
        <v>806</v>
      </c>
      <c r="C4658" t="s">
        <v>226</v>
      </c>
      <c r="G4658">
        <v>10</v>
      </c>
      <c r="H4658">
        <v>15</v>
      </c>
      <c r="I4658" t="str">
        <f t="shared" si="59"/>
        <v>Greenhouse – Straight-Wall Structures|Low Cost</v>
      </c>
      <c r="J4658" t="s">
        <v>1429</v>
      </c>
    </row>
    <row r="4659" spans="2:10">
      <c r="B4659" t="s">
        <v>806</v>
      </c>
      <c r="C4659" t="s">
        <v>314</v>
      </c>
      <c r="G4659">
        <v>10</v>
      </c>
      <c r="H4659">
        <v>15</v>
      </c>
      <c r="I4659" t="str">
        <f t="shared" si="59"/>
        <v>Greenhouse – Straight-Wall Structures|Cheap</v>
      </c>
      <c r="J4659" t="s">
        <v>1429</v>
      </c>
    </row>
    <row r="4660" spans="2:10">
      <c r="B4660" t="s">
        <v>806</v>
      </c>
      <c r="C4660" t="s">
        <v>231</v>
      </c>
      <c r="H4660">
        <v>40</v>
      </c>
      <c r="I4660" t="str">
        <f t="shared" si="59"/>
        <v>Greenhouse – Straight-Wall Structures|Excellent</v>
      </c>
      <c r="J4660" t="s">
        <v>1513</v>
      </c>
    </row>
    <row r="4661" spans="2:10">
      <c r="B4661" t="s">
        <v>806</v>
      </c>
      <c r="C4661" t="s">
        <v>250</v>
      </c>
      <c r="H4661">
        <v>40</v>
      </c>
      <c r="I4661" t="str">
        <f t="shared" si="59"/>
        <v>Greenhouse – Straight-Wall Structures|Very Good</v>
      </c>
      <c r="J4661" t="s">
        <v>1513</v>
      </c>
    </row>
    <row r="4662" spans="2:10">
      <c r="B4662" t="s">
        <v>806</v>
      </c>
      <c r="C4662" t="s">
        <v>229</v>
      </c>
      <c r="H4662">
        <v>35</v>
      </c>
      <c r="I4662" t="str">
        <f t="shared" si="59"/>
        <v>Greenhouse – Straight-Wall Structures|Good</v>
      </c>
      <c r="J4662" t="s">
        <v>1347</v>
      </c>
    </row>
    <row r="4663" spans="2:10">
      <c r="B4663" t="s">
        <v>809</v>
      </c>
      <c r="C4663" t="s">
        <v>226</v>
      </c>
      <c r="G4663">
        <v>10</v>
      </c>
      <c r="H4663">
        <v>10</v>
      </c>
      <c r="I4663" t="str">
        <f t="shared" si="59"/>
        <v>Greenhouse – Hoop (Arch-Rib/Quonset) Structures|Low Cost</v>
      </c>
      <c r="J4663" t="s">
        <v>1429</v>
      </c>
    </row>
    <row r="4664" spans="2:10">
      <c r="B4664" t="s">
        <v>809</v>
      </c>
      <c r="C4664" t="s">
        <v>250</v>
      </c>
      <c r="H4664">
        <v>35</v>
      </c>
      <c r="I4664" t="str">
        <f t="shared" ref="I4664:I4727" si="60">B4664&amp;"|"&amp;C4664</f>
        <v>Greenhouse – Hoop (Arch-Rib/Quonset) Structures|Very Good</v>
      </c>
      <c r="J4664" t="s">
        <v>1514</v>
      </c>
    </row>
    <row r="4665" spans="2:10">
      <c r="B4665" t="s">
        <v>809</v>
      </c>
      <c r="C4665" t="s">
        <v>229</v>
      </c>
      <c r="H4665">
        <v>30</v>
      </c>
      <c r="I4665" t="str">
        <f t="shared" si="60"/>
        <v>Greenhouse – Hoop (Arch-Rib/Quonset) Structures|Good</v>
      </c>
      <c r="J4665" t="s">
        <v>1347</v>
      </c>
    </row>
    <row r="4666" spans="2:10">
      <c r="B4666" t="s">
        <v>809</v>
      </c>
      <c r="C4666" t="s">
        <v>44</v>
      </c>
      <c r="H4666">
        <v>20</v>
      </c>
      <c r="I4666" t="str">
        <f t="shared" si="60"/>
        <v>Greenhouse – Hoop (Arch-Rib/Quonset) Structures|Average</v>
      </c>
      <c r="J4666" t="s">
        <v>1345</v>
      </c>
    </row>
    <row r="4667" spans="2:10">
      <c r="B4667" t="s">
        <v>809</v>
      </c>
      <c r="C4667" t="s">
        <v>302</v>
      </c>
      <c r="H4667">
        <v>15</v>
      </c>
      <c r="I4667" t="str">
        <f t="shared" si="60"/>
        <v>Greenhouse – Hoop (Arch-Rib/Quonset) Structures|Fair</v>
      </c>
      <c r="J4667" t="s">
        <v>1512</v>
      </c>
    </row>
    <row r="4668" spans="2:10">
      <c r="B4668" t="s">
        <v>809</v>
      </c>
      <c r="C4668" t="s">
        <v>314</v>
      </c>
      <c r="G4668">
        <v>10</v>
      </c>
      <c r="H4668">
        <v>10</v>
      </c>
      <c r="I4668" t="str">
        <f t="shared" si="60"/>
        <v>Greenhouse – Hoop (Arch-Rib/Quonset) Structures|Cheap</v>
      </c>
      <c r="J4668" t="s">
        <v>1429</v>
      </c>
    </row>
    <row r="4669" spans="2:10">
      <c r="B4669" t="s">
        <v>811</v>
      </c>
      <c r="C4669" t="s">
        <v>44</v>
      </c>
      <c r="G4669">
        <v>10</v>
      </c>
      <c r="H4669">
        <v>10</v>
      </c>
      <c r="I4669" t="str">
        <f t="shared" si="60"/>
        <v>Greenhouse Shade Shelters|Average</v>
      </c>
      <c r="J4669" t="s">
        <v>1515</v>
      </c>
    </row>
    <row r="4670" spans="2:10">
      <c r="B4670" t="s">
        <v>811</v>
      </c>
      <c r="C4670" t="s">
        <v>226</v>
      </c>
      <c r="G4670">
        <v>10</v>
      </c>
      <c r="H4670">
        <v>10</v>
      </c>
      <c r="I4670" t="str">
        <f t="shared" si="60"/>
        <v>Greenhouse Shade Shelters|Low Cost</v>
      </c>
      <c r="J4670" t="s">
        <v>1515</v>
      </c>
    </row>
    <row r="4671" spans="2:10">
      <c r="B4671" t="s">
        <v>814</v>
      </c>
      <c r="C4671" t="s">
        <v>44</v>
      </c>
      <c r="G4671">
        <v>20</v>
      </c>
      <c r="H4671">
        <v>25</v>
      </c>
      <c r="I4671" t="str">
        <f t="shared" si="60"/>
        <v>Lath Shade Houses|Average</v>
      </c>
      <c r="J4671" t="s">
        <v>1516</v>
      </c>
    </row>
    <row r="4672" spans="2:10">
      <c r="B4672" t="s">
        <v>816</v>
      </c>
      <c r="C4672" t="s">
        <v>229</v>
      </c>
      <c r="F4672">
        <v>45</v>
      </c>
      <c r="G4672">
        <v>40</v>
      </c>
      <c r="H4672">
        <v>40</v>
      </c>
      <c r="I4672" t="str">
        <f t="shared" si="60"/>
        <v>Flathouse Storage Buildings|Good</v>
      </c>
      <c r="J4672" t="s">
        <v>1517</v>
      </c>
    </row>
    <row r="4673" spans="2:10">
      <c r="B4673" t="s">
        <v>816</v>
      </c>
      <c r="C4673" t="s">
        <v>44</v>
      </c>
      <c r="F4673">
        <v>35</v>
      </c>
      <c r="G4673">
        <v>30</v>
      </c>
      <c r="H4673">
        <v>30</v>
      </c>
      <c r="I4673" t="str">
        <f t="shared" si="60"/>
        <v>Flathouse Storage Buildings|Average</v>
      </c>
      <c r="J4673" t="s">
        <v>1345</v>
      </c>
    </row>
    <row r="4674" spans="2:10">
      <c r="B4674" t="s">
        <v>819</v>
      </c>
      <c r="C4674" t="s">
        <v>44</v>
      </c>
      <c r="G4674">
        <v>20</v>
      </c>
      <c r="H4674">
        <v>20</v>
      </c>
      <c r="I4674" t="str">
        <f t="shared" si="60"/>
        <v>Feed Handling and Mixing Shed Building|Average</v>
      </c>
      <c r="J4674" t="s">
        <v>1518</v>
      </c>
    </row>
    <row r="4675" spans="2:10">
      <c r="B4675" t="s">
        <v>821</v>
      </c>
      <c r="C4675" t="s">
        <v>44</v>
      </c>
      <c r="H4675">
        <v>30</v>
      </c>
      <c r="I4675" t="str">
        <f t="shared" si="60"/>
        <v>Cotton Gins|Average</v>
      </c>
      <c r="J4675" t="s">
        <v>1519</v>
      </c>
    </row>
    <row r="4676" spans="2:10">
      <c r="B4676" t="s">
        <v>821</v>
      </c>
      <c r="C4676" t="s">
        <v>226</v>
      </c>
      <c r="H4676">
        <v>25</v>
      </c>
      <c r="I4676" t="str">
        <f t="shared" si="60"/>
        <v>Cotton Gins|Low Cost</v>
      </c>
      <c r="J4676" t="s">
        <v>1349</v>
      </c>
    </row>
    <row r="4677" spans="2:10">
      <c r="B4677" t="s">
        <v>823</v>
      </c>
      <c r="C4677" t="s">
        <v>44</v>
      </c>
      <c r="G4677">
        <v>30</v>
      </c>
      <c r="H4677">
        <v>30</v>
      </c>
      <c r="I4677" t="str">
        <f t="shared" si="60"/>
        <v>Seed Processing Storage|Average</v>
      </c>
      <c r="J4677" t="s">
        <v>1520</v>
      </c>
    </row>
    <row r="4678" spans="2:10">
      <c r="B4678" t="s">
        <v>825</v>
      </c>
      <c r="C4678" t="s">
        <v>229</v>
      </c>
      <c r="F4678">
        <v>25</v>
      </c>
      <c r="H4678">
        <v>20</v>
      </c>
      <c r="I4678" t="str">
        <f t="shared" si="60"/>
        <v>Secure Storage Modular Shed Buildings|Good</v>
      </c>
      <c r="J4678" t="s">
        <v>1521</v>
      </c>
    </row>
    <row r="4679" spans="2:10">
      <c r="B4679" t="s">
        <v>825</v>
      </c>
      <c r="C4679" t="s">
        <v>44</v>
      </c>
      <c r="F4679">
        <v>25</v>
      </c>
      <c r="H4679">
        <v>20</v>
      </c>
      <c r="I4679" t="str">
        <f t="shared" si="60"/>
        <v>Secure Storage Modular Shed Buildings|Average</v>
      </c>
      <c r="J4679" t="s">
        <v>1521</v>
      </c>
    </row>
    <row r="4680" spans="2:10">
      <c r="B4680" t="s">
        <v>825</v>
      </c>
      <c r="C4680" t="s">
        <v>226</v>
      </c>
      <c r="H4680">
        <v>15</v>
      </c>
      <c r="I4680" t="str">
        <f t="shared" si="60"/>
        <v>Secure Storage Modular Shed Buildings|Low Cost</v>
      </c>
      <c r="J4680" t="s">
        <v>1349</v>
      </c>
    </row>
    <row r="4681" spans="2:10">
      <c r="B4681" t="s">
        <v>828</v>
      </c>
      <c r="C4681" t="s">
        <v>231</v>
      </c>
      <c r="G4681">
        <v>20</v>
      </c>
      <c r="H4681">
        <v>20</v>
      </c>
      <c r="I4681" t="str">
        <f t="shared" si="60"/>
        <v>Prefabricated Storage Shed Buildings|Excellent</v>
      </c>
      <c r="J4681" t="s">
        <v>1522</v>
      </c>
    </row>
    <row r="4682" spans="2:10">
      <c r="B4682" t="s">
        <v>828</v>
      </c>
      <c r="C4682" t="s">
        <v>229</v>
      </c>
      <c r="G4682">
        <v>20</v>
      </c>
      <c r="H4682">
        <v>20</v>
      </c>
      <c r="I4682" t="str">
        <f t="shared" si="60"/>
        <v>Prefabricated Storage Shed Buildings|Good</v>
      </c>
      <c r="J4682" t="s">
        <v>1522</v>
      </c>
    </row>
    <row r="4683" spans="2:10">
      <c r="B4683" t="s">
        <v>828</v>
      </c>
      <c r="C4683" t="s">
        <v>44</v>
      </c>
      <c r="G4683">
        <v>15</v>
      </c>
      <c r="H4683">
        <v>15</v>
      </c>
      <c r="I4683" t="str">
        <f t="shared" si="60"/>
        <v>Prefabricated Storage Shed Buildings|Average</v>
      </c>
      <c r="J4683" t="s">
        <v>1345</v>
      </c>
    </row>
    <row r="4684" spans="2:10">
      <c r="B4684" t="s">
        <v>828</v>
      </c>
      <c r="C4684" t="s">
        <v>226</v>
      </c>
      <c r="G4684">
        <v>10</v>
      </c>
      <c r="H4684">
        <v>10</v>
      </c>
      <c r="I4684" t="str">
        <f t="shared" si="60"/>
        <v>Prefabricated Storage Shed Buildings|Low Cost</v>
      </c>
      <c r="J4684" t="s">
        <v>1349</v>
      </c>
    </row>
    <row r="4685" spans="2:10">
      <c r="B4685" t="s">
        <v>830</v>
      </c>
      <c r="C4685" t="s">
        <v>231</v>
      </c>
      <c r="G4685">
        <v>15</v>
      </c>
      <c r="I4685" t="str">
        <f t="shared" si="60"/>
        <v>Corn Crib Bins|Excellent</v>
      </c>
      <c r="J4685" t="s">
        <v>1523</v>
      </c>
    </row>
    <row r="4686" spans="2:10">
      <c r="B4686" t="s">
        <v>830</v>
      </c>
      <c r="C4686" t="s">
        <v>229</v>
      </c>
      <c r="G4686">
        <v>15</v>
      </c>
      <c r="I4686" t="str">
        <f t="shared" si="60"/>
        <v>Corn Crib Bins|Good</v>
      </c>
      <c r="J4686" t="s">
        <v>1523</v>
      </c>
    </row>
    <row r="4687" spans="2:10">
      <c r="B4687" t="s">
        <v>830</v>
      </c>
      <c r="C4687" t="s">
        <v>44</v>
      </c>
      <c r="G4687">
        <v>10</v>
      </c>
      <c r="I4687" t="str">
        <f t="shared" si="60"/>
        <v>Corn Crib Bins|Average</v>
      </c>
      <c r="J4687" t="s">
        <v>1341</v>
      </c>
    </row>
    <row r="4688" spans="2:10">
      <c r="B4688" t="s">
        <v>830</v>
      </c>
      <c r="C4688" t="s">
        <v>226</v>
      </c>
      <c r="G4688">
        <v>10</v>
      </c>
      <c r="I4688" t="str">
        <f t="shared" si="60"/>
        <v>Corn Crib Bins|Low Cost</v>
      </c>
      <c r="J4688" t="s">
        <v>1341</v>
      </c>
    </row>
    <row r="4689" spans="2:10">
      <c r="B4689" t="s">
        <v>832</v>
      </c>
      <c r="C4689" t="s">
        <v>229</v>
      </c>
      <c r="F4689">
        <v>25</v>
      </c>
      <c r="G4689">
        <v>20</v>
      </c>
      <c r="H4689">
        <v>20</v>
      </c>
      <c r="I4689" t="str">
        <f t="shared" si="60"/>
        <v>Farm Utility Buildings|Good</v>
      </c>
      <c r="J4689" t="s">
        <v>1347</v>
      </c>
    </row>
    <row r="4690" spans="2:10">
      <c r="B4690" t="s">
        <v>832</v>
      </c>
      <c r="C4690" t="s">
        <v>44</v>
      </c>
      <c r="F4690">
        <v>20</v>
      </c>
      <c r="G4690">
        <v>15</v>
      </c>
      <c r="H4690">
        <v>15</v>
      </c>
      <c r="I4690" t="str">
        <f t="shared" si="60"/>
        <v>Farm Utility Buildings|Average</v>
      </c>
      <c r="J4690" t="s">
        <v>1341</v>
      </c>
    </row>
    <row r="4691" spans="2:10">
      <c r="B4691" t="s">
        <v>832</v>
      </c>
      <c r="C4691" t="s">
        <v>226</v>
      </c>
      <c r="F4691">
        <v>20</v>
      </c>
      <c r="G4691">
        <v>15</v>
      </c>
      <c r="H4691">
        <v>15</v>
      </c>
      <c r="I4691" t="str">
        <f t="shared" si="60"/>
        <v>Farm Utility Buildings|Low Cost</v>
      </c>
      <c r="J4691" t="s">
        <v>1341</v>
      </c>
    </row>
    <row r="4692" spans="2:10">
      <c r="B4692" t="s">
        <v>835</v>
      </c>
      <c r="C4692" t="s">
        <v>229</v>
      </c>
      <c r="G4692">
        <v>25</v>
      </c>
      <c r="H4692">
        <v>25</v>
      </c>
      <c r="I4692" t="str">
        <f t="shared" si="60"/>
        <v>Arch-Rib (Quonset) Farm Utility Buildings|Good</v>
      </c>
      <c r="J4692" t="s">
        <v>1524</v>
      </c>
    </row>
    <row r="4693" spans="2:10">
      <c r="B4693" t="s">
        <v>835</v>
      </c>
      <c r="C4693" t="s">
        <v>44</v>
      </c>
      <c r="G4693">
        <v>20</v>
      </c>
      <c r="H4693">
        <v>20</v>
      </c>
      <c r="I4693" t="str">
        <f t="shared" si="60"/>
        <v>Arch-Rib (Quonset) Farm Utility Buildings|Average</v>
      </c>
      <c r="J4693" t="s">
        <v>1345</v>
      </c>
    </row>
    <row r="4694" spans="2:10">
      <c r="B4694" t="s">
        <v>835</v>
      </c>
      <c r="C4694" t="s">
        <v>226</v>
      </c>
      <c r="G4694">
        <v>15</v>
      </c>
      <c r="H4694">
        <v>15</v>
      </c>
      <c r="I4694" t="str">
        <f t="shared" si="60"/>
        <v>Arch-Rib (Quonset) Farm Utility Buildings|Low Cost</v>
      </c>
      <c r="J4694" t="s">
        <v>1349</v>
      </c>
    </row>
    <row r="4695" spans="2:10">
      <c r="B4695" t="s">
        <v>838</v>
      </c>
      <c r="C4695" t="s">
        <v>250</v>
      </c>
      <c r="G4695">
        <v>25</v>
      </c>
      <c r="I4695" t="str">
        <f t="shared" si="60"/>
        <v>Farm Utility/Grain Storage (Granary) Buildings|Very Good</v>
      </c>
      <c r="J4695" t="s">
        <v>1525</v>
      </c>
    </row>
    <row r="4696" spans="2:10">
      <c r="B4696" t="s">
        <v>838</v>
      </c>
      <c r="C4696" t="s">
        <v>229</v>
      </c>
      <c r="F4696">
        <v>25</v>
      </c>
      <c r="G4696">
        <v>20</v>
      </c>
      <c r="H4696">
        <v>20</v>
      </c>
      <c r="I4696" t="str">
        <f t="shared" si="60"/>
        <v>Farm Utility/Grain Storage (Granary) Buildings|Good</v>
      </c>
      <c r="J4696" t="s">
        <v>1347</v>
      </c>
    </row>
    <row r="4697" spans="2:10">
      <c r="B4697" t="s">
        <v>841</v>
      </c>
      <c r="C4697" t="s">
        <v>226</v>
      </c>
      <c r="F4697">
        <v>15</v>
      </c>
      <c r="G4697">
        <v>10</v>
      </c>
      <c r="H4697">
        <v>10</v>
      </c>
      <c r="I4697" t="str">
        <f t="shared" si="60"/>
        <v>Farm Utility Storage Sheds|Low Cost</v>
      </c>
      <c r="J4697" t="s">
        <v>1349</v>
      </c>
    </row>
    <row r="4698" spans="2:10">
      <c r="B4698" t="s">
        <v>841</v>
      </c>
      <c r="C4698" t="s">
        <v>229</v>
      </c>
      <c r="G4698">
        <v>20</v>
      </c>
      <c r="I4698" t="str">
        <f t="shared" si="60"/>
        <v>Farm Utility Storage Sheds|Good</v>
      </c>
      <c r="J4698" t="s">
        <v>1526</v>
      </c>
    </row>
    <row r="4699" spans="2:10">
      <c r="B4699" t="s">
        <v>841</v>
      </c>
      <c r="C4699" t="s">
        <v>44</v>
      </c>
      <c r="G4699">
        <v>15</v>
      </c>
      <c r="I4699" t="str">
        <f t="shared" si="60"/>
        <v>Farm Utility Storage Sheds|Average</v>
      </c>
      <c r="J4699" t="s">
        <v>1345</v>
      </c>
    </row>
    <row r="4700" spans="2:10">
      <c r="B4700" t="s">
        <v>843</v>
      </c>
      <c r="C4700" t="s">
        <v>229</v>
      </c>
      <c r="G4700">
        <v>20</v>
      </c>
      <c r="H4700">
        <v>20</v>
      </c>
      <c r="I4700" t="str">
        <f t="shared" si="60"/>
        <v>Farm Utility Lean-Tos|Good</v>
      </c>
      <c r="J4700" t="s">
        <v>1527</v>
      </c>
    </row>
    <row r="4701" spans="2:10">
      <c r="B4701" t="s">
        <v>843</v>
      </c>
      <c r="C4701" t="s">
        <v>44</v>
      </c>
      <c r="G4701">
        <v>15</v>
      </c>
      <c r="H4701">
        <v>15</v>
      </c>
      <c r="I4701" t="str">
        <f t="shared" si="60"/>
        <v>Farm Utility Lean-Tos|Average</v>
      </c>
      <c r="J4701" t="s">
        <v>1341</v>
      </c>
    </row>
    <row r="4702" spans="2:10">
      <c r="B4702" t="s">
        <v>843</v>
      </c>
      <c r="C4702" t="s">
        <v>226</v>
      </c>
      <c r="G4702">
        <v>15</v>
      </c>
      <c r="H4702">
        <v>15</v>
      </c>
      <c r="I4702" t="str">
        <f t="shared" si="60"/>
        <v>Farm Utility Lean-Tos|Low Cost</v>
      </c>
      <c r="J4702" t="s">
        <v>1341</v>
      </c>
    </row>
    <row r="4703" spans="2:10">
      <c r="B4703" t="s">
        <v>845</v>
      </c>
      <c r="C4703" t="s">
        <v>44</v>
      </c>
      <c r="F4703">
        <v>25</v>
      </c>
      <c r="G4703">
        <v>20</v>
      </c>
      <c r="H4703">
        <v>20</v>
      </c>
      <c r="I4703" t="str">
        <f t="shared" si="60"/>
        <v>Farm Commodity Storage Sheds|Average</v>
      </c>
      <c r="J4703" t="s">
        <v>1528</v>
      </c>
    </row>
    <row r="4704" spans="2:10">
      <c r="B4704" t="s">
        <v>848</v>
      </c>
      <c r="C4704" t="s">
        <v>229</v>
      </c>
      <c r="G4704">
        <v>20</v>
      </c>
      <c r="I4704" t="str">
        <f t="shared" si="60"/>
        <v>Corn Crib Buildings – Spaced Boards|Good</v>
      </c>
      <c r="J4704" t="s">
        <v>1529</v>
      </c>
    </row>
    <row r="4705" spans="2:10">
      <c r="B4705" t="s">
        <v>848</v>
      </c>
      <c r="C4705" t="s">
        <v>44</v>
      </c>
      <c r="G4705">
        <v>20</v>
      </c>
      <c r="I4705" t="str">
        <f t="shared" si="60"/>
        <v>Corn Crib Buildings – Spaced Boards|Average</v>
      </c>
      <c r="J4705" t="s">
        <v>1529</v>
      </c>
    </row>
    <row r="4706" spans="2:10">
      <c r="B4706" t="s">
        <v>850</v>
      </c>
      <c r="C4706" t="s">
        <v>229</v>
      </c>
      <c r="G4706">
        <v>20</v>
      </c>
      <c r="I4706" t="str">
        <f t="shared" si="60"/>
        <v>Corn Crib Buildings – Wire Mesh|Good</v>
      </c>
      <c r="J4706" t="s">
        <v>1530</v>
      </c>
    </row>
    <row r="4707" spans="2:10">
      <c r="B4707" t="s">
        <v>850</v>
      </c>
      <c r="C4707" t="s">
        <v>44</v>
      </c>
      <c r="G4707">
        <v>15</v>
      </c>
      <c r="I4707" t="str">
        <f t="shared" si="60"/>
        <v>Corn Crib Buildings – Wire Mesh|Average</v>
      </c>
      <c r="J4707" t="s">
        <v>1345</v>
      </c>
    </row>
    <row r="4708" spans="2:10">
      <c r="B4708" t="s">
        <v>852</v>
      </c>
      <c r="C4708" t="s">
        <v>229</v>
      </c>
      <c r="F4708">
        <v>30</v>
      </c>
      <c r="G4708">
        <v>25</v>
      </c>
      <c r="H4708">
        <v>25</v>
      </c>
      <c r="I4708" t="str">
        <f t="shared" si="60"/>
        <v>Farm Implement (Equipment Shop) Buildings|Good</v>
      </c>
      <c r="J4708" t="s">
        <v>1531</v>
      </c>
    </row>
    <row r="4709" spans="2:10">
      <c r="B4709" t="s">
        <v>852</v>
      </c>
      <c r="C4709" t="s">
        <v>44</v>
      </c>
      <c r="F4709">
        <v>25</v>
      </c>
      <c r="G4709">
        <v>20</v>
      </c>
      <c r="H4709">
        <v>20</v>
      </c>
      <c r="I4709" t="str">
        <f t="shared" si="60"/>
        <v>Farm Implement (Equipment Shop) Buildings|Average</v>
      </c>
      <c r="J4709" t="s">
        <v>1341</v>
      </c>
    </row>
    <row r="4710" spans="2:10">
      <c r="B4710" t="s">
        <v>852</v>
      </c>
      <c r="C4710" t="s">
        <v>226</v>
      </c>
      <c r="F4710">
        <v>25</v>
      </c>
      <c r="G4710">
        <v>20</v>
      </c>
      <c r="H4710">
        <v>20</v>
      </c>
      <c r="I4710" t="str">
        <f t="shared" si="60"/>
        <v>Farm Implement (Equipment Shop) Buildings|Low Cost</v>
      </c>
      <c r="J4710" t="s">
        <v>1341</v>
      </c>
    </row>
    <row r="4711" spans="2:10">
      <c r="B4711" t="s">
        <v>854</v>
      </c>
      <c r="C4711" t="s">
        <v>229</v>
      </c>
      <c r="G4711">
        <v>30</v>
      </c>
      <c r="H4711">
        <v>30</v>
      </c>
      <c r="I4711" t="str">
        <f t="shared" si="60"/>
        <v>Arch-Rib (Quonset) Farm Implement Buildings|Good</v>
      </c>
      <c r="J4711" t="s">
        <v>1532</v>
      </c>
    </row>
    <row r="4712" spans="2:10">
      <c r="B4712" t="s">
        <v>854</v>
      </c>
      <c r="C4712" t="s">
        <v>44</v>
      </c>
      <c r="G4712">
        <v>25</v>
      </c>
      <c r="H4712">
        <v>25</v>
      </c>
      <c r="I4712" t="str">
        <f t="shared" si="60"/>
        <v>Arch-Rib (Quonset) Farm Implement Buildings|Average</v>
      </c>
      <c r="J4712" t="s">
        <v>1345</v>
      </c>
    </row>
    <row r="4713" spans="2:10">
      <c r="B4713" t="s">
        <v>854</v>
      </c>
      <c r="C4713" t="s">
        <v>226</v>
      </c>
      <c r="G4713">
        <v>20</v>
      </c>
      <c r="H4713">
        <v>20</v>
      </c>
      <c r="I4713" t="str">
        <f t="shared" si="60"/>
        <v>Arch-Rib (Quonset) Farm Implement Buildings|Low Cost</v>
      </c>
      <c r="J4713" t="s">
        <v>1349</v>
      </c>
    </row>
    <row r="4714" spans="2:10">
      <c r="B4714" t="s">
        <v>854</v>
      </c>
      <c r="C4714" t="s">
        <v>314</v>
      </c>
      <c r="G4714">
        <v>20</v>
      </c>
      <c r="H4714">
        <v>20</v>
      </c>
      <c r="I4714" t="str">
        <f t="shared" si="60"/>
        <v>Arch-Rib (Quonset) Farm Implement Buildings|Cheap</v>
      </c>
      <c r="J4714" t="s">
        <v>1349</v>
      </c>
    </row>
    <row r="4715" spans="2:10">
      <c r="B4715" t="s">
        <v>857</v>
      </c>
      <c r="C4715" t="s">
        <v>44</v>
      </c>
      <c r="F4715">
        <v>25</v>
      </c>
      <c r="G4715">
        <v>20</v>
      </c>
      <c r="H4715">
        <v>20</v>
      </c>
      <c r="I4715" t="str">
        <f t="shared" si="60"/>
        <v>Farm Implement – Equipment Sheds|Average</v>
      </c>
      <c r="J4715" t="s">
        <v>1533</v>
      </c>
    </row>
    <row r="4716" spans="2:10">
      <c r="B4716" t="s">
        <v>857</v>
      </c>
      <c r="C4716" t="s">
        <v>226</v>
      </c>
      <c r="F4716">
        <v>20</v>
      </c>
      <c r="G4716">
        <v>15</v>
      </c>
      <c r="H4716">
        <v>15</v>
      </c>
      <c r="I4716" t="str">
        <f t="shared" si="60"/>
        <v>Farm Implement – Equipment Sheds|Low Cost</v>
      </c>
      <c r="J4716" t="s">
        <v>1349</v>
      </c>
    </row>
    <row r="4717" spans="2:10">
      <c r="B4717" t="s">
        <v>859</v>
      </c>
      <c r="C4717" t="s">
        <v>229</v>
      </c>
      <c r="F4717">
        <v>35</v>
      </c>
      <c r="G4717">
        <v>30</v>
      </c>
      <c r="H4717">
        <v>30</v>
      </c>
      <c r="I4717" t="str">
        <f t="shared" si="60"/>
        <v>Barns – General Purpose|Good</v>
      </c>
      <c r="J4717" t="s">
        <v>1534</v>
      </c>
    </row>
    <row r="4718" spans="2:10">
      <c r="B4718" t="s">
        <v>859</v>
      </c>
      <c r="C4718" t="s">
        <v>44</v>
      </c>
      <c r="F4718">
        <v>30</v>
      </c>
      <c r="G4718">
        <v>25</v>
      </c>
      <c r="H4718">
        <v>25</v>
      </c>
      <c r="I4718" t="str">
        <f t="shared" si="60"/>
        <v>Barns – General Purpose|Average</v>
      </c>
      <c r="J4718" t="s">
        <v>1345</v>
      </c>
    </row>
    <row r="4719" spans="2:10">
      <c r="B4719" t="s">
        <v>859</v>
      </c>
      <c r="C4719" t="s">
        <v>226</v>
      </c>
      <c r="F4719">
        <v>20</v>
      </c>
      <c r="G4719">
        <v>15</v>
      </c>
      <c r="H4719">
        <v>15</v>
      </c>
      <c r="I4719" t="str">
        <f t="shared" si="60"/>
        <v>Barns – General Purpose|Low Cost</v>
      </c>
      <c r="J4719" t="s">
        <v>1349</v>
      </c>
    </row>
    <row r="4720" spans="2:10">
      <c r="B4720" t="s">
        <v>862</v>
      </c>
      <c r="C4720" t="s">
        <v>229</v>
      </c>
      <c r="F4720">
        <v>35</v>
      </c>
      <c r="G4720">
        <v>30</v>
      </c>
      <c r="H4720">
        <v>30</v>
      </c>
      <c r="I4720" t="str">
        <f t="shared" si="60"/>
        <v>Bank Barns (Two-Story) – General Purpose|Good</v>
      </c>
      <c r="J4720" t="s">
        <v>1534</v>
      </c>
    </row>
    <row r="4721" spans="2:10">
      <c r="B4721" t="s">
        <v>862</v>
      </c>
      <c r="C4721" t="s">
        <v>44</v>
      </c>
      <c r="F4721">
        <v>30</v>
      </c>
      <c r="G4721">
        <v>25</v>
      </c>
      <c r="H4721">
        <v>25</v>
      </c>
      <c r="I4721" t="str">
        <f t="shared" si="60"/>
        <v>Bank Barns (Two-Story) – General Purpose|Average</v>
      </c>
      <c r="J4721" t="s">
        <v>1345</v>
      </c>
    </row>
    <row r="4722" spans="2:10">
      <c r="B4722" t="s">
        <v>862</v>
      </c>
      <c r="C4722" t="s">
        <v>226</v>
      </c>
      <c r="F4722">
        <v>20</v>
      </c>
      <c r="G4722">
        <v>15</v>
      </c>
      <c r="H4722">
        <v>15</v>
      </c>
      <c r="I4722" t="str">
        <f t="shared" si="60"/>
        <v>Bank Barns (Two-Story) – General Purpose|Low Cost</v>
      </c>
      <c r="J4722" t="s">
        <v>1349</v>
      </c>
    </row>
    <row r="4723" spans="2:10">
      <c r="B4723" t="s">
        <v>864</v>
      </c>
      <c r="C4723" t="s">
        <v>231</v>
      </c>
      <c r="F4723">
        <v>40</v>
      </c>
      <c r="G4723">
        <v>35</v>
      </c>
      <c r="I4723" t="str">
        <f t="shared" si="60"/>
        <v>Barns – Special Purpose|Excellent</v>
      </c>
      <c r="J4723" t="s">
        <v>1535</v>
      </c>
    </row>
    <row r="4724" spans="2:10">
      <c r="B4724" t="s">
        <v>864</v>
      </c>
      <c r="C4724" t="s">
        <v>229</v>
      </c>
      <c r="F4724">
        <v>35</v>
      </c>
      <c r="G4724">
        <v>30</v>
      </c>
      <c r="I4724" t="str">
        <f t="shared" si="60"/>
        <v>Barns – Special Purpose|Good</v>
      </c>
      <c r="J4724" t="s">
        <v>1347</v>
      </c>
    </row>
    <row r="4725" spans="2:10">
      <c r="B4725" t="s">
        <v>864</v>
      </c>
      <c r="C4725" t="s">
        <v>44</v>
      </c>
      <c r="F4725">
        <v>30</v>
      </c>
      <c r="G4725">
        <v>25</v>
      </c>
      <c r="I4725" t="str">
        <f t="shared" si="60"/>
        <v>Barns – Special Purpose|Average</v>
      </c>
      <c r="J4725" t="s">
        <v>1341</v>
      </c>
    </row>
    <row r="4726" spans="2:10">
      <c r="B4726" t="s">
        <v>864</v>
      </c>
      <c r="C4726" t="s">
        <v>226</v>
      </c>
      <c r="F4726">
        <v>30</v>
      </c>
      <c r="G4726">
        <v>25</v>
      </c>
      <c r="I4726" t="str">
        <f t="shared" si="60"/>
        <v>Barns – Special Purpose|Low Cost</v>
      </c>
      <c r="J4726" t="s">
        <v>1341</v>
      </c>
    </row>
    <row r="4727" spans="2:10">
      <c r="B4727" t="s">
        <v>867</v>
      </c>
      <c r="C4727" t="s">
        <v>231</v>
      </c>
      <c r="F4727">
        <v>40</v>
      </c>
      <c r="G4727">
        <v>35</v>
      </c>
      <c r="I4727" t="str">
        <f t="shared" si="60"/>
        <v>Bank Barns (Two-Story) – Special Purpose|Excellent</v>
      </c>
      <c r="J4727" t="s">
        <v>1535</v>
      </c>
    </row>
    <row r="4728" spans="2:10">
      <c r="B4728" t="s">
        <v>867</v>
      </c>
      <c r="C4728" t="s">
        <v>229</v>
      </c>
      <c r="F4728">
        <v>35</v>
      </c>
      <c r="G4728">
        <v>30</v>
      </c>
      <c r="I4728" t="str">
        <f t="shared" ref="I4728:I4791" si="61">B4728&amp;"|"&amp;C4728</f>
        <v>Bank Barns (Two-Story) – Special Purpose|Good</v>
      </c>
      <c r="J4728" t="s">
        <v>1347</v>
      </c>
    </row>
    <row r="4729" spans="2:10">
      <c r="B4729" t="s">
        <v>867</v>
      </c>
      <c r="C4729" t="s">
        <v>44</v>
      </c>
      <c r="F4729">
        <v>30</v>
      </c>
      <c r="G4729">
        <v>25</v>
      </c>
      <c r="I4729" t="str">
        <f t="shared" si="61"/>
        <v>Bank Barns (Two-Story) – Special Purpose|Average</v>
      </c>
      <c r="J4729" t="s">
        <v>1341</v>
      </c>
    </row>
    <row r="4730" spans="2:10">
      <c r="B4730" t="s">
        <v>867</v>
      </c>
      <c r="C4730" t="s">
        <v>226</v>
      </c>
      <c r="F4730">
        <v>30</v>
      </c>
      <c r="G4730">
        <v>25</v>
      </c>
      <c r="I4730" t="str">
        <f t="shared" si="61"/>
        <v>Bank Barns (Two-Story) – Special Purpose|Low Cost</v>
      </c>
      <c r="J4730" t="s">
        <v>1341</v>
      </c>
    </row>
    <row r="4731" spans="2:10">
      <c r="B4731" t="s">
        <v>869</v>
      </c>
      <c r="C4731" t="s">
        <v>231</v>
      </c>
      <c r="G4731">
        <v>30</v>
      </c>
      <c r="H4731">
        <v>30</v>
      </c>
      <c r="I4731" t="str">
        <f t="shared" si="61"/>
        <v>Free-Stall Barns|Excellent</v>
      </c>
      <c r="J4731" t="s">
        <v>1536</v>
      </c>
    </row>
    <row r="4732" spans="2:10">
      <c r="B4732" t="s">
        <v>869</v>
      </c>
      <c r="C4732" t="s">
        <v>229</v>
      </c>
      <c r="G4732">
        <v>30</v>
      </c>
      <c r="H4732">
        <v>30</v>
      </c>
      <c r="I4732" t="str">
        <f t="shared" si="61"/>
        <v>Free-Stall Barns|Good</v>
      </c>
      <c r="J4732" t="s">
        <v>1536</v>
      </c>
    </row>
    <row r="4733" spans="2:10">
      <c r="B4733" t="s">
        <v>869</v>
      </c>
      <c r="C4733" t="s">
        <v>44</v>
      </c>
      <c r="G4733">
        <v>25</v>
      </c>
      <c r="H4733">
        <v>25</v>
      </c>
      <c r="I4733" t="str">
        <f t="shared" si="61"/>
        <v>Free-Stall Barns|Average</v>
      </c>
      <c r="J4733" t="s">
        <v>1345</v>
      </c>
    </row>
    <row r="4734" spans="2:10">
      <c r="B4734" t="s">
        <v>869</v>
      </c>
      <c r="C4734" t="s">
        <v>226</v>
      </c>
      <c r="G4734">
        <v>15</v>
      </c>
      <c r="H4734">
        <v>15</v>
      </c>
      <c r="I4734" t="str">
        <f t="shared" si="61"/>
        <v>Free-Stall Barns|Low Cost</v>
      </c>
      <c r="J4734" t="s">
        <v>1429</v>
      </c>
    </row>
    <row r="4735" spans="2:10">
      <c r="B4735" t="s">
        <v>869</v>
      </c>
      <c r="C4735" t="s">
        <v>314</v>
      </c>
      <c r="G4735">
        <v>15</v>
      </c>
      <c r="H4735">
        <v>15</v>
      </c>
      <c r="I4735" t="str">
        <f t="shared" si="61"/>
        <v>Free-Stall Barns|Cheap</v>
      </c>
      <c r="J4735" t="s">
        <v>1429</v>
      </c>
    </row>
    <row r="4736" spans="2:10">
      <c r="B4736" t="s">
        <v>872</v>
      </c>
      <c r="C4736" t="s">
        <v>44</v>
      </c>
      <c r="G4736">
        <v>25</v>
      </c>
      <c r="H4736">
        <v>25</v>
      </c>
      <c r="I4736" t="str">
        <f t="shared" si="61"/>
        <v>Confinement Barns|Average</v>
      </c>
      <c r="J4736" t="s">
        <v>1345</v>
      </c>
    </row>
    <row r="4737" spans="2:10">
      <c r="B4737" t="s">
        <v>872</v>
      </c>
      <c r="C4737" t="s">
        <v>226</v>
      </c>
      <c r="G4737">
        <v>15</v>
      </c>
      <c r="H4737">
        <v>15</v>
      </c>
      <c r="I4737" t="str">
        <f t="shared" si="61"/>
        <v>Confinement Barns|Low Cost</v>
      </c>
      <c r="J4737" t="s">
        <v>1429</v>
      </c>
    </row>
    <row r="4738" spans="2:10">
      <c r="B4738" t="s">
        <v>874</v>
      </c>
      <c r="C4738" t="s">
        <v>229</v>
      </c>
      <c r="G4738">
        <v>20</v>
      </c>
      <c r="H4738">
        <v>20</v>
      </c>
      <c r="I4738" t="str">
        <f t="shared" si="61"/>
        <v>Feeder Barns – Sheds|Good</v>
      </c>
      <c r="J4738" t="s">
        <v>1537</v>
      </c>
    </row>
    <row r="4739" spans="2:10">
      <c r="B4739" t="s">
        <v>874</v>
      </c>
      <c r="C4739" t="s">
        <v>44</v>
      </c>
      <c r="G4739">
        <v>15</v>
      </c>
      <c r="H4739">
        <v>15</v>
      </c>
      <c r="I4739" t="str">
        <f t="shared" si="61"/>
        <v>Feeder Barns – Sheds|Average</v>
      </c>
      <c r="J4739" t="s">
        <v>1341</v>
      </c>
    </row>
    <row r="4740" spans="2:10">
      <c r="B4740" t="s">
        <v>874</v>
      </c>
      <c r="C4740" t="s">
        <v>226</v>
      </c>
      <c r="G4740">
        <v>15</v>
      </c>
      <c r="H4740">
        <v>15</v>
      </c>
      <c r="I4740" t="str">
        <f t="shared" si="61"/>
        <v>Feeder Barns – Sheds|Low Cost</v>
      </c>
      <c r="J4740" t="s">
        <v>1341</v>
      </c>
    </row>
    <row r="4741" spans="2:10">
      <c r="B4741" t="s">
        <v>877</v>
      </c>
      <c r="C4741" t="s">
        <v>229</v>
      </c>
      <c r="G4741">
        <v>20</v>
      </c>
      <c r="H4741">
        <v>20</v>
      </c>
      <c r="I4741" t="str">
        <f t="shared" si="61"/>
        <v>Loafing Sheds|Good</v>
      </c>
      <c r="J4741" t="s">
        <v>1537</v>
      </c>
    </row>
    <row r="4742" spans="2:10">
      <c r="B4742" t="s">
        <v>877</v>
      </c>
      <c r="C4742" t="s">
        <v>44</v>
      </c>
      <c r="G4742">
        <v>15</v>
      </c>
      <c r="H4742">
        <v>15</v>
      </c>
      <c r="I4742" t="str">
        <f t="shared" si="61"/>
        <v>Loafing Sheds|Average</v>
      </c>
      <c r="J4742" t="s">
        <v>1341</v>
      </c>
    </row>
    <row r="4743" spans="2:10">
      <c r="B4743" t="s">
        <v>877</v>
      </c>
      <c r="C4743" t="s">
        <v>226</v>
      </c>
      <c r="G4743">
        <v>15</v>
      </c>
      <c r="H4743">
        <v>15</v>
      </c>
      <c r="I4743" t="str">
        <f t="shared" si="61"/>
        <v>Loafing Sheds|Low Cost</v>
      </c>
      <c r="J4743" t="s">
        <v>1341</v>
      </c>
    </row>
    <row r="4744" spans="2:10">
      <c r="B4744" t="s">
        <v>879</v>
      </c>
      <c r="C4744" t="s">
        <v>229</v>
      </c>
      <c r="G4744">
        <v>20</v>
      </c>
      <c r="H4744">
        <v>20</v>
      </c>
      <c r="I4744" t="str">
        <f t="shared" si="61"/>
        <v>Farm Utility Shelters (Open Hay Sheds)|Good</v>
      </c>
      <c r="J4744" t="s">
        <v>1538</v>
      </c>
    </row>
    <row r="4745" spans="2:10">
      <c r="B4745" t="s">
        <v>879</v>
      </c>
      <c r="C4745" t="s">
        <v>44</v>
      </c>
      <c r="G4745">
        <v>15</v>
      </c>
      <c r="H4745">
        <v>15</v>
      </c>
      <c r="I4745" t="str">
        <f t="shared" si="61"/>
        <v>Farm Utility Shelters (Open Hay Sheds)|Average</v>
      </c>
      <c r="J4745" t="s">
        <v>1345</v>
      </c>
    </row>
    <row r="4746" spans="2:10">
      <c r="B4746" t="s">
        <v>885</v>
      </c>
      <c r="C4746" t="s">
        <v>229</v>
      </c>
      <c r="G4746">
        <v>20</v>
      </c>
      <c r="H4746">
        <v>20</v>
      </c>
      <c r="I4746" t="str">
        <f t="shared" si="61"/>
        <v>Calving Barns – Sheds|Good</v>
      </c>
      <c r="J4746" t="s">
        <v>1539</v>
      </c>
    </row>
    <row r="4747" spans="2:10">
      <c r="B4747" t="s">
        <v>885</v>
      </c>
      <c r="C4747" t="s">
        <v>44</v>
      </c>
      <c r="G4747">
        <v>15</v>
      </c>
      <c r="H4747">
        <v>15</v>
      </c>
      <c r="I4747" t="str">
        <f t="shared" si="61"/>
        <v>Calving Barns – Sheds|Average</v>
      </c>
      <c r="J4747" t="s">
        <v>1341</v>
      </c>
    </row>
    <row r="4748" spans="2:10">
      <c r="B4748" t="s">
        <v>885</v>
      </c>
      <c r="C4748" t="s">
        <v>226</v>
      </c>
      <c r="G4748">
        <v>15</v>
      </c>
      <c r="H4748">
        <v>15</v>
      </c>
      <c r="I4748" t="str">
        <f t="shared" si="61"/>
        <v>Calving Barns – Sheds|Low Cost</v>
      </c>
      <c r="J4748" t="s">
        <v>1341</v>
      </c>
    </row>
    <row r="4749" spans="2:10">
      <c r="B4749" t="s">
        <v>888</v>
      </c>
      <c r="C4749" t="s">
        <v>226</v>
      </c>
      <c r="G4749">
        <v>15</v>
      </c>
      <c r="H4749">
        <v>15</v>
      </c>
      <c r="I4749" t="str">
        <f t="shared" si="61"/>
        <v>Arena Shelters|Low Cost</v>
      </c>
      <c r="J4749" t="s">
        <v>1349</v>
      </c>
    </row>
    <row r="4750" spans="2:10">
      <c r="B4750" t="s">
        <v>888</v>
      </c>
      <c r="C4750" t="s">
        <v>229</v>
      </c>
      <c r="H4750">
        <v>25</v>
      </c>
      <c r="I4750" t="str">
        <f t="shared" si="61"/>
        <v>Arena Shelters|Good</v>
      </c>
      <c r="J4750" t="s">
        <v>1540</v>
      </c>
    </row>
    <row r="4751" spans="2:10">
      <c r="B4751" t="s">
        <v>888</v>
      </c>
      <c r="C4751" t="s">
        <v>44</v>
      </c>
      <c r="H4751">
        <v>20</v>
      </c>
      <c r="I4751" t="str">
        <f t="shared" si="61"/>
        <v>Arena Shelters|Average</v>
      </c>
      <c r="J4751" t="s">
        <v>1345</v>
      </c>
    </row>
    <row r="4752" spans="2:10">
      <c r="B4752" t="s">
        <v>890</v>
      </c>
      <c r="C4752" t="s">
        <v>44</v>
      </c>
      <c r="G4752">
        <v>10</v>
      </c>
      <c r="I4752" t="str">
        <f t="shared" si="61"/>
        <v>Farm Sun Shelters|Average</v>
      </c>
      <c r="J4752" t="s">
        <v>1341</v>
      </c>
    </row>
    <row r="4753" spans="2:10">
      <c r="B4753" t="s">
        <v>890</v>
      </c>
      <c r="C4753" t="s">
        <v>226</v>
      </c>
      <c r="G4753">
        <v>10</v>
      </c>
      <c r="I4753" t="str">
        <f t="shared" si="61"/>
        <v>Farm Sun Shelters|Low Cost</v>
      </c>
      <c r="J4753" t="s">
        <v>1341</v>
      </c>
    </row>
    <row r="4754" spans="2:10">
      <c r="B4754" t="s">
        <v>896</v>
      </c>
      <c r="C4754" t="s">
        <v>231</v>
      </c>
      <c r="F4754">
        <v>40</v>
      </c>
      <c r="G4754">
        <v>35</v>
      </c>
      <c r="H4754">
        <v>35</v>
      </c>
      <c r="I4754" t="str">
        <f t="shared" si="61"/>
        <v>Arenas|Excellent</v>
      </c>
      <c r="J4754" t="s">
        <v>1541</v>
      </c>
    </row>
    <row r="4755" spans="2:10">
      <c r="B4755" t="s">
        <v>896</v>
      </c>
      <c r="C4755" t="s">
        <v>229</v>
      </c>
      <c r="F4755">
        <v>35</v>
      </c>
      <c r="G4755">
        <v>30</v>
      </c>
      <c r="H4755">
        <v>30</v>
      </c>
      <c r="I4755" t="str">
        <f t="shared" si="61"/>
        <v>Arenas|Good</v>
      </c>
      <c r="J4755" t="s">
        <v>1347</v>
      </c>
    </row>
    <row r="4756" spans="2:10">
      <c r="B4756" t="s">
        <v>896</v>
      </c>
      <c r="C4756" t="s">
        <v>44</v>
      </c>
      <c r="F4756">
        <v>30</v>
      </c>
      <c r="G4756">
        <v>25</v>
      </c>
      <c r="H4756">
        <v>25</v>
      </c>
      <c r="I4756" t="str">
        <f t="shared" si="61"/>
        <v>Arenas|Average</v>
      </c>
      <c r="J4756" t="s">
        <v>1345</v>
      </c>
    </row>
    <row r="4757" spans="2:10">
      <c r="B4757" t="s">
        <v>896</v>
      </c>
      <c r="C4757" t="s">
        <v>226</v>
      </c>
      <c r="F4757">
        <v>20</v>
      </c>
      <c r="G4757">
        <v>15</v>
      </c>
      <c r="H4757">
        <v>15</v>
      </c>
      <c r="I4757" t="str">
        <f t="shared" si="61"/>
        <v>Arenas|Low Cost</v>
      </c>
      <c r="J4757" t="s">
        <v>1429</v>
      </c>
    </row>
    <row r="4758" spans="2:10">
      <c r="B4758" t="s">
        <v>896</v>
      </c>
      <c r="C4758" t="s">
        <v>314</v>
      </c>
      <c r="F4758">
        <v>20</v>
      </c>
      <c r="G4758">
        <v>15</v>
      </c>
      <c r="H4758">
        <v>15</v>
      </c>
      <c r="I4758" t="str">
        <f t="shared" si="61"/>
        <v>Arenas|Cheap</v>
      </c>
      <c r="J4758" t="s">
        <v>1429</v>
      </c>
    </row>
    <row r="4759" spans="2:10">
      <c r="B4759" t="s">
        <v>899</v>
      </c>
      <c r="C4759" t="s">
        <v>44</v>
      </c>
      <c r="G4759">
        <v>25</v>
      </c>
      <c r="H4759">
        <v>25</v>
      </c>
      <c r="I4759" t="str">
        <f t="shared" si="61"/>
        <v>Equestrian Lean-Tos|Average</v>
      </c>
      <c r="J4759" t="s">
        <v>1542</v>
      </c>
    </row>
    <row r="4760" spans="2:10">
      <c r="B4760" t="s">
        <v>899</v>
      </c>
      <c r="C4760" t="s">
        <v>226</v>
      </c>
      <c r="G4760">
        <v>15</v>
      </c>
      <c r="H4760">
        <v>15</v>
      </c>
      <c r="I4760" t="str">
        <f t="shared" si="61"/>
        <v>Equestrian Lean-Tos|Low Cost</v>
      </c>
      <c r="J4760" t="s">
        <v>1349</v>
      </c>
    </row>
    <row r="4761" spans="2:10">
      <c r="B4761" t="s">
        <v>901</v>
      </c>
      <c r="C4761" t="s">
        <v>229</v>
      </c>
      <c r="F4761">
        <v>35</v>
      </c>
      <c r="G4761">
        <v>30</v>
      </c>
      <c r="H4761">
        <v>30</v>
      </c>
      <c r="I4761" t="str">
        <f t="shared" si="61"/>
        <v>Stables|Good</v>
      </c>
      <c r="J4761" t="s">
        <v>1543</v>
      </c>
    </row>
    <row r="4762" spans="2:10">
      <c r="B4762" t="s">
        <v>901</v>
      </c>
      <c r="C4762" t="s">
        <v>44</v>
      </c>
      <c r="F4762">
        <v>30</v>
      </c>
      <c r="G4762">
        <v>25</v>
      </c>
      <c r="H4762">
        <v>25</v>
      </c>
      <c r="I4762" t="str">
        <f t="shared" si="61"/>
        <v>Stables|Average</v>
      </c>
      <c r="J4762" t="s">
        <v>1345</v>
      </c>
    </row>
    <row r="4763" spans="2:10">
      <c r="B4763" t="s">
        <v>901</v>
      </c>
      <c r="C4763" t="s">
        <v>226</v>
      </c>
      <c r="F4763">
        <v>20</v>
      </c>
      <c r="G4763">
        <v>15</v>
      </c>
      <c r="H4763">
        <v>15</v>
      </c>
      <c r="I4763" t="str">
        <f t="shared" si="61"/>
        <v>Stables|Low Cost</v>
      </c>
      <c r="J4763" t="s">
        <v>1349</v>
      </c>
    </row>
    <row r="4764" spans="2:10">
      <c r="B4764" t="s">
        <v>901</v>
      </c>
      <c r="C4764" t="s">
        <v>314</v>
      </c>
      <c r="F4764">
        <v>20</v>
      </c>
      <c r="G4764">
        <v>15</v>
      </c>
      <c r="H4764">
        <v>15</v>
      </c>
      <c r="I4764" t="str">
        <f t="shared" si="61"/>
        <v>Stables|Cheap</v>
      </c>
      <c r="J4764" t="s">
        <v>1349</v>
      </c>
    </row>
    <row r="4765" spans="2:10">
      <c r="B4765" t="s">
        <v>905</v>
      </c>
      <c r="C4765" t="s">
        <v>231</v>
      </c>
      <c r="F4765">
        <v>50</v>
      </c>
      <c r="G4765">
        <v>45</v>
      </c>
      <c r="I4765" t="str">
        <f t="shared" si="61"/>
        <v>High-Value (Estate) Stables – Horse Barns|Excellent</v>
      </c>
      <c r="J4765" t="s">
        <v>1544</v>
      </c>
    </row>
    <row r="4766" spans="2:10">
      <c r="B4766" t="s">
        <v>905</v>
      </c>
      <c r="C4766" t="s">
        <v>229</v>
      </c>
      <c r="F4766">
        <v>45</v>
      </c>
      <c r="G4766">
        <v>40</v>
      </c>
      <c r="I4766" t="str">
        <f t="shared" si="61"/>
        <v>High-Value (Estate) Stables – Horse Barns|Good</v>
      </c>
      <c r="J4766" t="s">
        <v>1347</v>
      </c>
    </row>
    <row r="4767" spans="2:10">
      <c r="B4767" t="s">
        <v>905</v>
      </c>
      <c r="C4767" t="s">
        <v>44</v>
      </c>
      <c r="F4767">
        <v>40</v>
      </c>
      <c r="G4767">
        <v>35</v>
      </c>
      <c r="H4767">
        <v>35</v>
      </c>
      <c r="I4767" t="str">
        <f t="shared" si="61"/>
        <v>High-Value (Estate) Stables – Horse Barns|Average</v>
      </c>
      <c r="J4767" t="s">
        <v>1545</v>
      </c>
    </row>
    <row r="4768" spans="2:10">
      <c r="B4768" t="s">
        <v>905</v>
      </c>
      <c r="C4768" t="s">
        <v>226</v>
      </c>
      <c r="F4768">
        <v>40</v>
      </c>
      <c r="G4768">
        <v>35</v>
      </c>
      <c r="H4768">
        <v>35</v>
      </c>
      <c r="I4768" t="str">
        <f t="shared" si="61"/>
        <v>High-Value (Estate) Stables – Horse Barns|Low Cost</v>
      </c>
      <c r="J4768" t="s">
        <v>1545</v>
      </c>
    </row>
    <row r="4769" spans="2:10">
      <c r="B4769" t="s">
        <v>907</v>
      </c>
      <c r="C4769" t="s">
        <v>231</v>
      </c>
      <c r="F4769">
        <v>35</v>
      </c>
      <c r="G4769">
        <v>30</v>
      </c>
      <c r="H4769">
        <v>30</v>
      </c>
      <c r="I4769" t="str">
        <f t="shared" si="61"/>
        <v>Dairies (Milking Parlors)|Excellent</v>
      </c>
      <c r="J4769" t="s">
        <v>1546</v>
      </c>
    </row>
    <row r="4770" spans="2:10">
      <c r="B4770" t="s">
        <v>907</v>
      </c>
      <c r="C4770" t="s">
        <v>229</v>
      </c>
      <c r="F4770">
        <v>35</v>
      </c>
      <c r="G4770">
        <v>30</v>
      </c>
      <c r="H4770">
        <v>30</v>
      </c>
      <c r="I4770" t="str">
        <f t="shared" si="61"/>
        <v>Dairies (Milking Parlors)|Good</v>
      </c>
      <c r="J4770" t="s">
        <v>1546</v>
      </c>
    </row>
    <row r="4771" spans="2:10">
      <c r="B4771" t="s">
        <v>907</v>
      </c>
      <c r="C4771" t="s">
        <v>44</v>
      </c>
      <c r="F4771">
        <v>30</v>
      </c>
      <c r="G4771">
        <v>25</v>
      </c>
      <c r="H4771">
        <v>25</v>
      </c>
      <c r="I4771" t="str">
        <f t="shared" si="61"/>
        <v>Dairies (Milking Parlors)|Average</v>
      </c>
      <c r="J4771" t="s">
        <v>1345</v>
      </c>
    </row>
    <row r="4772" spans="2:10">
      <c r="B4772" t="s">
        <v>907</v>
      </c>
      <c r="C4772" t="s">
        <v>226</v>
      </c>
      <c r="F4772">
        <v>20</v>
      </c>
      <c r="G4772">
        <v>15</v>
      </c>
      <c r="H4772">
        <v>15</v>
      </c>
      <c r="I4772" t="str">
        <f t="shared" si="61"/>
        <v>Dairies (Milking Parlors)|Low Cost</v>
      </c>
      <c r="J4772" t="s">
        <v>1349</v>
      </c>
    </row>
    <row r="4773" spans="2:10">
      <c r="B4773" t="s">
        <v>910</v>
      </c>
      <c r="C4773" t="s">
        <v>229</v>
      </c>
      <c r="F4773">
        <v>35</v>
      </c>
      <c r="G4773">
        <v>30</v>
      </c>
      <c r="I4773" t="str">
        <f t="shared" si="61"/>
        <v>Milkhouses|Good</v>
      </c>
      <c r="J4773" t="s">
        <v>1547</v>
      </c>
    </row>
    <row r="4774" spans="2:10">
      <c r="B4774" t="s">
        <v>910</v>
      </c>
      <c r="C4774" t="s">
        <v>44</v>
      </c>
      <c r="F4774">
        <v>30</v>
      </c>
      <c r="G4774">
        <v>25</v>
      </c>
      <c r="I4774" t="str">
        <f t="shared" si="61"/>
        <v>Milkhouses|Average</v>
      </c>
      <c r="J4774" t="s">
        <v>1345</v>
      </c>
    </row>
    <row r="4775" spans="2:10">
      <c r="B4775" t="s">
        <v>912</v>
      </c>
      <c r="C4775" t="s">
        <v>229</v>
      </c>
      <c r="F4775">
        <v>35</v>
      </c>
      <c r="G4775">
        <v>30</v>
      </c>
      <c r="I4775" t="str">
        <f t="shared" si="61"/>
        <v>Milkhouse Sheds|Good</v>
      </c>
      <c r="J4775" t="s">
        <v>1547</v>
      </c>
    </row>
    <row r="4776" spans="2:10">
      <c r="B4776" t="s">
        <v>912</v>
      </c>
      <c r="C4776" t="s">
        <v>44</v>
      </c>
      <c r="F4776">
        <v>30</v>
      </c>
      <c r="G4776">
        <v>25</v>
      </c>
      <c r="I4776" t="str">
        <f t="shared" si="61"/>
        <v>Milkhouse Sheds|Average</v>
      </c>
      <c r="J4776" t="s">
        <v>1345</v>
      </c>
    </row>
    <row r="4777" spans="2:10">
      <c r="B4777" t="s">
        <v>914</v>
      </c>
      <c r="C4777" t="s">
        <v>229</v>
      </c>
      <c r="F4777">
        <v>35</v>
      </c>
      <c r="G4777">
        <v>30</v>
      </c>
      <c r="H4777">
        <v>30</v>
      </c>
      <c r="I4777" t="str">
        <f t="shared" si="61"/>
        <v>Hog Barns – Nursery|Good</v>
      </c>
      <c r="J4777" t="s">
        <v>1548</v>
      </c>
    </row>
    <row r="4778" spans="2:10">
      <c r="B4778" t="s">
        <v>914</v>
      </c>
      <c r="C4778" t="s">
        <v>44</v>
      </c>
      <c r="F4778">
        <v>30</v>
      </c>
      <c r="G4778">
        <v>25</v>
      </c>
      <c r="H4778">
        <v>25</v>
      </c>
      <c r="I4778" t="str">
        <f t="shared" si="61"/>
        <v>Hog Barns – Nursery|Average</v>
      </c>
      <c r="J4778" t="s">
        <v>1345</v>
      </c>
    </row>
    <row r="4779" spans="2:10">
      <c r="B4779" t="s">
        <v>918</v>
      </c>
      <c r="C4779" t="s">
        <v>229</v>
      </c>
      <c r="F4779">
        <v>35</v>
      </c>
      <c r="G4779">
        <v>30</v>
      </c>
      <c r="H4779">
        <v>30</v>
      </c>
      <c r="I4779" t="str">
        <f t="shared" si="61"/>
        <v>Hog Barns – Breeding/Gestation|Good</v>
      </c>
      <c r="J4779" t="s">
        <v>1549</v>
      </c>
    </row>
    <row r="4780" spans="2:10">
      <c r="B4780" t="s">
        <v>918</v>
      </c>
      <c r="C4780" t="s">
        <v>44</v>
      </c>
      <c r="F4780">
        <v>30</v>
      </c>
      <c r="G4780">
        <v>25</v>
      </c>
      <c r="H4780">
        <v>25</v>
      </c>
      <c r="I4780" t="str">
        <f t="shared" si="61"/>
        <v>Hog Barns – Breeding/Gestation|Average</v>
      </c>
      <c r="J4780" t="s">
        <v>1345</v>
      </c>
    </row>
    <row r="4781" spans="2:10">
      <c r="B4781" t="s">
        <v>918</v>
      </c>
      <c r="C4781" t="s">
        <v>226</v>
      </c>
      <c r="F4781">
        <v>20</v>
      </c>
      <c r="G4781">
        <v>15</v>
      </c>
      <c r="H4781">
        <v>15</v>
      </c>
      <c r="I4781" t="str">
        <f t="shared" si="61"/>
        <v>Hog Barns – Breeding/Gestation|Low Cost</v>
      </c>
      <c r="J4781" t="s">
        <v>1429</v>
      </c>
    </row>
    <row r="4782" spans="2:10">
      <c r="B4782" t="s">
        <v>918</v>
      </c>
      <c r="C4782" t="s">
        <v>314</v>
      </c>
      <c r="F4782">
        <v>20</v>
      </c>
      <c r="G4782">
        <v>15</v>
      </c>
      <c r="H4782">
        <v>15</v>
      </c>
      <c r="I4782" t="str">
        <f t="shared" si="61"/>
        <v>Hog Barns – Breeding/Gestation|Cheap</v>
      </c>
      <c r="J4782" t="s">
        <v>1429</v>
      </c>
    </row>
    <row r="4783" spans="2:10">
      <c r="B4783" t="s">
        <v>920</v>
      </c>
      <c r="C4783" t="s">
        <v>229</v>
      </c>
      <c r="F4783">
        <v>35</v>
      </c>
      <c r="G4783">
        <v>30</v>
      </c>
      <c r="H4783">
        <v>30</v>
      </c>
      <c r="I4783" t="str">
        <f t="shared" si="61"/>
        <v>Hog Barns – Farrowing|Good</v>
      </c>
      <c r="J4783" t="s">
        <v>1549</v>
      </c>
    </row>
    <row r="4784" spans="2:10">
      <c r="B4784" t="s">
        <v>920</v>
      </c>
      <c r="C4784" t="s">
        <v>44</v>
      </c>
      <c r="F4784">
        <v>30</v>
      </c>
      <c r="G4784">
        <v>25</v>
      </c>
      <c r="H4784">
        <v>25</v>
      </c>
      <c r="I4784" t="str">
        <f t="shared" si="61"/>
        <v>Hog Barns – Farrowing|Average</v>
      </c>
      <c r="J4784" t="s">
        <v>1345</v>
      </c>
    </row>
    <row r="4785" spans="2:10">
      <c r="B4785" t="s">
        <v>920</v>
      </c>
      <c r="C4785" t="s">
        <v>226</v>
      </c>
      <c r="F4785">
        <v>20</v>
      </c>
      <c r="G4785">
        <v>15</v>
      </c>
      <c r="H4785">
        <v>15</v>
      </c>
      <c r="I4785" t="str">
        <f t="shared" si="61"/>
        <v>Hog Barns – Farrowing|Low Cost</v>
      </c>
      <c r="J4785" t="s">
        <v>1429</v>
      </c>
    </row>
    <row r="4786" spans="2:10">
      <c r="B4786" t="s">
        <v>920</v>
      </c>
      <c r="C4786" t="s">
        <v>314</v>
      </c>
      <c r="F4786">
        <v>20</v>
      </c>
      <c r="G4786">
        <v>15</v>
      </c>
      <c r="H4786">
        <v>15</v>
      </c>
      <c r="I4786" t="str">
        <f t="shared" si="61"/>
        <v>Hog Barns – Farrowing|Cheap</v>
      </c>
      <c r="J4786" t="s">
        <v>1429</v>
      </c>
    </row>
    <row r="4787" spans="2:10">
      <c r="B4787" t="s">
        <v>924</v>
      </c>
      <c r="C4787" t="s">
        <v>44</v>
      </c>
      <c r="F4787">
        <v>25</v>
      </c>
      <c r="G4787">
        <v>20</v>
      </c>
      <c r="H4787">
        <v>20</v>
      </c>
      <c r="I4787" t="str">
        <f t="shared" si="61"/>
        <v>Hog Barns – Finishing|Average</v>
      </c>
      <c r="J4787" t="s">
        <v>1550</v>
      </c>
    </row>
    <row r="4788" spans="2:10">
      <c r="B4788" t="s">
        <v>924</v>
      </c>
      <c r="C4788" t="s">
        <v>226</v>
      </c>
      <c r="F4788">
        <v>20</v>
      </c>
      <c r="G4788">
        <v>15</v>
      </c>
      <c r="H4788">
        <v>15</v>
      </c>
      <c r="I4788" t="str">
        <f t="shared" si="61"/>
        <v>Hog Barns – Finishing|Low Cost</v>
      </c>
      <c r="J4788" t="s">
        <v>1429</v>
      </c>
    </row>
    <row r="4789" spans="2:10">
      <c r="B4789" t="s">
        <v>924</v>
      </c>
      <c r="C4789" t="s">
        <v>314</v>
      </c>
      <c r="F4789">
        <v>20</v>
      </c>
      <c r="G4789">
        <v>15</v>
      </c>
      <c r="H4789">
        <v>15</v>
      </c>
      <c r="I4789" t="str">
        <f t="shared" si="61"/>
        <v>Hog Barns – Finishing|Cheap</v>
      </c>
      <c r="J4789" t="s">
        <v>1429</v>
      </c>
    </row>
    <row r="4790" spans="2:10">
      <c r="B4790" t="s">
        <v>926</v>
      </c>
      <c r="C4790" t="s">
        <v>44</v>
      </c>
      <c r="F4790">
        <v>25</v>
      </c>
      <c r="G4790">
        <v>20</v>
      </c>
      <c r="H4790">
        <v>20</v>
      </c>
      <c r="I4790" t="str">
        <f t="shared" si="61"/>
        <v>Modified Hog Sheds|Average</v>
      </c>
      <c r="J4790" t="s">
        <v>1551</v>
      </c>
    </row>
    <row r="4791" spans="2:10">
      <c r="B4791" t="s">
        <v>926</v>
      </c>
      <c r="C4791" t="s">
        <v>226</v>
      </c>
      <c r="F4791">
        <v>20</v>
      </c>
      <c r="G4791">
        <v>15</v>
      </c>
      <c r="H4791">
        <v>15</v>
      </c>
      <c r="I4791" t="str">
        <f t="shared" si="61"/>
        <v>Modified Hog Sheds|Low Cost</v>
      </c>
      <c r="J4791" t="s">
        <v>1429</v>
      </c>
    </row>
    <row r="4792" spans="2:10">
      <c r="B4792" t="s">
        <v>930</v>
      </c>
      <c r="C4792" t="s">
        <v>44</v>
      </c>
      <c r="F4792">
        <v>25</v>
      </c>
      <c r="G4792">
        <v>20</v>
      </c>
      <c r="H4792">
        <v>20</v>
      </c>
      <c r="I4792" t="str">
        <f t="shared" ref="I4792:I4855" si="62">B4792&amp;"|"&amp;C4792</f>
        <v>Hog Sheds|Average</v>
      </c>
      <c r="J4792" t="s">
        <v>1551</v>
      </c>
    </row>
    <row r="4793" spans="2:10">
      <c r="B4793" t="s">
        <v>930</v>
      </c>
      <c r="C4793" t="s">
        <v>226</v>
      </c>
      <c r="F4793">
        <v>20</v>
      </c>
      <c r="G4793">
        <v>15</v>
      </c>
      <c r="H4793">
        <v>15</v>
      </c>
      <c r="I4793" t="str">
        <f t="shared" si="62"/>
        <v>Hog Sheds|Low Cost</v>
      </c>
      <c r="J4793" t="s">
        <v>1429</v>
      </c>
    </row>
    <row r="4794" spans="2:10">
      <c r="B4794" t="s">
        <v>930</v>
      </c>
      <c r="C4794" t="s">
        <v>314</v>
      </c>
      <c r="F4794">
        <v>20</v>
      </c>
      <c r="G4794">
        <v>15</v>
      </c>
      <c r="H4794">
        <v>15</v>
      </c>
      <c r="I4794" t="str">
        <f t="shared" si="62"/>
        <v>Hog Sheds|Cheap</v>
      </c>
      <c r="J4794" t="s">
        <v>1429</v>
      </c>
    </row>
    <row r="4795" spans="2:10">
      <c r="B4795" t="s">
        <v>932</v>
      </c>
      <c r="C4795" t="s">
        <v>229</v>
      </c>
      <c r="G4795">
        <v>25</v>
      </c>
      <c r="H4795">
        <v>25</v>
      </c>
      <c r="I4795" t="str">
        <f t="shared" si="62"/>
        <v>Sheep Barns|Good</v>
      </c>
      <c r="J4795" t="s">
        <v>1552</v>
      </c>
    </row>
    <row r="4796" spans="2:10">
      <c r="B4796" t="s">
        <v>932</v>
      </c>
      <c r="C4796" t="s">
        <v>44</v>
      </c>
      <c r="G4796">
        <v>25</v>
      </c>
      <c r="H4796">
        <v>25</v>
      </c>
      <c r="I4796" t="str">
        <f t="shared" si="62"/>
        <v>Sheep Barns|Average</v>
      </c>
      <c r="J4796" t="s">
        <v>1552</v>
      </c>
    </row>
    <row r="4797" spans="2:10">
      <c r="B4797" t="s">
        <v>936</v>
      </c>
      <c r="C4797" t="s">
        <v>229</v>
      </c>
      <c r="G4797">
        <v>25</v>
      </c>
      <c r="H4797">
        <v>25</v>
      </c>
      <c r="I4797" t="str">
        <f t="shared" si="62"/>
        <v>Sheep Sheds|Good</v>
      </c>
      <c r="J4797" t="s">
        <v>1553</v>
      </c>
    </row>
    <row r="4798" spans="2:10">
      <c r="B4798" t="s">
        <v>936</v>
      </c>
      <c r="C4798" t="s">
        <v>44</v>
      </c>
      <c r="G4798">
        <v>20</v>
      </c>
      <c r="H4798">
        <v>20</v>
      </c>
      <c r="I4798" t="str">
        <f t="shared" si="62"/>
        <v>Sheep Sheds|Average</v>
      </c>
      <c r="J4798" t="s">
        <v>1345</v>
      </c>
    </row>
    <row r="4799" spans="2:10">
      <c r="B4799" t="s">
        <v>936</v>
      </c>
      <c r="C4799" t="s">
        <v>226</v>
      </c>
      <c r="G4799">
        <v>15</v>
      </c>
      <c r="H4799">
        <v>15</v>
      </c>
      <c r="I4799" t="str">
        <f t="shared" si="62"/>
        <v>Sheep Sheds|Low Cost</v>
      </c>
      <c r="J4799" t="s">
        <v>1429</v>
      </c>
    </row>
    <row r="4800" spans="2:10">
      <c r="B4800" t="s">
        <v>936</v>
      </c>
      <c r="C4800" t="s">
        <v>314</v>
      </c>
      <c r="G4800">
        <v>15</v>
      </c>
      <c r="H4800">
        <v>15</v>
      </c>
      <c r="I4800" t="str">
        <f t="shared" si="62"/>
        <v>Sheep Sheds|Cheap</v>
      </c>
      <c r="J4800" t="s">
        <v>1429</v>
      </c>
    </row>
    <row r="4801" spans="2:10">
      <c r="B4801" t="s">
        <v>938</v>
      </c>
      <c r="C4801" t="s">
        <v>229</v>
      </c>
      <c r="F4801">
        <v>25</v>
      </c>
      <c r="G4801">
        <v>20</v>
      </c>
      <c r="H4801">
        <v>20</v>
      </c>
      <c r="I4801" t="str">
        <f t="shared" si="62"/>
        <v>Poultry Floor Operation – Breeder Houses|Good</v>
      </c>
      <c r="J4801" t="s">
        <v>1554</v>
      </c>
    </row>
    <row r="4802" spans="2:10">
      <c r="B4802" t="s">
        <v>938</v>
      </c>
      <c r="C4802" t="s">
        <v>44</v>
      </c>
      <c r="F4802">
        <v>20</v>
      </c>
      <c r="G4802">
        <v>15</v>
      </c>
      <c r="H4802">
        <v>15</v>
      </c>
      <c r="I4802" t="str">
        <f t="shared" si="62"/>
        <v>Poultry Floor Operation – Breeder Houses|Average</v>
      </c>
      <c r="J4802" t="s">
        <v>1345</v>
      </c>
    </row>
    <row r="4803" spans="2:10">
      <c r="B4803" t="s">
        <v>938</v>
      </c>
      <c r="C4803" t="s">
        <v>302</v>
      </c>
      <c r="G4803">
        <v>15</v>
      </c>
      <c r="H4803">
        <v>15</v>
      </c>
      <c r="I4803" t="str">
        <f t="shared" si="62"/>
        <v>Poultry Floor Operation – Breeder Houses|Fair</v>
      </c>
      <c r="J4803" t="s">
        <v>1555</v>
      </c>
    </row>
    <row r="4804" spans="2:10">
      <c r="B4804" t="s">
        <v>938</v>
      </c>
      <c r="C4804" t="s">
        <v>226</v>
      </c>
      <c r="G4804">
        <v>15</v>
      </c>
      <c r="H4804">
        <v>15</v>
      </c>
      <c r="I4804" t="str">
        <f t="shared" si="62"/>
        <v>Poultry Floor Operation – Breeder Houses|Low Cost</v>
      </c>
      <c r="J4804" t="s">
        <v>1555</v>
      </c>
    </row>
    <row r="4805" spans="2:10">
      <c r="B4805" t="s">
        <v>938</v>
      </c>
      <c r="C4805" t="s">
        <v>314</v>
      </c>
      <c r="G4805">
        <v>15</v>
      </c>
      <c r="H4805">
        <v>15</v>
      </c>
      <c r="I4805" t="str">
        <f t="shared" si="62"/>
        <v>Poultry Floor Operation – Breeder Houses|Cheap</v>
      </c>
      <c r="J4805" t="s">
        <v>1555</v>
      </c>
    </row>
    <row r="4806" spans="2:10">
      <c r="B4806" t="s">
        <v>942</v>
      </c>
      <c r="C4806" t="s">
        <v>229</v>
      </c>
      <c r="F4806">
        <v>25</v>
      </c>
      <c r="G4806">
        <v>20</v>
      </c>
      <c r="H4806">
        <v>20</v>
      </c>
      <c r="I4806" t="str">
        <f t="shared" si="62"/>
        <v>Poultry Floor Operation – Broiler Houses|Good</v>
      </c>
      <c r="J4806" t="s">
        <v>1554</v>
      </c>
    </row>
    <row r="4807" spans="2:10">
      <c r="B4807" t="s">
        <v>942</v>
      </c>
      <c r="C4807" t="s">
        <v>44</v>
      </c>
      <c r="F4807">
        <v>20</v>
      </c>
      <c r="G4807">
        <v>15</v>
      </c>
      <c r="H4807">
        <v>15</v>
      </c>
      <c r="I4807" t="str">
        <f t="shared" si="62"/>
        <v>Poultry Floor Operation – Broiler Houses|Average</v>
      </c>
      <c r="J4807" t="s">
        <v>1345</v>
      </c>
    </row>
    <row r="4808" spans="2:10">
      <c r="B4808" t="s">
        <v>942</v>
      </c>
      <c r="C4808" t="s">
        <v>302</v>
      </c>
      <c r="G4808">
        <v>15</v>
      </c>
      <c r="H4808">
        <v>15</v>
      </c>
      <c r="I4808" t="str">
        <f t="shared" si="62"/>
        <v>Poultry Floor Operation – Broiler Houses|Fair</v>
      </c>
      <c r="J4808" t="s">
        <v>1555</v>
      </c>
    </row>
    <row r="4809" spans="2:10">
      <c r="B4809" t="s">
        <v>942</v>
      </c>
      <c r="C4809" t="s">
        <v>226</v>
      </c>
      <c r="G4809">
        <v>15</v>
      </c>
      <c r="H4809">
        <v>15</v>
      </c>
      <c r="I4809" t="str">
        <f t="shared" si="62"/>
        <v>Poultry Floor Operation – Broiler Houses|Low Cost</v>
      </c>
      <c r="J4809" t="s">
        <v>1555</v>
      </c>
    </row>
    <row r="4810" spans="2:10">
      <c r="B4810" t="s">
        <v>942</v>
      </c>
      <c r="C4810" t="s">
        <v>314</v>
      </c>
      <c r="G4810">
        <v>15</v>
      </c>
      <c r="H4810">
        <v>15</v>
      </c>
      <c r="I4810" t="str">
        <f t="shared" si="62"/>
        <v>Poultry Floor Operation – Broiler Houses|Cheap</v>
      </c>
      <c r="J4810" t="s">
        <v>1555</v>
      </c>
    </row>
    <row r="4811" spans="2:10">
      <c r="B4811" t="s">
        <v>944</v>
      </c>
      <c r="C4811" t="s">
        <v>229</v>
      </c>
      <c r="F4811">
        <v>30</v>
      </c>
      <c r="G4811">
        <v>25</v>
      </c>
      <c r="H4811">
        <v>25</v>
      </c>
      <c r="I4811" t="str">
        <f t="shared" si="62"/>
        <v>Poultry Cage Operation – Enclosed Houses|Good</v>
      </c>
      <c r="J4811" t="s">
        <v>1556</v>
      </c>
    </row>
    <row r="4812" spans="2:10">
      <c r="B4812" t="s">
        <v>944</v>
      </c>
      <c r="C4812" t="s">
        <v>44</v>
      </c>
      <c r="F4812">
        <v>25</v>
      </c>
      <c r="G4812">
        <v>20</v>
      </c>
      <c r="H4812">
        <v>20</v>
      </c>
      <c r="I4812" t="str">
        <f t="shared" si="62"/>
        <v>Poultry Cage Operation – Enclosed Houses|Average</v>
      </c>
      <c r="J4812" t="s">
        <v>1345</v>
      </c>
    </row>
    <row r="4813" spans="2:10">
      <c r="B4813" t="s">
        <v>944</v>
      </c>
      <c r="C4813" t="s">
        <v>226</v>
      </c>
      <c r="F4813">
        <v>20</v>
      </c>
      <c r="G4813">
        <v>15</v>
      </c>
      <c r="H4813">
        <v>15</v>
      </c>
      <c r="I4813" t="str">
        <f t="shared" si="62"/>
        <v>Poultry Cage Operation – Enclosed Houses|Low Cost</v>
      </c>
      <c r="J4813" t="s">
        <v>1429</v>
      </c>
    </row>
    <row r="4814" spans="2:10">
      <c r="B4814" t="s">
        <v>944</v>
      </c>
      <c r="C4814" t="s">
        <v>314</v>
      </c>
      <c r="F4814">
        <v>20</v>
      </c>
      <c r="G4814">
        <v>15</v>
      </c>
      <c r="H4814">
        <v>15</v>
      </c>
      <c r="I4814" t="str">
        <f t="shared" si="62"/>
        <v>Poultry Cage Operation – Enclosed Houses|Cheap</v>
      </c>
      <c r="J4814" t="s">
        <v>1429</v>
      </c>
    </row>
    <row r="4815" spans="2:10">
      <c r="B4815" t="s">
        <v>948</v>
      </c>
      <c r="C4815" t="s">
        <v>44</v>
      </c>
      <c r="F4815">
        <v>25</v>
      </c>
      <c r="G4815">
        <v>20</v>
      </c>
      <c r="H4815">
        <v>20</v>
      </c>
      <c r="I4815" t="str">
        <f t="shared" si="62"/>
        <v>Poultry Cage Operation – Screened Houses|Average</v>
      </c>
      <c r="J4815" t="s">
        <v>1345</v>
      </c>
    </row>
    <row r="4816" spans="2:10">
      <c r="B4816" t="s">
        <v>948</v>
      </c>
      <c r="C4816" t="s">
        <v>302</v>
      </c>
      <c r="F4816">
        <v>20</v>
      </c>
      <c r="G4816">
        <v>15</v>
      </c>
      <c r="H4816">
        <v>15</v>
      </c>
      <c r="I4816" t="str">
        <f t="shared" si="62"/>
        <v>Poultry Cage Operation – Screened Houses|Fair</v>
      </c>
      <c r="J4816" t="s">
        <v>1429</v>
      </c>
    </row>
    <row r="4817" spans="2:10">
      <c r="B4817" t="s">
        <v>948</v>
      </c>
      <c r="C4817" t="s">
        <v>226</v>
      </c>
      <c r="F4817">
        <v>20</v>
      </c>
      <c r="G4817">
        <v>15</v>
      </c>
      <c r="H4817">
        <v>15</v>
      </c>
      <c r="I4817" t="str">
        <f t="shared" si="62"/>
        <v>Poultry Cage Operation – Screened Houses|Low Cost</v>
      </c>
      <c r="J4817" t="s">
        <v>1429</v>
      </c>
    </row>
    <row r="4818" spans="2:10">
      <c r="B4818" t="s">
        <v>948</v>
      </c>
      <c r="C4818" t="s">
        <v>314</v>
      </c>
      <c r="F4818">
        <v>20</v>
      </c>
      <c r="G4818">
        <v>15</v>
      </c>
      <c r="H4818">
        <v>15</v>
      </c>
      <c r="I4818" t="str">
        <f t="shared" si="62"/>
        <v>Poultry Cage Operation – Screened Houses|Cheap</v>
      </c>
      <c r="J4818" t="s">
        <v>1429</v>
      </c>
    </row>
    <row r="4819" spans="2:10">
      <c r="B4819" t="s">
        <v>950</v>
      </c>
      <c r="C4819" t="s">
        <v>229</v>
      </c>
      <c r="F4819">
        <v>30</v>
      </c>
      <c r="G4819">
        <v>25</v>
      </c>
      <c r="H4819">
        <v>25</v>
      </c>
      <c r="I4819" t="str">
        <f t="shared" si="62"/>
        <v>Farm Labor Housing – Dormitories|Good</v>
      </c>
      <c r="J4819" t="s">
        <v>1557</v>
      </c>
    </row>
    <row r="4820" spans="2:10">
      <c r="B4820" t="s">
        <v>950</v>
      </c>
      <c r="C4820" t="s">
        <v>44</v>
      </c>
      <c r="F4820">
        <v>25</v>
      </c>
      <c r="G4820">
        <v>20</v>
      </c>
      <c r="H4820">
        <v>20</v>
      </c>
      <c r="I4820" t="str">
        <f t="shared" si="62"/>
        <v>Farm Labor Housing – Dormitories|Average</v>
      </c>
      <c r="J4820" t="s">
        <v>1345</v>
      </c>
    </row>
    <row r="4821" spans="2:10">
      <c r="B4821" t="s">
        <v>950</v>
      </c>
      <c r="C4821" t="s">
        <v>226</v>
      </c>
      <c r="F4821">
        <v>20</v>
      </c>
      <c r="G4821">
        <v>15</v>
      </c>
      <c r="I4821" t="str">
        <f t="shared" si="62"/>
        <v>Farm Labor Housing – Dormitories|Low Cost</v>
      </c>
      <c r="J4821" t="s">
        <v>1349</v>
      </c>
    </row>
    <row r="4822" spans="2:10">
      <c r="B4822" t="s">
        <v>954</v>
      </c>
      <c r="C4822" t="s">
        <v>44</v>
      </c>
      <c r="G4822">
        <v>15</v>
      </c>
      <c r="I4822" t="str">
        <f t="shared" si="62"/>
        <v>Transient Labor Cabins|Average</v>
      </c>
      <c r="J4822" t="s">
        <v>1558</v>
      </c>
    </row>
    <row r="4823" spans="2:10">
      <c r="B4823" t="s">
        <v>956</v>
      </c>
      <c r="C4823" t="s">
        <v>229</v>
      </c>
      <c r="G4823">
        <v>15</v>
      </c>
      <c r="I4823" t="str">
        <f t="shared" si="62"/>
        <v>Hunting Shelters|Good</v>
      </c>
      <c r="J4823" t="s">
        <v>1559</v>
      </c>
    </row>
    <row r="4824" spans="2:10">
      <c r="B4824" t="s">
        <v>956</v>
      </c>
      <c r="C4824" t="s">
        <v>44</v>
      </c>
      <c r="G4824">
        <v>10</v>
      </c>
      <c r="I4824" t="str">
        <f t="shared" si="62"/>
        <v>Hunting Shelters|Average</v>
      </c>
      <c r="J4824" t="s">
        <v>1560</v>
      </c>
    </row>
    <row r="4825" spans="2:10">
      <c r="B4825" t="s">
        <v>956</v>
      </c>
      <c r="C4825" t="s">
        <v>226</v>
      </c>
      <c r="G4825">
        <v>10</v>
      </c>
      <c r="I4825" t="str">
        <f t="shared" si="62"/>
        <v>Hunting Shelters|Low Cost</v>
      </c>
      <c r="J4825" t="s">
        <v>1560</v>
      </c>
    </row>
    <row r="4826" spans="2:10">
      <c r="B4826" t="s">
        <v>956</v>
      </c>
      <c r="C4826" t="s">
        <v>314</v>
      </c>
      <c r="G4826">
        <v>10</v>
      </c>
      <c r="I4826" t="str">
        <f t="shared" si="62"/>
        <v>Hunting Shelters|Cheap</v>
      </c>
      <c r="J4826" t="s">
        <v>1560</v>
      </c>
    </row>
    <row r="4827" spans="2:10">
      <c r="B4827" t="s">
        <v>958</v>
      </c>
      <c r="C4827" t="s">
        <v>231</v>
      </c>
      <c r="D4827">
        <v>50</v>
      </c>
      <c r="E4827">
        <v>50</v>
      </c>
      <c r="F4827">
        <v>45</v>
      </c>
      <c r="G4827">
        <v>40</v>
      </c>
      <c r="H4827">
        <v>40</v>
      </c>
      <c r="I4827" t="str">
        <f t="shared" si="62"/>
        <v>High Schools|Excellent</v>
      </c>
      <c r="J4827" t="s">
        <v>1561</v>
      </c>
    </row>
    <row r="4828" spans="2:10">
      <c r="B4828" t="s">
        <v>958</v>
      </c>
      <c r="C4828" t="s">
        <v>229</v>
      </c>
      <c r="D4828">
        <v>50</v>
      </c>
      <c r="E4828">
        <v>50</v>
      </c>
      <c r="F4828">
        <v>45</v>
      </c>
      <c r="G4828">
        <v>40</v>
      </c>
      <c r="H4828">
        <v>40</v>
      </c>
      <c r="I4828" t="str">
        <f t="shared" si="62"/>
        <v>High Schools|Good</v>
      </c>
      <c r="J4828" t="s">
        <v>1561</v>
      </c>
    </row>
    <row r="4829" spans="2:10">
      <c r="B4829" t="s">
        <v>958</v>
      </c>
      <c r="C4829" t="s">
        <v>44</v>
      </c>
      <c r="D4829">
        <v>45</v>
      </c>
      <c r="E4829">
        <v>45</v>
      </c>
      <c r="F4829">
        <v>45</v>
      </c>
      <c r="G4829">
        <v>40</v>
      </c>
      <c r="H4829">
        <v>40</v>
      </c>
      <c r="I4829" t="str">
        <f t="shared" si="62"/>
        <v>High Schools|Average</v>
      </c>
      <c r="J4829" t="s">
        <v>1345</v>
      </c>
    </row>
    <row r="4830" spans="2:10">
      <c r="B4830" t="s">
        <v>958</v>
      </c>
      <c r="C4830" t="s">
        <v>226</v>
      </c>
      <c r="F4830">
        <v>40</v>
      </c>
      <c r="G4830">
        <v>35</v>
      </c>
      <c r="H4830">
        <v>35</v>
      </c>
      <c r="I4830" t="str">
        <f t="shared" si="62"/>
        <v>High Schools|Low Cost</v>
      </c>
      <c r="J4830" t="s">
        <v>1349</v>
      </c>
    </row>
    <row r="4831" spans="2:10">
      <c r="B4831" t="s">
        <v>961</v>
      </c>
      <c r="C4831" t="s">
        <v>231</v>
      </c>
      <c r="D4831">
        <v>50</v>
      </c>
      <c r="E4831">
        <v>50</v>
      </c>
      <c r="F4831">
        <v>45</v>
      </c>
      <c r="G4831">
        <v>40</v>
      </c>
      <c r="H4831">
        <v>40</v>
      </c>
      <c r="I4831" t="str">
        <f t="shared" si="62"/>
        <v>Middle (Junior High) Schools|Excellent</v>
      </c>
      <c r="J4831" t="s">
        <v>1562</v>
      </c>
    </row>
    <row r="4832" spans="2:10">
      <c r="B4832" t="s">
        <v>961</v>
      </c>
      <c r="C4832" t="s">
        <v>229</v>
      </c>
      <c r="D4832">
        <v>50</v>
      </c>
      <c r="E4832">
        <v>50</v>
      </c>
      <c r="F4832">
        <v>45</v>
      </c>
      <c r="G4832">
        <v>40</v>
      </c>
      <c r="H4832">
        <v>40</v>
      </c>
      <c r="I4832" t="str">
        <f t="shared" si="62"/>
        <v>Middle (Junior High) Schools|Good</v>
      </c>
      <c r="J4832" t="s">
        <v>1562</v>
      </c>
    </row>
    <row r="4833" spans="2:10">
      <c r="B4833" t="s">
        <v>961</v>
      </c>
      <c r="C4833" t="s">
        <v>44</v>
      </c>
      <c r="D4833">
        <v>45</v>
      </c>
      <c r="E4833">
        <v>45</v>
      </c>
      <c r="F4833">
        <v>45</v>
      </c>
      <c r="G4833">
        <v>40</v>
      </c>
      <c r="H4833">
        <v>40</v>
      </c>
      <c r="I4833" t="str">
        <f t="shared" si="62"/>
        <v>Middle (Junior High) Schools|Average</v>
      </c>
      <c r="J4833" t="s">
        <v>1345</v>
      </c>
    </row>
    <row r="4834" spans="2:10">
      <c r="B4834" t="s">
        <v>961</v>
      </c>
      <c r="C4834" t="s">
        <v>226</v>
      </c>
      <c r="F4834">
        <v>40</v>
      </c>
      <c r="G4834">
        <v>35</v>
      </c>
      <c r="H4834">
        <v>35</v>
      </c>
      <c r="I4834" t="str">
        <f t="shared" si="62"/>
        <v>Middle (Junior High) Schools|Low Cost</v>
      </c>
      <c r="J4834" t="s">
        <v>1349</v>
      </c>
    </row>
    <row r="4835" spans="2:10">
      <c r="B4835" t="s">
        <v>964</v>
      </c>
      <c r="C4835" t="s">
        <v>231</v>
      </c>
      <c r="D4835">
        <v>50</v>
      </c>
      <c r="E4835">
        <v>50</v>
      </c>
      <c r="F4835">
        <v>45</v>
      </c>
      <c r="G4835">
        <v>40</v>
      </c>
      <c r="H4835">
        <v>40</v>
      </c>
      <c r="I4835" t="str">
        <f t="shared" si="62"/>
        <v>Elementary Schools|Excellent</v>
      </c>
      <c r="J4835" t="s">
        <v>1563</v>
      </c>
    </row>
    <row r="4836" spans="2:10">
      <c r="B4836" t="s">
        <v>964</v>
      </c>
      <c r="C4836" t="s">
        <v>229</v>
      </c>
      <c r="D4836">
        <v>50</v>
      </c>
      <c r="E4836">
        <v>50</v>
      </c>
      <c r="F4836">
        <v>45</v>
      </c>
      <c r="G4836">
        <v>40</v>
      </c>
      <c r="H4836">
        <v>40</v>
      </c>
      <c r="I4836" t="str">
        <f t="shared" si="62"/>
        <v>Elementary Schools|Good</v>
      </c>
      <c r="J4836" t="s">
        <v>1563</v>
      </c>
    </row>
    <row r="4837" spans="2:10">
      <c r="B4837" t="s">
        <v>964</v>
      </c>
      <c r="C4837" t="s">
        <v>44</v>
      </c>
      <c r="D4837">
        <v>45</v>
      </c>
      <c r="E4837">
        <v>45</v>
      </c>
      <c r="F4837">
        <v>45</v>
      </c>
      <c r="G4837">
        <v>40</v>
      </c>
      <c r="H4837">
        <v>40</v>
      </c>
      <c r="I4837" t="str">
        <f t="shared" si="62"/>
        <v>Elementary Schools|Average</v>
      </c>
      <c r="J4837" t="s">
        <v>1345</v>
      </c>
    </row>
    <row r="4838" spans="2:10">
      <c r="B4838" t="s">
        <v>964</v>
      </c>
      <c r="C4838" t="s">
        <v>226</v>
      </c>
      <c r="F4838">
        <v>40</v>
      </c>
      <c r="G4838">
        <v>35</v>
      </c>
      <c r="H4838">
        <v>35</v>
      </c>
      <c r="I4838" t="str">
        <f t="shared" si="62"/>
        <v>Elementary Schools|Low Cost</v>
      </c>
      <c r="J4838" t="s">
        <v>1349</v>
      </c>
    </row>
    <row r="4839" spans="2:10">
      <c r="B4839" t="s">
        <v>967</v>
      </c>
      <c r="C4839" t="s">
        <v>229</v>
      </c>
      <c r="D4839">
        <v>50</v>
      </c>
      <c r="E4839">
        <v>50</v>
      </c>
      <c r="F4839">
        <v>45</v>
      </c>
      <c r="G4839">
        <v>40</v>
      </c>
      <c r="H4839">
        <v>40</v>
      </c>
      <c r="I4839" t="str">
        <f t="shared" si="62"/>
        <v>Vocational Schools|Good</v>
      </c>
      <c r="J4839" t="s">
        <v>1564</v>
      </c>
    </row>
    <row r="4840" spans="2:10">
      <c r="B4840" t="s">
        <v>967</v>
      </c>
      <c r="C4840" t="s">
        <v>44</v>
      </c>
      <c r="D4840">
        <v>45</v>
      </c>
      <c r="E4840">
        <v>45</v>
      </c>
      <c r="F4840">
        <v>45</v>
      </c>
      <c r="G4840">
        <v>40</v>
      </c>
      <c r="H4840">
        <v>40</v>
      </c>
      <c r="I4840" t="str">
        <f t="shared" si="62"/>
        <v>Vocational Schools|Average</v>
      </c>
      <c r="J4840" t="s">
        <v>1345</v>
      </c>
    </row>
    <row r="4841" spans="2:10">
      <c r="B4841" t="s">
        <v>967</v>
      </c>
      <c r="C4841" t="s">
        <v>231</v>
      </c>
      <c r="D4841">
        <v>50</v>
      </c>
      <c r="E4841">
        <v>50</v>
      </c>
      <c r="F4841">
        <v>45</v>
      </c>
      <c r="G4841">
        <v>40</v>
      </c>
      <c r="H4841">
        <v>40</v>
      </c>
      <c r="I4841" t="str">
        <f t="shared" si="62"/>
        <v>Vocational Schools|Excellent</v>
      </c>
      <c r="J4841" t="s">
        <v>1564</v>
      </c>
    </row>
    <row r="4842" spans="2:10">
      <c r="B4842" t="s">
        <v>967</v>
      </c>
      <c r="C4842" t="s">
        <v>226</v>
      </c>
      <c r="F4842">
        <v>40</v>
      </c>
      <c r="G4842">
        <v>35</v>
      </c>
      <c r="H4842">
        <v>35</v>
      </c>
      <c r="I4842" t="str">
        <f t="shared" si="62"/>
        <v>Vocational Schools|Low Cost</v>
      </c>
      <c r="J4842" t="s">
        <v>1349</v>
      </c>
    </row>
    <row r="4843" spans="2:10">
      <c r="B4843" t="s">
        <v>970</v>
      </c>
      <c r="C4843" t="s">
        <v>44</v>
      </c>
      <c r="D4843">
        <v>45</v>
      </c>
      <c r="E4843">
        <v>45</v>
      </c>
      <c r="F4843">
        <v>45</v>
      </c>
      <c r="G4843">
        <v>40</v>
      </c>
      <c r="H4843">
        <v>40</v>
      </c>
      <c r="I4843" t="str">
        <f t="shared" si="62"/>
        <v>Alternative (High) Schools|Average</v>
      </c>
      <c r="J4843" t="s">
        <v>1345</v>
      </c>
    </row>
    <row r="4844" spans="2:10">
      <c r="B4844" t="s">
        <v>970</v>
      </c>
      <c r="C4844" t="s">
        <v>231</v>
      </c>
      <c r="D4844">
        <v>50</v>
      </c>
      <c r="E4844">
        <v>50</v>
      </c>
      <c r="F4844">
        <v>45</v>
      </c>
      <c r="G4844">
        <v>40</v>
      </c>
      <c r="H4844">
        <v>40</v>
      </c>
      <c r="I4844" t="str">
        <f t="shared" si="62"/>
        <v>Alternative (High) Schools|Excellent</v>
      </c>
      <c r="J4844" t="s">
        <v>1561</v>
      </c>
    </row>
    <row r="4845" spans="2:10">
      <c r="B4845" t="s">
        <v>970</v>
      </c>
      <c r="C4845" t="s">
        <v>229</v>
      </c>
      <c r="D4845">
        <v>50</v>
      </c>
      <c r="E4845">
        <v>50</v>
      </c>
      <c r="F4845">
        <v>45</v>
      </c>
      <c r="G4845">
        <v>40</v>
      </c>
      <c r="H4845">
        <v>40</v>
      </c>
      <c r="I4845" t="str">
        <f t="shared" si="62"/>
        <v>Alternative (High) Schools|Good</v>
      </c>
      <c r="J4845" t="s">
        <v>1561</v>
      </c>
    </row>
    <row r="4846" spans="2:10">
      <c r="B4846" t="s">
        <v>973</v>
      </c>
      <c r="C4846" t="s">
        <v>44</v>
      </c>
      <c r="D4846">
        <v>45</v>
      </c>
      <c r="E4846">
        <v>45</v>
      </c>
      <c r="F4846">
        <v>40</v>
      </c>
      <c r="G4846">
        <v>35</v>
      </c>
      <c r="H4846">
        <v>35</v>
      </c>
      <c r="I4846" t="str">
        <f t="shared" si="62"/>
        <v>Day Care Centers|Average</v>
      </c>
      <c r="J4846" t="s">
        <v>1341</v>
      </c>
    </row>
    <row r="4847" spans="2:10">
      <c r="B4847" t="s">
        <v>973</v>
      </c>
      <c r="C4847" t="s">
        <v>231</v>
      </c>
      <c r="F4847">
        <v>45</v>
      </c>
      <c r="G4847">
        <v>40</v>
      </c>
      <c r="I4847" t="str">
        <f t="shared" si="62"/>
        <v>Day Care Centers|Excellent</v>
      </c>
      <c r="J4847" t="s">
        <v>1565</v>
      </c>
    </row>
    <row r="4848" spans="2:10">
      <c r="B4848" t="s">
        <v>973</v>
      </c>
      <c r="C4848" t="s">
        <v>229</v>
      </c>
      <c r="F4848">
        <v>45</v>
      </c>
      <c r="G4848">
        <v>40</v>
      </c>
      <c r="I4848" t="str">
        <f t="shared" si="62"/>
        <v>Day Care Centers|Good</v>
      </c>
      <c r="J4848" t="s">
        <v>1565</v>
      </c>
    </row>
    <row r="4849" spans="2:10">
      <c r="B4849" t="s">
        <v>973</v>
      </c>
      <c r="C4849" t="s">
        <v>226</v>
      </c>
      <c r="D4849">
        <v>45</v>
      </c>
      <c r="E4849">
        <v>45</v>
      </c>
      <c r="F4849">
        <v>40</v>
      </c>
      <c r="G4849">
        <v>35</v>
      </c>
      <c r="H4849">
        <v>35</v>
      </c>
      <c r="I4849" t="str">
        <f t="shared" si="62"/>
        <v>Day Care Centers|Low Cost</v>
      </c>
      <c r="J4849" t="s">
        <v>1341</v>
      </c>
    </row>
    <row r="4850" spans="2:10">
      <c r="B4850" t="s">
        <v>975</v>
      </c>
      <c r="C4850" t="s">
        <v>231</v>
      </c>
      <c r="D4850">
        <v>50</v>
      </c>
      <c r="E4850">
        <v>50</v>
      </c>
      <c r="F4850">
        <v>45</v>
      </c>
      <c r="G4850">
        <v>40</v>
      </c>
      <c r="H4850">
        <v>40</v>
      </c>
      <c r="I4850" t="str">
        <f t="shared" si="62"/>
        <v>Classrooms|Excellent</v>
      </c>
      <c r="J4850" t="s">
        <v>1566</v>
      </c>
    </row>
    <row r="4851" spans="2:10">
      <c r="B4851" t="s">
        <v>975</v>
      </c>
      <c r="C4851" t="s">
        <v>229</v>
      </c>
      <c r="D4851">
        <v>50</v>
      </c>
      <c r="E4851">
        <v>50</v>
      </c>
      <c r="F4851">
        <v>45</v>
      </c>
      <c r="G4851">
        <v>40</v>
      </c>
      <c r="H4851">
        <v>40</v>
      </c>
      <c r="I4851" t="str">
        <f t="shared" si="62"/>
        <v>Classrooms|Good</v>
      </c>
      <c r="J4851" t="s">
        <v>1566</v>
      </c>
    </row>
    <row r="4852" spans="2:10">
      <c r="B4852" t="s">
        <v>975</v>
      </c>
      <c r="C4852" t="s">
        <v>44</v>
      </c>
      <c r="D4852">
        <v>45</v>
      </c>
      <c r="E4852">
        <v>45</v>
      </c>
      <c r="F4852">
        <v>40</v>
      </c>
      <c r="G4852">
        <v>35</v>
      </c>
      <c r="H4852">
        <v>35</v>
      </c>
      <c r="I4852" t="str">
        <f t="shared" si="62"/>
        <v>Classrooms|Average</v>
      </c>
      <c r="J4852" t="s">
        <v>1341</v>
      </c>
    </row>
    <row r="4853" spans="2:10">
      <c r="B4853" t="s">
        <v>975</v>
      </c>
      <c r="C4853" t="s">
        <v>226</v>
      </c>
      <c r="D4853">
        <v>45</v>
      </c>
      <c r="E4853">
        <v>45</v>
      </c>
      <c r="F4853">
        <v>40</v>
      </c>
      <c r="G4853">
        <v>35</v>
      </c>
      <c r="H4853">
        <v>35</v>
      </c>
      <c r="I4853" t="str">
        <f t="shared" si="62"/>
        <v>Classrooms|Low Cost</v>
      </c>
      <c r="J4853" t="s">
        <v>1341</v>
      </c>
    </row>
    <row r="4854" spans="2:10">
      <c r="B4854" t="s">
        <v>975</v>
      </c>
      <c r="C4854" t="s">
        <v>314</v>
      </c>
      <c r="F4854">
        <v>35</v>
      </c>
      <c r="G4854">
        <v>30</v>
      </c>
      <c r="H4854">
        <v>30</v>
      </c>
      <c r="I4854" t="str">
        <f t="shared" si="62"/>
        <v>Classrooms|Cheap</v>
      </c>
      <c r="J4854" t="s">
        <v>1356</v>
      </c>
    </row>
    <row r="4855" spans="2:10">
      <c r="B4855" t="s">
        <v>978</v>
      </c>
      <c r="C4855" t="s">
        <v>229</v>
      </c>
      <c r="D4855">
        <v>50</v>
      </c>
      <c r="E4855">
        <v>50</v>
      </c>
      <c r="F4855">
        <v>45</v>
      </c>
      <c r="G4855">
        <v>40</v>
      </c>
      <c r="H4855">
        <v>40</v>
      </c>
      <c r="I4855" t="str">
        <f t="shared" si="62"/>
        <v>Special Education Classrooms|Good</v>
      </c>
      <c r="J4855" t="s">
        <v>1566</v>
      </c>
    </row>
    <row r="4856" spans="2:10">
      <c r="B4856" t="s">
        <v>978</v>
      </c>
      <c r="C4856" t="s">
        <v>44</v>
      </c>
      <c r="D4856">
        <v>45</v>
      </c>
      <c r="E4856">
        <v>45</v>
      </c>
      <c r="F4856">
        <v>40</v>
      </c>
      <c r="G4856">
        <v>35</v>
      </c>
      <c r="H4856">
        <v>35</v>
      </c>
      <c r="I4856" t="str">
        <f t="shared" ref="I4856:I4919" si="63">B4856&amp;"|"&amp;C4856</f>
        <v>Special Education Classrooms|Average</v>
      </c>
      <c r="J4856" t="s">
        <v>1341</v>
      </c>
    </row>
    <row r="4857" spans="2:10">
      <c r="B4857" t="s">
        <v>978</v>
      </c>
      <c r="C4857" t="s">
        <v>231</v>
      </c>
      <c r="D4857">
        <v>50</v>
      </c>
      <c r="E4857">
        <v>50</v>
      </c>
      <c r="F4857">
        <v>45</v>
      </c>
      <c r="G4857">
        <v>40</v>
      </c>
      <c r="H4857">
        <v>40</v>
      </c>
      <c r="I4857" t="str">
        <f t="shared" si="63"/>
        <v>Special Education Classrooms|Excellent</v>
      </c>
      <c r="J4857" t="s">
        <v>1566</v>
      </c>
    </row>
    <row r="4858" spans="2:10">
      <c r="B4858" t="s">
        <v>981</v>
      </c>
      <c r="C4858" t="s">
        <v>231</v>
      </c>
      <c r="G4858">
        <v>35</v>
      </c>
      <c r="I4858" t="str">
        <f t="shared" si="63"/>
        <v>Relocatable Classrooms|Excellent</v>
      </c>
      <c r="J4858" t="s">
        <v>1567</v>
      </c>
    </row>
    <row r="4859" spans="2:10">
      <c r="B4859" t="s">
        <v>981</v>
      </c>
      <c r="C4859" t="s">
        <v>229</v>
      </c>
      <c r="G4859">
        <v>30</v>
      </c>
      <c r="I4859" t="str">
        <f t="shared" si="63"/>
        <v>Relocatable Classrooms|Good</v>
      </c>
      <c r="J4859" t="s">
        <v>1347</v>
      </c>
    </row>
    <row r="4860" spans="2:10">
      <c r="B4860" t="s">
        <v>981</v>
      </c>
      <c r="C4860" t="s">
        <v>44</v>
      </c>
      <c r="G4860">
        <v>25</v>
      </c>
      <c r="I4860" t="str">
        <f t="shared" si="63"/>
        <v>Relocatable Classrooms|Average</v>
      </c>
      <c r="J4860" t="s">
        <v>1345</v>
      </c>
    </row>
    <row r="4861" spans="2:10">
      <c r="B4861" t="s">
        <v>981</v>
      </c>
      <c r="C4861" t="s">
        <v>226</v>
      </c>
      <c r="G4861">
        <v>20</v>
      </c>
      <c r="I4861" t="str">
        <f t="shared" si="63"/>
        <v>Relocatable Classrooms|Low Cost</v>
      </c>
      <c r="J4861" t="s">
        <v>1349</v>
      </c>
    </row>
    <row r="4862" spans="2:10">
      <c r="B4862" t="s">
        <v>981</v>
      </c>
      <c r="C4862" t="s">
        <v>314</v>
      </c>
      <c r="G4862">
        <v>10</v>
      </c>
      <c r="I4862" t="str">
        <f t="shared" si="63"/>
        <v>Relocatable Classrooms|Cheap</v>
      </c>
      <c r="J4862" t="s">
        <v>1356</v>
      </c>
    </row>
    <row r="4863" spans="2:10">
      <c r="B4863" t="s">
        <v>983</v>
      </c>
      <c r="C4863" t="s">
        <v>44</v>
      </c>
      <c r="D4863">
        <v>45</v>
      </c>
      <c r="E4863">
        <v>45</v>
      </c>
      <c r="F4863">
        <v>40</v>
      </c>
      <c r="G4863">
        <v>35</v>
      </c>
      <c r="H4863">
        <v>35</v>
      </c>
      <c r="I4863" t="str">
        <f t="shared" si="63"/>
        <v>Manual Arts (Shop) Buildings|Average</v>
      </c>
      <c r="J4863" t="s">
        <v>1568</v>
      </c>
    </row>
    <row r="4864" spans="2:10">
      <c r="B4864" t="s">
        <v>983</v>
      </c>
      <c r="C4864" t="s">
        <v>226</v>
      </c>
      <c r="F4864">
        <v>35</v>
      </c>
      <c r="G4864">
        <v>30</v>
      </c>
      <c r="H4864">
        <v>30</v>
      </c>
      <c r="I4864" t="str">
        <f t="shared" si="63"/>
        <v>Manual Arts (Shop) Buildings|Low Cost</v>
      </c>
      <c r="J4864" t="s">
        <v>1349</v>
      </c>
    </row>
    <row r="4865" spans="2:10">
      <c r="B4865" t="s">
        <v>983</v>
      </c>
      <c r="C4865" t="s">
        <v>229</v>
      </c>
      <c r="D4865">
        <v>45</v>
      </c>
      <c r="E4865">
        <v>45</v>
      </c>
      <c r="F4865">
        <v>40</v>
      </c>
      <c r="G4865">
        <v>35</v>
      </c>
      <c r="H4865">
        <v>35</v>
      </c>
      <c r="I4865" t="str">
        <f t="shared" si="63"/>
        <v>Manual Arts (Shop) Buildings|Good</v>
      </c>
      <c r="J4865" t="s">
        <v>1568</v>
      </c>
    </row>
    <row r="4866" spans="2:10">
      <c r="B4866" t="s">
        <v>986</v>
      </c>
      <c r="C4866" t="s">
        <v>44</v>
      </c>
      <c r="D4866">
        <v>45</v>
      </c>
      <c r="E4866">
        <v>45</v>
      </c>
      <c r="F4866">
        <v>40</v>
      </c>
      <c r="G4866">
        <v>35</v>
      </c>
      <c r="H4866">
        <v>35</v>
      </c>
      <c r="I4866" t="str">
        <f t="shared" si="63"/>
        <v>Lecture Classrooms|Average</v>
      </c>
      <c r="J4866" t="s">
        <v>1341</v>
      </c>
    </row>
    <row r="4867" spans="2:10">
      <c r="B4867" t="s">
        <v>986</v>
      </c>
      <c r="C4867" t="s">
        <v>229</v>
      </c>
      <c r="D4867">
        <v>50</v>
      </c>
      <c r="E4867">
        <v>50</v>
      </c>
      <c r="F4867">
        <v>45</v>
      </c>
      <c r="G4867">
        <v>40</v>
      </c>
      <c r="H4867">
        <v>40</v>
      </c>
      <c r="I4867" t="str">
        <f t="shared" si="63"/>
        <v>Lecture Classrooms|Good</v>
      </c>
      <c r="J4867" t="s">
        <v>1569</v>
      </c>
    </row>
    <row r="4868" spans="2:10">
      <c r="B4868" t="s">
        <v>988</v>
      </c>
      <c r="C4868" t="s">
        <v>229</v>
      </c>
      <c r="D4868">
        <v>45</v>
      </c>
      <c r="E4868">
        <v>45</v>
      </c>
      <c r="F4868">
        <v>40</v>
      </c>
      <c r="G4868">
        <v>35</v>
      </c>
      <c r="H4868">
        <v>35</v>
      </c>
      <c r="I4868" t="str">
        <f t="shared" si="63"/>
        <v>Multipurpose Buildings|Good</v>
      </c>
      <c r="J4868" t="s">
        <v>1360</v>
      </c>
    </row>
    <row r="4869" spans="2:10">
      <c r="B4869" t="s">
        <v>988</v>
      </c>
      <c r="C4869" t="s">
        <v>44</v>
      </c>
      <c r="D4869">
        <v>45</v>
      </c>
      <c r="E4869">
        <v>45</v>
      </c>
      <c r="F4869">
        <v>40</v>
      </c>
      <c r="G4869">
        <v>35</v>
      </c>
      <c r="H4869">
        <v>35</v>
      </c>
      <c r="I4869" t="str">
        <f t="shared" si="63"/>
        <v>Multipurpose Buildings|Average</v>
      </c>
      <c r="J4869" t="s">
        <v>1360</v>
      </c>
    </row>
    <row r="4870" spans="2:10">
      <c r="B4870" t="s">
        <v>988</v>
      </c>
      <c r="C4870" t="s">
        <v>231</v>
      </c>
      <c r="F4870">
        <v>45</v>
      </c>
      <c r="I4870" t="str">
        <f t="shared" si="63"/>
        <v>Multipurpose Buildings|Excellent</v>
      </c>
      <c r="J4870" t="s">
        <v>1570</v>
      </c>
    </row>
    <row r="4871" spans="2:10">
      <c r="B4871" t="s">
        <v>988</v>
      </c>
      <c r="C4871" t="s">
        <v>226</v>
      </c>
      <c r="F4871">
        <v>35</v>
      </c>
      <c r="G4871">
        <v>30</v>
      </c>
      <c r="H4871">
        <v>30</v>
      </c>
      <c r="I4871" t="str">
        <f t="shared" si="63"/>
        <v>Multipurpose Buildings|Low Cost</v>
      </c>
      <c r="J4871" t="s">
        <v>1349</v>
      </c>
    </row>
    <row r="4872" spans="2:10">
      <c r="B4872" t="s">
        <v>991</v>
      </c>
      <c r="C4872" t="s">
        <v>229</v>
      </c>
      <c r="D4872">
        <v>50</v>
      </c>
      <c r="E4872">
        <v>50</v>
      </c>
      <c r="F4872">
        <v>45</v>
      </c>
      <c r="G4872">
        <v>40</v>
      </c>
      <c r="H4872">
        <v>40</v>
      </c>
      <c r="I4872" t="str">
        <f t="shared" si="63"/>
        <v>Laboratory Classrooms|Good</v>
      </c>
      <c r="J4872" t="s">
        <v>1571</v>
      </c>
    </row>
    <row r="4873" spans="2:10">
      <c r="B4873" t="s">
        <v>991</v>
      </c>
      <c r="C4873" t="s">
        <v>44</v>
      </c>
      <c r="D4873">
        <v>45</v>
      </c>
      <c r="E4873">
        <v>45</v>
      </c>
      <c r="F4873">
        <v>40</v>
      </c>
      <c r="G4873">
        <v>35</v>
      </c>
      <c r="H4873">
        <v>35</v>
      </c>
      <c r="I4873" t="str">
        <f t="shared" si="63"/>
        <v>Laboratory Classrooms|Average</v>
      </c>
      <c r="J4873" t="s">
        <v>1341</v>
      </c>
    </row>
    <row r="4874" spans="2:10">
      <c r="B4874" t="s">
        <v>991</v>
      </c>
      <c r="C4874" t="s">
        <v>231</v>
      </c>
      <c r="D4874">
        <v>50</v>
      </c>
      <c r="E4874">
        <v>50</v>
      </c>
      <c r="F4874">
        <v>45</v>
      </c>
      <c r="G4874">
        <v>40</v>
      </c>
      <c r="H4874">
        <v>40</v>
      </c>
      <c r="I4874" t="str">
        <f t="shared" si="63"/>
        <v>Laboratory Classrooms|Excellent</v>
      </c>
      <c r="J4874" t="s">
        <v>1571</v>
      </c>
    </row>
    <row r="4875" spans="2:10">
      <c r="B4875" t="s">
        <v>993</v>
      </c>
      <c r="C4875" t="s">
        <v>229</v>
      </c>
      <c r="D4875">
        <v>60</v>
      </c>
      <c r="E4875">
        <v>60</v>
      </c>
      <c r="F4875">
        <v>55</v>
      </c>
      <c r="G4875">
        <v>50</v>
      </c>
      <c r="H4875">
        <v>50</v>
      </c>
      <c r="I4875" t="str">
        <f t="shared" si="63"/>
        <v>Elementary and Secondary Media Centers (Libraries)|Good</v>
      </c>
      <c r="J4875" t="s">
        <v>1572</v>
      </c>
    </row>
    <row r="4876" spans="2:10">
      <c r="B4876" t="s">
        <v>993</v>
      </c>
      <c r="C4876" t="s">
        <v>44</v>
      </c>
      <c r="D4876">
        <v>55</v>
      </c>
      <c r="E4876">
        <v>55</v>
      </c>
      <c r="F4876">
        <v>50</v>
      </c>
      <c r="G4876">
        <v>45</v>
      </c>
      <c r="H4876">
        <v>45</v>
      </c>
      <c r="I4876" t="str">
        <f t="shared" si="63"/>
        <v>Elementary and Secondary Media Centers (Libraries)|Average</v>
      </c>
      <c r="J4876" t="s">
        <v>1345</v>
      </c>
    </row>
    <row r="4877" spans="2:10">
      <c r="B4877" t="s">
        <v>993</v>
      </c>
      <c r="C4877" t="s">
        <v>226</v>
      </c>
      <c r="D4877">
        <v>50</v>
      </c>
      <c r="E4877">
        <v>50</v>
      </c>
      <c r="F4877">
        <v>45</v>
      </c>
      <c r="G4877">
        <v>40</v>
      </c>
      <c r="H4877">
        <v>40</v>
      </c>
      <c r="I4877" t="str">
        <f t="shared" si="63"/>
        <v>Elementary and Secondary Media Centers (Libraries)|Low Cost</v>
      </c>
      <c r="J4877" t="s">
        <v>1349</v>
      </c>
    </row>
    <row r="4878" spans="2:10">
      <c r="B4878" t="s">
        <v>993</v>
      </c>
      <c r="C4878" t="s">
        <v>231</v>
      </c>
      <c r="D4878">
        <v>60</v>
      </c>
      <c r="E4878">
        <v>60</v>
      </c>
      <c r="F4878">
        <v>55</v>
      </c>
      <c r="G4878">
        <v>50</v>
      </c>
      <c r="H4878">
        <v>50</v>
      </c>
      <c r="I4878" t="str">
        <f t="shared" si="63"/>
        <v>Elementary and Secondary Media Centers (Libraries)|Excellent</v>
      </c>
      <c r="J4878" t="s">
        <v>1572</v>
      </c>
    </row>
    <row r="4879" spans="2:10">
      <c r="B4879" t="s">
        <v>996</v>
      </c>
      <c r="C4879" t="s">
        <v>231</v>
      </c>
      <c r="D4879">
        <v>60</v>
      </c>
      <c r="E4879">
        <v>60</v>
      </c>
      <c r="F4879">
        <v>55</v>
      </c>
      <c r="G4879">
        <v>50</v>
      </c>
      <c r="H4879">
        <v>50</v>
      </c>
      <c r="I4879" t="str">
        <f t="shared" si="63"/>
        <v>Academic (College) Libraries|Excellent</v>
      </c>
      <c r="J4879" t="s">
        <v>1573</v>
      </c>
    </row>
    <row r="4880" spans="2:10">
      <c r="B4880" t="s">
        <v>996</v>
      </c>
      <c r="C4880" t="s">
        <v>229</v>
      </c>
      <c r="D4880">
        <v>60</v>
      </c>
      <c r="E4880">
        <v>60</v>
      </c>
      <c r="F4880">
        <v>55</v>
      </c>
      <c r="G4880">
        <v>50</v>
      </c>
      <c r="H4880">
        <v>50</v>
      </c>
      <c r="I4880" t="str">
        <f t="shared" si="63"/>
        <v>Academic (College) Libraries|Good</v>
      </c>
      <c r="J4880" t="s">
        <v>1573</v>
      </c>
    </row>
    <row r="4881" spans="2:10">
      <c r="B4881" t="s">
        <v>996</v>
      </c>
      <c r="C4881" t="s">
        <v>44</v>
      </c>
      <c r="D4881">
        <v>55</v>
      </c>
      <c r="E4881">
        <v>55</v>
      </c>
      <c r="F4881">
        <v>50</v>
      </c>
      <c r="G4881">
        <v>45</v>
      </c>
      <c r="H4881">
        <v>45</v>
      </c>
      <c r="I4881" t="str">
        <f t="shared" si="63"/>
        <v>Academic (College) Libraries|Average</v>
      </c>
      <c r="J4881" t="s">
        <v>1345</v>
      </c>
    </row>
    <row r="4882" spans="2:10">
      <c r="B4882" t="s">
        <v>996</v>
      </c>
      <c r="C4882" t="s">
        <v>226</v>
      </c>
      <c r="D4882">
        <v>50</v>
      </c>
      <c r="E4882">
        <v>50</v>
      </c>
      <c r="F4882">
        <v>45</v>
      </c>
      <c r="G4882">
        <v>40</v>
      </c>
      <c r="H4882">
        <v>40</v>
      </c>
      <c r="I4882" t="str">
        <f t="shared" si="63"/>
        <v>Academic (College) Libraries|Low Cost</v>
      </c>
      <c r="J4882" t="s">
        <v>1349</v>
      </c>
    </row>
    <row r="4883" spans="2:10">
      <c r="B4883" t="s">
        <v>999</v>
      </c>
      <c r="C4883" t="s">
        <v>229</v>
      </c>
      <c r="D4883">
        <v>45</v>
      </c>
      <c r="E4883">
        <v>45</v>
      </c>
      <c r="F4883">
        <v>40</v>
      </c>
      <c r="G4883">
        <v>35</v>
      </c>
      <c r="H4883">
        <v>35</v>
      </c>
      <c r="I4883" t="str">
        <f t="shared" si="63"/>
        <v>Fine Arts Buildings|Good</v>
      </c>
      <c r="J4883" t="s">
        <v>1360</v>
      </c>
    </row>
    <row r="4884" spans="2:10">
      <c r="B4884" t="s">
        <v>999</v>
      </c>
      <c r="C4884" t="s">
        <v>44</v>
      </c>
      <c r="D4884">
        <v>45</v>
      </c>
      <c r="E4884">
        <v>45</v>
      </c>
      <c r="F4884">
        <v>40</v>
      </c>
      <c r="G4884">
        <v>35</v>
      </c>
      <c r="H4884">
        <v>35</v>
      </c>
      <c r="I4884" t="str">
        <f t="shared" si="63"/>
        <v>Fine Arts Buildings|Average</v>
      </c>
      <c r="J4884" t="s">
        <v>1360</v>
      </c>
    </row>
    <row r="4885" spans="2:10">
      <c r="B4885" t="s">
        <v>999</v>
      </c>
      <c r="C4885" t="s">
        <v>231</v>
      </c>
      <c r="F4885">
        <v>45</v>
      </c>
      <c r="I4885" t="str">
        <f t="shared" si="63"/>
        <v>Fine Arts Buildings|Excellent</v>
      </c>
      <c r="J4885" t="s">
        <v>1574</v>
      </c>
    </row>
    <row r="4886" spans="2:10">
      <c r="B4886" t="s">
        <v>999</v>
      </c>
      <c r="C4886" t="s">
        <v>226</v>
      </c>
      <c r="F4886">
        <v>35</v>
      </c>
      <c r="G4886">
        <v>30</v>
      </c>
      <c r="H4886">
        <v>30</v>
      </c>
      <c r="I4886" t="str">
        <f t="shared" si="63"/>
        <v>Fine Arts Buildings|Low Cost</v>
      </c>
      <c r="J4886" t="s">
        <v>1349</v>
      </c>
    </row>
    <row r="4887" spans="2:10">
      <c r="B4887" t="s">
        <v>1002</v>
      </c>
      <c r="C4887" t="s">
        <v>44</v>
      </c>
      <c r="D4887">
        <v>45</v>
      </c>
      <c r="E4887">
        <v>45</v>
      </c>
      <c r="F4887">
        <v>40</v>
      </c>
      <c r="G4887">
        <v>35</v>
      </c>
      <c r="H4887">
        <v>35</v>
      </c>
      <c r="I4887" t="str">
        <f t="shared" si="63"/>
        <v>Book Stores|Average</v>
      </c>
      <c r="J4887" t="s">
        <v>1345</v>
      </c>
    </row>
    <row r="4888" spans="2:10">
      <c r="B4888" t="s">
        <v>1002</v>
      </c>
      <c r="C4888" t="s">
        <v>226</v>
      </c>
      <c r="D4888">
        <v>40</v>
      </c>
      <c r="E4888">
        <v>40</v>
      </c>
      <c r="F4888">
        <v>35</v>
      </c>
      <c r="G4888">
        <v>30</v>
      </c>
      <c r="H4888">
        <v>30</v>
      </c>
      <c r="I4888" t="str">
        <f t="shared" si="63"/>
        <v>Book Stores|Low Cost</v>
      </c>
      <c r="J4888" t="s">
        <v>1349</v>
      </c>
    </row>
    <row r="4889" spans="2:10">
      <c r="B4889" t="s">
        <v>1002</v>
      </c>
      <c r="C4889" t="s">
        <v>229</v>
      </c>
      <c r="F4889">
        <v>45</v>
      </c>
      <c r="G4889">
        <v>40</v>
      </c>
      <c r="I4889" t="str">
        <f t="shared" si="63"/>
        <v>Book Stores|Good</v>
      </c>
      <c r="J4889" t="s">
        <v>1575</v>
      </c>
    </row>
    <row r="4890" spans="2:10">
      <c r="B4890" t="s">
        <v>1004</v>
      </c>
      <c r="C4890" t="s">
        <v>44</v>
      </c>
      <c r="D4890">
        <v>35</v>
      </c>
      <c r="E4890">
        <v>35</v>
      </c>
      <c r="F4890">
        <v>30</v>
      </c>
      <c r="G4890">
        <v>25</v>
      </c>
      <c r="I4890" t="str">
        <f t="shared" si="63"/>
        <v>Restroom Buildings|Average</v>
      </c>
      <c r="J4890" t="s">
        <v>1345</v>
      </c>
    </row>
    <row r="4891" spans="2:10">
      <c r="B4891" t="s">
        <v>1004</v>
      </c>
      <c r="C4891" t="s">
        <v>231</v>
      </c>
      <c r="F4891">
        <v>35</v>
      </c>
      <c r="G4891">
        <v>30</v>
      </c>
      <c r="I4891" t="str">
        <f t="shared" si="63"/>
        <v>Restroom Buildings|Excellent</v>
      </c>
      <c r="J4891" t="s">
        <v>1576</v>
      </c>
    </row>
    <row r="4892" spans="2:10">
      <c r="B4892" t="s">
        <v>1004</v>
      </c>
      <c r="C4892" t="s">
        <v>229</v>
      </c>
      <c r="F4892">
        <v>35</v>
      </c>
      <c r="G4892">
        <v>30</v>
      </c>
      <c r="I4892" t="str">
        <f t="shared" si="63"/>
        <v>Restroom Buildings|Good</v>
      </c>
      <c r="J4892" t="s">
        <v>1576</v>
      </c>
    </row>
    <row r="4893" spans="2:10">
      <c r="B4893" t="s">
        <v>1004</v>
      </c>
      <c r="C4893" t="s">
        <v>226</v>
      </c>
      <c r="F4893">
        <v>25</v>
      </c>
      <c r="G4893">
        <v>20</v>
      </c>
      <c r="H4893">
        <v>20</v>
      </c>
      <c r="I4893" t="str">
        <f t="shared" si="63"/>
        <v>Restroom Buildings|Low Cost</v>
      </c>
      <c r="J4893" t="s">
        <v>1349</v>
      </c>
    </row>
    <row r="4894" spans="2:10">
      <c r="B4894" t="s">
        <v>1004</v>
      </c>
      <c r="C4894" t="s">
        <v>314</v>
      </c>
      <c r="F4894">
        <v>20</v>
      </c>
      <c r="G4894">
        <v>15</v>
      </c>
      <c r="H4894">
        <v>15</v>
      </c>
      <c r="I4894" t="str">
        <f t="shared" si="63"/>
        <v>Restroom Buildings|Cheap</v>
      </c>
      <c r="J4894" t="s">
        <v>1356</v>
      </c>
    </row>
    <row r="4895" spans="2:10">
      <c r="B4895" t="s">
        <v>1007</v>
      </c>
      <c r="C4895" t="s">
        <v>229</v>
      </c>
      <c r="F4895">
        <v>35</v>
      </c>
      <c r="G4895">
        <v>30</v>
      </c>
      <c r="H4895">
        <v>30</v>
      </c>
      <c r="I4895" t="str">
        <f t="shared" si="63"/>
        <v>Maintenance (Storage) Buildings|Good</v>
      </c>
      <c r="J4895" t="s">
        <v>1577</v>
      </c>
    </row>
    <row r="4896" spans="2:10">
      <c r="B4896" t="s">
        <v>1007</v>
      </c>
      <c r="C4896" t="s">
        <v>44</v>
      </c>
      <c r="F4896">
        <v>30</v>
      </c>
      <c r="G4896">
        <v>25</v>
      </c>
      <c r="H4896">
        <v>25</v>
      </c>
      <c r="I4896" t="str">
        <f t="shared" si="63"/>
        <v>Maintenance (Storage) Buildings|Average</v>
      </c>
      <c r="J4896" t="s">
        <v>1345</v>
      </c>
    </row>
    <row r="4897" spans="2:10">
      <c r="B4897" t="s">
        <v>1009</v>
      </c>
      <c r="C4897" t="s">
        <v>229</v>
      </c>
      <c r="D4897">
        <v>45</v>
      </c>
      <c r="E4897">
        <v>45</v>
      </c>
      <c r="F4897">
        <v>40</v>
      </c>
      <c r="G4897">
        <v>35</v>
      </c>
      <c r="H4897">
        <v>35</v>
      </c>
      <c r="I4897" t="str">
        <f t="shared" si="63"/>
        <v>Natatoriums|Good</v>
      </c>
      <c r="J4897" t="s">
        <v>1578</v>
      </c>
    </row>
    <row r="4898" spans="2:10">
      <c r="B4898" t="s">
        <v>1009</v>
      </c>
      <c r="C4898" t="s">
        <v>44</v>
      </c>
      <c r="D4898">
        <v>45</v>
      </c>
      <c r="E4898">
        <v>45</v>
      </c>
      <c r="F4898">
        <v>40</v>
      </c>
      <c r="G4898">
        <v>35</v>
      </c>
      <c r="H4898">
        <v>35</v>
      </c>
      <c r="I4898" t="str">
        <f t="shared" si="63"/>
        <v>Natatoriums|Average</v>
      </c>
      <c r="J4898" t="s">
        <v>1578</v>
      </c>
    </row>
    <row r="4899" spans="2:10">
      <c r="B4899" t="s">
        <v>1009</v>
      </c>
      <c r="C4899" t="s">
        <v>226</v>
      </c>
      <c r="F4899">
        <v>35</v>
      </c>
      <c r="G4899">
        <v>30</v>
      </c>
      <c r="H4899">
        <v>30</v>
      </c>
      <c r="I4899" t="str">
        <f t="shared" si="63"/>
        <v>Natatoriums|Low Cost</v>
      </c>
      <c r="J4899" t="s">
        <v>1349</v>
      </c>
    </row>
    <row r="4900" spans="2:10">
      <c r="B4900" t="s">
        <v>1012</v>
      </c>
      <c r="C4900" t="s">
        <v>44</v>
      </c>
      <c r="D4900">
        <v>35</v>
      </c>
      <c r="E4900">
        <v>35</v>
      </c>
      <c r="F4900">
        <v>30</v>
      </c>
      <c r="G4900">
        <v>25</v>
      </c>
      <c r="H4900">
        <v>25</v>
      </c>
      <c r="I4900" t="str">
        <f t="shared" si="63"/>
        <v>Shower Room Buildings|Average</v>
      </c>
      <c r="J4900" t="s">
        <v>1345</v>
      </c>
    </row>
    <row r="4901" spans="2:10">
      <c r="B4901" t="s">
        <v>1012</v>
      </c>
      <c r="C4901" t="s">
        <v>231</v>
      </c>
      <c r="F4901">
        <v>35</v>
      </c>
      <c r="G4901">
        <v>30</v>
      </c>
      <c r="I4901" t="str">
        <f t="shared" si="63"/>
        <v>Shower Room Buildings|Excellent</v>
      </c>
      <c r="J4901" t="s">
        <v>1579</v>
      </c>
    </row>
    <row r="4902" spans="2:10">
      <c r="B4902" t="s">
        <v>1012</v>
      </c>
      <c r="C4902" t="s">
        <v>229</v>
      </c>
      <c r="F4902">
        <v>35</v>
      </c>
      <c r="G4902">
        <v>30</v>
      </c>
      <c r="I4902" t="str">
        <f t="shared" si="63"/>
        <v>Shower Room Buildings|Good</v>
      </c>
      <c r="J4902" t="s">
        <v>1579</v>
      </c>
    </row>
    <row r="4903" spans="2:10">
      <c r="B4903" t="s">
        <v>1012</v>
      </c>
      <c r="C4903" t="s">
        <v>226</v>
      </c>
      <c r="F4903">
        <v>25</v>
      </c>
      <c r="G4903">
        <v>20</v>
      </c>
      <c r="H4903">
        <v>20</v>
      </c>
      <c r="I4903" t="str">
        <f t="shared" si="63"/>
        <v>Shower Room Buildings|Low Cost</v>
      </c>
      <c r="J4903" t="s">
        <v>1349</v>
      </c>
    </row>
    <row r="4904" spans="2:10">
      <c r="B4904" t="s">
        <v>1012</v>
      </c>
      <c r="C4904" t="s">
        <v>314</v>
      </c>
      <c r="F4904">
        <v>20</v>
      </c>
      <c r="G4904">
        <v>15</v>
      </c>
      <c r="H4904">
        <v>15</v>
      </c>
      <c r="I4904" t="str">
        <f t="shared" si="63"/>
        <v>Shower Room Buildings|Cheap</v>
      </c>
      <c r="J4904" t="s">
        <v>1356</v>
      </c>
    </row>
    <row r="4905" spans="2:10">
      <c r="B4905" t="s">
        <v>1014</v>
      </c>
      <c r="C4905" t="s">
        <v>229</v>
      </c>
      <c r="D4905">
        <v>45</v>
      </c>
      <c r="E4905">
        <v>45</v>
      </c>
      <c r="F4905">
        <v>40</v>
      </c>
      <c r="G4905">
        <v>35</v>
      </c>
      <c r="H4905">
        <v>35</v>
      </c>
      <c r="I4905" t="str">
        <f t="shared" si="63"/>
        <v>Fieldhouses|Good</v>
      </c>
      <c r="J4905" t="s">
        <v>1360</v>
      </c>
    </row>
    <row r="4906" spans="2:10">
      <c r="B4906" t="s">
        <v>1014</v>
      </c>
      <c r="C4906" t="s">
        <v>44</v>
      </c>
      <c r="D4906">
        <v>45</v>
      </c>
      <c r="E4906">
        <v>45</v>
      </c>
      <c r="F4906">
        <v>40</v>
      </c>
      <c r="G4906">
        <v>35</v>
      </c>
      <c r="H4906">
        <v>35</v>
      </c>
      <c r="I4906" t="str">
        <f t="shared" si="63"/>
        <v>Fieldhouses|Average</v>
      </c>
      <c r="J4906" t="s">
        <v>1360</v>
      </c>
    </row>
    <row r="4907" spans="2:10">
      <c r="B4907" t="s">
        <v>1014</v>
      </c>
      <c r="C4907" t="s">
        <v>231</v>
      </c>
      <c r="D4907">
        <v>50</v>
      </c>
      <c r="E4907">
        <v>50</v>
      </c>
      <c r="F4907">
        <v>45</v>
      </c>
      <c r="G4907">
        <v>40</v>
      </c>
      <c r="H4907">
        <v>40</v>
      </c>
      <c r="I4907" t="str">
        <f t="shared" si="63"/>
        <v>Fieldhouses|Excellent</v>
      </c>
      <c r="J4907" t="s">
        <v>1580</v>
      </c>
    </row>
    <row r="4908" spans="2:10">
      <c r="B4908" t="s">
        <v>1014</v>
      </c>
      <c r="C4908" t="s">
        <v>226</v>
      </c>
      <c r="F4908">
        <v>35</v>
      </c>
      <c r="G4908">
        <v>30</v>
      </c>
      <c r="H4908">
        <v>30</v>
      </c>
      <c r="I4908" t="str">
        <f t="shared" si="63"/>
        <v>Fieldhouses|Low Cost</v>
      </c>
      <c r="J4908" t="s">
        <v>1349</v>
      </c>
    </row>
    <row r="4909" spans="2:10">
      <c r="B4909" t="s">
        <v>1014</v>
      </c>
      <c r="C4909" t="s">
        <v>314</v>
      </c>
      <c r="G4909">
        <v>25</v>
      </c>
      <c r="H4909">
        <v>25</v>
      </c>
      <c r="I4909" t="str">
        <f t="shared" si="63"/>
        <v>Fieldhouses|Cheap</v>
      </c>
      <c r="J4909" t="s">
        <v>1356</v>
      </c>
    </row>
    <row r="4910" spans="2:10">
      <c r="B4910" t="s">
        <v>1017</v>
      </c>
      <c r="C4910" t="s">
        <v>229</v>
      </c>
      <c r="D4910">
        <v>45</v>
      </c>
      <c r="E4910">
        <v>45</v>
      </c>
      <c r="F4910">
        <v>40</v>
      </c>
      <c r="G4910">
        <v>35</v>
      </c>
      <c r="H4910">
        <v>35</v>
      </c>
      <c r="I4910" t="str">
        <f t="shared" si="63"/>
        <v>Physical Education Buildings|Good</v>
      </c>
      <c r="J4910" t="s">
        <v>1360</v>
      </c>
    </row>
    <row r="4911" spans="2:10">
      <c r="B4911" t="s">
        <v>1017</v>
      </c>
      <c r="C4911" t="s">
        <v>44</v>
      </c>
      <c r="D4911">
        <v>45</v>
      </c>
      <c r="E4911">
        <v>45</v>
      </c>
      <c r="F4911">
        <v>40</v>
      </c>
      <c r="G4911">
        <v>35</v>
      </c>
      <c r="H4911">
        <v>35</v>
      </c>
      <c r="I4911" t="str">
        <f t="shared" si="63"/>
        <v>Physical Education Buildings|Average</v>
      </c>
      <c r="J4911" t="s">
        <v>1360</v>
      </c>
    </row>
    <row r="4912" spans="2:10">
      <c r="B4912" t="s">
        <v>1017</v>
      </c>
      <c r="C4912" t="s">
        <v>231</v>
      </c>
      <c r="F4912">
        <v>45</v>
      </c>
      <c r="G4912">
        <v>40</v>
      </c>
      <c r="I4912" t="str">
        <f t="shared" si="63"/>
        <v>Physical Education Buildings|Excellent</v>
      </c>
      <c r="J4912" t="s">
        <v>1581</v>
      </c>
    </row>
    <row r="4913" spans="2:10">
      <c r="B4913" t="s">
        <v>1017</v>
      </c>
      <c r="C4913" t="s">
        <v>226</v>
      </c>
      <c r="F4913">
        <v>35</v>
      </c>
      <c r="G4913">
        <v>30</v>
      </c>
      <c r="H4913">
        <v>30</v>
      </c>
      <c r="I4913" t="str">
        <f t="shared" si="63"/>
        <v>Physical Education Buildings|Low Cost</v>
      </c>
      <c r="J4913" t="s">
        <v>1349</v>
      </c>
    </row>
    <row r="4914" spans="2:10">
      <c r="B4914" t="s">
        <v>1020</v>
      </c>
      <c r="C4914" t="s">
        <v>229</v>
      </c>
      <c r="D4914">
        <v>45</v>
      </c>
      <c r="E4914">
        <v>45</v>
      </c>
      <c r="F4914">
        <v>40</v>
      </c>
      <c r="G4914">
        <v>35</v>
      </c>
      <c r="H4914">
        <v>35</v>
      </c>
      <c r="I4914" t="str">
        <f t="shared" si="63"/>
        <v>Gymnasiums|Good</v>
      </c>
      <c r="J4914" t="s">
        <v>1360</v>
      </c>
    </row>
    <row r="4915" spans="2:10">
      <c r="B4915" t="s">
        <v>1020</v>
      </c>
      <c r="C4915" t="s">
        <v>44</v>
      </c>
      <c r="D4915">
        <v>45</v>
      </c>
      <c r="E4915">
        <v>45</v>
      </c>
      <c r="F4915">
        <v>40</v>
      </c>
      <c r="G4915">
        <v>35</v>
      </c>
      <c r="H4915">
        <v>35</v>
      </c>
      <c r="I4915" t="str">
        <f t="shared" si="63"/>
        <v>Gymnasiums|Average</v>
      </c>
      <c r="J4915" t="s">
        <v>1360</v>
      </c>
    </row>
    <row r="4916" spans="2:10">
      <c r="B4916" t="s">
        <v>1020</v>
      </c>
      <c r="C4916" t="s">
        <v>231</v>
      </c>
      <c r="D4916">
        <v>50</v>
      </c>
      <c r="E4916">
        <v>50</v>
      </c>
      <c r="F4916">
        <v>45</v>
      </c>
      <c r="G4916">
        <v>40</v>
      </c>
      <c r="I4916" t="str">
        <f t="shared" si="63"/>
        <v>Gymnasiums|Excellent</v>
      </c>
      <c r="J4916" t="s">
        <v>1582</v>
      </c>
    </row>
    <row r="4917" spans="2:10">
      <c r="B4917" t="s">
        <v>1020</v>
      </c>
      <c r="C4917" t="s">
        <v>226</v>
      </c>
      <c r="F4917">
        <v>35</v>
      </c>
      <c r="G4917">
        <v>30</v>
      </c>
      <c r="H4917">
        <v>30</v>
      </c>
      <c r="I4917" t="str">
        <f t="shared" si="63"/>
        <v>Gymnasiums|Low Cost</v>
      </c>
      <c r="J4917" t="s">
        <v>1429</v>
      </c>
    </row>
    <row r="4918" spans="2:10">
      <c r="B4918" t="s">
        <v>1020</v>
      </c>
      <c r="C4918" t="s">
        <v>314</v>
      </c>
      <c r="F4918">
        <v>35</v>
      </c>
      <c r="G4918">
        <v>30</v>
      </c>
      <c r="H4918">
        <v>30</v>
      </c>
      <c r="I4918" t="str">
        <f t="shared" si="63"/>
        <v>Gymnasiums|Cheap</v>
      </c>
      <c r="J4918" t="s">
        <v>1429</v>
      </c>
    </row>
    <row r="4919" spans="2:10">
      <c r="B4919" t="s">
        <v>1023</v>
      </c>
      <c r="C4919" t="s">
        <v>231</v>
      </c>
      <c r="D4919">
        <v>60</v>
      </c>
      <c r="E4919">
        <v>60</v>
      </c>
      <c r="F4919">
        <v>55</v>
      </c>
      <c r="G4919">
        <v>50</v>
      </c>
      <c r="I4919" t="str">
        <f t="shared" si="63"/>
        <v>Colleges|Excellent</v>
      </c>
      <c r="J4919" t="s">
        <v>1583</v>
      </c>
    </row>
    <row r="4920" spans="2:10">
      <c r="B4920" t="s">
        <v>1023</v>
      </c>
      <c r="C4920" t="s">
        <v>229</v>
      </c>
      <c r="D4920">
        <v>60</v>
      </c>
      <c r="E4920">
        <v>60</v>
      </c>
      <c r="F4920">
        <v>50</v>
      </c>
      <c r="G4920">
        <v>45</v>
      </c>
      <c r="H4920">
        <v>45</v>
      </c>
      <c r="I4920" t="str">
        <f t="shared" ref="I4920:I4960" si="64">B4920&amp;"|"&amp;C4920</f>
        <v>Colleges|Good</v>
      </c>
      <c r="J4920" t="s">
        <v>1347</v>
      </c>
    </row>
    <row r="4921" spans="2:10">
      <c r="B4921" t="s">
        <v>1023</v>
      </c>
      <c r="C4921" t="s">
        <v>44</v>
      </c>
      <c r="D4921">
        <v>50</v>
      </c>
      <c r="E4921">
        <v>50</v>
      </c>
      <c r="F4921">
        <v>45</v>
      </c>
      <c r="G4921">
        <v>40</v>
      </c>
      <c r="H4921">
        <v>40</v>
      </c>
      <c r="I4921" t="str">
        <f t="shared" si="64"/>
        <v>Colleges|Average</v>
      </c>
      <c r="J4921" t="s">
        <v>1345</v>
      </c>
    </row>
    <row r="4922" spans="2:10">
      <c r="B4922" t="s">
        <v>1023</v>
      </c>
      <c r="C4922" t="s">
        <v>226</v>
      </c>
      <c r="F4922">
        <v>40</v>
      </c>
      <c r="G4922">
        <v>35</v>
      </c>
      <c r="H4922">
        <v>35</v>
      </c>
      <c r="I4922" t="str">
        <f t="shared" si="64"/>
        <v>Colleges|Low Cost</v>
      </c>
      <c r="J4922" t="s">
        <v>1349</v>
      </c>
    </row>
    <row r="4923" spans="2:10">
      <c r="B4923" t="s">
        <v>1026</v>
      </c>
      <c r="C4923" t="s">
        <v>231</v>
      </c>
      <c r="D4923">
        <v>60</v>
      </c>
      <c r="E4923">
        <v>60</v>
      </c>
      <c r="F4923">
        <v>55</v>
      </c>
      <c r="G4923">
        <v>50</v>
      </c>
      <c r="I4923" t="str">
        <f t="shared" si="64"/>
        <v>College Classrooms|Excellent</v>
      </c>
      <c r="J4923" t="s">
        <v>1584</v>
      </c>
    </row>
    <row r="4924" spans="2:10">
      <c r="B4924" t="s">
        <v>1026</v>
      </c>
      <c r="C4924" t="s">
        <v>229</v>
      </c>
      <c r="D4924">
        <v>60</v>
      </c>
      <c r="E4924">
        <v>60</v>
      </c>
      <c r="F4924">
        <v>50</v>
      </c>
      <c r="G4924">
        <v>45</v>
      </c>
      <c r="H4924">
        <v>45</v>
      </c>
      <c r="I4924" t="str">
        <f t="shared" si="64"/>
        <v>College Classrooms|Good</v>
      </c>
      <c r="J4924" t="s">
        <v>1347</v>
      </c>
    </row>
    <row r="4925" spans="2:10">
      <c r="B4925" t="s">
        <v>1026</v>
      </c>
      <c r="C4925" t="s">
        <v>44</v>
      </c>
      <c r="D4925">
        <v>50</v>
      </c>
      <c r="E4925">
        <v>50</v>
      </c>
      <c r="F4925">
        <v>45</v>
      </c>
      <c r="G4925">
        <v>40</v>
      </c>
      <c r="H4925">
        <v>40</v>
      </c>
      <c r="I4925" t="str">
        <f t="shared" si="64"/>
        <v>College Classrooms|Average</v>
      </c>
      <c r="J4925" t="s">
        <v>1345</v>
      </c>
    </row>
    <row r="4926" spans="2:10">
      <c r="B4926" t="s">
        <v>1026</v>
      </c>
      <c r="C4926" t="s">
        <v>226</v>
      </c>
      <c r="F4926">
        <v>40</v>
      </c>
      <c r="G4926">
        <v>35</v>
      </c>
      <c r="H4926">
        <v>35</v>
      </c>
      <c r="I4926" t="str">
        <f t="shared" si="64"/>
        <v>College Classrooms|Low Cost</v>
      </c>
      <c r="J4926" t="s">
        <v>1349</v>
      </c>
    </row>
    <row r="4927" spans="2:10">
      <c r="B4927" t="s">
        <v>1029</v>
      </c>
      <c r="C4927" t="s">
        <v>229</v>
      </c>
      <c r="D4927">
        <v>60</v>
      </c>
      <c r="E4927">
        <v>60</v>
      </c>
      <c r="F4927">
        <v>50</v>
      </c>
      <c r="G4927">
        <v>45</v>
      </c>
      <c r="H4927">
        <v>45</v>
      </c>
      <c r="I4927" t="str">
        <f t="shared" si="64"/>
        <v>Technical Trades Buildings|Good</v>
      </c>
      <c r="J4927" t="s">
        <v>1585</v>
      </c>
    </row>
    <row r="4928" spans="2:10">
      <c r="B4928" t="s">
        <v>1029</v>
      </c>
      <c r="C4928" t="s">
        <v>44</v>
      </c>
      <c r="D4928">
        <v>50</v>
      </c>
      <c r="E4928">
        <v>50</v>
      </c>
      <c r="F4928">
        <v>45</v>
      </c>
      <c r="G4928">
        <v>40</v>
      </c>
      <c r="H4928">
        <v>40</v>
      </c>
      <c r="I4928" t="str">
        <f t="shared" si="64"/>
        <v>Technical Trades Buildings|Average</v>
      </c>
      <c r="J4928" t="s">
        <v>1345</v>
      </c>
    </row>
    <row r="4929" spans="2:10">
      <c r="B4929" t="s">
        <v>1029</v>
      </c>
      <c r="C4929" t="s">
        <v>226</v>
      </c>
      <c r="F4929">
        <v>40</v>
      </c>
      <c r="G4929">
        <v>35</v>
      </c>
      <c r="H4929">
        <v>35</v>
      </c>
      <c r="I4929" t="str">
        <f t="shared" si="64"/>
        <v>Technical Trades Buildings|Low Cost</v>
      </c>
      <c r="J4929" t="s">
        <v>1349</v>
      </c>
    </row>
    <row r="4930" spans="2:10">
      <c r="B4930" t="s">
        <v>1032</v>
      </c>
      <c r="C4930" t="s">
        <v>231</v>
      </c>
      <c r="F4930">
        <v>55</v>
      </c>
      <c r="I4930" t="str">
        <f t="shared" si="64"/>
        <v>Lecture Hall Buildings|Excellent</v>
      </c>
      <c r="J4930" t="s">
        <v>1586</v>
      </c>
    </row>
    <row r="4931" spans="2:10">
      <c r="B4931" t="s">
        <v>1032</v>
      </c>
      <c r="C4931" t="s">
        <v>229</v>
      </c>
      <c r="D4931">
        <v>60</v>
      </c>
      <c r="E4931">
        <v>60</v>
      </c>
      <c r="F4931">
        <v>50</v>
      </c>
      <c r="G4931">
        <v>45</v>
      </c>
      <c r="H4931">
        <v>45</v>
      </c>
      <c r="I4931" t="str">
        <f t="shared" si="64"/>
        <v>Lecture Hall Buildings|Good</v>
      </c>
      <c r="J4931" t="s">
        <v>1347</v>
      </c>
    </row>
    <row r="4932" spans="2:10">
      <c r="B4932" t="s">
        <v>1032</v>
      </c>
      <c r="C4932" t="s">
        <v>44</v>
      </c>
      <c r="D4932">
        <v>50</v>
      </c>
      <c r="E4932">
        <v>50</v>
      </c>
      <c r="F4932">
        <v>45</v>
      </c>
      <c r="G4932">
        <v>40</v>
      </c>
      <c r="H4932">
        <v>40</v>
      </c>
      <c r="I4932" t="str">
        <f t="shared" si="64"/>
        <v>Lecture Hall Buildings|Average</v>
      </c>
      <c r="J4932" t="s">
        <v>1345</v>
      </c>
    </row>
    <row r="4933" spans="2:10">
      <c r="B4933" t="s">
        <v>1034</v>
      </c>
      <c r="C4933" t="s">
        <v>231</v>
      </c>
      <c r="D4933">
        <v>60</v>
      </c>
      <c r="E4933">
        <v>60</v>
      </c>
      <c r="F4933">
        <v>55</v>
      </c>
      <c r="I4933" t="str">
        <f t="shared" si="64"/>
        <v>Arts &amp; Crafts Buildings|Excellent</v>
      </c>
      <c r="J4933" t="s">
        <v>1587</v>
      </c>
    </row>
    <row r="4934" spans="2:10">
      <c r="B4934" t="s">
        <v>1034</v>
      </c>
      <c r="C4934" t="s">
        <v>229</v>
      </c>
      <c r="D4934">
        <v>60</v>
      </c>
      <c r="E4934">
        <v>60</v>
      </c>
      <c r="F4934">
        <v>50</v>
      </c>
      <c r="G4934">
        <v>45</v>
      </c>
      <c r="H4934">
        <v>45</v>
      </c>
      <c r="I4934" t="str">
        <f t="shared" si="64"/>
        <v>Arts &amp; Crafts Buildings|Good</v>
      </c>
      <c r="J4934" t="s">
        <v>1347</v>
      </c>
    </row>
    <row r="4935" spans="2:10">
      <c r="B4935" t="s">
        <v>1034</v>
      </c>
      <c r="C4935" t="s">
        <v>44</v>
      </c>
      <c r="D4935">
        <v>50</v>
      </c>
      <c r="E4935">
        <v>50</v>
      </c>
      <c r="F4935">
        <v>45</v>
      </c>
      <c r="G4935">
        <v>40</v>
      </c>
      <c r="H4935">
        <v>40</v>
      </c>
      <c r="I4935" t="str">
        <f t="shared" si="64"/>
        <v>Arts &amp; Crafts Buildings|Average</v>
      </c>
      <c r="J4935" t="s">
        <v>1345</v>
      </c>
    </row>
    <row r="4936" spans="2:10">
      <c r="B4936" t="s">
        <v>1034</v>
      </c>
      <c r="C4936" t="s">
        <v>226</v>
      </c>
      <c r="F4936">
        <v>40</v>
      </c>
      <c r="G4936">
        <v>35</v>
      </c>
      <c r="H4936">
        <v>35</v>
      </c>
      <c r="I4936" t="str">
        <f t="shared" si="64"/>
        <v>Arts &amp; Crafts Buildings|Low Cost</v>
      </c>
      <c r="J4936" t="s">
        <v>1349</v>
      </c>
    </row>
    <row r="4937" spans="2:10">
      <c r="B4937" t="s">
        <v>1037</v>
      </c>
      <c r="C4937" t="s">
        <v>231</v>
      </c>
      <c r="D4937">
        <v>60</v>
      </c>
      <c r="E4937">
        <v>60</v>
      </c>
      <c r="F4937">
        <v>55</v>
      </c>
      <c r="G4937">
        <v>50</v>
      </c>
      <c r="I4937" t="str">
        <f t="shared" si="64"/>
        <v>Science Buildings|Excellent</v>
      </c>
      <c r="J4937" t="s">
        <v>1588</v>
      </c>
    </row>
    <row r="4938" spans="2:10">
      <c r="B4938" t="s">
        <v>1037</v>
      </c>
      <c r="C4938" t="s">
        <v>229</v>
      </c>
      <c r="D4938">
        <v>60</v>
      </c>
      <c r="E4938">
        <v>60</v>
      </c>
      <c r="F4938">
        <v>50</v>
      </c>
      <c r="G4938">
        <v>45</v>
      </c>
      <c r="H4938">
        <v>45</v>
      </c>
      <c r="I4938" t="str">
        <f t="shared" si="64"/>
        <v>Science Buildings|Good</v>
      </c>
      <c r="J4938" t="s">
        <v>1347</v>
      </c>
    </row>
    <row r="4939" spans="2:10">
      <c r="B4939" t="s">
        <v>1037</v>
      </c>
      <c r="C4939" t="s">
        <v>44</v>
      </c>
      <c r="D4939">
        <v>50</v>
      </c>
      <c r="E4939">
        <v>50</v>
      </c>
      <c r="F4939">
        <v>45</v>
      </c>
      <c r="G4939">
        <v>40</v>
      </c>
      <c r="H4939">
        <v>40</v>
      </c>
      <c r="I4939" t="str">
        <f t="shared" si="64"/>
        <v>Science Buildings|Average</v>
      </c>
      <c r="J4939" t="s">
        <v>1345</v>
      </c>
    </row>
    <row r="4940" spans="2:10">
      <c r="B4940" t="s">
        <v>1037</v>
      </c>
      <c r="C4940" t="s">
        <v>226</v>
      </c>
      <c r="D4940">
        <v>50</v>
      </c>
      <c r="E4940">
        <v>50</v>
      </c>
      <c r="F4940">
        <v>40</v>
      </c>
      <c r="G4940">
        <v>35</v>
      </c>
      <c r="H4940">
        <v>35</v>
      </c>
      <c r="I4940" t="str">
        <f t="shared" si="64"/>
        <v>Science Buildings|Low Cost</v>
      </c>
      <c r="J4940" t="s">
        <v>1349</v>
      </c>
    </row>
    <row r="4941" spans="2:10">
      <c r="B4941" t="s">
        <v>1040</v>
      </c>
      <c r="C4941" t="s">
        <v>231</v>
      </c>
      <c r="D4941">
        <v>60</v>
      </c>
      <c r="E4941">
        <v>60</v>
      </c>
      <c r="F4941">
        <v>55</v>
      </c>
      <c r="G4941">
        <v>50</v>
      </c>
      <c r="I4941" t="str">
        <f t="shared" si="64"/>
        <v>Commons|Excellent</v>
      </c>
      <c r="J4941" t="s">
        <v>1589</v>
      </c>
    </row>
    <row r="4942" spans="2:10">
      <c r="B4942" t="s">
        <v>1040</v>
      </c>
      <c r="C4942" t="s">
        <v>229</v>
      </c>
      <c r="D4942">
        <v>60</v>
      </c>
      <c r="E4942">
        <v>60</v>
      </c>
      <c r="F4942">
        <v>50</v>
      </c>
      <c r="G4942">
        <v>45</v>
      </c>
      <c r="H4942">
        <v>45</v>
      </c>
      <c r="I4942" t="str">
        <f t="shared" si="64"/>
        <v>Commons|Good</v>
      </c>
      <c r="J4942" t="s">
        <v>1347</v>
      </c>
    </row>
    <row r="4943" spans="2:10">
      <c r="B4943" t="s">
        <v>1040</v>
      </c>
      <c r="C4943" t="s">
        <v>44</v>
      </c>
      <c r="D4943">
        <v>50</v>
      </c>
      <c r="E4943">
        <v>50</v>
      </c>
      <c r="F4943">
        <v>45</v>
      </c>
      <c r="G4943">
        <v>40</v>
      </c>
      <c r="H4943">
        <v>40</v>
      </c>
      <c r="I4943" t="str">
        <f t="shared" si="64"/>
        <v>Commons|Average</v>
      </c>
      <c r="J4943" t="s">
        <v>1345</v>
      </c>
    </row>
    <row r="4944" spans="2:10">
      <c r="B4944" t="s">
        <v>1040</v>
      </c>
      <c r="C4944" t="s">
        <v>226</v>
      </c>
      <c r="F4944">
        <v>40</v>
      </c>
      <c r="G4944">
        <v>35</v>
      </c>
      <c r="H4944">
        <v>35</v>
      </c>
      <c r="I4944" t="str">
        <f t="shared" si="64"/>
        <v>Commons|Low Cost</v>
      </c>
      <c r="J4944" t="s">
        <v>1349</v>
      </c>
    </row>
    <row r="4945" spans="2:10">
      <c r="B4945" t="s">
        <v>1043</v>
      </c>
      <c r="C4945" t="s">
        <v>231</v>
      </c>
      <c r="D4945">
        <v>55</v>
      </c>
      <c r="E4945">
        <v>55</v>
      </c>
      <c r="F4945">
        <v>50</v>
      </c>
      <c r="G4945">
        <v>45</v>
      </c>
      <c r="I4945" t="str">
        <f t="shared" si="64"/>
        <v>Administration (Office) Buildings|Excellent</v>
      </c>
      <c r="J4945" t="s">
        <v>1590</v>
      </c>
    </row>
    <row r="4946" spans="2:10">
      <c r="B4946" t="s">
        <v>1043</v>
      </c>
      <c r="C4946" t="s">
        <v>229</v>
      </c>
      <c r="D4946">
        <v>50</v>
      </c>
      <c r="E4946">
        <v>50</v>
      </c>
      <c r="F4946">
        <v>45</v>
      </c>
      <c r="G4946">
        <v>40</v>
      </c>
      <c r="H4946">
        <v>40</v>
      </c>
      <c r="I4946" t="str">
        <f t="shared" si="64"/>
        <v>Administration (Office) Buildings|Good</v>
      </c>
      <c r="J4946" t="s">
        <v>1347</v>
      </c>
    </row>
    <row r="4947" spans="2:10">
      <c r="B4947" t="s">
        <v>1043</v>
      </c>
      <c r="C4947" t="s">
        <v>44</v>
      </c>
      <c r="D4947">
        <v>45</v>
      </c>
      <c r="E4947">
        <v>45</v>
      </c>
      <c r="F4947">
        <v>45</v>
      </c>
      <c r="G4947">
        <v>40</v>
      </c>
      <c r="H4947">
        <v>40</v>
      </c>
      <c r="I4947" t="str">
        <f t="shared" si="64"/>
        <v>Administration (Office) Buildings|Average</v>
      </c>
      <c r="J4947" t="s">
        <v>1345</v>
      </c>
    </row>
    <row r="4948" spans="2:10">
      <c r="B4948" t="s">
        <v>1043</v>
      </c>
      <c r="C4948" t="s">
        <v>226</v>
      </c>
      <c r="D4948">
        <v>45</v>
      </c>
      <c r="E4948">
        <v>45</v>
      </c>
      <c r="F4948">
        <v>40</v>
      </c>
      <c r="G4948">
        <v>35</v>
      </c>
      <c r="H4948">
        <v>35</v>
      </c>
      <c r="I4948" t="str">
        <f t="shared" si="64"/>
        <v>Administration (Office) Buildings|Low Cost</v>
      </c>
      <c r="J4948" t="s">
        <v>1349</v>
      </c>
    </row>
    <row r="4949" spans="2:10">
      <c r="B4949" t="s">
        <v>1046</v>
      </c>
      <c r="C4949" t="s">
        <v>231</v>
      </c>
      <c r="G4949">
        <v>35</v>
      </c>
      <c r="I4949" t="str">
        <f t="shared" si="64"/>
        <v>Relocatable Offices|Excellent</v>
      </c>
      <c r="J4949" t="s">
        <v>1567</v>
      </c>
    </row>
    <row r="4950" spans="2:10">
      <c r="B4950" t="s">
        <v>1046</v>
      </c>
      <c r="C4950" t="s">
        <v>229</v>
      </c>
      <c r="G4950">
        <v>30</v>
      </c>
      <c r="I4950" t="str">
        <f t="shared" si="64"/>
        <v>Relocatable Offices|Good</v>
      </c>
      <c r="J4950" t="s">
        <v>1347</v>
      </c>
    </row>
    <row r="4951" spans="2:10">
      <c r="B4951" t="s">
        <v>1046</v>
      </c>
      <c r="C4951" t="s">
        <v>44</v>
      </c>
      <c r="G4951">
        <v>25</v>
      </c>
      <c r="I4951" t="str">
        <f t="shared" si="64"/>
        <v>Relocatable Offices|Average</v>
      </c>
      <c r="J4951" t="s">
        <v>1345</v>
      </c>
    </row>
    <row r="4952" spans="2:10">
      <c r="B4952" t="s">
        <v>1046</v>
      </c>
      <c r="C4952" t="s">
        <v>226</v>
      </c>
      <c r="G4952">
        <v>20</v>
      </c>
      <c r="I4952" t="str">
        <f t="shared" si="64"/>
        <v>Relocatable Offices|Low Cost</v>
      </c>
      <c r="J4952" t="s">
        <v>1349</v>
      </c>
    </row>
    <row r="4953" spans="2:10">
      <c r="B4953" t="s">
        <v>1046</v>
      </c>
      <c r="C4953" t="s">
        <v>314</v>
      </c>
      <c r="G4953">
        <v>10</v>
      </c>
      <c r="I4953" t="str">
        <f t="shared" si="64"/>
        <v>Relocatable Offices|Cheap</v>
      </c>
      <c r="J4953" t="s">
        <v>1356</v>
      </c>
    </row>
    <row r="4954" spans="2:10">
      <c r="B4954" t="s">
        <v>1049</v>
      </c>
      <c r="C4954" t="s">
        <v>302</v>
      </c>
      <c r="G4954">
        <v>25</v>
      </c>
      <c r="H4954">
        <v>30</v>
      </c>
      <c r="I4954" t="str">
        <f t="shared" si="64"/>
        <v>Commercial (Institutional) Greenhouses|Fair</v>
      </c>
      <c r="J4954" t="s">
        <v>1467</v>
      </c>
    </row>
    <row r="4955" spans="2:10">
      <c r="B4955" t="s">
        <v>1049</v>
      </c>
      <c r="C4955" t="s">
        <v>226</v>
      </c>
      <c r="G4955">
        <v>20</v>
      </c>
      <c r="H4955">
        <v>25</v>
      </c>
      <c r="I4955" t="str">
        <f t="shared" si="64"/>
        <v>Commercial (Institutional) Greenhouses|Low Cost</v>
      </c>
      <c r="J4955" t="s">
        <v>1349</v>
      </c>
    </row>
    <row r="4956" spans="2:10">
      <c r="B4956" t="s">
        <v>1049</v>
      </c>
      <c r="C4956" t="s">
        <v>231</v>
      </c>
      <c r="H4956">
        <v>40</v>
      </c>
      <c r="I4956" t="str">
        <f t="shared" si="64"/>
        <v>Commercial (Institutional) Greenhouses|Excellent</v>
      </c>
      <c r="J4956" t="s">
        <v>1591</v>
      </c>
    </row>
    <row r="4957" spans="2:10">
      <c r="B4957" t="s">
        <v>1049</v>
      </c>
      <c r="C4957" t="s">
        <v>250</v>
      </c>
      <c r="H4957">
        <v>40</v>
      </c>
      <c r="I4957" t="str">
        <f t="shared" si="64"/>
        <v>Commercial (Institutional) Greenhouses|Very Good</v>
      </c>
      <c r="J4957" t="s">
        <v>1591</v>
      </c>
    </row>
    <row r="4958" spans="2:10">
      <c r="B4958" t="s">
        <v>1049</v>
      </c>
      <c r="C4958" t="s">
        <v>229</v>
      </c>
      <c r="H4958">
        <v>35</v>
      </c>
      <c r="I4958" t="str">
        <f t="shared" si="64"/>
        <v>Commercial (Institutional) Greenhouses|Good</v>
      </c>
      <c r="J4958" t="s">
        <v>1347</v>
      </c>
    </row>
    <row r="4959" spans="2:10">
      <c r="B4959" t="s">
        <v>1049</v>
      </c>
      <c r="C4959" t="s">
        <v>44</v>
      </c>
      <c r="G4959">
        <v>25</v>
      </c>
      <c r="H4959">
        <v>30</v>
      </c>
      <c r="I4959" t="str">
        <f t="shared" si="64"/>
        <v>Commercial (Institutional) Greenhouses|Average</v>
      </c>
      <c r="J4959" t="s">
        <v>1467</v>
      </c>
    </row>
    <row r="4960" spans="2:10">
      <c r="B4960" t="s">
        <v>1049</v>
      </c>
      <c r="C4960" t="s">
        <v>314</v>
      </c>
      <c r="G4960">
        <v>20</v>
      </c>
      <c r="H4960">
        <v>25</v>
      </c>
      <c r="I4960" t="str">
        <f t="shared" si="64"/>
        <v>Commercial (Institutional) Greenhouses|Cheap</v>
      </c>
      <c r="J4960" t="s">
        <v>1349</v>
      </c>
    </row>
    <row r="4963" spans="2:12">
      <c r="B4963" s="302" t="s">
        <v>1592</v>
      </c>
    </row>
    <row r="4964" spans="2:12">
      <c r="B4964" t="s">
        <v>1593</v>
      </c>
    </row>
    <row r="4965" spans="2:12">
      <c r="B4965" t="s">
        <v>1594</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2" t="s">
        <v>1595</v>
      </c>
    </row>
    <row r="5014" spans="2:13">
      <c r="B5014" t="s">
        <v>1596</v>
      </c>
    </row>
    <row r="5015" spans="2:13">
      <c r="B5015" s="303" t="s">
        <v>1594</v>
      </c>
      <c r="C5015" s="303">
        <v>70</v>
      </c>
      <c r="D5015" s="303">
        <v>65</v>
      </c>
      <c r="E5015" s="303">
        <v>60</v>
      </c>
      <c r="F5015" s="303">
        <v>55</v>
      </c>
      <c r="G5015" s="303">
        <v>50</v>
      </c>
      <c r="H5015" s="303">
        <v>45</v>
      </c>
      <c r="I5015" s="303">
        <v>40</v>
      </c>
      <c r="J5015" s="303">
        <v>35</v>
      </c>
      <c r="K5015" s="303">
        <v>30</v>
      </c>
      <c r="L5015" s="303">
        <v>25</v>
      </c>
      <c r="M5015" s="303">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2" t="s">
        <v>1597</v>
      </c>
    </row>
    <row r="5061" spans="2:12">
      <c r="B5061" s="303" t="s">
        <v>1598</v>
      </c>
      <c r="C5061" s="303" t="s">
        <v>236</v>
      </c>
      <c r="D5061" s="303" t="s">
        <v>237</v>
      </c>
      <c r="E5061" s="303" t="s">
        <v>1599</v>
      </c>
    </row>
    <row r="5062" spans="2:12">
      <c r="B5062" t="s">
        <v>1600</v>
      </c>
      <c r="C5062" t="s">
        <v>243</v>
      </c>
      <c r="D5062" t="s">
        <v>258</v>
      </c>
      <c r="E5062" t="s">
        <v>1601</v>
      </c>
    </row>
    <row r="5063" spans="2:12">
      <c r="B5063" t="s">
        <v>1602</v>
      </c>
      <c r="C5063" t="s">
        <v>243</v>
      </c>
      <c r="D5063" t="s">
        <v>260</v>
      </c>
      <c r="E5063" t="s">
        <v>1601</v>
      </c>
    </row>
    <row r="5064" spans="2:12">
      <c r="B5064" t="s">
        <v>1600</v>
      </c>
      <c r="C5064" t="s">
        <v>243</v>
      </c>
      <c r="D5064" t="s">
        <v>274</v>
      </c>
      <c r="E5064" t="s">
        <v>1601</v>
      </c>
    </row>
    <row r="5065" spans="2:12">
      <c r="B5065" t="s">
        <v>1603</v>
      </c>
      <c r="C5065" t="s">
        <v>243</v>
      </c>
      <c r="D5065" t="s">
        <v>276</v>
      </c>
      <c r="E5065" t="s">
        <v>1601</v>
      </c>
    </row>
    <row r="5066" spans="2:12">
      <c r="B5066" t="s">
        <v>1600</v>
      </c>
      <c r="C5066" t="s">
        <v>243</v>
      </c>
      <c r="D5066" t="s">
        <v>284</v>
      </c>
      <c r="E5066" t="s">
        <v>1601</v>
      </c>
    </row>
    <row r="5067" spans="2:12">
      <c r="B5067" t="s">
        <v>1603</v>
      </c>
      <c r="C5067" t="s">
        <v>243</v>
      </c>
      <c r="D5067" t="s">
        <v>286</v>
      </c>
      <c r="E5067" t="s">
        <v>1601</v>
      </c>
    </row>
    <row r="5068" spans="2:12">
      <c r="B5068" t="s">
        <v>1600</v>
      </c>
      <c r="C5068" t="s">
        <v>243</v>
      </c>
      <c r="D5068" t="s">
        <v>294</v>
      </c>
      <c r="E5068" t="s">
        <v>1601</v>
      </c>
    </row>
    <row r="5069" spans="2:12">
      <c r="B5069" t="s">
        <v>1602</v>
      </c>
      <c r="C5069" t="s">
        <v>243</v>
      </c>
      <c r="D5069" t="s">
        <v>296</v>
      </c>
      <c r="E5069" t="s">
        <v>1601</v>
      </c>
    </row>
    <row r="5070" spans="2:12">
      <c r="B5070" t="s">
        <v>1604</v>
      </c>
      <c r="C5070" t="s">
        <v>337</v>
      </c>
      <c r="D5070" t="s">
        <v>269</v>
      </c>
      <c r="E5070" t="s">
        <v>1601</v>
      </c>
    </row>
    <row r="5071" spans="2:12">
      <c r="B5071" t="s">
        <v>1604</v>
      </c>
      <c r="C5071" t="s">
        <v>337</v>
      </c>
      <c r="D5071" t="s">
        <v>284</v>
      </c>
      <c r="E5071" t="s">
        <v>1601</v>
      </c>
    </row>
    <row r="5072" spans="2:12">
      <c r="B5072" t="s">
        <v>1605</v>
      </c>
      <c r="C5072" t="s">
        <v>337</v>
      </c>
      <c r="D5072" t="s">
        <v>296</v>
      </c>
      <c r="E5072" t="s">
        <v>1606</v>
      </c>
    </row>
    <row r="5073" spans="2:5">
      <c r="B5073" t="s">
        <v>1607</v>
      </c>
      <c r="C5073" t="s">
        <v>337</v>
      </c>
      <c r="D5073" t="s">
        <v>333</v>
      </c>
      <c r="E5073" t="s">
        <v>1608</v>
      </c>
    </row>
    <row r="5074" spans="2:5">
      <c r="B5074" t="s">
        <v>1609</v>
      </c>
      <c r="C5074" t="s">
        <v>337</v>
      </c>
      <c r="D5074" t="s">
        <v>501</v>
      </c>
      <c r="E5074" t="s">
        <v>1610</v>
      </c>
    </row>
    <row r="5075" spans="2:5">
      <c r="B5075" t="s">
        <v>1611</v>
      </c>
      <c r="C5075" t="s">
        <v>244</v>
      </c>
      <c r="D5075" t="s">
        <v>903</v>
      </c>
      <c r="E5075" t="s">
        <v>1612</v>
      </c>
    </row>
    <row r="5076" spans="2:5">
      <c r="B5076" t="s">
        <v>1613</v>
      </c>
      <c r="C5076" t="s">
        <v>244</v>
      </c>
      <c r="D5076" t="s">
        <v>513</v>
      </c>
      <c r="E5076" t="s">
        <v>1601</v>
      </c>
    </row>
    <row r="5077" spans="2:5">
      <c r="B5077" t="s">
        <v>1614</v>
      </c>
      <c r="C5077" t="s">
        <v>248</v>
      </c>
      <c r="D5077" t="s">
        <v>501</v>
      </c>
      <c r="E5077" t="s">
        <v>1601</v>
      </c>
    </row>
    <row r="5078" spans="2:5">
      <c r="B5078" t="s">
        <v>1615</v>
      </c>
      <c r="C5078" t="s">
        <v>253</v>
      </c>
      <c r="D5078" t="s">
        <v>407</v>
      </c>
      <c r="E5078" t="s">
        <v>1601</v>
      </c>
    </row>
    <row r="5079" spans="2:5">
      <c r="B5079" t="s">
        <v>1616</v>
      </c>
      <c r="C5079" t="s">
        <v>253</v>
      </c>
      <c r="D5079" t="s">
        <v>501</v>
      </c>
      <c r="E5079" t="s">
        <v>1601</v>
      </c>
    </row>
    <row r="5080" spans="2:5">
      <c r="B5080" t="s">
        <v>1617</v>
      </c>
      <c r="C5080" t="s">
        <v>1618</v>
      </c>
      <c r="D5080" t="s">
        <v>1619</v>
      </c>
      <c r="E5080" t="s">
        <v>1620</v>
      </c>
    </row>
    <row r="5081" spans="2:5">
      <c r="B5081" t="s">
        <v>1621</v>
      </c>
      <c r="C5081" t="s">
        <v>248</v>
      </c>
      <c r="D5081" t="s">
        <v>296</v>
      </c>
      <c r="E5081" t="s">
        <v>1622</v>
      </c>
    </row>
    <row r="5082" spans="2:5">
      <c r="B5082" t="s">
        <v>1623</v>
      </c>
      <c r="C5082" t="s">
        <v>253</v>
      </c>
      <c r="D5082" t="s">
        <v>323</v>
      </c>
      <c r="E5082" t="s">
        <v>1624</v>
      </c>
    </row>
    <row r="5083" spans="2:5">
      <c r="B5083" t="s">
        <v>1625</v>
      </c>
      <c r="C5083" t="s">
        <v>243</v>
      </c>
      <c r="D5083" t="s">
        <v>1626</v>
      </c>
      <c r="E5083" t="s">
        <v>1627</v>
      </c>
    </row>
    <row r="5084" spans="2:5">
      <c r="B5084" t="s">
        <v>1628</v>
      </c>
      <c r="C5084" t="s">
        <v>337</v>
      </c>
      <c r="D5084" t="s">
        <v>286</v>
      </c>
      <c r="E5084" t="s">
        <v>1629</v>
      </c>
    </row>
    <row r="5085" spans="2:5">
      <c r="B5085" t="s">
        <v>1630</v>
      </c>
      <c r="C5085" t="s">
        <v>337</v>
      </c>
      <c r="D5085" t="s">
        <v>507</v>
      </c>
      <c r="E5085" t="s">
        <v>1631</v>
      </c>
    </row>
    <row r="5086" spans="2:5">
      <c r="B5086" t="s">
        <v>1632</v>
      </c>
      <c r="C5086" t="s">
        <v>337</v>
      </c>
      <c r="D5086" t="s">
        <v>928</v>
      </c>
      <c r="E5086" t="s">
        <v>1633</v>
      </c>
    </row>
    <row r="5087" spans="2:5">
      <c r="B5087" t="s">
        <v>1634</v>
      </c>
      <c r="C5087" t="s">
        <v>337</v>
      </c>
      <c r="D5087" t="s">
        <v>1635</v>
      </c>
      <c r="E5087" t="s">
        <v>1636</v>
      </c>
    </row>
    <row r="5088" spans="2:5">
      <c r="B5088" t="s">
        <v>1637</v>
      </c>
      <c r="C5088" t="s">
        <v>337</v>
      </c>
      <c r="D5088" t="s">
        <v>294</v>
      </c>
      <c r="E5088" t="s">
        <v>1638</v>
      </c>
    </row>
    <row r="5089" spans="2:5">
      <c r="B5089" t="s">
        <v>1639</v>
      </c>
      <c r="C5089" t="s">
        <v>260</v>
      </c>
      <c r="D5089" t="s">
        <v>1640</v>
      </c>
      <c r="E5089" t="s">
        <v>1641</v>
      </c>
    </row>
    <row r="5090" spans="2:5">
      <c r="B5090" t="s">
        <v>1642</v>
      </c>
      <c r="C5090" t="s">
        <v>1643</v>
      </c>
      <c r="D5090" t="s">
        <v>1644</v>
      </c>
      <c r="E5090" t="s">
        <v>1645</v>
      </c>
    </row>
    <row r="5091" spans="2:5">
      <c r="B5091" t="s">
        <v>1646</v>
      </c>
      <c r="C5091" t="s">
        <v>1647</v>
      </c>
      <c r="D5091" t="s">
        <v>1648</v>
      </c>
      <c r="E5091" t="s">
        <v>1649</v>
      </c>
    </row>
    <row r="5092" spans="2:5">
      <c r="B5092" t="s">
        <v>1650</v>
      </c>
      <c r="C5092" t="s">
        <v>1651</v>
      </c>
      <c r="D5092" t="s">
        <v>1652</v>
      </c>
      <c r="E5092" t="s">
        <v>1653</v>
      </c>
    </row>
    <row r="5094" spans="2:5">
      <c r="B5094" s="302" t="s">
        <v>1654</v>
      </c>
    </row>
    <row r="5095" spans="2:5">
      <c r="B5095" t="s">
        <v>1655</v>
      </c>
    </row>
    <row r="5096" spans="2:5">
      <c r="B5096" t="s">
        <v>1656</v>
      </c>
    </row>
    <row r="5097" spans="2:5">
      <c r="B5097" t="s">
        <v>1657</v>
      </c>
    </row>
    <row r="5098" spans="2:5">
      <c r="B5098" t="s">
        <v>1658</v>
      </c>
    </row>
    <row r="5099" spans="2:5">
      <c r="B5099" t="s">
        <v>1659</v>
      </c>
    </row>
    <row r="5100" spans="2:5">
      <c r="B5100" t="s">
        <v>1660</v>
      </c>
    </row>
    <row r="5101" spans="2:5">
      <c r="B5101" t="s">
        <v>1661</v>
      </c>
    </row>
    <row r="5102" spans="2:5">
      <c r="B5102" t="s">
        <v>1662</v>
      </c>
    </row>
    <row r="5103" spans="2:5">
      <c r="B5103" t="s">
        <v>1663</v>
      </c>
    </row>
    <row r="5104" spans="2:5">
      <c r="B5104" t="s">
        <v>1664</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3E7E-84FD-4E09-80B9-F42952FCBA6E}">
  <sheetPr>
    <tabColor rgb="FF0E7490"/>
  </sheetPr>
  <dimension ref="A1:U542"/>
  <sheetViews>
    <sheetView showGridLines="0" tabSelected="1" workbookViewId="0">
      <pane xSplit="2" ySplit="2" topLeftCell="C33" activePane="bottomRight" state="frozen"/>
      <selection pane="topRight"/>
      <selection pane="bottomLeft"/>
      <selection pane="bottomRight" activeCell="G67" sqref="G67"/>
    </sheetView>
  </sheetViews>
  <sheetFormatPr defaultColWidth="9" defaultRowHeight="10.5"/>
  <cols>
    <col min="1" max="1" width="2" customWidth="1"/>
    <col min="2" max="2" width="52" customWidth="1"/>
    <col min="3" max="3" width="39.83203125" customWidth="1"/>
    <col min="4" max="4" width="8" customWidth="1"/>
    <col min="5" max="5" width="4" customWidth="1"/>
    <col min="6" max="6" width="15.83203125" customWidth="1"/>
    <col min="7" max="7" width="19" customWidth="1"/>
    <col min="8" max="8" width="3" customWidth="1"/>
    <col min="9" max="9" width="52" customWidth="1"/>
    <col min="10" max="10" width="9.1640625" customWidth="1"/>
    <col min="11" max="11" width="18.1640625" customWidth="1"/>
    <col min="12" max="12" width="15.83203125" customWidth="1"/>
    <col min="13" max="13" width="8.6640625" customWidth="1"/>
    <col min="14" max="15" width="15.83203125" customWidth="1"/>
    <col min="16" max="16" width="3.83203125" customWidth="1"/>
    <col min="17" max="17" width="40.33203125" customWidth="1"/>
    <col min="18" max="18" width="13.1640625" customWidth="1"/>
    <col min="19" max="19" width="7.6640625" customWidth="1"/>
    <col min="20" max="20" width="15.83203125" customWidth="1"/>
    <col min="22" max="22" width="9.1640625" customWidth="1"/>
    <col min="24" max="24" width="9.1640625" customWidth="1"/>
  </cols>
  <sheetData>
    <row r="1" spans="1:21" ht="31.5">
      <c r="A1" s="125"/>
      <c r="B1" s="244" t="s">
        <v>1665</v>
      </c>
      <c r="C1" s="126"/>
      <c r="D1" s="126"/>
      <c r="E1" s="126"/>
      <c r="F1" s="126"/>
      <c r="G1" s="126"/>
      <c r="H1" s="126"/>
      <c r="I1" s="127"/>
      <c r="J1" s="126"/>
      <c r="K1" s="126"/>
      <c r="L1" s="126"/>
      <c r="M1" s="126"/>
      <c r="N1" s="126"/>
      <c r="O1" s="126"/>
      <c r="P1" s="126"/>
      <c r="Q1" s="126"/>
      <c r="R1" s="126"/>
      <c r="S1" s="126"/>
      <c r="T1" s="126"/>
      <c r="U1" s="126"/>
    </row>
    <row r="2" spans="1:21" ht="27.95" customHeight="1">
      <c r="A2" s="126"/>
      <c r="B2" s="567" t="s">
        <v>1666</v>
      </c>
      <c r="C2" s="514"/>
      <c r="D2" s="514"/>
      <c r="E2" s="514"/>
      <c r="F2" s="514"/>
      <c r="G2" s="514"/>
      <c r="H2" s="126"/>
      <c r="I2" s="126"/>
      <c r="J2" s="126"/>
      <c r="K2" s="126"/>
      <c r="L2" s="126"/>
      <c r="M2" s="126"/>
      <c r="N2" s="126"/>
      <c r="O2" s="126"/>
      <c r="P2" s="126"/>
      <c r="Q2" s="128"/>
      <c r="R2" s="128"/>
      <c r="S2" s="126"/>
      <c r="T2" s="126"/>
      <c r="U2" s="126"/>
    </row>
    <row r="3" spans="1:21" ht="12.75">
      <c r="A3" s="126"/>
      <c r="B3" s="269" t="s">
        <v>1667</v>
      </c>
      <c r="C3" s="270"/>
      <c r="D3" s="270"/>
      <c r="E3" s="270"/>
      <c r="F3" s="270"/>
      <c r="G3" s="270"/>
      <c r="H3" s="126"/>
      <c r="I3" s="126"/>
      <c r="J3" s="126"/>
      <c r="K3" s="126"/>
      <c r="L3" s="126"/>
      <c r="M3" s="126"/>
      <c r="N3" s="126"/>
      <c r="O3" s="126"/>
      <c r="P3" s="126"/>
      <c r="Q3" s="128"/>
      <c r="R3" s="126"/>
      <c r="S3" s="126"/>
      <c r="T3" s="126"/>
      <c r="U3" s="126"/>
    </row>
    <row r="4" spans="1:21" ht="21">
      <c r="A4" s="126"/>
      <c r="B4" s="245" t="s">
        <v>1668</v>
      </c>
      <c r="C4" s="199" t="str">
        <f>IF(Subj_OccCode="","Storage Warehouses",IFERROR(INDEX(OCCMAP_NAME,MATCH(Subj_OccCode,OCCMAP_CODE,0)),"No MVS cost table for OCC "&amp;Subj_OccCode&amp;" -- select manually or use the Manual Override below"))</f>
        <v>Storage Warehouses</v>
      </c>
      <c r="D4" s="129"/>
      <c r="E4" s="129"/>
      <c r="F4" s="129"/>
      <c r="G4" s="129"/>
      <c r="H4" s="126"/>
      <c r="I4" s="246" t="s">
        <v>1669</v>
      </c>
      <c r="J4" s="126"/>
      <c r="K4" s="126"/>
      <c r="L4" s="126"/>
      <c r="M4" s="126"/>
      <c r="N4" s="126"/>
      <c r="O4" s="126"/>
      <c r="P4" s="126"/>
      <c r="Q4" s="126"/>
      <c r="R4" s="126"/>
      <c r="S4" s="126"/>
      <c r="T4" s="126"/>
      <c r="U4" s="126"/>
    </row>
    <row r="5" spans="1:21">
      <c r="A5" s="126"/>
      <c r="B5" s="247" t="s">
        <v>1670</v>
      </c>
      <c r="C5" s="200" t="str">
        <f>IFERROR(INDEX(OCC_CODE,MATCH($C$4,OCC_NAME,0))&amp;"  |  MVS Sec. "&amp;INDEX(OCC_SECTION,MATCH($C$4,OCC_NAME,0))&amp;" p."&amp;INDEX(OCC_PAGE,MATCH($C$4,OCC_NAME,0)),"")</f>
        <v>406  |  MVS Sec. 14 p.26</v>
      </c>
      <c r="D5" s="128"/>
      <c r="E5" s="128"/>
      <c r="F5" s="128"/>
      <c r="G5" s="128"/>
      <c r="H5" s="126"/>
      <c r="I5" s="126"/>
      <c r="J5" s="128"/>
      <c r="K5" s="128"/>
      <c r="L5" s="128"/>
      <c r="M5" s="128"/>
      <c r="N5" s="126"/>
      <c r="O5" s="126"/>
      <c r="P5" s="126"/>
      <c r="Q5" s="126"/>
      <c r="R5" s="126"/>
      <c r="S5" s="126"/>
      <c r="T5" s="126"/>
      <c r="U5" s="126"/>
    </row>
    <row r="6" spans="1:21" ht="15.75" customHeight="1">
      <c r="A6" s="126"/>
      <c r="B6" s="248" t="s">
        <v>1671</v>
      </c>
      <c r="C6" s="201" t="s">
        <v>209</v>
      </c>
      <c r="D6" s="128"/>
      <c r="E6" s="128"/>
      <c r="F6" s="128"/>
      <c r="G6" s="128"/>
      <c r="H6" s="126"/>
      <c r="I6" s="246" t="s">
        <v>1672</v>
      </c>
      <c r="J6" s="128"/>
      <c r="K6" s="128"/>
      <c r="L6" s="128"/>
      <c r="M6" s="128"/>
      <c r="N6" s="126"/>
      <c r="O6" s="126"/>
      <c r="P6" s="126"/>
      <c r="Q6" s="126"/>
      <c r="R6" s="126"/>
      <c r="S6" s="126"/>
      <c r="T6" s="126"/>
      <c r="U6" s="126"/>
    </row>
    <row r="7" spans="1:21" ht="18" customHeight="1">
      <c r="A7" s="126"/>
      <c r="B7" s="248" t="s">
        <v>13</v>
      </c>
      <c r="C7" s="202" t="s">
        <v>44</v>
      </c>
      <c r="D7" s="128"/>
      <c r="E7" s="128"/>
      <c r="F7" s="128"/>
      <c r="G7" s="128"/>
      <c r="H7" s="126"/>
      <c r="I7" s="246" t="s">
        <v>1673</v>
      </c>
      <c r="J7" s="128"/>
      <c r="K7" s="126"/>
      <c r="L7" s="126"/>
      <c r="M7" s="126"/>
      <c r="N7" s="126"/>
      <c r="O7" s="126"/>
      <c r="P7" s="126"/>
      <c r="Q7" s="126"/>
      <c r="R7" s="126"/>
      <c r="S7" s="126"/>
      <c r="T7" s="126"/>
      <c r="U7" s="126"/>
    </row>
    <row r="8" spans="1:21" ht="31.5">
      <c r="A8" s="126"/>
      <c r="B8" s="248" t="s">
        <v>1674</v>
      </c>
      <c r="C8" s="202" t="s">
        <v>1304</v>
      </c>
      <c r="D8" s="128"/>
      <c r="E8" s="128"/>
      <c r="F8" s="128"/>
      <c r="G8" s="128"/>
      <c r="H8" s="126"/>
      <c r="I8" s="246" t="s">
        <v>1675</v>
      </c>
      <c r="J8" s="126"/>
      <c r="K8" s="126"/>
      <c r="L8" s="126"/>
      <c r="M8" s="126"/>
      <c r="N8" s="126"/>
      <c r="O8" s="126"/>
      <c r="P8" s="126"/>
      <c r="Q8" s="126"/>
      <c r="R8" s="126"/>
      <c r="S8" s="126"/>
      <c r="T8" s="126"/>
      <c r="U8" s="126"/>
    </row>
    <row r="9" spans="1:21">
      <c r="A9" s="126"/>
      <c r="B9" s="293" t="s">
        <v>1676</v>
      </c>
      <c r="C9" s="294" t="str">
        <f>IF($C$83&lt;&gt;"",$C$83,IFERROR(INDEX(OCC_SECTION,MATCH($C$4,OCC_NAME,0)),""))</f>
        <v>14</v>
      </c>
      <c r="D9" s="128"/>
      <c r="E9" s="128"/>
      <c r="F9" s="128"/>
      <c r="G9" s="128"/>
      <c r="H9" s="126"/>
      <c r="I9" s="126"/>
      <c r="J9" s="126"/>
      <c r="K9" s="126"/>
      <c r="L9" s="126"/>
      <c r="M9" s="126"/>
      <c r="N9" s="126"/>
      <c r="O9" s="126"/>
      <c r="P9" s="126"/>
      <c r="Q9" s="126"/>
      <c r="R9" s="126"/>
      <c r="S9" s="126"/>
      <c r="T9" s="126"/>
      <c r="U9" s="126"/>
    </row>
    <row r="10" spans="1:21" ht="12.75">
      <c r="A10" s="126"/>
      <c r="B10" s="271" t="s">
        <v>1677</v>
      </c>
      <c r="C10" s="270"/>
      <c r="D10" s="272"/>
      <c r="E10" s="272"/>
      <c r="F10" s="272"/>
      <c r="G10" s="272"/>
      <c r="H10" s="126"/>
      <c r="I10" s="126"/>
      <c r="J10" s="126"/>
      <c r="K10" s="126"/>
      <c r="L10" s="126"/>
      <c r="M10" s="126"/>
      <c r="N10" s="126"/>
      <c r="O10" s="126"/>
      <c r="P10" s="126"/>
      <c r="Q10" s="126"/>
      <c r="R10" s="126"/>
      <c r="S10" s="126"/>
      <c r="T10" s="126"/>
      <c r="U10" s="126"/>
    </row>
    <row r="11" spans="1:21">
      <c r="A11" s="126"/>
      <c r="B11" s="248" t="s">
        <v>1678</v>
      </c>
      <c r="C11" s="203">
        <v>18</v>
      </c>
      <c r="D11" s="128"/>
      <c r="E11" s="128"/>
      <c r="F11" s="128"/>
      <c r="G11" s="128"/>
      <c r="H11" s="126"/>
      <c r="I11" s="126"/>
      <c r="J11" s="126"/>
      <c r="K11" s="126"/>
      <c r="L11" s="126"/>
      <c r="M11" s="126"/>
      <c r="N11" s="126"/>
      <c r="O11" s="126"/>
      <c r="P11" s="126"/>
      <c r="Q11" s="126"/>
      <c r="R11" s="126"/>
      <c r="S11" s="126"/>
      <c r="T11" s="126"/>
      <c r="U11" s="126"/>
    </row>
    <row r="12" spans="1:21" ht="31.5">
      <c r="A12" s="126"/>
      <c r="B12" s="248" t="s">
        <v>1679</v>
      </c>
      <c r="C12" s="204">
        <v>1</v>
      </c>
      <c r="D12" s="128"/>
      <c r="E12" s="128"/>
      <c r="F12" s="128"/>
      <c r="G12" s="128"/>
      <c r="H12" s="126"/>
      <c r="I12" s="246" t="s">
        <v>1680</v>
      </c>
      <c r="J12" s="126"/>
      <c r="K12" s="126"/>
      <c r="L12" s="126"/>
      <c r="M12" s="126"/>
      <c r="N12" s="126"/>
      <c r="O12" s="126"/>
      <c r="P12" s="126"/>
      <c r="Q12" s="126"/>
      <c r="R12" s="126"/>
      <c r="S12" s="126"/>
      <c r="T12" s="126"/>
      <c r="U12" s="126"/>
    </row>
    <row r="13" spans="1:21">
      <c r="A13" s="126"/>
      <c r="B13" s="248" t="s">
        <v>1681</v>
      </c>
      <c r="C13" s="205">
        <v>1</v>
      </c>
      <c r="D13" s="128"/>
      <c r="E13" s="128"/>
      <c r="F13" s="128"/>
      <c r="G13" s="128"/>
      <c r="H13" s="126"/>
      <c r="I13" s="126"/>
      <c r="J13" s="126"/>
      <c r="K13" s="126"/>
      <c r="L13" s="126"/>
      <c r="M13" s="126"/>
      <c r="N13" s="126"/>
      <c r="O13" s="126"/>
      <c r="P13" s="126"/>
      <c r="Q13" s="126"/>
      <c r="R13" s="126"/>
      <c r="S13" s="126"/>
      <c r="T13" s="126"/>
      <c r="U13" s="126"/>
    </row>
    <row r="14" spans="1:21" ht="42">
      <c r="A14" s="126"/>
      <c r="B14" s="247" t="s">
        <v>1682</v>
      </c>
      <c r="C14" s="206" t="s">
        <v>44</v>
      </c>
      <c r="D14" s="128"/>
      <c r="E14" s="128"/>
      <c r="F14" s="128"/>
      <c r="G14" s="128"/>
      <c r="H14" s="126"/>
      <c r="I14" s="246" t="s">
        <v>1683</v>
      </c>
      <c r="J14" s="126"/>
      <c r="K14" s="126"/>
      <c r="L14" s="126"/>
      <c r="M14" s="126"/>
      <c r="N14" s="126"/>
      <c r="O14" s="126"/>
      <c r="P14" s="126"/>
      <c r="Q14" s="126"/>
      <c r="R14" s="126"/>
      <c r="S14" s="126"/>
      <c r="T14" s="126"/>
      <c r="U14" s="126"/>
    </row>
    <row r="15" spans="1:21">
      <c r="A15" s="126"/>
      <c r="B15" s="131"/>
      <c r="C15" s="128"/>
      <c r="D15" s="128"/>
      <c r="E15" s="128"/>
      <c r="F15" s="128"/>
      <c r="G15" s="128"/>
      <c r="H15" s="126"/>
      <c r="I15" s="126"/>
      <c r="J15" s="126"/>
      <c r="K15" s="126"/>
      <c r="L15" s="126"/>
      <c r="M15" s="126"/>
      <c r="N15" s="126"/>
      <c r="O15" s="126"/>
      <c r="P15" s="126"/>
      <c r="Q15" s="126"/>
      <c r="R15" s="126"/>
      <c r="S15" s="126"/>
      <c r="T15" s="126"/>
      <c r="U15" s="126"/>
    </row>
    <row r="16" spans="1:21" ht="25.5">
      <c r="A16" s="126"/>
      <c r="B16" s="271" t="s">
        <v>1684</v>
      </c>
      <c r="C16" s="272"/>
      <c r="D16" s="272"/>
      <c r="E16" s="272"/>
      <c r="F16" s="272"/>
      <c r="G16" s="272"/>
      <c r="H16" s="126"/>
      <c r="I16" s="126"/>
      <c r="J16" s="126"/>
      <c r="K16" s="126"/>
      <c r="L16" s="126"/>
      <c r="M16" s="126"/>
      <c r="N16" s="126"/>
      <c r="O16" s="126"/>
      <c r="P16" s="126"/>
      <c r="Q16" s="126"/>
      <c r="R16" s="126"/>
      <c r="S16" s="126"/>
      <c r="T16" s="126"/>
      <c r="U16" s="126"/>
    </row>
    <row r="17" spans="1:21" ht="31.5">
      <c r="A17" s="126"/>
      <c r="B17" s="248" t="s">
        <v>1685</v>
      </c>
      <c r="C17" s="207">
        <f>DATE(2024,6,30)</f>
        <v>45473</v>
      </c>
      <c r="D17" s="128"/>
      <c r="E17" s="128"/>
      <c r="F17" s="128"/>
      <c r="G17" s="128"/>
      <c r="H17" s="126"/>
      <c r="I17" s="246" t="s">
        <v>1686</v>
      </c>
      <c r="J17" s="126"/>
      <c r="K17" s="126"/>
      <c r="L17" s="126"/>
      <c r="M17" s="126"/>
      <c r="N17" s="126"/>
      <c r="O17" s="126"/>
      <c r="P17" s="126"/>
      <c r="Q17" s="126"/>
      <c r="R17" s="126"/>
      <c r="S17" s="126"/>
      <c r="T17" s="126"/>
      <c r="U17" s="126"/>
    </row>
    <row r="18" spans="1:21" ht="42">
      <c r="A18" s="126"/>
      <c r="B18" s="248" t="s">
        <v>1687</v>
      </c>
      <c r="C18" s="206" t="s">
        <v>1327</v>
      </c>
      <c r="D18" s="128"/>
      <c r="E18" s="128"/>
      <c r="F18" s="128"/>
      <c r="G18" s="128"/>
      <c r="H18" s="126"/>
      <c r="I18" s="246" t="s">
        <v>1688</v>
      </c>
      <c r="J18" s="126"/>
      <c r="K18" s="126"/>
      <c r="L18" s="126"/>
      <c r="M18" s="126"/>
      <c r="N18" s="126"/>
      <c r="O18" s="126"/>
      <c r="P18" s="126"/>
      <c r="Q18" s="126"/>
      <c r="R18" s="126"/>
      <c r="S18" s="126"/>
      <c r="T18" s="126"/>
      <c r="U18" s="126"/>
    </row>
    <row r="19" spans="1:21">
      <c r="A19" s="126"/>
      <c r="B19" s="248" t="s">
        <v>1689</v>
      </c>
      <c r="C19" s="206" t="s">
        <v>1327</v>
      </c>
      <c r="D19" s="128"/>
      <c r="E19" s="128"/>
      <c r="F19" s="128"/>
      <c r="G19" s="128"/>
      <c r="H19" s="126"/>
      <c r="I19" s="126"/>
      <c r="J19" s="126"/>
      <c r="K19" s="126"/>
      <c r="L19" s="126"/>
      <c r="M19" s="126"/>
      <c r="N19" s="126"/>
      <c r="O19" s="126"/>
      <c r="P19" s="126"/>
      <c r="Q19" s="126"/>
      <c r="R19" s="126"/>
      <c r="S19" s="126"/>
      <c r="T19" s="126"/>
      <c r="U19" s="126"/>
    </row>
    <row r="20" spans="1:21">
      <c r="A20" s="126"/>
      <c r="B20" s="130"/>
      <c r="C20" s="128"/>
      <c r="D20" s="128"/>
      <c r="E20" s="128"/>
      <c r="F20" s="128"/>
      <c r="G20" s="128"/>
      <c r="H20" s="126"/>
      <c r="I20" s="126"/>
      <c r="J20" s="126"/>
      <c r="K20" s="126"/>
      <c r="L20" s="126"/>
      <c r="M20" s="126"/>
      <c r="N20" s="126"/>
      <c r="O20" s="126"/>
      <c r="P20" s="126"/>
      <c r="Q20" s="126"/>
      <c r="R20" s="126"/>
      <c r="S20" s="126"/>
      <c r="T20" s="126"/>
      <c r="U20" s="126"/>
    </row>
    <row r="21" spans="1:21" ht="15.75">
      <c r="A21" s="126"/>
      <c r="B21" s="249" t="s">
        <v>1690</v>
      </c>
      <c r="C21" s="208"/>
      <c r="D21" s="208"/>
      <c r="E21" s="208"/>
      <c r="F21" s="208"/>
      <c r="G21" s="208"/>
      <c r="H21" s="126"/>
      <c r="I21" s="126"/>
      <c r="J21" s="126"/>
      <c r="K21" s="126"/>
      <c r="L21" s="126"/>
      <c r="M21" s="126"/>
      <c r="N21" s="126"/>
      <c r="O21" s="126"/>
      <c r="P21" s="126"/>
      <c r="Q21" s="126"/>
      <c r="R21" s="126"/>
      <c r="S21" s="126"/>
      <c r="T21" s="126"/>
      <c r="U21" s="126"/>
    </row>
    <row r="22" spans="1:21">
      <c r="A22" s="126"/>
      <c r="B22" s="250" t="s">
        <v>1691</v>
      </c>
      <c r="C22" s="209" t="s">
        <v>1692</v>
      </c>
      <c r="D22" s="210" t="s">
        <v>238</v>
      </c>
      <c r="E22" s="128"/>
      <c r="F22" s="210" t="s">
        <v>1693</v>
      </c>
      <c r="G22" s="210" t="s">
        <v>1694</v>
      </c>
      <c r="H22" s="126"/>
      <c r="I22" s="126"/>
      <c r="J22" s="126"/>
      <c r="K22" s="126"/>
      <c r="L22" s="126"/>
      <c r="M22" s="126"/>
      <c r="N22" s="126"/>
      <c r="O22" s="126"/>
      <c r="P22" s="126"/>
      <c r="Q22" s="126"/>
      <c r="R22" s="126"/>
      <c r="S22" s="126"/>
      <c r="T22" s="126"/>
      <c r="U22" s="126"/>
    </row>
    <row r="23" spans="1:21">
      <c r="A23" s="126"/>
      <c r="B23" s="251" t="s">
        <v>1695</v>
      </c>
      <c r="C23" s="126"/>
      <c r="D23" s="128"/>
      <c r="E23" s="128"/>
      <c r="F23" s="128"/>
      <c r="G23" s="128"/>
      <c r="H23" s="126"/>
      <c r="I23" s="126"/>
      <c r="J23" s="126"/>
      <c r="K23" s="126"/>
      <c r="L23" s="126"/>
      <c r="M23" s="126"/>
      <c r="N23" s="126"/>
      <c r="O23" s="126"/>
      <c r="P23" s="126"/>
      <c r="Q23" s="126"/>
      <c r="R23" s="126"/>
      <c r="S23" s="126"/>
      <c r="T23" s="126"/>
      <c r="U23" s="126"/>
    </row>
    <row r="24" spans="1:21" ht="21">
      <c r="A24" s="126"/>
      <c r="B24" s="248" t="s">
        <v>1696</v>
      </c>
      <c r="C24" s="211">
        <f>WO!D13</f>
        <v>14400</v>
      </c>
      <c r="D24" s="167">
        <f>IF($C$81&gt;0,$C$81,IFERROR(INDEX(BC_VALUE,MATCH($C$4&amp;"|"&amp;$C$6&amp;"|"&amp;$C$7,BC_KEY,0)),0))</f>
        <v>61</v>
      </c>
      <c r="E24" s="128"/>
      <c r="F24" s="168">
        <f>C24*D24</f>
        <v>878400</v>
      </c>
      <c r="G24" s="128"/>
      <c r="H24" s="126"/>
      <c r="I24" s="246" t="str">
        <f>IFERROR("Verified MVS base cost -- "&amp;INDEX(BC_CITE,MATCH($C$4&amp;"|"&amp;$C$6&amp;"|"&amp;$C$7,BC_KEY,0)),"")&amp;" | Area auto-linked to Property Info!B5 (GBA)."</f>
        <v>Verified MVS base cost -- MVS Sec.14 p.26 | Area auto-linked to Property Info!B5 (GBA).</v>
      </c>
      <c r="J24" s="126"/>
      <c r="K24" s="126"/>
      <c r="L24" s="126"/>
      <c r="M24" s="126"/>
      <c r="N24" s="126"/>
      <c r="O24" s="126"/>
      <c r="P24" s="126"/>
      <c r="Q24" s="126"/>
      <c r="R24" s="126"/>
      <c r="S24" s="126"/>
      <c r="T24" s="126"/>
      <c r="U24" s="126"/>
    </row>
    <row r="25" spans="1:21" ht="21">
      <c r="A25" s="126"/>
      <c r="B25" s="248" t="s">
        <v>1697</v>
      </c>
      <c r="C25" s="211">
        <f>C24</f>
        <v>14400</v>
      </c>
      <c r="D25" s="167">
        <f ca="1">IFERROR(INDEX(INDIRECT("SPR"&amp;$C$9&amp;"_VALS"),MATCH($C$24,INDIRECT("SPR"&amp;$C$9&amp;"_SF"),1),MATCH($C$14,SPR_HDR,0)),0)</f>
        <v>4.5199999999999996</v>
      </c>
      <c r="E25" s="128"/>
      <c r="F25" s="168">
        <f ca="1">C25*D25</f>
        <v>65087.999999999993</v>
      </c>
      <c r="G25" s="128"/>
      <c r="H25" s="126"/>
      <c r="I25" s="246" t="s">
        <v>1698</v>
      </c>
      <c r="J25" s="126"/>
      <c r="K25" s="126"/>
      <c r="L25" s="126"/>
      <c r="M25" s="126"/>
      <c r="N25" s="126"/>
      <c r="O25" s="126"/>
      <c r="P25" s="126"/>
      <c r="Q25" s="126"/>
      <c r="R25" s="126"/>
      <c r="S25" s="126"/>
      <c r="T25" s="126"/>
      <c r="U25" s="126"/>
    </row>
    <row r="26" spans="1:21">
      <c r="A26" s="126"/>
      <c r="B26" s="577" t="s">
        <v>10697</v>
      </c>
      <c r="C26" s="128">
        <v>2400</v>
      </c>
      <c r="D26" s="576">
        <v>42.75</v>
      </c>
      <c r="E26" s="128"/>
      <c r="F26" s="168">
        <f>D26*C26</f>
        <v>102600</v>
      </c>
      <c r="G26" s="128"/>
      <c r="H26" s="126"/>
      <c r="I26" s="126"/>
      <c r="J26" s="126"/>
      <c r="K26" s="126"/>
      <c r="L26" s="126"/>
      <c r="M26" s="126"/>
      <c r="N26" s="126"/>
      <c r="O26" s="126"/>
      <c r="P26" s="126"/>
      <c r="Q26" s="126"/>
      <c r="R26" s="126"/>
      <c r="S26" s="126"/>
      <c r="T26" s="126"/>
      <c r="U26" s="126"/>
    </row>
    <row r="27" spans="1:21">
      <c r="A27" s="126"/>
      <c r="B27" s="131"/>
      <c r="C27" s="128"/>
      <c r="D27" s="128"/>
      <c r="E27" s="126"/>
      <c r="F27" s="168"/>
      <c r="G27" s="128"/>
      <c r="H27" s="126"/>
      <c r="I27" s="126"/>
      <c r="J27" s="126"/>
      <c r="K27" s="126"/>
      <c r="L27" s="126"/>
      <c r="M27" s="126"/>
      <c r="N27" s="126"/>
      <c r="O27" s="126"/>
      <c r="P27" s="126"/>
      <c r="Q27" s="126"/>
      <c r="R27" s="126"/>
      <c r="S27" s="126"/>
      <c r="T27" s="126"/>
      <c r="U27" s="126"/>
    </row>
    <row r="28" spans="1:21">
      <c r="A28" s="126"/>
      <c r="B28" s="130"/>
      <c r="C28" s="128"/>
      <c r="D28" s="126"/>
      <c r="E28" s="126"/>
      <c r="F28" s="168"/>
      <c r="G28" s="128"/>
      <c r="H28" s="126"/>
      <c r="I28" s="126"/>
      <c r="J28" s="126"/>
      <c r="K28" s="126"/>
      <c r="L28" s="126"/>
      <c r="M28" s="126"/>
      <c r="N28" s="126"/>
      <c r="O28" s="126"/>
      <c r="P28" s="126"/>
      <c r="Q28" s="126"/>
      <c r="R28" s="126"/>
      <c r="S28" s="126"/>
      <c r="T28" s="126"/>
      <c r="U28" s="126"/>
    </row>
    <row r="29" spans="1:21">
      <c r="A29" s="126"/>
      <c r="B29" s="130"/>
      <c r="C29" s="128"/>
      <c r="D29" s="126"/>
      <c r="E29" s="126"/>
      <c r="F29" s="168"/>
      <c r="G29" s="128"/>
      <c r="H29" s="126"/>
      <c r="I29" s="128"/>
      <c r="J29" s="126"/>
      <c r="K29" s="126"/>
      <c r="L29" s="126"/>
      <c r="M29" s="126"/>
      <c r="N29" s="126"/>
      <c r="O29" s="126"/>
      <c r="P29" s="126"/>
      <c r="Q29" s="126"/>
      <c r="R29" s="126"/>
      <c r="S29" s="126"/>
      <c r="T29" s="126"/>
      <c r="U29" s="126"/>
    </row>
    <row r="30" spans="1:21">
      <c r="A30" s="126"/>
      <c r="B30" s="131"/>
      <c r="C30" s="128"/>
      <c r="D30" s="132"/>
      <c r="E30" s="132"/>
      <c r="F30" s="168"/>
      <c r="G30" s="128"/>
      <c r="H30" s="126"/>
      <c r="I30" s="126"/>
      <c r="J30" s="126"/>
      <c r="K30" s="126"/>
      <c r="L30" s="126"/>
      <c r="M30" s="126"/>
      <c r="N30" s="126"/>
      <c r="O30" s="126"/>
      <c r="P30" s="126"/>
      <c r="Q30" s="126"/>
      <c r="R30" s="126"/>
      <c r="S30" s="126"/>
      <c r="T30" s="126"/>
      <c r="U30" s="126"/>
    </row>
    <row r="31" spans="1:21">
      <c r="A31" s="126"/>
      <c r="B31" s="252" t="s">
        <v>1693</v>
      </c>
      <c r="C31" s="128"/>
      <c r="D31" s="128"/>
      <c r="E31" s="128"/>
      <c r="F31" s="169">
        <f ca="1">SUM(F24:F30)</f>
        <v>1046088</v>
      </c>
      <c r="G31" s="128"/>
      <c r="H31" s="126"/>
      <c r="I31" s="126"/>
      <c r="J31" s="126"/>
      <c r="K31" s="126"/>
      <c r="L31" s="126"/>
      <c r="M31" s="126"/>
      <c r="N31" s="126"/>
      <c r="O31" s="126"/>
      <c r="P31" s="126"/>
      <c r="Q31" s="126"/>
      <c r="R31" s="126"/>
      <c r="S31" s="126"/>
      <c r="T31" s="126"/>
      <c r="U31" s="126"/>
    </row>
    <row r="32" spans="1:21" ht="15.75">
      <c r="A32" s="126"/>
      <c r="B32" s="273" t="s">
        <v>1699</v>
      </c>
      <c r="C32" s="274"/>
      <c r="D32" s="275"/>
      <c r="E32" s="275"/>
      <c r="F32" s="276"/>
      <c r="G32" s="274"/>
      <c r="H32" s="126"/>
      <c r="I32" s="126"/>
      <c r="J32" s="126"/>
      <c r="K32" s="126"/>
      <c r="L32" s="126"/>
      <c r="M32" s="126"/>
      <c r="N32" s="126"/>
      <c r="O32" s="126"/>
      <c r="P32" s="126"/>
      <c r="Q32" s="126"/>
      <c r="R32" s="126"/>
      <c r="S32" s="126"/>
      <c r="T32" s="126"/>
      <c r="U32" s="126"/>
    </row>
    <row r="33" spans="1:21" ht="31.5">
      <c r="A33" s="126"/>
      <c r="B33" s="247" t="s">
        <v>1700</v>
      </c>
      <c r="C33" s="128"/>
      <c r="D33" s="170">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1.06</v>
      </c>
      <c r="E33" s="128"/>
      <c r="F33" s="128"/>
      <c r="G33" s="128"/>
      <c r="H33" s="126"/>
      <c r="I33" s="246" t="s">
        <v>1701</v>
      </c>
      <c r="J33" s="126"/>
      <c r="K33" s="126"/>
      <c r="L33" s="126"/>
      <c r="M33" s="126"/>
      <c r="N33" s="126"/>
      <c r="O33" s="126"/>
      <c r="P33" s="126"/>
      <c r="Q33" s="126"/>
      <c r="R33" s="126"/>
      <c r="S33" s="126"/>
      <c r="T33" s="126"/>
      <c r="U33" s="126"/>
    </row>
    <row r="34" spans="1:21">
      <c r="A34" s="126"/>
      <c r="B34" s="248" t="s">
        <v>1702</v>
      </c>
      <c r="C34" s="128"/>
      <c r="D34" s="170">
        <f>IFERROR(INDEX(LAM_VALUES,MATCH($C$8,LAM_CITY,0),MATCH("Class "&amp;IF($C$6="CMILL","C",IF($C$6="DPOLE","D",IF($C$6="A-B","B",$C$6))),LAM_CLASSHDR,0)),"")</f>
        <v>1</v>
      </c>
      <c r="E34" s="128"/>
      <c r="F34" s="128"/>
      <c r="G34" s="128"/>
      <c r="H34" s="126"/>
      <c r="I34" s="246" t="s">
        <v>1703</v>
      </c>
      <c r="J34" s="126"/>
      <c r="K34" s="126"/>
      <c r="L34" s="126"/>
      <c r="M34" s="126"/>
      <c r="N34" s="126"/>
      <c r="O34" s="126"/>
      <c r="P34" s="126"/>
      <c r="Q34" s="126"/>
      <c r="R34" s="126"/>
      <c r="S34" s="126"/>
      <c r="T34" s="126"/>
      <c r="U34" s="126"/>
    </row>
    <row r="35" spans="1:21">
      <c r="A35" s="126"/>
      <c r="B35" s="245" t="s">
        <v>1704</v>
      </c>
      <c r="C35" s="128"/>
      <c r="D35" s="170">
        <f>AVERAGE(C12:C13)</f>
        <v>1</v>
      </c>
      <c r="E35" s="128"/>
      <c r="F35" s="128"/>
      <c r="G35" s="128"/>
      <c r="H35" s="126"/>
      <c r="I35" s="126"/>
      <c r="J35" s="126"/>
      <c r="K35" s="126"/>
      <c r="L35" s="126"/>
      <c r="M35" s="126"/>
      <c r="N35" s="126"/>
      <c r="O35" s="126"/>
      <c r="P35" s="126"/>
      <c r="Q35" s="126"/>
      <c r="R35" s="126"/>
      <c r="S35" s="126"/>
      <c r="T35" s="126"/>
      <c r="U35" s="126"/>
    </row>
    <row r="36" spans="1:21">
      <c r="A36" s="126"/>
      <c r="B36" s="245" t="s">
        <v>1705</v>
      </c>
      <c r="C36" s="128"/>
      <c r="D36" s="170">
        <f ca="1">IFERROR(INDEX(INDIRECT("SH"&amp;$C$9&amp;"_M"),MATCH($C$11,INDIRECT("SH"&amp;$C$9&amp;"_H"),1)),1)</f>
        <v>1.0860000000000001</v>
      </c>
      <c r="E36" s="128"/>
      <c r="F36" s="128"/>
      <c r="G36" s="128"/>
      <c r="H36" s="126"/>
      <c r="I36" s="126" t="s">
        <v>1706</v>
      </c>
      <c r="J36" s="126"/>
      <c r="K36" s="126"/>
      <c r="L36" s="126"/>
      <c r="M36" s="126"/>
      <c r="N36" s="126"/>
      <c r="O36" s="126"/>
      <c r="P36" s="126"/>
      <c r="Q36" s="126"/>
      <c r="R36" s="126"/>
      <c r="S36" s="126"/>
      <c r="T36" s="126"/>
      <c r="U36" s="126"/>
    </row>
    <row r="37" spans="1:21">
      <c r="A37" s="126"/>
      <c r="B37" s="252" t="s">
        <v>1707</v>
      </c>
      <c r="C37" s="128"/>
      <c r="D37" s="128"/>
      <c r="E37" s="128"/>
      <c r="F37" s="171">
        <f ca="1">ROUND(PRODUCT(D33:D36),3)</f>
        <v>1.151</v>
      </c>
      <c r="G37" s="128"/>
      <c r="H37" s="126"/>
      <c r="I37" s="126"/>
      <c r="J37" s="126"/>
      <c r="K37" s="126"/>
      <c r="L37" s="126"/>
      <c r="M37" s="126"/>
      <c r="N37" s="126"/>
      <c r="O37" s="126"/>
      <c r="P37" s="126"/>
      <c r="Q37" s="126"/>
      <c r="R37" s="126"/>
      <c r="S37" s="126"/>
      <c r="T37" s="126"/>
      <c r="U37" s="126"/>
    </row>
    <row r="38" spans="1:21">
      <c r="A38" s="126"/>
      <c r="B38" s="251" t="s">
        <v>1708</v>
      </c>
      <c r="C38" s="128"/>
      <c r="D38" s="128"/>
      <c r="E38" s="128"/>
      <c r="F38" s="128"/>
      <c r="G38" s="169">
        <f ca="1">F37*F31</f>
        <v>1204047.2879999999</v>
      </c>
      <c r="H38" s="126"/>
      <c r="I38" s="126"/>
      <c r="J38" s="126"/>
      <c r="K38" s="126"/>
      <c r="L38" s="126"/>
      <c r="M38" s="126"/>
      <c r="N38" s="126"/>
      <c r="O38" s="126"/>
      <c r="P38" s="126"/>
      <c r="Q38" s="128"/>
      <c r="R38" s="128"/>
      <c r="S38" s="126"/>
      <c r="T38" s="126"/>
      <c r="U38" s="126"/>
    </row>
    <row r="39" spans="1:21" ht="47.25">
      <c r="A39" s="126"/>
      <c r="B39" s="273" t="s">
        <v>1709</v>
      </c>
      <c r="C39" s="274"/>
      <c r="D39" s="274"/>
      <c r="E39" s="274"/>
      <c r="F39" s="274"/>
      <c r="G39" s="274"/>
      <c r="H39" s="126"/>
      <c r="I39" s="126"/>
      <c r="J39" s="126"/>
      <c r="K39" s="126"/>
      <c r="L39" s="126"/>
      <c r="M39" s="126"/>
      <c r="N39" s="126"/>
      <c r="O39" s="126"/>
      <c r="P39" s="126"/>
      <c r="Q39" s="126"/>
      <c r="R39" s="126"/>
      <c r="S39" s="126"/>
      <c r="T39" s="126"/>
      <c r="U39" s="128"/>
    </row>
    <row r="40" spans="1:21" ht="31.5">
      <c r="A40" s="126"/>
      <c r="B40" s="253" t="s">
        <v>1710</v>
      </c>
      <c r="C40" s="212">
        <v>0</v>
      </c>
      <c r="D40" s="213">
        <v>3.1</v>
      </c>
      <c r="E40" s="128"/>
      <c r="F40" s="168">
        <f t="shared" ref="F40:F45" si="0">D40*C40</f>
        <v>0</v>
      </c>
      <c r="G40" s="128"/>
      <c r="H40" s="126"/>
      <c r="I40" s="246" t="s">
        <v>1711</v>
      </c>
      <c r="J40" s="126"/>
      <c r="K40" s="126"/>
      <c r="L40" s="126"/>
      <c r="M40" s="126"/>
      <c r="N40" s="126"/>
      <c r="O40" s="126"/>
      <c r="P40" s="126"/>
      <c r="Q40" s="126"/>
      <c r="R40" s="126"/>
      <c r="S40" s="126"/>
      <c r="T40" s="126"/>
      <c r="U40" s="128"/>
    </row>
    <row r="41" spans="1:21" ht="21">
      <c r="A41" s="126"/>
      <c r="B41" s="253" t="s">
        <v>1712</v>
      </c>
      <c r="C41" s="212">
        <v>0</v>
      </c>
      <c r="D41" s="213">
        <v>20</v>
      </c>
      <c r="E41" s="128"/>
      <c r="F41" s="168">
        <f t="shared" si="0"/>
        <v>0</v>
      </c>
      <c r="G41" s="128"/>
      <c r="H41" s="126"/>
      <c r="I41" s="246" t="s">
        <v>1713</v>
      </c>
      <c r="J41" s="126"/>
      <c r="K41" s="126"/>
      <c r="L41" s="126"/>
      <c r="M41" s="126"/>
      <c r="N41" s="126"/>
      <c r="O41" s="126"/>
      <c r="P41" s="126"/>
      <c r="Q41" s="126"/>
      <c r="R41" s="126"/>
      <c r="S41" s="126"/>
      <c r="T41" s="126"/>
      <c r="U41" s="128"/>
    </row>
    <row r="42" spans="1:21" ht="21">
      <c r="A42" s="126"/>
      <c r="B42" s="253" t="s">
        <v>1714</v>
      </c>
      <c r="C42" s="212">
        <v>275000</v>
      </c>
      <c r="D42" s="213">
        <v>5.51</v>
      </c>
      <c r="E42" s="128"/>
      <c r="F42" s="168">
        <f t="shared" si="0"/>
        <v>1515250</v>
      </c>
      <c r="G42" s="128"/>
      <c r="H42" s="126"/>
      <c r="I42" s="246" t="s">
        <v>1715</v>
      </c>
      <c r="J42" s="126"/>
      <c r="K42" s="126"/>
      <c r="L42" s="126"/>
      <c r="M42" s="126"/>
      <c r="N42" s="126"/>
      <c r="O42" s="126"/>
      <c r="P42" s="126"/>
      <c r="Q42" s="126"/>
      <c r="R42" s="126"/>
      <c r="S42" s="126"/>
      <c r="T42" s="126"/>
      <c r="U42" s="128"/>
    </row>
    <row r="43" spans="1:21">
      <c r="A43" s="126"/>
      <c r="B43" s="247" t="s">
        <v>1716</v>
      </c>
      <c r="C43" s="212"/>
      <c r="D43" s="213"/>
      <c r="E43" s="128"/>
      <c r="F43" s="168">
        <f t="shared" si="0"/>
        <v>0</v>
      </c>
      <c r="G43" s="128"/>
      <c r="H43" s="126"/>
      <c r="I43" s="126"/>
      <c r="J43" s="126"/>
      <c r="K43" s="126"/>
      <c r="L43" s="126"/>
      <c r="M43" s="126"/>
      <c r="N43" s="126"/>
      <c r="O43" s="126"/>
      <c r="P43" s="126"/>
      <c r="Q43" s="126"/>
      <c r="R43" s="126"/>
      <c r="S43" s="126"/>
      <c r="T43" s="126"/>
      <c r="U43" s="128"/>
    </row>
    <row r="44" spans="1:21">
      <c r="A44" s="126"/>
      <c r="B44" s="247" t="s">
        <v>1717</v>
      </c>
      <c r="C44" s="212"/>
      <c r="D44" s="213"/>
      <c r="E44" s="128"/>
      <c r="F44" s="168">
        <f t="shared" si="0"/>
        <v>0</v>
      </c>
      <c r="G44" s="128"/>
      <c r="H44" s="126"/>
      <c r="I44" s="126"/>
      <c r="J44" s="126"/>
      <c r="K44" s="126"/>
      <c r="L44" s="126"/>
      <c r="M44" s="126"/>
      <c r="N44" s="126"/>
      <c r="O44" s="126"/>
      <c r="P44" s="126"/>
      <c r="Q44" s="126"/>
      <c r="R44" s="126"/>
      <c r="S44" s="126"/>
      <c r="T44" s="126"/>
      <c r="U44" s="126"/>
    </row>
    <row r="45" spans="1:21" ht="21">
      <c r="A45" s="126"/>
      <c r="B45" s="247" t="s">
        <v>1718</v>
      </c>
      <c r="C45" s="212"/>
      <c r="D45" s="213">
        <v>5.5</v>
      </c>
      <c r="E45" s="128"/>
      <c r="F45" s="168">
        <f t="shared" si="0"/>
        <v>0</v>
      </c>
      <c r="G45" s="128"/>
      <c r="H45" s="126"/>
      <c r="I45" s="246" t="s">
        <v>1719</v>
      </c>
      <c r="J45" s="126"/>
      <c r="K45" s="126"/>
      <c r="L45" s="126"/>
      <c r="M45" s="126"/>
      <c r="N45" s="126"/>
      <c r="O45" s="126"/>
      <c r="P45" s="126"/>
      <c r="Q45" s="126"/>
      <c r="R45" s="126"/>
      <c r="S45" s="126"/>
      <c r="T45" s="126"/>
      <c r="U45" s="126"/>
    </row>
    <row r="46" spans="1:21">
      <c r="A46" s="126"/>
      <c r="B46" s="254" t="s">
        <v>1720</v>
      </c>
      <c r="C46" s="128"/>
      <c r="D46" s="128"/>
      <c r="E46" s="128"/>
      <c r="F46" s="128"/>
      <c r="G46" s="169">
        <f>SUM(F40:F45)</f>
        <v>1515250</v>
      </c>
      <c r="H46" s="126"/>
      <c r="I46" s="126"/>
      <c r="J46" s="126"/>
      <c r="K46" s="126"/>
      <c r="L46" s="126"/>
      <c r="M46" s="126"/>
      <c r="N46" s="126"/>
      <c r="O46" s="126"/>
      <c r="P46" s="126"/>
      <c r="Q46" s="126"/>
      <c r="R46" s="126"/>
      <c r="S46" s="126"/>
      <c r="T46" s="126"/>
      <c r="U46" s="126"/>
    </row>
    <row r="47" spans="1:21">
      <c r="A47" s="126"/>
      <c r="B47" s="251" t="s">
        <v>1721</v>
      </c>
      <c r="C47" s="128"/>
      <c r="D47" s="128"/>
      <c r="E47" s="128"/>
      <c r="F47" s="128"/>
      <c r="G47" s="169">
        <f ca="1">SUM(G38:G46)</f>
        <v>2719297.2879999997</v>
      </c>
      <c r="H47" s="126"/>
      <c r="I47" s="126"/>
      <c r="J47" s="126"/>
      <c r="K47" s="126"/>
      <c r="L47" s="126"/>
      <c r="M47" s="126"/>
      <c r="N47" s="126"/>
      <c r="O47" s="126"/>
      <c r="P47" s="126"/>
      <c r="Q47" s="126"/>
      <c r="R47" s="126"/>
      <c r="S47" s="126"/>
      <c r="T47" s="126"/>
      <c r="U47" s="126"/>
    </row>
    <row r="48" spans="1:21" ht="21">
      <c r="A48" s="126"/>
      <c r="B48" s="247" t="s">
        <v>1722</v>
      </c>
      <c r="C48" s="214">
        <v>0.1</v>
      </c>
      <c r="D48" s="128"/>
      <c r="E48" s="128"/>
      <c r="F48" s="128"/>
      <c r="G48" s="168">
        <f ca="1">G47*(C48)</f>
        <v>271929.72879999998</v>
      </c>
      <c r="H48" s="126"/>
      <c r="I48" s="246" t="s">
        <v>1723</v>
      </c>
      <c r="J48" s="126"/>
      <c r="K48" s="126"/>
      <c r="L48" s="126"/>
      <c r="M48" s="126"/>
      <c r="N48" s="126"/>
      <c r="O48" s="126"/>
      <c r="P48" s="126"/>
      <c r="Q48" s="126"/>
      <c r="R48" s="126"/>
      <c r="S48" s="126"/>
      <c r="T48" s="126"/>
      <c r="U48" s="126"/>
    </row>
    <row r="49" spans="1:21">
      <c r="A49" s="126"/>
      <c r="B49" s="254" t="s">
        <v>1724</v>
      </c>
      <c r="C49" s="128"/>
      <c r="D49" s="128"/>
      <c r="E49" s="128"/>
      <c r="F49" s="128"/>
      <c r="G49" s="169">
        <f ca="1">SUM(G47:G48)</f>
        <v>2991227.0167999999</v>
      </c>
      <c r="H49" s="126"/>
      <c r="I49" s="126"/>
      <c r="J49" s="126"/>
      <c r="K49" s="126"/>
      <c r="L49" s="126"/>
      <c r="M49" s="126"/>
      <c r="N49" s="126"/>
      <c r="O49" s="126"/>
      <c r="P49" s="126"/>
      <c r="Q49" s="126"/>
      <c r="R49" s="126"/>
      <c r="S49" s="126"/>
      <c r="T49" s="126"/>
      <c r="U49" s="126"/>
    </row>
    <row r="50" spans="1:21">
      <c r="A50" s="126"/>
      <c r="B50" s="245" t="s">
        <v>1725</v>
      </c>
      <c r="C50" s="214">
        <v>0.15</v>
      </c>
      <c r="D50" s="128"/>
      <c r="E50" s="128"/>
      <c r="F50" s="128"/>
      <c r="G50" s="168">
        <f ca="1">G49*C50</f>
        <v>448684.05251999997</v>
      </c>
      <c r="H50" s="126"/>
      <c r="I50" s="246" t="s">
        <v>1726</v>
      </c>
      <c r="J50" s="126"/>
      <c r="K50" s="126"/>
      <c r="L50" s="126"/>
      <c r="M50" s="126"/>
      <c r="N50" s="126"/>
      <c r="O50" s="126"/>
      <c r="P50" s="126"/>
      <c r="Q50" s="126"/>
      <c r="R50" s="126"/>
      <c r="S50" s="126"/>
      <c r="T50" s="126"/>
      <c r="U50" s="126"/>
    </row>
    <row r="51" spans="1:21" ht="15.75">
      <c r="A51" s="126"/>
      <c r="B51" s="255" t="s">
        <v>191</v>
      </c>
      <c r="C51" s="128"/>
      <c r="D51" s="128"/>
      <c r="E51" s="128"/>
      <c r="F51" s="128"/>
      <c r="G51" s="172">
        <f ca="1">SUM(G49:G50)</f>
        <v>3439911.0693199998</v>
      </c>
      <c r="H51" s="126"/>
      <c r="I51" s="126"/>
      <c r="J51" s="126"/>
      <c r="K51" s="126"/>
      <c r="L51" s="126"/>
      <c r="M51" s="126"/>
      <c r="N51" s="126"/>
      <c r="O51" s="126"/>
      <c r="P51" s="126"/>
      <c r="Q51" s="126"/>
      <c r="R51" s="126"/>
      <c r="S51" s="126"/>
      <c r="T51" s="126"/>
      <c r="U51" s="126"/>
    </row>
    <row r="52" spans="1:21">
      <c r="A52" s="126"/>
      <c r="B52" s="256" t="s">
        <v>1727</v>
      </c>
      <c r="C52" s="135"/>
      <c r="D52" s="128"/>
      <c r="E52" s="128"/>
      <c r="F52" s="128"/>
      <c r="G52" s="173">
        <f ca="1">IFERROR(caRCN/C24,"")</f>
        <v>238.8827131472222</v>
      </c>
      <c r="H52" s="126"/>
      <c r="I52" s="126"/>
      <c r="J52" s="126"/>
      <c r="K52" s="126"/>
      <c r="L52" s="126"/>
      <c r="M52" s="126"/>
      <c r="N52" s="126"/>
      <c r="O52" s="126"/>
      <c r="P52" s="126"/>
      <c r="Q52" s="126"/>
      <c r="R52" s="126"/>
      <c r="S52" s="126"/>
      <c r="T52" s="126"/>
      <c r="U52" s="126"/>
    </row>
    <row r="53" spans="1:21">
      <c r="A53" s="126"/>
      <c r="B53" s="130"/>
      <c r="C53" s="128"/>
      <c r="D53" s="128"/>
      <c r="E53" s="128"/>
      <c r="F53" s="128"/>
      <c r="G53" s="128"/>
      <c r="H53" s="126"/>
      <c r="I53" s="126"/>
      <c r="J53" s="126"/>
      <c r="K53" s="126"/>
      <c r="L53" s="126"/>
      <c r="M53" s="126"/>
      <c r="N53" s="126"/>
      <c r="O53" s="126"/>
      <c r="P53" s="126"/>
      <c r="Q53" s="126"/>
      <c r="R53" s="126"/>
      <c r="S53" s="126"/>
      <c r="T53" s="126"/>
      <c r="U53" s="126"/>
    </row>
    <row r="54" spans="1:21" ht="15.75">
      <c r="A54" s="126"/>
      <c r="B54" s="277" t="s">
        <v>1728</v>
      </c>
      <c r="C54" s="274"/>
      <c r="D54" s="274"/>
      <c r="E54" s="274"/>
      <c r="F54" s="274"/>
      <c r="G54" s="274"/>
      <c r="H54" s="126"/>
      <c r="I54" s="126"/>
      <c r="J54" s="126"/>
      <c r="K54" s="126"/>
      <c r="L54" s="126"/>
      <c r="M54" s="126"/>
      <c r="N54" s="126"/>
      <c r="O54" s="126"/>
      <c r="P54" s="126"/>
      <c r="Q54" s="126"/>
      <c r="R54" s="126"/>
      <c r="S54" s="126"/>
      <c r="T54" s="126"/>
      <c r="U54" s="126"/>
    </row>
    <row r="55" spans="1:21">
      <c r="A55" s="126"/>
      <c r="B55" s="254" t="s">
        <v>1729</v>
      </c>
      <c r="C55" s="136"/>
      <c r="D55" s="136"/>
      <c r="E55" s="129"/>
      <c r="F55" s="129"/>
      <c r="G55" s="129"/>
      <c r="H55" s="126"/>
      <c r="I55" s="126"/>
      <c r="J55" s="126"/>
      <c r="K55" s="126"/>
      <c r="L55" s="126"/>
      <c r="M55" s="126"/>
      <c r="N55" s="126"/>
      <c r="O55" s="126"/>
      <c r="P55" s="126"/>
      <c r="Q55" s="132"/>
      <c r="R55" s="126"/>
      <c r="S55" s="126"/>
      <c r="T55" s="126"/>
      <c r="U55" s="126"/>
    </row>
    <row r="56" spans="1:21">
      <c r="A56" s="126"/>
      <c r="B56" s="245" t="s">
        <v>1730</v>
      </c>
      <c r="C56" s="136"/>
      <c r="D56" s="127"/>
      <c r="E56" s="129"/>
      <c r="F56" s="215">
        <v>0</v>
      </c>
      <c r="G56" s="128"/>
      <c r="H56" s="126"/>
      <c r="I56" s="246" t="s">
        <v>1731</v>
      </c>
      <c r="J56" s="126"/>
      <c r="K56" s="126"/>
      <c r="L56" s="126"/>
      <c r="M56" s="126"/>
      <c r="N56" s="126"/>
      <c r="O56" s="126"/>
      <c r="P56" s="126"/>
      <c r="Q56" s="129"/>
      <c r="R56" s="129"/>
      <c r="S56" s="129"/>
      <c r="T56" s="126"/>
      <c r="U56" s="126"/>
    </row>
    <row r="57" spans="1:21">
      <c r="A57" s="126"/>
      <c r="B57" s="254" t="s">
        <v>1732</v>
      </c>
      <c r="C57" s="136"/>
      <c r="D57" s="136"/>
      <c r="E57" s="129"/>
      <c r="F57" s="126"/>
      <c r="G57" s="126"/>
      <c r="H57" s="126"/>
      <c r="I57" s="126"/>
      <c r="J57" s="126"/>
      <c r="K57" s="126"/>
      <c r="L57" s="126"/>
      <c r="M57" s="126"/>
      <c r="N57" s="126"/>
      <c r="O57" s="126"/>
      <c r="P57" s="126"/>
      <c r="Q57" s="126"/>
      <c r="R57" s="126"/>
      <c r="S57" s="126"/>
      <c r="T57" s="126"/>
      <c r="U57" s="126"/>
    </row>
    <row r="58" spans="1:21" ht="31.5">
      <c r="A58" s="126"/>
      <c r="B58" s="245" t="s">
        <v>1733</v>
      </c>
      <c r="C58" s="203">
        <f>IFERROR(Subj_Age,0)</f>
        <v>20</v>
      </c>
      <c r="D58" s="126"/>
      <c r="E58" s="126"/>
      <c r="F58" s="126"/>
      <c r="G58" s="126"/>
      <c r="H58" s="126"/>
      <c r="I58" s="246" t="s">
        <v>1734</v>
      </c>
      <c r="J58" s="126"/>
      <c r="K58" s="126"/>
      <c r="L58" s="126"/>
      <c r="M58" s="126"/>
      <c r="N58" s="126"/>
      <c r="O58" s="126"/>
      <c r="P58" s="126"/>
      <c r="Q58" s="126"/>
      <c r="R58" s="126"/>
      <c r="S58" s="126"/>
      <c r="T58" s="126"/>
      <c r="U58" s="126"/>
    </row>
    <row r="59" spans="1:21" ht="21">
      <c r="A59" s="126"/>
      <c r="B59" s="245" t="s">
        <v>1735</v>
      </c>
      <c r="C59" s="211">
        <f>IF($C$82&gt;0,$C$82,IFERROR(INDEX(LIFE_VALUES,MATCH($C$4&amp;"|"&amp;$C$7,LIFE_KEY,0),MATCH("Class "&amp;IF($C$6="CMILL","C",IF(OR($C$6="DPOLE",$C$6="DMASVEN",$C$6="CDS"),"D",IF($C$6="A-B","B",IF($C$6="SSLANT","S",$C$6)))),LIFE_CLASSHDR,0)),0))</f>
        <v>45</v>
      </c>
      <c r="D59" s="126"/>
      <c r="E59" s="126"/>
      <c r="F59" s="126"/>
      <c r="G59" s="126"/>
      <c r="H59" s="126"/>
      <c r="I59" s="246" t="s">
        <v>1736</v>
      </c>
      <c r="J59" s="126"/>
      <c r="K59" s="132"/>
      <c r="L59" s="126"/>
      <c r="M59" s="126"/>
      <c r="N59" s="126"/>
      <c r="O59" s="126"/>
      <c r="P59" s="132"/>
      <c r="Q59" s="126"/>
      <c r="R59" s="126"/>
      <c r="S59" s="126"/>
      <c r="T59" s="126"/>
      <c r="U59" s="126"/>
    </row>
    <row r="60" spans="1:21" ht="31.5">
      <c r="A60" s="126"/>
      <c r="B60" s="245" t="s">
        <v>1737</v>
      </c>
      <c r="C60" s="216">
        <f>IF($C$59=0,0,IFERROR(IF(IFERROR(INDEX(OCC_DEPR,MATCH($C$4,OCC_NAME,0)),"C")="R",INDEX(DEPRR_VALUES,MATCH($C$58,DEPRR_AGE,1),MATCH($C$59,DEPRR_LIFEHDR,0)),INDEX(DEPR_VALUES,MATCH($C$58,DEPR_AGE,1),MATCH($C$59,DEPR_LIFEHDR,0)))/100,"n/a -- age exceeds tabulated range; treat as fully depreciated per Sec.97 salvage guidance"))</f>
        <v>0.23</v>
      </c>
      <c r="D60" s="126"/>
      <c r="E60" s="126"/>
      <c r="F60" s="174">
        <f ca="1">G51*C60</f>
        <v>791179.54594360001</v>
      </c>
      <c r="G60" s="126"/>
      <c r="H60" s="126"/>
      <c r="I60" s="246" t="s">
        <v>1738</v>
      </c>
      <c r="J60" s="126"/>
      <c r="K60" s="126"/>
      <c r="L60" s="129"/>
      <c r="M60" s="129"/>
      <c r="N60" s="129"/>
      <c r="O60" s="129"/>
      <c r="P60" s="129"/>
      <c r="Q60" s="126"/>
      <c r="R60" s="126"/>
      <c r="S60" s="126"/>
      <c r="T60" s="126"/>
      <c r="U60" s="126"/>
    </row>
    <row r="61" spans="1:21" ht="21">
      <c r="A61" s="126"/>
      <c r="B61" s="245" t="s">
        <v>1739</v>
      </c>
      <c r="C61" s="217">
        <v>0</v>
      </c>
      <c r="D61" s="126"/>
      <c r="E61" s="126"/>
      <c r="F61" s="174">
        <f ca="1">C61*caRCN</f>
        <v>0</v>
      </c>
      <c r="G61" s="126"/>
      <c r="H61" s="126"/>
      <c r="I61" s="246" t="s">
        <v>1740</v>
      </c>
      <c r="J61" s="126"/>
      <c r="K61" s="126"/>
      <c r="L61" s="129"/>
      <c r="M61" s="129"/>
      <c r="N61" s="129"/>
      <c r="O61" s="129"/>
      <c r="P61" s="129"/>
      <c r="Q61" s="126"/>
      <c r="R61" s="126"/>
      <c r="S61" s="126"/>
      <c r="T61" s="126"/>
      <c r="U61" s="126"/>
    </row>
    <row r="62" spans="1:21">
      <c r="A62" s="126"/>
      <c r="B62" s="245" t="s">
        <v>1741</v>
      </c>
      <c r="C62" s="217">
        <v>0</v>
      </c>
      <c r="D62" s="126"/>
      <c r="E62" s="126"/>
      <c r="F62" s="174">
        <f ca="1">C62*caRCN</f>
        <v>0</v>
      </c>
      <c r="G62" s="126"/>
      <c r="H62" s="126"/>
      <c r="I62" s="246" t="s">
        <v>1742</v>
      </c>
      <c r="J62" s="126"/>
      <c r="K62" s="126"/>
      <c r="L62" s="129"/>
      <c r="M62" s="129"/>
      <c r="N62" s="129"/>
      <c r="O62" s="129"/>
      <c r="P62" s="129"/>
      <c r="Q62" s="126"/>
      <c r="R62" s="126"/>
      <c r="S62" s="126"/>
      <c r="T62" s="126"/>
      <c r="U62" s="126"/>
    </row>
    <row r="63" spans="1:21">
      <c r="A63" s="126"/>
      <c r="B63" s="254" t="s">
        <v>152</v>
      </c>
      <c r="C63" s="175">
        <f ca="1">IFERROR(G63/caRCN,"")</f>
        <v>0.23</v>
      </c>
      <c r="D63" s="126"/>
      <c r="E63" s="126"/>
      <c r="F63" s="126"/>
      <c r="G63" s="176">
        <f ca="1">SUM(F56:F62)</f>
        <v>791179.54594360001</v>
      </c>
      <c r="H63" s="126"/>
      <c r="I63" s="126"/>
      <c r="J63" s="126"/>
      <c r="K63" s="128"/>
      <c r="L63" s="129"/>
      <c r="M63" s="129"/>
      <c r="N63" s="129"/>
      <c r="O63" s="129"/>
      <c r="P63" s="129"/>
      <c r="Q63" s="126"/>
      <c r="R63" s="126"/>
      <c r="S63" s="126"/>
      <c r="T63" s="126"/>
      <c r="U63" s="126"/>
    </row>
    <row r="64" spans="1:21" ht="39">
      <c r="A64" s="126"/>
      <c r="B64" s="257" t="s">
        <v>1743</v>
      </c>
      <c r="C64" s="126"/>
      <c r="D64" s="126"/>
      <c r="E64" s="126"/>
      <c r="F64" s="126"/>
      <c r="G64" s="177">
        <f ca="1">caRCN-G63</f>
        <v>2648731.5233763997</v>
      </c>
      <c r="H64" s="126"/>
      <c r="I64" s="126"/>
      <c r="J64" s="126"/>
      <c r="K64" s="128"/>
      <c r="L64" s="129"/>
      <c r="M64" s="129"/>
      <c r="N64" s="129"/>
      <c r="O64" s="129"/>
      <c r="P64" s="129"/>
      <c r="Q64" s="126"/>
      <c r="R64" s="126"/>
      <c r="S64" s="126"/>
      <c r="T64" s="126"/>
      <c r="U64" s="126"/>
    </row>
    <row r="65" spans="1:21">
      <c r="A65" s="126"/>
      <c r="B65" s="245" t="s">
        <v>1727</v>
      </c>
      <c r="C65" s="126"/>
      <c r="D65" s="126"/>
      <c r="E65" s="126"/>
      <c r="F65" s="126"/>
      <c r="G65" s="173">
        <f ca="1">IFERROR(caRCNDeprec/C24,"")</f>
        <v>183.93968912336109</v>
      </c>
      <c r="H65" s="126"/>
      <c r="I65" s="126"/>
      <c r="J65" s="126"/>
      <c r="K65" s="126"/>
      <c r="L65" s="126"/>
      <c r="M65" s="126"/>
      <c r="N65" s="126"/>
      <c r="O65" s="126"/>
      <c r="P65" s="126"/>
      <c r="Q65" s="126"/>
      <c r="R65" s="126"/>
      <c r="S65" s="126"/>
      <c r="T65" s="126"/>
      <c r="U65" s="126"/>
    </row>
    <row r="66" spans="1:21">
      <c r="A66" s="126"/>
      <c r="B66" s="132"/>
      <c r="C66" s="126"/>
      <c r="D66" s="126"/>
      <c r="E66" s="126"/>
      <c r="F66" s="126"/>
      <c r="G66" s="126"/>
      <c r="H66" s="126"/>
      <c r="I66" s="126"/>
      <c r="J66" s="126"/>
      <c r="K66" s="126"/>
      <c r="L66" s="126"/>
      <c r="M66" s="126"/>
      <c r="N66" s="126"/>
      <c r="O66" s="126"/>
      <c r="P66" s="126"/>
      <c r="Q66" s="126"/>
      <c r="R66" s="126"/>
      <c r="S66" s="126"/>
      <c r="T66" s="126"/>
      <c r="U66" s="126"/>
    </row>
    <row r="67" spans="1:21" ht="31.5">
      <c r="A67" s="126"/>
      <c r="B67" s="245" t="s">
        <v>1744</v>
      </c>
      <c r="C67" s="129"/>
      <c r="D67" s="129"/>
      <c r="E67" s="129"/>
      <c r="F67" s="129"/>
      <c r="G67" s="218">
        <v>3620498</v>
      </c>
      <c r="H67" s="126"/>
      <c r="I67" s="246" t="s">
        <v>1745</v>
      </c>
      <c r="J67" s="126"/>
      <c r="K67" s="126"/>
      <c r="L67" s="126"/>
      <c r="M67" s="126"/>
      <c r="N67" s="126"/>
      <c r="O67" s="126"/>
      <c r="P67" s="126"/>
      <c r="Q67" s="126"/>
      <c r="R67" s="126"/>
      <c r="S67" s="126"/>
      <c r="T67" s="126"/>
      <c r="U67" s="126"/>
    </row>
    <row r="68" spans="1:21">
      <c r="A68" s="126"/>
      <c r="B68" s="130"/>
      <c r="C68" s="128"/>
      <c r="D68" s="128"/>
      <c r="E68" s="128"/>
      <c r="F68" s="128"/>
      <c r="G68" s="128"/>
      <c r="H68" s="126"/>
      <c r="I68" s="126"/>
      <c r="J68" s="126"/>
      <c r="K68" s="126"/>
      <c r="L68" s="126"/>
      <c r="M68" s="126"/>
      <c r="N68" s="126"/>
      <c r="O68" s="126"/>
      <c r="P68" s="126"/>
      <c r="Q68" s="126"/>
      <c r="R68" s="126"/>
      <c r="S68" s="126"/>
      <c r="T68" s="126"/>
      <c r="U68" s="126"/>
    </row>
    <row r="69" spans="1:21" ht="39">
      <c r="A69" s="126"/>
      <c r="B69" s="258" t="s">
        <v>1746</v>
      </c>
      <c r="C69" s="137"/>
      <c r="D69" s="128"/>
      <c r="E69" s="128"/>
      <c r="F69" s="128"/>
      <c r="G69" s="178">
        <f ca="1">IF(Subj_NumBldgs&gt;1,'Cost Approach MB'!C29,G64+G67)</f>
        <v>6269229.5233763997</v>
      </c>
      <c r="H69" s="126"/>
      <c r="I69" s="126"/>
      <c r="J69" s="126"/>
      <c r="K69" s="126"/>
      <c r="L69" s="126"/>
      <c r="M69" s="126"/>
      <c r="N69" s="126"/>
      <c r="O69" s="126"/>
      <c r="P69" s="126"/>
      <c r="Q69" s="126"/>
      <c r="R69" s="126"/>
      <c r="S69" s="126"/>
      <c r="T69" s="126"/>
      <c r="U69" s="126"/>
    </row>
    <row r="70" spans="1:21" ht="21">
      <c r="A70" s="126"/>
      <c r="B70" s="259">
        <v>10000</v>
      </c>
      <c r="C70" s="126"/>
      <c r="D70" s="128"/>
      <c r="E70" s="128"/>
      <c r="F70" s="128"/>
      <c r="G70" s="178">
        <f ca="1">ROUND((G69/B70),0)*B70</f>
        <v>6270000</v>
      </c>
      <c r="H70" s="126"/>
      <c r="I70" s="246" t="s">
        <v>1747</v>
      </c>
      <c r="J70" s="126"/>
      <c r="K70" s="126"/>
      <c r="L70" s="126"/>
      <c r="M70" s="126"/>
      <c r="N70" s="126"/>
      <c r="O70" s="126"/>
      <c r="P70" s="126"/>
      <c r="Q70" s="126"/>
      <c r="R70" s="126"/>
      <c r="S70" s="126"/>
      <c r="T70" s="126"/>
      <c r="U70" s="126"/>
    </row>
    <row r="71" spans="1:21">
      <c r="A71" s="126"/>
      <c r="B71" s="248" t="s">
        <v>1727</v>
      </c>
      <c r="C71" s="126"/>
      <c r="D71" s="128"/>
      <c r="E71" s="128"/>
      <c r="F71" s="128"/>
      <c r="G71" s="167">
        <f ca="1">IFERROR(G70/IF(Subj_NumBldgs&gt;1,Subj_TotalBldgSF,C24),"")</f>
        <v>435.41666666666669</v>
      </c>
      <c r="H71" s="126"/>
      <c r="I71" s="126"/>
      <c r="J71" s="126"/>
      <c r="K71" s="126"/>
      <c r="L71" s="126"/>
      <c r="M71" s="126"/>
      <c r="N71" s="126"/>
      <c r="O71" s="126"/>
      <c r="P71" s="126"/>
      <c r="Q71" s="126"/>
      <c r="R71" s="126"/>
      <c r="S71" s="126"/>
      <c r="T71" s="126"/>
      <c r="U71" s="126"/>
    </row>
    <row r="72" spans="1:21">
      <c r="A72" s="126"/>
      <c r="B72" s="131"/>
      <c r="C72" s="126"/>
      <c r="D72" s="128"/>
      <c r="E72" s="128"/>
      <c r="F72" s="128"/>
      <c r="G72" s="128"/>
      <c r="H72" s="126"/>
      <c r="I72" s="126"/>
      <c r="J72" s="126"/>
      <c r="K72" s="126"/>
      <c r="L72" s="126"/>
      <c r="M72" s="126"/>
      <c r="N72" s="126"/>
      <c r="O72" s="126"/>
      <c r="P72" s="126"/>
      <c r="Q72" s="126"/>
      <c r="R72" s="126"/>
      <c r="S72" s="126"/>
      <c r="T72" s="126"/>
      <c r="U72" s="126"/>
    </row>
    <row r="73" spans="1:21">
      <c r="A73" s="126"/>
      <c r="B73" s="248" t="s">
        <v>1748</v>
      </c>
      <c r="C73" s="126" t="str">
        <f>IFERROR(INDEX(BC_OCC,MATCH($C$4&amp;"|"&amp;$C$6&amp;"|"&amp;$C$7,BC_KEY,0)),"")&amp;" | "&amp;$C$4</f>
        <v>Storage Warehouses | Storage Warehouses</v>
      </c>
      <c r="D73" s="128" t="str">
        <f>"Class: "&amp;$C$6&amp;" / "&amp;$C$7</f>
        <v>Class: C / Average</v>
      </c>
      <c r="E73" s="128"/>
      <c r="F73" s="128"/>
      <c r="G73" s="128"/>
      <c r="H73" s="126"/>
      <c r="I73" s="126"/>
      <c r="J73" s="126"/>
      <c r="K73" s="126"/>
      <c r="L73" s="126"/>
      <c r="M73" s="126"/>
      <c r="N73" s="126"/>
      <c r="O73" s="126"/>
      <c r="P73" s="126"/>
      <c r="Q73" s="126"/>
      <c r="R73" s="126"/>
      <c r="S73" s="126"/>
      <c r="T73" s="126"/>
      <c r="U73" s="126"/>
    </row>
    <row r="74" spans="1:21">
      <c r="A74" s="126"/>
      <c r="B74" s="248" t="s">
        <v>1749</v>
      </c>
      <c r="C74" s="126" t="str">
        <f>"CCM/De-trend: "&amp;TEXT(D33,"0.000")&amp;" | LAM: "&amp;TEXT(D34,"0.000")</f>
        <v>CCM/De-trend: 1.060 | LAM: 1.000</v>
      </c>
      <c r="D74" s="128" t="str">
        <f>"Sec.99 p.3/p.7 (Jan 2025 insert) + Sec.98 Denver de-trend"</f>
        <v>Sec.99 p.3/p.7 (Jan 2025 insert) + Sec.98 Denver de-trend</v>
      </c>
      <c r="E74" s="128"/>
      <c r="F74" s="128"/>
      <c r="G74" s="128"/>
      <c r="H74" s="126"/>
      <c r="I74" s="126"/>
      <c r="J74" s="126"/>
      <c r="K74" s="126"/>
      <c r="L74" s="126"/>
      <c r="M74" s="126"/>
      <c r="N74" s="126"/>
      <c r="O74" s="126"/>
      <c r="P74" s="126"/>
      <c r="Q74" s="126"/>
      <c r="R74" s="126"/>
      <c r="S74" s="126"/>
      <c r="T74" s="126"/>
      <c r="U74" s="126"/>
    </row>
    <row r="75" spans="1:21">
      <c r="A75" s="126"/>
      <c r="B75" s="131"/>
      <c r="C75" s="126" t="str">
        <f ca="1">"Story Ht Mult: "&amp;TEXT(D36,"0.000")&amp;" | Area Mult: "&amp;TEXT(D35,"0.000")</f>
        <v>Story Ht Mult: 1.086 | Area Mult: 1.000</v>
      </c>
      <c r="D75" s="128"/>
      <c r="E75" s="128"/>
      <c r="F75" s="128"/>
      <c r="G75" s="128"/>
      <c r="H75" s="126"/>
      <c r="I75" s="126"/>
      <c r="J75" s="126"/>
      <c r="K75" s="126"/>
      <c r="L75" s="126"/>
      <c r="M75" s="126"/>
      <c r="N75" s="126"/>
      <c r="O75" s="126"/>
      <c r="P75" s="126"/>
      <c r="Q75" s="126"/>
      <c r="R75" s="126"/>
      <c r="S75" s="126"/>
      <c r="T75" s="126"/>
      <c r="U75" s="126"/>
    </row>
    <row r="76" spans="1:21" hidden="1">
      <c r="A76" s="126"/>
      <c r="B76" s="131"/>
      <c r="C76" s="132"/>
      <c r="D76" s="128"/>
      <c r="E76" s="128"/>
      <c r="F76" s="128"/>
      <c r="G76" s="128"/>
      <c r="H76" s="126"/>
      <c r="I76" s="126"/>
      <c r="J76" s="126"/>
      <c r="K76" s="126"/>
      <c r="L76" s="126"/>
      <c r="M76" s="126"/>
      <c r="N76" s="126"/>
      <c r="O76" s="126"/>
      <c r="P76" s="126"/>
      <c r="Q76" s="126"/>
      <c r="R76" s="126"/>
      <c r="S76" s="126"/>
      <c r="T76" s="126"/>
      <c r="U76" s="126"/>
    </row>
    <row r="77" spans="1:21" hidden="1">
      <c r="A77" s="126"/>
      <c r="B77" s="566" t="str">
        <f>IF(OR($D$24=0,$C$59=0),"⚠ INCOMPLETE -- Base Cost and/or Life Expectancy could not be determined. Fill in the Manual MVS Override section below.",IF(OR($C$81&gt;0,$C$82&gt;0,$C$83&lt;&gt;""),"ℹ Using Manual MVS Override values below -- confirm these before relying on this indicated value.",""))</f>
        <v/>
      </c>
      <c r="C77" s="514"/>
      <c r="D77" s="514"/>
      <c r="E77" s="514"/>
      <c r="F77" s="514"/>
      <c r="G77" s="514"/>
      <c r="H77" s="514"/>
      <c r="I77" s="514"/>
      <c r="J77" s="126"/>
      <c r="K77" s="126"/>
      <c r="L77" s="126"/>
      <c r="M77" s="126"/>
      <c r="N77" s="126"/>
      <c r="O77" s="126"/>
      <c r="P77" s="126"/>
      <c r="Q77" s="126"/>
      <c r="R77" s="126"/>
      <c r="S77" s="126"/>
      <c r="T77" s="126"/>
      <c r="U77" s="126"/>
    </row>
    <row r="78" spans="1:21" ht="15.75" hidden="1">
      <c r="A78" s="126"/>
      <c r="B78" s="295" t="s">
        <v>1750</v>
      </c>
      <c r="C78" s="296"/>
      <c r="D78" s="296"/>
      <c r="E78" s="296"/>
      <c r="F78" s="296"/>
      <c r="G78" s="296"/>
      <c r="H78" s="297"/>
      <c r="I78" s="297"/>
      <c r="J78" s="126"/>
      <c r="K78" s="126"/>
      <c r="L78" s="126"/>
      <c r="M78" s="126"/>
      <c r="N78" s="126"/>
      <c r="O78" s="126"/>
      <c r="P78" s="126"/>
      <c r="Q78" s="126"/>
      <c r="R78" s="126"/>
      <c r="S78" s="126"/>
      <c r="T78" s="126"/>
      <c r="U78" s="126"/>
    </row>
    <row r="79" spans="1:21" ht="54.95" hidden="1" customHeight="1">
      <c r="A79" s="126"/>
      <c r="B79" s="568" t="s">
        <v>1751</v>
      </c>
      <c r="C79" s="514"/>
      <c r="D79" s="514"/>
      <c r="E79" s="514"/>
      <c r="F79" s="514"/>
      <c r="G79" s="514"/>
      <c r="H79" s="514"/>
      <c r="I79" s="514"/>
      <c r="J79" s="126"/>
      <c r="K79" s="126"/>
      <c r="L79" s="126"/>
      <c r="M79" s="126"/>
      <c r="N79" s="126"/>
      <c r="O79" s="126"/>
      <c r="P79" s="126"/>
      <c r="Q79" s="126"/>
      <c r="R79" s="126"/>
      <c r="S79" s="126"/>
      <c r="T79" s="126"/>
      <c r="U79" s="126"/>
    </row>
    <row r="80" spans="1:21" hidden="1">
      <c r="A80" s="126"/>
      <c r="B80" s="131"/>
      <c r="C80" s="128"/>
      <c r="D80" s="128"/>
      <c r="E80" s="128"/>
      <c r="F80" s="128"/>
      <c r="G80" s="128"/>
      <c r="H80" s="126"/>
      <c r="I80" s="126"/>
      <c r="J80" s="126"/>
      <c r="K80" s="126"/>
      <c r="L80" s="126"/>
      <c r="M80" s="126"/>
      <c r="N80" s="126"/>
      <c r="O80" s="126"/>
      <c r="P80" s="126"/>
      <c r="Q80" s="126"/>
      <c r="R80" s="126"/>
      <c r="S80" s="126"/>
      <c r="T80" s="126"/>
      <c r="U80" s="126"/>
    </row>
    <row r="81" spans="1:21" hidden="1">
      <c r="A81" s="126"/>
      <c r="B81" s="131" t="s">
        <v>1752</v>
      </c>
      <c r="C81" s="298">
        <v>0</v>
      </c>
      <c r="D81" s="128"/>
      <c r="E81" s="128"/>
      <c r="F81" s="128"/>
      <c r="G81" s="128"/>
      <c r="H81" s="126"/>
      <c r="I81" s="126"/>
      <c r="J81" s="126"/>
      <c r="K81" s="126"/>
      <c r="L81" s="126"/>
      <c r="M81" s="126"/>
      <c r="N81" s="126"/>
      <c r="O81" s="126"/>
      <c r="P81" s="126"/>
      <c r="Q81" s="126"/>
      <c r="R81" s="126"/>
      <c r="S81" s="126"/>
      <c r="T81" s="126"/>
      <c r="U81" s="126"/>
    </row>
    <row r="82" spans="1:21" hidden="1">
      <c r="A82" s="126"/>
      <c r="B82" s="131" t="s">
        <v>1753</v>
      </c>
      <c r="C82" s="299">
        <v>0</v>
      </c>
      <c r="D82" s="128"/>
      <c r="E82" s="128"/>
      <c r="F82" s="128"/>
      <c r="G82" s="128"/>
      <c r="H82" s="126"/>
      <c r="I82" s="126"/>
      <c r="J82" s="126"/>
      <c r="K82" s="126"/>
      <c r="L82" s="126"/>
      <c r="M82" s="126"/>
      <c r="N82" s="126"/>
      <c r="O82" s="126"/>
      <c r="P82" s="126"/>
      <c r="Q82" s="126"/>
      <c r="R82" s="126"/>
      <c r="S82" s="126"/>
      <c r="T82" s="126"/>
      <c r="U82" s="126"/>
    </row>
    <row r="83" spans="1:21" hidden="1">
      <c r="A83" s="126"/>
      <c r="B83" s="130" t="s">
        <v>1754</v>
      </c>
      <c r="C83" s="300"/>
      <c r="D83" s="301" t="str">
        <f>IF($C$83="","",IF($C$83="11","Apartments/Hotels/Clubs",IF($C$83="12","Residences/Multiples/Motels",IF($C$83="13","Retail/Stores/Shopping Centers",IF($C$83="14","Industrial/Warehouse",IF($C$83="15","Office/Medical/Public",IF($C$83="16","Churches/Theaters/Auditoriums",IF($C$83="17","Sheds/Farm",IF($C$83="18","Schools",)))))))))</f>
        <v/>
      </c>
      <c r="E83" s="128"/>
      <c r="F83" s="128"/>
      <c r="G83" s="128"/>
      <c r="H83" s="126"/>
      <c r="I83" s="126"/>
      <c r="J83" s="126"/>
      <c r="K83" s="126"/>
      <c r="L83" s="126"/>
      <c r="M83" s="126"/>
      <c r="N83" s="126"/>
      <c r="O83" s="126"/>
      <c r="P83" s="126"/>
      <c r="Q83" s="126"/>
      <c r="R83" s="126"/>
      <c r="S83" s="126"/>
      <c r="T83" s="126"/>
      <c r="U83" s="126"/>
    </row>
    <row r="84" spans="1:21" hidden="1">
      <c r="A84" s="126"/>
      <c r="B84" s="130"/>
      <c r="C84" s="128"/>
      <c r="D84" s="128"/>
      <c r="E84" s="128"/>
      <c r="F84" s="128"/>
      <c r="G84" s="128"/>
      <c r="H84" s="126"/>
      <c r="I84" s="126"/>
      <c r="J84" s="126"/>
      <c r="K84" s="126"/>
      <c r="L84" s="126"/>
      <c r="M84" s="126"/>
      <c r="N84" s="126"/>
      <c r="O84" s="126"/>
      <c r="P84" s="126"/>
      <c r="Q84" s="126"/>
      <c r="R84" s="126"/>
      <c r="S84" s="126"/>
      <c r="T84" s="126"/>
      <c r="U84" s="126"/>
    </row>
    <row r="85" spans="1:21" hidden="1">
      <c r="A85" s="126"/>
      <c r="B85" s="131"/>
      <c r="C85" s="126"/>
      <c r="D85" s="128"/>
      <c r="E85" s="128"/>
      <c r="F85" s="128"/>
      <c r="G85" s="128"/>
      <c r="H85" s="126"/>
      <c r="I85" s="126"/>
      <c r="J85" s="126"/>
      <c r="K85" s="126"/>
      <c r="L85" s="126"/>
      <c r="M85" s="126"/>
      <c r="N85" s="126"/>
      <c r="O85" s="126"/>
      <c r="P85" s="126"/>
      <c r="Q85" s="126"/>
      <c r="R85" s="126"/>
      <c r="S85" s="126"/>
      <c r="T85" s="126"/>
      <c r="U85" s="126"/>
    </row>
    <row r="86" spans="1:21" hidden="1">
      <c r="A86" s="126"/>
      <c r="B86" s="131"/>
      <c r="C86" s="126"/>
      <c r="D86" s="128"/>
      <c r="E86" s="128"/>
      <c r="F86" s="128"/>
      <c r="G86" s="128"/>
      <c r="H86" s="126"/>
      <c r="I86" s="126"/>
      <c r="J86" s="126"/>
      <c r="K86" s="126"/>
      <c r="L86" s="126"/>
      <c r="M86" s="126"/>
      <c r="N86" s="126"/>
      <c r="O86" s="126"/>
      <c r="P86" s="126"/>
      <c r="Q86" s="126"/>
      <c r="R86" s="126"/>
      <c r="S86" s="126"/>
      <c r="T86" s="126"/>
      <c r="U86" s="126"/>
    </row>
    <row r="87" spans="1:21" hidden="1">
      <c r="A87" s="126"/>
      <c r="B87" s="131"/>
      <c r="C87" s="126"/>
      <c r="D87" s="128"/>
      <c r="E87" s="128"/>
      <c r="F87" s="128"/>
      <c r="G87" s="128"/>
      <c r="H87" s="126"/>
      <c r="I87" s="126"/>
      <c r="J87" s="126"/>
      <c r="K87" s="126"/>
      <c r="L87" s="126"/>
      <c r="M87" s="126"/>
      <c r="N87" s="126"/>
      <c r="O87" s="126"/>
      <c r="P87" s="126"/>
      <c r="Q87" s="126"/>
      <c r="R87" s="126"/>
      <c r="S87" s="126"/>
      <c r="T87" s="126"/>
      <c r="U87" s="126"/>
    </row>
    <row r="88" spans="1:21" hidden="1">
      <c r="A88" s="126"/>
      <c r="B88" s="131"/>
      <c r="C88" s="128"/>
      <c r="D88" s="128"/>
      <c r="E88" s="128"/>
      <c r="F88" s="128"/>
      <c r="G88" s="128"/>
      <c r="H88" s="126"/>
      <c r="I88" s="126"/>
      <c r="J88" s="126"/>
      <c r="K88" s="126"/>
      <c r="L88" s="126"/>
      <c r="M88" s="126"/>
      <c r="N88" s="126"/>
      <c r="O88" s="126"/>
      <c r="P88" s="126"/>
      <c r="Q88" s="126"/>
      <c r="R88" s="126"/>
      <c r="S88" s="126"/>
      <c r="T88" s="126"/>
      <c r="U88" s="126"/>
    </row>
    <row r="89" spans="1:21" hidden="1">
      <c r="A89" s="126"/>
      <c r="B89" s="131"/>
      <c r="C89" s="128"/>
      <c r="D89" s="128"/>
      <c r="E89" s="126"/>
      <c r="F89" s="128"/>
      <c r="G89" s="128"/>
      <c r="H89" s="126"/>
      <c r="I89" s="126"/>
      <c r="J89" s="126"/>
      <c r="K89" s="126"/>
      <c r="L89" s="126"/>
      <c r="M89" s="126"/>
      <c r="N89" s="126"/>
      <c r="O89" s="126"/>
      <c r="P89" s="126"/>
      <c r="Q89" s="126"/>
      <c r="R89" s="126"/>
      <c r="S89" s="126"/>
      <c r="T89" s="126"/>
      <c r="U89" s="126"/>
    </row>
    <row r="90" spans="1:21" hidden="1">
      <c r="A90" s="126"/>
      <c r="B90" s="130"/>
      <c r="C90" s="128"/>
      <c r="D90" s="126"/>
      <c r="E90" s="126"/>
      <c r="F90" s="128"/>
      <c r="G90" s="128"/>
      <c r="H90" s="126"/>
      <c r="I90" s="126"/>
      <c r="J90" s="126"/>
      <c r="K90" s="126"/>
      <c r="L90" s="126"/>
      <c r="M90" s="126"/>
      <c r="N90" s="126"/>
      <c r="O90" s="126"/>
      <c r="P90" s="126"/>
      <c r="Q90" s="126"/>
      <c r="R90" s="126"/>
      <c r="S90" s="126"/>
      <c r="T90" s="126"/>
      <c r="U90" s="126"/>
    </row>
    <row r="91" spans="1:21" hidden="1">
      <c r="A91" s="126"/>
      <c r="B91" s="130"/>
      <c r="C91" s="128"/>
      <c r="D91" s="126"/>
      <c r="E91" s="126"/>
      <c r="F91" s="128"/>
      <c r="G91" s="128"/>
      <c r="H91" s="126"/>
      <c r="I91" s="126"/>
      <c r="J91" s="126"/>
      <c r="K91" s="126"/>
      <c r="L91" s="126"/>
      <c r="M91" s="126"/>
      <c r="N91" s="126"/>
      <c r="O91" s="126"/>
      <c r="P91" s="126"/>
      <c r="Q91" s="126"/>
      <c r="R91" s="126"/>
      <c r="S91" s="126"/>
      <c r="T91" s="126"/>
      <c r="U91" s="126"/>
    </row>
    <row r="92" spans="1:21" hidden="1">
      <c r="A92" s="126"/>
      <c r="B92" s="131"/>
      <c r="C92" s="128"/>
      <c r="D92" s="132"/>
      <c r="E92" s="132"/>
      <c r="F92" s="128"/>
      <c r="G92" s="128"/>
      <c r="H92" s="126"/>
      <c r="I92" s="126"/>
      <c r="J92" s="126"/>
      <c r="K92" s="126"/>
      <c r="L92" s="126"/>
      <c r="M92" s="126"/>
      <c r="N92" s="126"/>
      <c r="O92" s="126"/>
      <c r="P92" s="126"/>
      <c r="Q92" s="126"/>
      <c r="R92" s="126"/>
      <c r="S92" s="126"/>
      <c r="T92" s="126"/>
      <c r="U92" s="126"/>
    </row>
    <row r="93" spans="1:21" hidden="1">
      <c r="A93" s="126"/>
      <c r="B93" s="130"/>
      <c r="C93" s="128"/>
      <c r="D93" s="128"/>
      <c r="E93" s="128"/>
      <c r="F93" s="128"/>
      <c r="G93" s="128"/>
      <c r="H93" s="126"/>
      <c r="I93" s="126"/>
      <c r="J93" s="126"/>
      <c r="K93" s="126"/>
      <c r="L93" s="126"/>
      <c r="M93" s="126"/>
      <c r="N93" s="126"/>
      <c r="O93" s="126"/>
      <c r="P93" s="126"/>
      <c r="Q93" s="126"/>
      <c r="R93" s="126"/>
      <c r="S93" s="126"/>
      <c r="T93" s="126"/>
      <c r="U93" s="126"/>
    </row>
    <row r="94" spans="1:21" hidden="1">
      <c r="A94" s="126"/>
      <c r="B94" s="131"/>
      <c r="C94" s="128"/>
      <c r="D94" s="132"/>
      <c r="E94" s="132"/>
      <c r="F94" s="126"/>
      <c r="G94" s="128"/>
      <c r="H94" s="126"/>
      <c r="I94" s="126"/>
      <c r="J94" s="126"/>
      <c r="K94" s="126"/>
      <c r="L94" s="126"/>
      <c r="M94" s="126"/>
      <c r="N94" s="126"/>
      <c r="O94" s="126"/>
      <c r="P94" s="126"/>
      <c r="Q94" s="126"/>
      <c r="R94" s="126"/>
      <c r="S94" s="126"/>
      <c r="T94" s="126"/>
      <c r="U94" s="126"/>
    </row>
    <row r="95" spans="1:21" hidden="1">
      <c r="A95" s="126"/>
      <c r="B95" s="130"/>
      <c r="C95" s="128"/>
      <c r="D95" s="128"/>
      <c r="E95" s="128"/>
      <c r="F95" s="128"/>
      <c r="G95" s="128"/>
      <c r="H95" s="126"/>
      <c r="I95" s="126"/>
      <c r="J95" s="126"/>
      <c r="K95" s="126"/>
      <c r="L95" s="126"/>
      <c r="M95" s="126"/>
      <c r="N95" s="126"/>
      <c r="O95" s="126"/>
      <c r="P95" s="126"/>
      <c r="Q95" s="126"/>
      <c r="R95" s="126"/>
      <c r="S95" s="126"/>
      <c r="T95" s="126"/>
      <c r="U95" s="126"/>
    </row>
    <row r="96" spans="1:21" hidden="1">
      <c r="A96" s="126"/>
      <c r="B96" s="131"/>
      <c r="C96" s="128"/>
      <c r="D96" s="128"/>
      <c r="E96" s="128"/>
      <c r="F96" s="128"/>
      <c r="G96" s="128"/>
      <c r="H96" s="126"/>
      <c r="I96" s="126"/>
      <c r="J96" s="126"/>
      <c r="K96" s="126"/>
      <c r="L96" s="126"/>
      <c r="M96" s="126"/>
      <c r="N96" s="126"/>
      <c r="O96" s="126"/>
      <c r="P96" s="126"/>
      <c r="Q96" s="126"/>
      <c r="R96" s="126"/>
      <c r="S96" s="126"/>
      <c r="T96" s="126"/>
      <c r="U96" s="126"/>
    </row>
    <row r="97" spans="1:21" hidden="1">
      <c r="A97" s="126"/>
      <c r="B97" s="128"/>
      <c r="C97" s="128"/>
      <c r="D97" s="128"/>
      <c r="E97" s="128"/>
      <c r="F97" s="128"/>
      <c r="G97" s="128"/>
      <c r="H97" s="126"/>
      <c r="I97" s="126"/>
      <c r="J97" s="126"/>
      <c r="K97" s="126"/>
      <c r="L97" s="126"/>
      <c r="M97" s="126"/>
      <c r="N97" s="126"/>
      <c r="O97" s="126"/>
      <c r="P97" s="126"/>
      <c r="Q97" s="126"/>
      <c r="R97" s="126"/>
      <c r="S97" s="126"/>
      <c r="T97" s="126"/>
      <c r="U97" s="126"/>
    </row>
    <row r="98" spans="1:21" hidden="1">
      <c r="A98" s="126"/>
      <c r="B98" s="128"/>
      <c r="C98" s="128"/>
      <c r="D98" s="128"/>
      <c r="E98" s="128"/>
      <c r="F98" s="128"/>
      <c r="G98" s="128"/>
      <c r="H98" s="126"/>
      <c r="I98" s="126"/>
      <c r="J98" s="126"/>
      <c r="K98" s="126"/>
      <c r="L98" s="126"/>
      <c r="M98" s="126"/>
      <c r="N98" s="126"/>
      <c r="O98" s="126"/>
      <c r="P98" s="126"/>
      <c r="Q98" s="126"/>
      <c r="R98" s="126"/>
      <c r="S98" s="126"/>
      <c r="T98" s="126"/>
      <c r="U98" s="126"/>
    </row>
    <row r="99" spans="1:21" hidden="1">
      <c r="A99" s="126"/>
      <c r="B99" s="130"/>
      <c r="C99" s="128"/>
      <c r="D99" s="128"/>
      <c r="E99" s="128"/>
      <c r="F99" s="128"/>
      <c r="G99" s="128"/>
      <c r="H99" s="126"/>
      <c r="I99" s="126"/>
      <c r="J99" s="126"/>
      <c r="K99" s="126"/>
      <c r="L99" s="126"/>
      <c r="M99" s="126"/>
      <c r="N99" s="126"/>
      <c r="O99" s="126"/>
      <c r="P99" s="126"/>
      <c r="Q99" s="126"/>
      <c r="R99" s="126"/>
      <c r="S99" s="126"/>
      <c r="T99" s="126"/>
      <c r="U99" s="126"/>
    </row>
    <row r="100" spans="1:21" hidden="1">
      <c r="A100" s="126"/>
      <c r="B100" s="131"/>
      <c r="C100" s="128"/>
      <c r="D100" s="128"/>
      <c r="E100" s="128"/>
      <c r="F100" s="128"/>
      <c r="G100" s="128"/>
      <c r="H100" s="126"/>
      <c r="I100" s="126"/>
      <c r="J100" s="126"/>
      <c r="K100" s="126"/>
      <c r="L100" s="126"/>
      <c r="M100" s="126"/>
      <c r="N100" s="126"/>
      <c r="O100" s="126"/>
      <c r="P100" s="126"/>
      <c r="Q100" s="126"/>
      <c r="R100" s="126"/>
      <c r="S100" s="126"/>
      <c r="T100" s="126"/>
      <c r="U100" s="126"/>
    </row>
    <row r="101" spans="1:21" hidden="1">
      <c r="A101" s="126"/>
      <c r="B101" s="131"/>
      <c r="C101" s="128"/>
      <c r="D101" s="128"/>
      <c r="E101" s="128"/>
      <c r="F101" s="128"/>
      <c r="G101" s="128"/>
      <c r="H101" s="126"/>
      <c r="I101" s="126"/>
      <c r="J101" s="126"/>
      <c r="K101" s="126"/>
      <c r="L101" s="126"/>
      <c r="M101" s="126"/>
      <c r="N101" s="126"/>
      <c r="O101" s="126"/>
      <c r="P101" s="126"/>
      <c r="Q101" s="126"/>
      <c r="R101" s="126"/>
      <c r="S101" s="126"/>
      <c r="T101" s="126"/>
      <c r="U101" s="126"/>
    </row>
    <row r="102" spans="1:21" hidden="1">
      <c r="A102" s="126"/>
      <c r="B102" s="133"/>
      <c r="C102" s="128"/>
      <c r="D102" s="128"/>
      <c r="E102" s="128"/>
      <c r="F102" s="128"/>
      <c r="G102" s="128"/>
      <c r="H102" s="126"/>
      <c r="I102" s="126"/>
      <c r="J102" s="126"/>
      <c r="K102" s="126"/>
      <c r="L102" s="126"/>
      <c r="M102" s="126"/>
      <c r="N102" s="126"/>
      <c r="O102" s="126"/>
      <c r="P102" s="126"/>
      <c r="Q102" s="126"/>
      <c r="R102" s="126"/>
      <c r="S102" s="126"/>
      <c r="T102" s="126"/>
      <c r="U102" s="126"/>
    </row>
    <row r="103" spans="1:21" hidden="1">
      <c r="A103" s="126"/>
      <c r="B103" s="133"/>
      <c r="C103" s="128"/>
      <c r="D103" s="128"/>
      <c r="E103" s="128"/>
      <c r="F103" s="128"/>
      <c r="G103" s="128"/>
      <c r="H103" s="126"/>
      <c r="I103" s="126"/>
      <c r="J103" s="126"/>
      <c r="K103" s="126"/>
      <c r="L103" s="126"/>
      <c r="M103" s="126"/>
      <c r="N103" s="126"/>
      <c r="O103" s="126"/>
      <c r="P103" s="126"/>
      <c r="Q103" s="126"/>
      <c r="R103" s="126"/>
      <c r="S103" s="126"/>
      <c r="T103" s="126"/>
      <c r="U103" s="126"/>
    </row>
    <row r="104" spans="1:21" hidden="1">
      <c r="A104" s="126"/>
      <c r="B104" s="133"/>
      <c r="C104" s="128"/>
      <c r="D104" s="128"/>
      <c r="E104" s="128"/>
      <c r="F104" s="128"/>
      <c r="G104" s="128"/>
      <c r="H104" s="126"/>
      <c r="I104" s="126"/>
      <c r="J104" s="126"/>
      <c r="K104" s="126"/>
      <c r="L104" s="126"/>
      <c r="M104" s="126"/>
      <c r="N104" s="126"/>
      <c r="O104" s="126"/>
      <c r="P104" s="126"/>
      <c r="Q104" s="126"/>
      <c r="R104" s="126"/>
      <c r="S104" s="126"/>
      <c r="T104" s="126"/>
      <c r="U104" s="126"/>
    </row>
    <row r="105" spans="1:21" hidden="1">
      <c r="A105" s="126"/>
      <c r="B105" s="130"/>
      <c r="C105" s="128"/>
      <c r="D105" s="128"/>
      <c r="E105" s="128"/>
      <c r="F105" s="128"/>
      <c r="G105" s="128"/>
      <c r="H105" s="126"/>
      <c r="I105" s="126"/>
      <c r="J105" s="126"/>
      <c r="K105" s="126"/>
      <c r="L105" s="126"/>
      <c r="M105" s="126"/>
      <c r="N105" s="126"/>
      <c r="O105" s="126"/>
      <c r="P105" s="126"/>
      <c r="Q105" s="126"/>
      <c r="R105" s="126"/>
      <c r="S105" s="126"/>
      <c r="T105" s="126"/>
      <c r="U105" s="126"/>
    </row>
    <row r="106" spans="1:21" hidden="1">
      <c r="A106" s="126"/>
      <c r="B106" s="130"/>
      <c r="C106" s="128"/>
      <c r="D106" s="128"/>
      <c r="E106" s="128"/>
      <c r="F106" s="128"/>
      <c r="G106" s="128"/>
      <c r="H106" s="126"/>
      <c r="I106" s="126"/>
      <c r="J106" s="126"/>
      <c r="K106" s="126"/>
      <c r="L106" s="126"/>
      <c r="M106" s="126"/>
      <c r="N106" s="126"/>
      <c r="O106" s="126"/>
      <c r="P106" s="126"/>
      <c r="Q106" s="126"/>
      <c r="R106" s="126"/>
      <c r="S106" s="126"/>
      <c r="T106" s="126"/>
      <c r="U106" s="126"/>
    </row>
    <row r="107" spans="1:21" hidden="1">
      <c r="A107" s="126"/>
      <c r="B107" s="130"/>
      <c r="C107" s="128"/>
      <c r="D107" s="128"/>
      <c r="E107" s="128"/>
      <c r="F107" s="128"/>
      <c r="G107" s="128"/>
      <c r="H107" s="126"/>
      <c r="I107" s="126"/>
      <c r="J107" s="126"/>
      <c r="K107" s="126"/>
      <c r="L107" s="126"/>
      <c r="M107" s="126"/>
      <c r="N107" s="126"/>
      <c r="O107" s="126"/>
      <c r="P107" s="126"/>
      <c r="Q107" s="126"/>
      <c r="R107" s="126"/>
      <c r="S107" s="126"/>
      <c r="T107" s="126"/>
      <c r="U107" s="126"/>
    </row>
    <row r="108" spans="1:21" hidden="1">
      <c r="A108" s="126"/>
      <c r="B108" s="128"/>
      <c r="C108" s="128"/>
      <c r="D108" s="128"/>
      <c r="E108" s="128"/>
      <c r="F108" s="128"/>
      <c r="G108" s="128"/>
      <c r="H108" s="126"/>
      <c r="I108" s="126"/>
      <c r="J108" s="126"/>
      <c r="K108" s="126"/>
      <c r="L108" s="126"/>
      <c r="M108" s="126"/>
      <c r="N108" s="126"/>
      <c r="O108" s="126"/>
      <c r="P108" s="126"/>
      <c r="Q108" s="126"/>
      <c r="R108" s="126"/>
      <c r="S108" s="126"/>
      <c r="T108" s="126"/>
      <c r="U108" s="126"/>
    </row>
    <row r="109" spans="1:21" hidden="1">
      <c r="A109" s="126"/>
      <c r="B109" s="131"/>
      <c r="C109" s="128"/>
      <c r="D109" s="128"/>
      <c r="E109" s="128"/>
      <c r="F109" s="128"/>
      <c r="G109" s="128"/>
      <c r="H109" s="126"/>
      <c r="I109" s="126"/>
      <c r="J109" s="126"/>
      <c r="K109" s="126"/>
      <c r="L109" s="126"/>
      <c r="M109" s="126"/>
      <c r="N109" s="126"/>
      <c r="O109" s="126"/>
      <c r="P109" s="126"/>
      <c r="Q109" s="126"/>
      <c r="R109" s="126"/>
      <c r="S109" s="126"/>
      <c r="T109" s="126"/>
      <c r="U109" s="126"/>
    </row>
    <row r="110" spans="1:21" hidden="1">
      <c r="A110" s="126"/>
      <c r="B110" s="130"/>
      <c r="C110" s="128"/>
      <c r="D110" s="128"/>
      <c r="E110" s="128"/>
      <c r="F110" s="128"/>
      <c r="G110" s="128"/>
      <c r="H110" s="126"/>
      <c r="I110" s="126"/>
      <c r="J110" s="126"/>
      <c r="K110" s="126"/>
      <c r="L110" s="126"/>
      <c r="M110" s="126"/>
      <c r="N110" s="126"/>
      <c r="O110" s="126"/>
      <c r="P110" s="126"/>
      <c r="Q110" s="128"/>
      <c r="R110" s="128"/>
      <c r="S110" s="126"/>
      <c r="T110" s="126"/>
      <c r="U110" s="126"/>
    </row>
    <row r="111" spans="1:21" hidden="1">
      <c r="A111" s="126"/>
      <c r="B111" s="128"/>
      <c r="C111" s="128"/>
      <c r="D111" s="128"/>
      <c r="E111" s="128"/>
      <c r="F111" s="128"/>
      <c r="G111" s="128"/>
      <c r="H111" s="126"/>
      <c r="I111" s="126"/>
      <c r="J111" s="126"/>
      <c r="K111" s="126"/>
      <c r="L111" s="126"/>
      <c r="M111" s="126"/>
      <c r="N111" s="126"/>
      <c r="O111" s="126"/>
      <c r="P111" s="126"/>
      <c r="Q111" s="128"/>
      <c r="R111" s="128"/>
      <c r="S111" s="126"/>
      <c r="T111" s="126"/>
      <c r="U111" s="126"/>
    </row>
    <row r="112" spans="1:21" hidden="1">
      <c r="A112" s="126"/>
      <c r="B112" s="128"/>
      <c r="C112" s="128"/>
      <c r="D112" s="128"/>
      <c r="E112" s="128"/>
      <c r="F112" s="128"/>
      <c r="G112" s="128"/>
      <c r="H112" s="126"/>
      <c r="I112" s="126"/>
      <c r="J112" s="126"/>
      <c r="K112" s="126"/>
      <c r="L112" s="126"/>
      <c r="M112" s="126"/>
      <c r="N112" s="126"/>
      <c r="O112" s="126"/>
      <c r="P112" s="126"/>
      <c r="Q112" s="126"/>
      <c r="R112" s="126"/>
      <c r="S112" s="126"/>
      <c r="T112" s="126"/>
      <c r="U112" s="126"/>
    </row>
    <row r="113" spans="1:21" hidden="1">
      <c r="A113" s="126"/>
      <c r="B113" s="128"/>
      <c r="C113" s="128"/>
      <c r="D113" s="128"/>
      <c r="E113" s="128"/>
      <c r="F113" s="128"/>
      <c r="G113" s="128"/>
      <c r="H113" s="126"/>
      <c r="I113" s="126"/>
      <c r="J113" s="126"/>
      <c r="K113" s="126"/>
      <c r="L113" s="126"/>
      <c r="M113" s="126"/>
      <c r="N113" s="126"/>
      <c r="O113" s="126"/>
      <c r="P113" s="126"/>
      <c r="Q113" s="126"/>
      <c r="R113" s="126"/>
      <c r="S113" s="126"/>
      <c r="T113" s="126"/>
      <c r="U113" s="126"/>
    </row>
    <row r="114" spans="1:21" hidden="1">
      <c r="A114" s="126"/>
      <c r="B114" s="134"/>
      <c r="C114" s="135"/>
      <c r="D114" s="128"/>
      <c r="E114" s="128"/>
      <c r="F114" s="128"/>
      <c r="G114" s="126"/>
      <c r="H114" s="126"/>
      <c r="I114" s="126"/>
      <c r="J114" s="126"/>
      <c r="K114" s="126"/>
      <c r="L114" s="126"/>
      <c r="M114" s="126"/>
      <c r="N114" s="126"/>
      <c r="O114" s="126"/>
      <c r="P114" s="126"/>
      <c r="Q114" s="126"/>
      <c r="R114" s="126"/>
      <c r="S114" s="126"/>
      <c r="T114" s="126"/>
      <c r="U114" s="126"/>
    </row>
    <row r="115" spans="1:21" hidden="1">
      <c r="A115" s="126"/>
      <c r="B115" s="130"/>
      <c r="C115" s="128"/>
      <c r="D115" s="128"/>
      <c r="E115" s="128"/>
      <c r="F115" s="128"/>
      <c r="G115" s="128"/>
      <c r="H115" s="126"/>
      <c r="I115" s="126"/>
      <c r="J115" s="126"/>
      <c r="K115" s="126"/>
      <c r="L115" s="126"/>
      <c r="M115" s="126"/>
      <c r="N115" s="126"/>
      <c r="O115" s="126"/>
      <c r="P115" s="126"/>
      <c r="Q115" s="126"/>
      <c r="R115" s="126"/>
      <c r="S115" s="126"/>
      <c r="T115" s="126"/>
      <c r="U115" s="126"/>
    </row>
    <row r="116" spans="1:21" hidden="1">
      <c r="A116" s="126"/>
      <c r="B116" s="127"/>
      <c r="C116" s="127"/>
      <c r="D116" s="128"/>
      <c r="E116" s="128"/>
      <c r="F116" s="128"/>
      <c r="G116" s="128"/>
      <c r="H116" s="126"/>
      <c r="I116" s="126"/>
      <c r="J116" s="126"/>
      <c r="K116" s="126"/>
      <c r="L116" s="126"/>
      <c r="M116" s="126"/>
      <c r="N116" s="126"/>
      <c r="O116" s="126"/>
      <c r="P116" s="126"/>
      <c r="Q116" s="126"/>
      <c r="R116" s="126"/>
      <c r="S116" s="126"/>
      <c r="T116" s="126"/>
      <c r="U116" s="126"/>
    </row>
    <row r="117" spans="1:21" hidden="1">
      <c r="A117" s="126"/>
      <c r="B117" s="136"/>
      <c r="C117" s="136"/>
      <c r="D117" s="136"/>
      <c r="E117" s="136"/>
      <c r="F117" s="136"/>
      <c r="G117" s="136"/>
      <c r="H117" s="126"/>
      <c r="I117" s="126"/>
      <c r="J117" s="126"/>
      <c r="K117" s="126"/>
      <c r="L117" s="126"/>
      <c r="M117" s="126"/>
      <c r="N117" s="126"/>
      <c r="O117" s="126"/>
      <c r="P117" s="126"/>
      <c r="Q117" s="126"/>
      <c r="R117" s="126"/>
      <c r="S117" s="126"/>
      <c r="T117" s="126"/>
      <c r="U117" s="126"/>
    </row>
    <row r="118" spans="1:21" hidden="1">
      <c r="A118" s="126"/>
      <c r="B118" s="126"/>
      <c r="C118" s="126"/>
      <c r="D118" s="126"/>
      <c r="E118" s="126"/>
      <c r="F118" s="126"/>
      <c r="G118" s="126"/>
      <c r="H118" s="126"/>
      <c r="I118" s="126"/>
      <c r="J118" s="126"/>
      <c r="K118" s="126"/>
      <c r="L118" s="126"/>
      <c r="M118" s="126"/>
      <c r="N118" s="126"/>
      <c r="O118" s="126"/>
      <c r="P118" s="126"/>
      <c r="Q118" s="128"/>
      <c r="R118" s="128"/>
      <c r="S118" s="126"/>
      <c r="T118" s="126"/>
      <c r="U118" s="126"/>
    </row>
    <row r="119" spans="1:21" hidden="1">
      <c r="A119" s="126"/>
      <c r="B119" s="132"/>
      <c r="C119" s="126"/>
      <c r="D119" s="126"/>
      <c r="E119" s="126"/>
      <c r="F119" s="126"/>
      <c r="G119" s="126"/>
      <c r="H119" s="126"/>
      <c r="I119" s="126"/>
      <c r="J119" s="126"/>
      <c r="K119" s="126"/>
      <c r="L119" s="126"/>
      <c r="M119" s="126"/>
      <c r="N119" s="126"/>
      <c r="O119" s="126"/>
      <c r="P119" s="126"/>
      <c r="Q119" s="128"/>
      <c r="R119" s="128"/>
      <c r="S119" s="126"/>
      <c r="T119" s="126"/>
      <c r="U119" s="126"/>
    </row>
    <row r="120" spans="1:21" hidden="1">
      <c r="A120" s="126"/>
      <c r="B120" s="127"/>
      <c r="C120" s="128"/>
      <c r="D120" s="138"/>
      <c r="E120" s="126"/>
      <c r="F120" s="126"/>
      <c r="G120" s="126"/>
      <c r="H120" s="126"/>
      <c r="I120" s="126"/>
      <c r="J120" s="126"/>
      <c r="K120" s="126"/>
      <c r="L120" s="126"/>
      <c r="M120" s="126"/>
      <c r="N120" s="126"/>
      <c r="O120" s="126"/>
      <c r="P120" s="126"/>
      <c r="Q120" s="128"/>
      <c r="R120" s="128"/>
      <c r="S120" s="126"/>
      <c r="T120" s="126"/>
      <c r="U120" s="126"/>
    </row>
    <row r="121" spans="1:21" hidden="1">
      <c r="A121" s="126"/>
      <c r="B121" s="127"/>
      <c r="C121" s="128"/>
      <c r="D121" s="138"/>
      <c r="E121" s="126"/>
      <c r="F121" s="126"/>
      <c r="G121" s="126"/>
      <c r="H121" s="126"/>
      <c r="I121" s="126"/>
      <c r="J121" s="126"/>
      <c r="K121" s="126"/>
      <c r="L121" s="126"/>
      <c r="M121" s="126"/>
      <c r="N121" s="126"/>
      <c r="O121" s="126"/>
      <c r="P121" s="126"/>
      <c r="Q121" s="128"/>
      <c r="R121" s="128"/>
      <c r="S121" s="126"/>
      <c r="T121" s="126"/>
      <c r="U121" s="126"/>
    </row>
    <row r="122" spans="1:21" ht="24" hidden="1" customHeight="1">
      <c r="A122" s="126"/>
      <c r="B122" s="139"/>
      <c r="C122" s="128"/>
      <c r="D122" s="138"/>
      <c r="E122" s="126"/>
      <c r="F122" s="126"/>
      <c r="G122" s="126"/>
      <c r="H122" s="126"/>
      <c r="I122" s="126"/>
      <c r="J122" s="126"/>
      <c r="K122" s="126"/>
      <c r="L122" s="126"/>
      <c r="M122" s="126"/>
      <c r="N122" s="126"/>
      <c r="O122" s="126"/>
      <c r="P122" s="126"/>
      <c r="Q122" s="126"/>
      <c r="R122" s="126"/>
      <c r="S122" s="126"/>
      <c r="T122" s="126"/>
      <c r="U122" s="126"/>
    </row>
    <row r="123" spans="1:21" hidden="1">
      <c r="A123" s="126"/>
      <c r="B123" s="127"/>
      <c r="C123" s="128"/>
      <c r="D123" s="138"/>
      <c r="E123" s="126"/>
      <c r="F123" s="126"/>
      <c r="G123" s="126"/>
      <c r="H123" s="126"/>
      <c r="I123" s="126"/>
      <c r="J123" s="126"/>
      <c r="K123" s="126"/>
      <c r="L123" s="126"/>
      <c r="M123" s="126"/>
      <c r="N123" s="126"/>
      <c r="O123" s="126"/>
      <c r="P123" s="126"/>
      <c r="Q123" s="126"/>
      <c r="R123" s="126"/>
      <c r="S123" s="126"/>
      <c r="T123" s="126"/>
      <c r="U123" s="126"/>
    </row>
    <row r="124" spans="1:21" hidden="1">
      <c r="A124" s="126"/>
      <c r="B124" s="127"/>
      <c r="C124" s="128"/>
      <c r="D124" s="138"/>
      <c r="E124" s="126"/>
      <c r="F124" s="126"/>
      <c r="G124" s="126"/>
      <c r="H124" s="126"/>
      <c r="I124" s="126"/>
      <c r="J124" s="126"/>
      <c r="K124" s="126"/>
      <c r="L124" s="126"/>
      <c r="M124" s="126"/>
      <c r="N124" s="126"/>
      <c r="O124" s="126"/>
      <c r="P124" s="126"/>
      <c r="Q124" s="126"/>
      <c r="R124" s="126"/>
      <c r="S124" s="126"/>
      <c r="T124" s="126"/>
      <c r="U124" s="126"/>
    </row>
    <row r="125" spans="1:21" hidden="1">
      <c r="A125" s="126"/>
      <c r="B125" s="127"/>
      <c r="C125" s="128"/>
      <c r="D125" s="138"/>
      <c r="E125" s="126"/>
      <c r="F125" s="126"/>
      <c r="G125" s="126"/>
      <c r="H125" s="126"/>
      <c r="I125" s="126"/>
      <c r="J125" s="126"/>
      <c r="K125" s="126"/>
      <c r="L125" s="126"/>
      <c r="M125" s="126"/>
      <c r="N125" s="126"/>
      <c r="O125" s="126"/>
      <c r="P125" s="126"/>
      <c r="Q125" s="126"/>
      <c r="R125" s="126"/>
      <c r="S125" s="126"/>
      <c r="T125" s="126"/>
      <c r="U125" s="126"/>
    </row>
    <row r="126" spans="1:21" hidden="1">
      <c r="A126" s="126"/>
      <c r="B126" s="127"/>
      <c r="C126" s="128"/>
      <c r="D126" s="138"/>
      <c r="E126" s="126"/>
      <c r="F126" s="126"/>
      <c r="G126" s="126"/>
      <c r="H126" s="126"/>
      <c r="I126" s="126"/>
      <c r="J126" s="126"/>
      <c r="K126" s="126"/>
      <c r="L126" s="126"/>
      <c r="M126" s="126"/>
      <c r="N126" s="126"/>
      <c r="O126" s="126"/>
      <c r="P126" s="126"/>
      <c r="Q126" s="126"/>
      <c r="R126" s="126"/>
      <c r="S126" s="126"/>
      <c r="T126" s="126"/>
      <c r="U126" s="126"/>
    </row>
    <row r="127" spans="1:21" hidden="1">
      <c r="A127" s="126"/>
      <c r="B127" s="127"/>
      <c r="C127" s="128"/>
      <c r="D127" s="138"/>
      <c r="E127" s="126"/>
      <c r="F127" s="126"/>
      <c r="G127" s="126"/>
      <c r="H127" s="126"/>
      <c r="I127" s="126"/>
      <c r="J127" s="126"/>
      <c r="K127" s="126"/>
      <c r="L127" s="126"/>
      <c r="M127" s="126"/>
      <c r="N127" s="126"/>
      <c r="O127" s="126"/>
      <c r="P127" s="126"/>
      <c r="Q127" s="126"/>
      <c r="R127" s="126"/>
      <c r="S127" s="126"/>
      <c r="T127" s="126"/>
      <c r="U127" s="126"/>
    </row>
    <row r="128" spans="1:21" hidden="1">
      <c r="A128" s="126"/>
      <c r="B128" s="127"/>
      <c r="C128" s="128"/>
      <c r="D128" s="138"/>
      <c r="E128" s="126"/>
      <c r="F128" s="126"/>
      <c r="G128" s="126"/>
      <c r="H128" s="126"/>
      <c r="I128" s="126"/>
      <c r="J128" s="126"/>
      <c r="K128" s="126"/>
      <c r="L128" s="126"/>
      <c r="M128" s="126"/>
      <c r="N128" s="126"/>
      <c r="O128" s="126"/>
      <c r="P128" s="126"/>
      <c r="Q128" s="126"/>
      <c r="R128" s="126"/>
      <c r="S128" s="126"/>
      <c r="T128" s="126"/>
      <c r="U128" s="126"/>
    </row>
    <row r="129" spans="1:21" hidden="1">
      <c r="A129" s="126"/>
      <c r="B129" s="127"/>
      <c r="C129" s="128"/>
      <c r="D129" s="138"/>
      <c r="E129" s="126"/>
      <c r="F129" s="126"/>
      <c r="G129" s="126"/>
      <c r="H129" s="126"/>
      <c r="I129" s="126"/>
      <c r="J129" s="126"/>
      <c r="K129" s="126"/>
      <c r="L129" s="126"/>
      <c r="M129" s="126"/>
      <c r="N129" s="126"/>
      <c r="O129" s="126"/>
      <c r="P129" s="126"/>
      <c r="Q129" s="126"/>
      <c r="R129" s="126"/>
      <c r="S129" s="126"/>
      <c r="T129" s="126"/>
      <c r="U129" s="126"/>
    </row>
    <row r="130" spans="1:21" hidden="1">
      <c r="A130" s="126"/>
      <c r="B130" s="127"/>
      <c r="C130" s="128"/>
      <c r="D130" s="138"/>
      <c r="E130" s="126"/>
      <c r="F130" s="126"/>
      <c r="G130" s="126"/>
      <c r="H130" s="126"/>
      <c r="I130" s="126"/>
      <c r="J130" s="126"/>
      <c r="K130" s="126"/>
      <c r="L130" s="126"/>
      <c r="M130" s="126"/>
      <c r="N130" s="126"/>
      <c r="O130" s="126"/>
      <c r="P130" s="126"/>
      <c r="Q130" s="126"/>
      <c r="R130" s="126"/>
      <c r="S130" s="126"/>
      <c r="T130" s="126"/>
      <c r="U130" s="126"/>
    </row>
    <row r="131" spans="1:21" hidden="1">
      <c r="A131" s="126"/>
      <c r="B131" s="127"/>
      <c r="C131" s="128"/>
      <c r="D131" s="138"/>
      <c r="E131" s="126"/>
      <c r="F131" s="126"/>
      <c r="G131" s="126"/>
      <c r="H131" s="126"/>
      <c r="I131" s="126"/>
      <c r="J131" s="126"/>
      <c r="K131" s="126"/>
      <c r="L131" s="126"/>
      <c r="M131" s="126"/>
      <c r="N131" s="126"/>
      <c r="O131" s="126"/>
      <c r="P131" s="126"/>
      <c r="Q131" s="126"/>
      <c r="R131" s="126"/>
      <c r="S131" s="126"/>
      <c r="T131" s="126"/>
      <c r="U131" s="126"/>
    </row>
    <row r="132" spans="1:21" hidden="1">
      <c r="A132" s="126"/>
      <c r="B132" s="128"/>
      <c r="C132" s="128"/>
      <c r="D132" s="128"/>
      <c r="E132" s="126"/>
      <c r="F132" s="126"/>
      <c r="G132" s="126"/>
      <c r="H132" s="126"/>
      <c r="I132" s="126"/>
      <c r="J132" s="126"/>
      <c r="K132" s="126"/>
      <c r="L132" s="126"/>
      <c r="M132" s="126"/>
      <c r="N132" s="126"/>
      <c r="O132" s="126"/>
      <c r="P132" s="126"/>
      <c r="Q132" s="126"/>
      <c r="R132" s="126"/>
      <c r="S132" s="126"/>
      <c r="T132" s="126"/>
      <c r="U132" s="126"/>
    </row>
    <row r="133" spans="1:21" hidden="1">
      <c r="A133" s="126"/>
      <c r="B133" s="134"/>
      <c r="C133" s="128"/>
      <c r="D133" s="126"/>
      <c r="E133" s="126"/>
      <c r="F133" s="126"/>
      <c r="G133" s="126"/>
      <c r="H133" s="126"/>
      <c r="I133" s="126"/>
      <c r="J133" s="126"/>
      <c r="K133" s="126"/>
      <c r="L133" s="126"/>
      <c r="M133" s="126"/>
      <c r="N133" s="126"/>
      <c r="O133" s="126"/>
      <c r="P133" s="126"/>
      <c r="Q133" s="126"/>
      <c r="R133" s="126"/>
      <c r="S133" s="126"/>
      <c r="T133" s="126"/>
      <c r="U133" s="126"/>
    </row>
    <row r="134" spans="1:21" hidden="1">
      <c r="A134" s="126"/>
      <c r="B134" s="126"/>
      <c r="C134" s="126"/>
      <c r="D134" s="126"/>
      <c r="E134" s="126"/>
      <c r="F134" s="126"/>
      <c r="G134" s="126"/>
      <c r="H134" s="126"/>
      <c r="I134" s="126"/>
      <c r="J134" s="126"/>
      <c r="K134" s="126"/>
      <c r="L134" s="126"/>
      <c r="M134" s="126"/>
      <c r="N134" s="126"/>
      <c r="O134" s="126"/>
      <c r="P134" s="126"/>
      <c r="Q134" s="126"/>
      <c r="R134" s="126"/>
      <c r="S134" s="126"/>
      <c r="T134" s="126"/>
      <c r="U134" s="126"/>
    </row>
    <row r="135" spans="1:21" hidden="1">
      <c r="A135" s="126"/>
      <c r="B135" s="127"/>
      <c r="C135" s="130"/>
      <c r="D135" s="128"/>
      <c r="E135" s="126"/>
      <c r="F135" s="126"/>
      <c r="G135" s="126"/>
      <c r="H135" s="126"/>
      <c r="I135" s="126"/>
      <c r="J135" s="126"/>
      <c r="K135" s="126"/>
      <c r="L135" s="126"/>
      <c r="M135" s="126"/>
      <c r="N135" s="126"/>
      <c r="O135" s="126"/>
      <c r="P135" s="126"/>
      <c r="Q135" s="126"/>
      <c r="R135" s="126"/>
      <c r="S135" s="126"/>
      <c r="T135" s="126"/>
      <c r="U135" s="126"/>
    </row>
    <row r="136" spans="1:21" ht="15" hidden="1">
      <c r="B136" s="140"/>
      <c r="C136" s="141"/>
      <c r="D136" s="142"/>
      <c r="E136" s="143"/>
      <c r="F136" s="144"/>
      <c r="G136" s="144"/>
      <c r="H136" s="145"/>
      <c r="I136" s="145"/>
    </row>
    <row r="137" spans="1:21" ht="15">
      <c r="B137" s="146"/>
      <c r="C137" s="143"/>
      <c r="D137" s="143"/>
      <c r="E137" s="143"/>
      <c r="F137" s="144"/>
      <c r="G137" s="144"/>
      <c r="H137" s="145"/>
      <c r="I137" s="145"/>
    </row>
    <row r="138" spans="1:21" ht="15">
      <c r="B138" s="146"/>
      <c r="C138" s="143"/>
      <c r="D138" s="143"/>
      <c r="E138" s="143"/>
      <c r="F138" s="144"/>
      <c r="G138" s="144"/>
      <c r="H138" s="145"/>
      <c r="I138" s="145"/>
    </row>
    <row r="139" spans="1:21" ht="15">
      <c r="B139" s="146"/>
      <c r="C139" s="143"/>
      <c r="D139" s="143"/>
      <c r="E139" s="143"/>
      <c r="F139" s="144"/>
      <c r="G139" s="144"/>
      <c r="H139" s="145"/>
      <c r="I139" s="145"/>
    </row>
    <row r="140" spans="1:21" ht="15">
      <c r="B140" s="146"/>
      <c r="C140" s="143"/>
      <c r="D140" s="143"/>
      <c r="E140" s="143"/>
      <c r="F140" s="144"/>
      <c r="G140" s="144"/>
      <c r="H140" s="145"/>
      <c r="I140" s="145"/>
    </row>
    <row r="141" spans="1:21" ht="15">
      <c r="B141" s="146"/>
      <c r="C141" s="143"/>
      <c r="D141" s="143"/>
      <c r="E141" s="143"/>
      <c r="F141" s="144"/>
      <c r="G141" s="144"/>
      <c r="H141" s="145"/>
      <c r="I141" s="145"/>
    </row>
    <row r="142" spans="1:21" ht="15">
      <c r="B142" s="146"/>
      <c r="C142" s="143"/>
      <c r="D142" s="143"/>
      <c r="E142" s="143"/>
      <c r="F142" s="144"/>
      <c r="G142" s="144"/>
      <c r="H142" s="145"/>
      <c r="I142" s="145"/>
    </row>
    <row r="143" spans="1:21" ht="15">
      <c r="B143" s="146"/>
      <c r="C143" s="143"/>
      <c r="D143" s="143"/>
      <c r="E143" s="143"/>
      <c r="F143" s="144"/>
      <c r="G143" s="144"/>
      <c r="H143" s="145"/>
      <c r="I143" s="145"/>
    </row>
    <row r="144" spans="1:21" ht="15">
      <c r="B144" s="146"/>
      <c r="C144" s="143"/>
      <c r="D144" s="143"/>
      <c r="E144" s="143"/>
      <c r="F144" s="144"/>
      <c r="G144" s="144"/>
      <c r="H144" s="145"/>
      <c r="I144" s="145"/>
    </row>
    <row r="145" spans="2:9" ht="15">
      <c r="B145" s="146"/>
      <c r="C145" s="143"/>
      <c r="D145" s="143"/>
      <c r="E145" s="143"/>
      <c r="F145" s="144"/>
      <c r="G145" s="144"/>
      <c r="H145" s="145"/>
      <c r="I145" s="145"/>
    </row>
    <row r="146" spans="2:9" ht="15">
      <c r="B146" s="146"/>
      <c r="C146" s="143"/>
      <c r="D146" s="143"/>
      <c r="E146" s="143"/>
      <c r="F146" s="144"/>
      <c r="G146" s="144"/>
      <c r="H146" s="145"/>
      <c r="I146" s="145"/>
    </row>
    <row r="147" spans="2:9" ht="15">
      <c r="B147" s="146"/>
      <c r="C147" s="143"/>
      <c r="D147" s="143"/>
      <c r="E147" s="143"/>
      <c r="F147" s="144"/>
      <c r="G147" s="144"/>
      <c r="H147" s="145"/>
      <c r="I147" s="145"/>
    </row>
    <row r="223" spans="17:18" ht="12.75">
      <c r="Q223" s="147"/>
      <c r="R223" s="147"/>
    </row>
    <row r="224" spans="17:18" ht="12.75">
      <c r="Q224" s="147"/>
      <c r="R224" s="147"/>
    </row>
    <row r="225" spans="17:18" ht="12.75">
      <c r="Q225" s="147"/>
      <c r="R225" s="147"/>
    </row>
    <row r="226" spans="17:18" ht="12.75">
      <c r="Q226" s="147"/>
      <c r="R226" s="147"/>
    </row>
    <row r="341" spans="17:18" ht="12.75">
      <c r="Q341" s="147"/>
      <c r="R341" s="147"/>
    </row>
    <row r="540" spans="17:18" ht="12.75">
      <c r="Q540" s="147"/>
      <c r="R540" s="147"/>
    </row>
    <row r="541" spans="17:18" ht="12.75">
      <c r="Q541" s="147"/>
      <c r="R541" s="147"/>
    </row>
    <row r="542" spans="17:18" ht="12.75">
      <c r="Q542" s="147"/>
      <c r="R542" s="147"/>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5DA8-AFD9-4B50-A2F9-95CF20FBC06E}">
  <dimension ref="B1:L45"/>
  <sheetViews>
    <sheetView workbookViewId="0">
      <selection activeCell="D12" sqref="D12"/>
    </sheetView>
  </sheetViews>
  <sheetFormatPr defaultRowHeight="10.5"/>
  <cols>
    <col min="1" max="1" width="2" customWidth="1"/>
    <col min="2" max="2" width="83.83203125" customWidth="1"/>
    <col min="3" max="12" width="14" customWidth="1"/>
  </cols>
  <sheetData>
    <row r="1" spans="2:12" ht="21.95" customHeight="1">
      <c r="B1" s="185" t="s">
        <v>10711</v>
      </c>
      <c r="C1" s="185"/>
      <c r="D1" s="185"/>
      <c r="E1" s="185"/>
      <c r="F1" s="185"/>
      <c r="G1" s="185"/>
      <c r="H1" s="185"/>
      <c r="I1" s="185"/>
      <c r="J1" s="185"/>
      <c r="K1" s="185"/>
      <c r="L1" s="185"/>
    </row>
    <row r="2" spans="2:12" ht="69.95" customHeight="1">
      <c r="B2" s="165" t="s">
        <v>10712</v>
      </c>
      <c r="C2" s="165"/>
      <c r="D2" s="165"/>
      <c r="E2" s="165"/>
      <c r="F2" s="165"/>
      <c r="G2" s="165"/>
      <c r="H2" s="165"/>
      <c r="I2" s="165"/>
      <c r="J2" s="165"/>
      <c r="K2" s="165"/>
      <c r="L2" s="165"/>
    </row>
    <row r="4" spans="2:12" ht="12.75">
      <c r="B4" s="165" t="s">
        <v>10713</v>
      </c>
      <c r="C4" s="165" t="s">
        <v>10696</v>
      </c>
      <c r="D4" s="165" t="s">
        <v>10697</v>
      </c>
      <c r="E4" s="165" t="s">
        <v>10698</v>
      </c>
      <c r="F4" s="165" t="s">
        <v>10699</v>
      </c>
      <c r="G4" s="165" t="s">
        <v>10700</v>
      </c>
      <c r="H4" s="165" t="s">
        <v>10701</v>
      </c>
      <c r="I4" s="165" t="s">
        <v>10702</v>
      </c>
      <c r="J4" s="165" t="s">
        <v>10703</v>
      </c>
      <c r="K4" s="165" t="s">
        <v>10704</v>
      </c>
      <c r="L4" s="165" t="s">
        <v>10705</v>
      </c>
    </row>
    <row r="5" spans="2:12" ht="12.75">
      <c r="B5" s="165" t="s">
        <v>10714</v>
      </c>
      <c r="C5" s="188">
        <f>'Subject Property'!C14</f>
        <v>406</v>
      </c>
      <c r="D5" s="188">
        <f>'Subject Property'!D14</f>
        <v>473</v>
      </c>
      <c r="E5" s="188" t="str">
        <f>'Subject Property'!E14</f>
        <v/>
      </c>
      <c r="F5" s="188" t="str">
        <f>'Subject Property'!F14</f>
        <v/>
      </c>
      <c r="G5" s="188" t="str">
        <f>'Subject Property'!G14</f>
        <v/>
      </c>
      <c r="H5" s="188" t="str">
        <f>'Subject Property'!H14</f>
        <v/>
      </c>
      <c r="I5" s="188" t="str">
        <f>'Subject Property'!I14</f>
        <v/>
      </c>
      <c r="J5" s="188" t="str">
        <f>'Subject Property'!J14</f>
        <v/>
      </c>
      <c r="K5" s="188" t="str">
        <f>'Subject Property'!K14</f>
        <v/>
      </c>
      <c r="L5" s="188" t="str">
        <f>'Subject Property'!L14</f>
        <v/>
      </c>
    </row>
    <row r="6" spans="2:12" ht="12.75">
      <c r="B6" s="165" t="s">
        <v>10715</v>
      </c>
      <c r="C6" s="188" t="str">
        <f t="shared" ref="C6:L6" si="0">IF(C5="","",IFERROR(INDEX(OCCMAP_NAME,MATCH(C5,OCCMAP_CODE,0)),"n/a"))</f>
        <v>Storage Warehouses</v>
      </c>
      <c r="D6" s="188" t="str">
        <f t="shared" si="0"/>
        <v>Light Commercial Equipment (Shop) Buildings</v>
      </c>
      <c r="E6" s="188" t="str">
        <f t="shared" si="0"/>
        <v/>
      </c>
      <c r="F6" s="188" t="str">
        <f t="shared" si="0"/>
        <v/>
      </c>
      <c r="G6" s="188" t="str">
        <f t="shared" si="0"/>
        <v/>
      </c>
      <c r="H6" s="188" t="str">
        <f t="shared" si="0"/>
        <v/>
      </c>
      <c r="I6" s="188" t="str">
        <f t="shared" si="0"/>
        <v/>
      </c>
      <c r="J6" s="188" t="str">
        <f t="shared" si="0"/>
        <v/>
      </c>
      <c r="K6" s="188" t="str">
        <f t="shared" si="0"/>
        <v/>
      </c>
      <c r="L6" s="188" t="str">
        <f t="shared" si="0"/>
        <v/>
      </c>
    </row>
    <row r="7" spans="2:12" ht="12.75">
      <c r="B7" s="165" t="s">
        <v>10716</v>
      </c>
      <c r="C7" s="186" t="s">
        <v>209</v>
      </c>
      <c r="D7" s="186" t="s">
        <v>209</v>
      </c>
      <c r="E7" s="186"/>
      <c r="F7" s="186"/>
      <c r="G7" s="186"/>
      <c r="H7" s="186"/>
      <c r="I7" s="186"/>
      <c r="J7" s="186"/>
      <c r="K7" s="186"/>
      <c r="L7" s="186"/>
    </row>
    <row r="8" spans="2:12" ht="12.75">
      <c r="B8" s="165" t="s">
        <v>10717</v>
      </c>
      <c r="C8" s="186" t="s">
        <v>44</v>
      </c>
      <c r="D8" s="186" t="s">
        <v>44</v>
      </c>
      <c r="E8" s="186"/>
      <c r="F8" s="186"/>
      <c r="G8" s="186"/>
      <c r="H8" s="186"/>
      <c r="I8" s="186"/>
      <c r="J8" s="186"/>
      <c r="K8" s="186"/>
      <c r="L8" s="186"/>
    </row>
    <row r="9" spans="2:12" ht="12.75">
      <c r="B9" s="165" t="s">
        <v>10718</v>
      </c>
      <c r="C9" s="187">
        <f>'Subject Property'!C15</f>
        <v>14400</v>
      </c>
      <c r="D9" s="187">
        <f>'Subject Property'!D15</f>
        <v>2400</v>
      </c>
      <c r="E9" s="187">
        <f>'Subject Property'!E15</f>
        <v>0</v>
      </c>
      <c r="F9" s="187">
        <f>'Subject Property'!F15</f>
        <v>0</v>
      </c>
      <c r="G9" s="187">
        <f>'Subject Property'!G15</f>
        <v>0</v>
      </c>
      <c r="H9" s="187">
        <f>'Subject Property'!H15</f>
        <v>0</v>
      </c>
      <c r="I9" s="187">
        <f>'Subject Property'!I15</f>
        <v>0</v>
      </c>
      <c r="J9" s="187">
        <f>'Subject Property'!J15</f>
        <v>0</v>
      </c>
      <c r="K9" s="187">
        <f>'Subject Property'!K15</f>
        <v>0</v>
      </c>
      <c r="L9" s="187">
        <f>'Subject Property'!L15</f>
        <v>0</v>
      </c>
    </row>
    <row r="10" spans="2:12" ht="12.75">
      <c r="B10" s="165" t="s">
        <v>10719</v>
      </c>
      <c r="C10" s="187">
        <v>20</v>
      </c>
      <c r="D10" s="187">
        <v>16</v>
      </c>
      <c r="E10" s="187"/>
      <c r="F10" s="187"/>
      <c r="G10" s="187"/>
      <c r="H10" s="187"/>
      <c r="I10" s="187"/>
      <c r="J10" s="187"/>
      <c r="K10" s="187"/>
      <c r="L10" s="187"/>
    </row>
    <row r="11" spans="2:12" ht="12.75">
      <c r="B11" s="165" t="s">
        <v>10720</v>
      </c>
      <c r="C11" s="186" t="s">
        <v>44</v>
      </c>
      <c r="D11" s="186"/>
      <c r="E11" s="186"/>
      <c r="F11" s="186"/>
      <c r="G11" s="186"/>
      <c r="H11" s="186"/>
      <c r="I11" s="186"/>
      <c r="J11" s="186"/>
      <c r="K11" s="186"/>
      <c r="L11" s="186"/>
    </row>
    <row r="12" spans="2:12" ht="12.75">
      <c r="B12" s="165" t="s">
        <v>10721</v>
      </c>
      <c r="C12" s="187">
        <v>16</v>
      </c>
      <c r="D12" s="187">
        <v>20</v>
      </c>
      <c r="E12" s="187" t="str">
        <f>'Subject Property'!E19</f>
        <v/>
      </c>
      <c r="F12" s="187" t="str">
        <f>'Subject Property'!F19</f>
        <v/>
      </c>
      <c r="G12" s="187" t="str">
        <f>'Subject Property'!G19</f>
        <v/>
      </c>
      <c r="H12" s="187" t="str">
        <f>'Subject Property'!H19</f>
        <v/>
      </c>
      <c r="I12" s="187" t="str">
        <f>'Subject Property'!I19</f>
        <v/>
      </c>
      <c r="J12" s="187" t="str">
        <f>'Subject Property'!J19</f>
        <v/>
      </c>
      <c r="K12" s="187" t="str">
        <f>'Subject Property'!K19</f>
        <v/>
      </c>
      <c r="L12" s="187" t="str">
        <f>'Subject Property'!L19</f>
        <v/>
      </c>
    </row>
    <row r="13" spans="2:12" ht="12.75">
      <c r="B13" s="165" t="s">
        <v>10722</v>
      </c>
      <c r="C13" s="188" t="str">
        <f t="shared" ref="C13:L13" si="1">IFERROR(INDEX(OCC_SECTION,MATCH(C6,OCC_NAME,0)),"")</f>
        <v>14</v>
      </c>
      <c r="D13" s="188" t="str">
        <f t="shared" si="1"/>
        <v>17</v>
      </c>
      <c r="E13" s="188" t="str">
        <f t="shared" si="1"/>
        <v/>
      </c>
      <c r="F13" s="188" t="str">
        <f t="shared" si="1"/>
        <v/>
      </c>
      <c r="G13" s="188" t="str">
        <f t="shared" si="1"/>
        <v/>
      </c>
      <c r="H13" s="188" t="str">
        <f t="shared" si="1"/>
        <v/>
      </c>
      <c r="I13" s="188" t="str">
        <f t="shared" si="1"/>
        <v/>
      </c>
      <c r="J13" s="188" t="str">
        <f t="shared" si="1"/>
        <v/>
      </c>
      <c r="K13" s="188" t="str">
        <f t="shared" si="1"/>
        <v/>
      </c>
      <c r="L13" s="188" t="str">
        <f t="shared" si="1"/>
        <v/>
      </c>
    </row>
    <row r="14" spans="2:12" ht="12.75">
      <c r="B14" s="165" t="s">
        <v>10723</v>
      </c>
      <c r="C14" s="188">
        <f t="shared" ref="C14:L14" si="2">IFERROR(INDEX(BC_VALUE,MATCH(C6&amp;"|"&amp;C7&amp;"|"&amp;C8,BC_KEY,0)),0)</f>
        <v>61</v>
      </c>
      <c r="D14" s="188">
        <f t="shared" si="2"/>
        <v>42.75</v>
      </c>
      <c r="E14" s="188">
        <f t="shared" si="2"/>
        <v>0</v>
      </c>
      <c r="F14" s="188">
        <f t="shared" si="2"/>
        <v>0</v>
      </c>
      <c r="G14" s="188">
        <f t="shared" si="2"/>
        <v>0</v>
      </c>
      <c r="H14" s="188">
        <f t="shared" si="2"/>
        <v>0</v>
      </c>
      <c r="I14" s="188">
        <f t="shared" si="2"/>
        <v>0</v>
      </c>
      <c r="J14" s="188">
        <f t="shared" si="2"/>
        <v>0</v>
      </c>
      <c r="K14" s="188">
        <f t="shared" si="2"/>
        <v>0</v>
      </c>
      <c r="L14" s="188">
        <f t="shared" si="2"/>
        <v>0</v>
      </c>
    </row>
    <row r="15" spans="2:12" ht="12.75">
      <c r="B15" s="165" t="s">
        <v>10724</v>
      </c>
      <c r="C15" s="188">
        <f t="shared" ref="C15:L15" ca="1" si="3">IFERROR(INDEX(INDIRECT("SPR"&amp;C13&amp;"_VALS"),MATCH(C9,INDIRECT("SPR"&amp;C13&amp;"_SF"),1),MATCH(C11,SPR_HDR,0)),0)</f>
        <v>4.5199999999999996</v>
      </c>
      <c r="D15" s="188">
        <f t="shared" ca="1" si="3"/>
        <v>0</v>
      </c>
      <c r="E15" s="188">
        <f t="shared" ca="1" si="3"/>
        <v>0</v>
      </c>
      <c r="F15" s="188">
        <f t="shared" ca="1" si="3"/>
        <v>0</v>
      </c>
      <c r="G15" s="188">
        <f t="shared" ca="1" si="3"/>
        <v>0</v>
      </c>
      <c r="H15" s="188">
        <f t="shared" ca="1" si="3"/>
        <v>0</v>
      </c>
      <c r="I15" s="188">
        <f t="shared" ca="1" si="3"/>
        <v>0</v>
      </c>
      <c r="J15" s="188">
        <f t="shared" ca="1" si="3"/>
        <v>0</v>
      </c>
      <c r="K15" s="188">
        <f t="shared" ca="1" si="3"/>
        <v>0</v>
      </c>
      <c r="L15" s="188">
        <f t="shared" ca="1" si="3"/>
        <v>0</v>
      </c>
    </row>
    <row r="16" spans="2:12" ht="12.75">
      <c r="B16" s="165" t="s">
        <v>10725</v>
      </c>
      <c r="C16" s="188">
        <f t="shared" ref="C16:L16" ca="1" si="4">IFERROR(INDEX(INDIRECT("SH"&amp;C13&amp;"_M"),MATCH(C10,INDIRECT("SH"&amp;C13&amp;"_H"),1)),1)</f>
        <v>1.133</v>
      </c>
      <c r="D16" s="188">
        <f t="shared" ca="1" si="4"/>
        <v>1</v>
      </c>
      <c r="E16" s="188">
        <f t="shared" ca="1" si="4"/>
        <v>1</v>
      </c>
      <c r="F16" s="188">
        <f t="shared" ca="1" si="4"/>
        <v>1</v>
      </c>
      <c r="G16" s="188">
        <f t="shared" ca="1" si="4"/>
        <v>1</v>
      </c>
      <c r="H16" s="188">
        <f t="shared" ca="1" si="4"/>
        <v>1</v>
      </c>
      <c r="I16" s="188">
        <f t="shared" ca="1" si="4"/>
        <v>1</v>
      </c>
      <c r="J16" s="188">
        <f t="shared" ca="1" si="4"/>
        <v>1</v>
      </c>
      <c r="K16" s="188">
        <f t="shared" ca="1" si="4"/>
        <v>1</v>
      </c>
      <c r="L16" s="188">
        <f t="shared" ca="1" si="4"/>
        <v>1</v>
      </c>
    </row>
    <row r="17" spans="2:12" ht="12.75">
      <c r="B17" s="165" t="s">
        <v>10726</v>
      </c>
      <c r="C17" s="188">
        <f t="shared" ref="C17:L17" ca="1" si="5">IF(C6="","",C9*(C14+C15)*C44*IF(N(C45)=0,1,C45)*IF(C43="",1,C43)*C16)</f>
        <v>1133110.2182400001</v>
      </c>
      <c r="D17" s="188">
        <f t="shared" ca="1" si="5"/>
        <v>105678</v>
      </c>
      <c r="E17" s="188" t="str">
        <f t="shared" si="5"/>
        <v/>
      </c>
      <c r="F17" s="188" t="str">
        <f t="shared" si="5"/>
        <v/>
      </c>
      <c r="G17" s="188" t="str">
        <f t="shared" si="5"/>
        <v/>
      </c>
      <c r="H17" s="188" t="str">
        <f t="shared" si="5"/>
        <v/>
      </c>
      <c r="I17" s="188" t="str">
        <f t="shared" si="5"/>
        <v/>
      </c>
      <c r="J17" s="188" t="str">
        <f t="shared" si="5"/>
        <v/>
      </c>
      <c r="K17" s="188" t="str">
        <f t="shared" si="5"/>
        <v/>
      </c>
      <c r="L17" s="188" t="str">
        <f t="shared" si="5"/>
        <v/>
      </c>
    </row>
    <row r="18" spans="2:12" ht="12.75">
      <c r="B18" s="165" t="s">
        <v>10727</v>
      </c>
      <c r="C18" s="188">
        <f ca="1">IF(C17="","",C17*(1+'Cost Approach'!$C$48)*(1+'Cost Approach'!$C$50))</f>
        <v>1433384.4260736001</v>
      </c>
      <c r="D18" s="188">
        <f ca="1">IF(D17="","",D17*(1+'Cost Approach'!$C$48)*(1+'Cost Approach'!$C$50))</f>
        <v>133682.66999999998</v>
      </c>
      <c r="E18" s="188" t="str">
        <f>IF(E17="","",E17*(1+'Cost Approach'!$C$48)*(1+'Cost Approach'!$C$50))</f>
        <v/>
      </c>
      <c r="F18" s="188" t="str">
        <f>IF(F17="","",F17*(1+'Cost Approach'!$C$48)*(1+'Cost Approach'!$C$50))</f>
        <v/>
      </c>
      <c r="G18" s="188" t="str">
        <f>IF(G17="","",G17*(1+'Cost Approach'!$C$48)*(1+'Cost Approach'!$C$50))</f>
        <v/>
      </c>
      <c r="H18" s="188" t="str">
        <f>IF(H17="","",H17*(1+'Cost Approach'!$C$48)*(1+'Cost Approach'!$C$50))</f>
        <v/>
      </c>
      <c r="I18" s="188" t="str">
        <f>IF(I17="","",I17*(1+'Cost Approach'!$C$48)*(1+'Cost Approach'!$C$50))</f>
        <v/>
      </c>
      <c r="J18" s="188" t="str">
        <f>IF(J17="","",J17*(1+'Cost Approach'!$C$48)*(1+'Cost Approach'!$C$50))</f>
        <v/>
      </c>
      <c r="K18" s="188" t="str">
        <f>IF(K17="","",K17*(1+'Cost Approach'!$C$48)*(1+'Cost Approach'!$C$50))</f>
        <v/>
      </c>
      <c r="L18" s="188" t="str">
        <f>IF(L17="","",L17*(1+'Cost Approach'!$C$48)*(1+'Cost Approach'!$C$50))</f>
        <v/>
      </c>
    </row>
    <row r="19" spans="2:12" ht="12.75">
      <c r="B19" s="165" t="s">
        <v>10728</v>
      </c>
      <c r="C19" s="188">
        <f t="shared" ref="C19:L19" si="6">IFERROR(INDEX(LIFE_VALUES,MATCH(C6&amp;"|"&amp;C8,LIFE_KEY,0),MATCH("Class "&amp;IF(C7="CMILL","C",IF(OR(C7="DPOLE",C7="DMASVEN",C7="CDS"),"D",IF(C7="A-B","B",IF(C7="SSLANT","S",C7)))),LIFE_CLASSHDR,0)),0)</f>
        <v>45</v>
      </c>
      <c r="D19" s="188">
        <f t="shared" si="6"/>
        <v>30</v>
      </c>
      <c r="E19" s="188">
        <f t="shared" si="6"/>
        <v>0</v>
      </c>
      <c r="F19" s="188">
        <f t="shared" si="6"/>
        <v>0</v>
      </c>
      <c r="G19" s="188">
        <f t="shared" si="6"/>
        <v>0</v>
      </c>
      <c r="H19" s="188">
        <f t="shared" si="6"/>
        <v>0</v>
      </c>
      <c r="I19" s="188">
        <f t="shared" si="6"/>
        <v>0</v>
      </c>
      <c r="J19" s="188">
        <f t="shared" si="6"/>
        <v>0</v>
      </c>
      <c r="K19" s="188">
        <f t="shared" si="6"/>
        <v>0</v>
      </c>
      <c r="L19" s="188">
        <f t="shared" si="6"/>
        <v>0</v>
      </c>
    </row>
    <row r="20" spans="2:12" ht="12.75">
      <c r="B20" s="165" t="s">
        <v>10729</v>
      </c>
      <c r="C20" s="188">
        <f t="shared" ref="C20:L20" si="7">IF(OR(C6="",C19=0),0,IFERROR(IF(IFERROR(INDEX(OCC_DEPR,MATCH(C6,OCC_NAME,0)),"C")="R",INDEX(DEPRR_VALUES,MATCH(C12,DEPRR_AGE,1),MATCH(C19,DEPRR_LIFEHDR,0)),INDEX(DEPR_VALUES,MATCH(C12,DEPR_AGE,1),MATCH(C19,DEPR_LIFEHDR,0)))/100,1))</f>
        <v>0.16</v>
      </c>
      <c r="D20" s="188">
        <f t="shared" si="7"/>
        <v>0.53</v>
      </c>
      <c r="E20" s="188">
        <f t="shared" si="7"/>
        <v>0</v>
      </c>
      <c r="F20" s="188">
        <f t="shared" si="7"/>
        <v>0</v>
      </c>
      <c r="G20" s="188">
        <f t="shared" si="7"/>
        <v>0</v>
      </c>
      <c r="H20" s="188">
        <f t="shared" si="7"/>
        <v>0</v>
      </c>
      <c r="I20" s="188">
        <f t="shared" si="7"/>
        <v>0</v>
      </c>
      <c r="J20" s="188">
        <f t="shared" si="7"/>
        <v>0</v>
      </c>
      <c r="K20" s="188">
        <f t="shared" si="7"/>
        <v>0</v>
      </c>
      <c r="L20" s="188">
        <f t="shared" si="7"/>
        <v>0</v>
      </c>
    </row>
    <row r="21" spans="2:12" ht="12.75">
      <c r="B21" s="165" t="s">
        <v>10730</v>
      </c>
      <c r="C21" s="187">
        <v>0</v>
      </c>
      <c r="D21" s="187"/>
      <c r="E21" s="187"/>
      <c r="F21" s="187"/>
      <c r="G21" s="187"/>
      <c r="H21" s="187"/>
      <c r="I21" s="187"/>
      <c r="J21" s="187"/>
      <c r="K21" s="187"/>
      <c r="L21" s="187"/>
    </row>
    <row r="22" spans="2:12" ht="12.75">
      <c r="B22" s="165" t="s">
        <v>10731</v>
      </c>
      <c r="C22" s="187">
        <v>0</v>
      </c>
      <c r="D22" s="187"/>
      <c r="E22" s="187"/>
      <c r="F22" s="187"/>
      <c r="G22" s="187"/>
      <c r="H22" s="187"/>
      <c r="I22" s="187"/>
      <c r="J22" s="187"/>
      <c r="K22" s="187"/>
      <c r="L22" s="187"/>
    </row>
    <row r="23" spans="2:12" ht="12.75">
      <c r="B23" s="165" t="s">
        <v>10732</v>
      </c>
      <c r="C23" s="187">
        <f t="shared" ref="C23:L23" ca="1" si="8">IF(OR(C6="",COLUMN()-2&gt;Subj_NumBldgs),0,C18*(1-C20-C21-C22))</f>
        <v>1204042.917901824</v>
      </c>
      <c r="D23" s="187">
        <f t="shared" si="8"/>
        <v>0</v>
      </c>
      <c r="E23" s="187">
        <f t="shared" si="8"/>
        <v>0</v>
      </c>
      <c r="F23" s="187">
        <f t="shared" si="8"/>
        <v>0</v>
      </c>
      <c r="G23" s="187">
        <f t="shared" si="8"/>
        <v>0</v>
      </c>
      <c r="H23" s="187">
        <f t="shared" si="8"/>
        <v>0</v>
      </c>
      <c r="I23" s="187">
        <f t="shared" si="8"/>
        <v>0</v>
      </c>
      <c r="J23" s="187">
        <f t="shared" si="8"/>
        <v>0</v>
      </c>
      <c r="K23" s="187">
        <f t="shared" si="8"/>
        <v>0</v>
      </c>
      <c r="L23" s="187">
        <f t="shared" si="8"/>
        <v>0</v>
      </c>
    </row>
    <row r="25" spans="2:12" ht="15.75">
      <c r="B25" s="185" t="s">
        <v>10733</v>
      </c>
      <c r="C25" s="185">
        <f ca="1">SUM(C23:L23)</f>
        <v>1204042.917901824</v>
      </c>
    </row>
    <row r="26" spans="2:12" ht="12.75">
      <c r="B26" s="165" t="s">
        <v>10734</v>
      </c>
      <c r="C26" s="187">
        <f>'Cost Approach'!$F$56</f>
        <v>0</v>
      </c>
    </row>
    <row r="27" spans="2:12" ht="12.75">
      <c r="B27" s="165" t="s">
        <v>10735</v>
      </c>
      <c r="C27" s="187">
        <f>'Cost Approach'!$G$46</f>
        <v>1515250</v>
      </c>
    </row>
    <row r="28" spans="2:12" ht="12.75">
      <c r="B28" s="165" t="s">
        <v>10736</v>
      </c>
      <c r="C28" s="187">
        <f>'Cost Approach'!$G$67</f>
        <v>3620498</v>
      </c>
    </row>
    <row r="29" spans="2:12" ht="15.75">
      <c r="B29" s="185" t="s">
        <v>10737</v>
      </c>
      <c r="C29" s="185">
        <f ca="1">C25-C26+C27+C28</f>
        <v>6339790.9179018242</v>
      </c>
    </row>
    <row r="30" spans="2:12" ht="12.75">
      <c r="B30" s="165" t="s">
        <v>10738</v>
      </c>
      <c r="C30" s="187">
        <f ca="1">ROUND(C29/5000,0)*5000</f>
        <v>6340000</v>
      </c>
    </row>
    <row r="31" spans="2:12" ht="12.75">
      <c r="B31" s="165" t="s">
        <v>10739</v>
      </c>
      <c r="C31" s="187">
        <f ca="1">IFERROR(C29/Subj_TotalBldgSF,"")</f>
        <v>377.36850701796573</v>
      </c>
    </row>
    <row r="33" spans="2:12" ht="15.75">
      <c r="B33" s="185" t="s">
        <v>10740</v>
      </c>
      <c r="C33" s="185"/>
      <c r="D33" s="185"/>
      <c r="E33" s="185"/>
      <c r="F33" s="185"/>
      <c r="G33" s="185"/>
      <c r="H33" s="185"/>
      <c r="I33" s="185"/>
      <c r="J33" s="185"/>
      <c r="K33" s="185"/>
      <c r="L33" s="185"/>
    </row>
    <row r="34" spans="2:12" ht="12.75">
      <c r="B34" s="165" t="s">
        <v>10741</v>
      </c>
      <c r="C34" s="188" t="str">
        <f t="shared" ref="C34:L34" si="9">IF(C6="","",IF(OR(ISNUMBER(SEARCH("Apart",C6)),ISNUMBER(SEARCH("Multiple Residence",C6))),"Per Unit",IF(OR(ISNUMBER(SEARCH("Hotel",C6)),ISNUMBER(SEARCH("Motel",C6))),"Per Key","Per SF")))</f>
        <v>Per SF</v>
      </c>
      <c r="D34" s="188" t="str">
        <f t="shared" si="9"/>
        <v>Per SF</v>
      </c>
      <c r="E34" s="188" t="str">
        <f t="shared" si="9"/>
        <v/>
      </c>
      <c r="F34" s="188" t="str">
        <f t="shared" si="9"/>
        <v/>
      </c>
      <c r="G34" s="188" t="str">
        <f t="shared" si="9"/>
        <v/>
      </c>
      <c r="H34" s="188" t="str">
        <f t="shared" si="9"/>
        <v/>
      </c>
      <c r="I34" s="188" t="str">
        <f t="shared" si="9"/>
        <v/>
      </c>
      <c r="J34" s="188" t="str">
        <f t="shared" si="9"/>
        <v/>
      </c>
      <c r="K34" s="188" t="str">
        <f t="shared" si="9"/>
        <v/>
      </c>
      <c r="L34" s="188" t="str">
        <f t="shared" si="9"/>
        <v/>
      </c>
    </row>
    <row r="35" spans="2:12" ht="12.75">
      <c r="B35" s="165" t="s">
        <v>10742</v>
      </c>
      <c r="C35" s="186"/>
      <c r="D35" s="186"/>
      <c r="E35" s="186"/>
      <c r="F35" s="186"/>
      <c r="G35" s="186"/>
      <c r="H35" s="186"/>
      <c r="I35" s="186"/>
      <c r="J35" s="186"/>
      <c r="K35" s="186"/>
      <c r="L35" s="186"/>
    </row>
    <row r="36" spans="2:12" ht="12.75">
      <c r="B36" s="165" t="s">
        <v>10743</v>
      </c>
      <c r="C36" s="188" t="str">
        <f t="shared" ref="C36:L36" si="10">IF(C35&lt;&gt;"",C35,C34)</f>
        <v>Per SF</v>
      </c>
      <c r="D36" s="188" t="str">
        <f t="shared" si="10"/>
        <v>Per SF</v>
      </c>
      <c r="E36" s="188" t="str">
        <f t="shared" si="10"/>
        <v/>
      </c>
      <c r="F36" s="188" t="str">
        <f t="shared" si="10"/>
        <v/>
      </c>
      <c r="G36" s="188" t="str">
        <f t="shared" si="10"/>
        <v/>
      </c>
      <c r="H36" s="188" t="str">
        <f t="shared" si="10"/>
        <v/>
      </c>
      <c r="I36" s="188" t="str">
        <f t="shared" si="10"/>
        <v/>
      </c>
      <c r="J36" s="188" t="str">
        <f t="shared" si="10"/>
        <v/>
      </c>
      <c r="K36" s="188" t="str">
        <f t="shared" si="10"/>
        <v/>
      </c>
      <c r="L36" s="188" t="str">
        <f t="shared" si="10"/>
        <v/>
      </c>
    </row>
    <row r="37" spans="2:12" ht="12.75">
      <c r="B37" s="165" t="s">
        <v>10744</v>
      </c>
      <c r="C37" s="187">
        <f>'Subject Property'!C20</f>
        <v>0</v>
      </c>
      <c r="D37" s="187">
        <f>'Subject Property'!D20</f>
        <v>0</v>
      </c>
      <c r="E37" s="187">
        <f>'Subject Property'!E20</f>
        <v>0</v>
      </c>
      <c r="F37" s="187">
        <f>'Subject Property'!F20</f>
        <v>0</v>
      </c>
      <c r="G37" s="187">
        <f>'Subject Property'!G20</f>
        <v>0</v>
      </c>
      <c r="H37" s="187">
        <f>'Subject Property'!H20</f>
        <v>0</v>
      </c>
      <c r="I37" s="187">
        <f>'Subject Property'!I20</f>
        <v>0</v>
      </c>
      <c r="J37" s="187">
        <f>'Subject Property'!J20</f>
        <v>0</v>
      </c>
      <c r="K37" s="187">
        <f>'Subject Property'!K20</f>
        <v>0</v>
      </c>
      <c r="L37" s="187">
        <f>'Subject Property'!L20</f>
        <v>0</v>
      </c>
    </row>
    <row r="38" spans="2:12" ht="12.75">
      <c r="B38" s="165" t="s">
        <v>10745</v>
      </c>
      <c r="C38" s="187">
        <f t="shared" ref="C38:L38" ca="1" si="11">IFERROR(C23/C9,"")</f>
        <v>83.614091520960002</v>
      </c>
      <c r="D38" s="187">
        <f t="shared" si="11"/>
        <v>0</v>
      </c>
      <c r="E38" s="187" t="str">
        <f t="shared" si="11"/>
        <v/>
      </c>
      <c r="F38" s="187" t="str">
        <f t="shared" si="11"/>
        <v/>
      </c>
      <c r="G38" s="187" t="str">
        <f t="shared" si="11"/>
        <v/>
      </c>
      <c r="H38" s="187" t="str">
        <f t="shared" si="11"/>
        <v/>
      </c>
      <c r="I38" s="187" t="str">
        <f t="shared" si="11"/>
        <v/>
      </c>
      <c r="J38" s="187" t="str">
        <f t="shared" si="11"/>
        <v/>
      </c>
      <c r="K38" s="187" t="str">
        <f t="shared" si="11"/>
        <v/>
      </c>
      <c r="L38" s="187" t="str">
        <f t="shared" si="11"/>
        <v/>
      </c>
    </row>
    <row r="39" spans="2:12" ht="12.75">
      <c r="B39" s="165" t="s">
        <v>10746</v>
      </c>
      <c r="C39" s="187" t="str">
        <f t="shared" ref="C39:L39" si="12">IF(AND(C36&lt;&gt;"Per SF",N(C37)&gt;0),C23/C37,"")</f>
        <v/>
      </c>
      <c r="D39" s="187" t="str">
        <f t="shared" si="12"/>
        <v/>
      </c>
      <c r="E39" s="187" t="str">
        <f t="shared" si="12"/>
        <v/>
      </c>
      <c r="F39" s="187" t="str">
        <f t="shared" si="12"/>
        <v/>
      </c>
      <c r="G39" s="187" t="str">
        <f t="shared" si="12"/>
        <v/>
      </c>
      <c r="H39" s="187" t="str">
        <f t="shared" si="12"/>
        <v/>
      </c>
      <c r="I39" s="187" t="str">
        <f t="shared" si="12"/>
        <v/>
      </c>
      <c r="J39" s="187" t="str">
        <f t="shared" si="12"/>
        <v/>
      </c>
      <c r="K39" s="187" t="str">
        <f t="shared" si="12"/>
        <v/>
      </c>
      <c r="L39" s="187" t="str">
        <f t="shared" si="12"/>
        <v/>
      </c>
    </row>
    <row r="40" spans="2:12" ht="12.75">
      <c r="B40" s="165" t="s">
        <v>10747</v>
      </c>
      <c r="C40" s="188" t="str">
        <f t="shared" ref="C40:L40" ca="1" si="13">IF(C6="","",IF(C36="Per SF",TEXT(C38,"$#,##0")&amp;" /SF",IF(C36="Per Unit",IFERROR(TEXT(C23/C37,"$#,##0")&amp;" /unit","enter units"),IFERROR(TEXT(C23/C37,"$#,##0")&amp;" /key","enter keys"))))</f>
        <v>$84 /SF</v>
      </c>
      <c r="D40" s="188" t="str">
        <f t="shared" si="13"/>
        <v>$0 /SF</v>
      </c>
      <c r="E40" s="188" t="str">
        <f t="shared" si="13"/>
        <v/>
      </c>
      <c r="F40" s="188" t="str">
        <f t="shared" si="13"/>
        <v/>
      </c>
      <c r="G40" s="188" t="str">
        <f t="shared" si="13"/>
        <v/>
      </c>
      <c r="H40" s="188" t="str">
        <f t="shared" si="13"/>
        <v/>
      </c>
      <c r="I40" s="188" t="str">
        <f t="shared" si="13"/>
        <v/>
      </c>
      <c r="J40" s="188" t="str">
        <f t="shared" si="13"/>
        <v/>
      </c>
      <c r="K40" s="188" t="str">
        <f t="shared" si="13"/>
        <v/>
      </c>
      <c r="L40" s="188" t="str">
        <f t="shared" si="13"/>
        <v/>
      </c>
    </row>
    <row r="42" spans="2:12" ht="15.75">
      <c r="B42" s="185" t="s">
        <v>10748</v>
      </c>
      <c r="C42" s="185"/>
      <c r="D42" s="185"/>
      <c r="E42" s="185"/>
      <c r="F42" s="185"/>
      <c r="G42" s="185"/>
      <c r="H42" s="185"/>
      <c r="I42" s="185"/>
      <c r="J42" s="185"/>
      <c r="K42" s="185"/>
      <c r="L42" s="185"/>
    </row>
    <row r="43" spans="2:12" ht="12.75">
      <c r="B43" s="165" t="s">
        <v>10749</v>
      </c>
      <c r="C43" s="187">
        <v>1</v>
      </c>
      <c r="D43" s="187">
        <v>1</v>
      </c>
      <c r="E43" s="187">
        <v>1</v>
      </c>
      <c r="F43" s="187">
        <v>1</v>
      </c>
      <c r="G43" s="187">
        <v>1</v>
      </c>
      <c r="H43" s="187">
        <v>1</v>
      </c>
      <c r="I43" s="187">
        <v>1</v>
      </c>
      <c r="J43" s="187">
        <v>1</v>
      </c>
      <c r="K43" s="187">
        <v>1</v>
      </c>
      <c r="L43" s="187">
        <v>1</v>
      </c>
    </row>
    <row r="44" spans="2:12" ht="12.75">
      <c r="B44" s="165" t="s">
        <v>10750</v>
      </c>
      <c r="C44" s="18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18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1.03</v>
      </c>
      <c r="E44" s="18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8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8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8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8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8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8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8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 r="B45" s="165" t="s">
        <v>10751</v>
      </c>
      <c r="C45" s="188">
        <f>IFERROR(INDEX(LAM_VALUES,MATCH('Cost Approach'!$C$8,LAM_CITY,0),MATCH("Class "&amp;IF(C7="CMILL","C",IF(C7="DPOLE","D",IF(C7="A-B","B",C7))),LAM_CLASSHDR,0)),"")</f>
        <v>1</v>
      </c>
      <c r="D45" s="188">
        <f>IFERROR(INDEX(LAM_VALUES,MATCH('Cost Approach'!$C$8,LAM_CITY,0),MATCH("Class "&amp;IF(D7="CMILL","C",IF(D7="DPOLE","D",IF(D7="A-B","B",D7))),LAM_CLASSHDR,0)),"")</f>
        <v>1</v>
      </c>
      <c r="E45" s="188" t="str">
        <f>IFERROR(INDEX(LAM_VALUES,MATCH('Cost Approach'!$C$8,LAM_CITY,0),MATCH("Class "&amp;IF(E7="CMILL","C",IF(E7="DPOLE","D",IF(E7="A-B","B",E7))),LAM_CLASSHDR,0)),"")</f>
        <v/>
      </c>
      <c r="F45" s="188" t="str">
        <f>IFERROR(INDEX(LAM_VALUES,MATCH('Cost Approach'!$C$8,LAM_CITY,0),MATCH("Class "&amp;IF(F7="CMILL","C",IF(F7="DPOLE","D",IF(F7="A-B","B",F7))),LAM_CLASSHDR,0)),"")</f>
        <v/>
      </c>
      <c r="G45" s="188" t="str">
        <f>IFERROR(INDEX(LAM_VALUES,MATCH('Cost Approach'!$C$8,LAM_CITY,0),MATCH("Class "&amp;IF(G7="CMILL","C",IF(G7="DPOLE","D",IF(G7="A-B","B",G7))),LAM_CLASSHDR,0)),"")</f>
        <v/>
      </c>
      <c r="H45" s="188" t="str">
        <f>IFERROR(INDEX(LAM_VALUES,MATCH('Cost Approach'!$C$8,LAM_CITY,0),MATCH("Class "&amp;IF(H7="CMILL","C",IF(H7="DPOLE","D",IF(H7="A-B","B",H7))),LAM_CLASSHDR,0)),"")</f>
        <v/>
      </c>
      <c r="I45" s="188" t="str">
        <f>IFERROR(INDEX(LAM_VALUES,MATCH('Cost Approach'!$C$8,LAM_CITY,0),MATCH("Class "&amp;IF(I7="CMILL","C",IF(I7="DPOLE","D",IF(I7="A-B","B",I7))),LAM_CLASSHDR,0)),"")</f>
        <v/>
      </c>
      <c r="J45" s="188" t="str">
        <f>IFERROR(INDEX(LAM_VALUES,MATCH('Cost Approach'!$C$8,LAM_CITY,0),MATCH("Class "&amp;IF(J7="CMILL","C",IF(J7="DPOLE","D",IF(J7="A-B","B",J7))),LAM_CLASSHDR,0)),"")</f>
        <v/>
      </c>
      <c r="K45" s="188" t="str">
        <f>IFERROR(INDEX(LAM_VALUES,MATCH('Cost Approach'!$C$8,LAM_CITY,0),MATCH("Class "&amp;IF(K7="CMILL","C",IF(K7="DPOLE","D",IF(K7="A-B","B",K7))),LAM_CLASSHDR,0)),"")</f>
        <v/>
      </c>
      <c r="L45" s="188" t="str">
        <f>IFERROR(INDEX(LAM_VALUES,MATCH('Cost Approach'!$C$8,LAM_CITY,0),MATCH("Class "&amp;IF(L7="CMILL","C",IF(L7="DPOLE","D",IF(L7="A-B","B",L7))),LAM_CLASSHDR,0)),"")</f>
        <v/>
      </c>
    </row>
  </sheetData>
  <conditionalFormatting sqref="C4:L45">
    <cfRule type="expression" dxfId="3" priority="1">
      <formula>(COLUMN()-2)&gt;Subj_NumBldgs</formula>
    </cfRule>
  </conditionalFormatting>
  <dataValidations count="3">
    <dataValidation type="list" allowBlank="1" showErrorMessage="1" sqref="C7:L7" xr:uid="{00000000-0002-0000-0A00-000000000000}">
      <formula1>"A,B,A-B,C,CMILL,CDS,D,DPOLE,DMASVEN,S,SSLANT"</formula1>
    </dataValidation>
    <dataValidation type="list" allowBlank="1" showErrorMessage="1" sqref="C8:L8 C11:L11" xr:uid="{00000000-0002-0000-0A00-000001000000}">
      <formula1>"Low Cost,Fair,Average,Good,Very Good,Excellent,Cheap"</formula1>
    </dataValidation>
    <dataValidation type="list" allowBlank="1" showErrorMessage="1" sqref="C35:L35" xr:uid="{00000000-0002-0000-0A00-000003000000}">
      <formula1>"Per SF,Per Unit,Per Key"</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0ED13-0533-49D8-B2C7-B14A62325898}">
  <dimension ref="B1:G18"/>
  <sheetViews>
    <sheetView workbookViewId="0">
      <selection activeCell="D10" sqref="D10"/>
    </sheetView>
  </sheetViews>
  <sheetFormatPr defaultRowHeight="10.5"/>
  <cols>
    <col min="1" max="1" width="2" customWidth="1"/>
    <col min="2" max="2" width="34" customWidth="1"/>
    <col min="3" max="3" width="18" customWidth="1"/>
    <col min="4" max="4" width="9" customWidth="1"/>
    <col min="5" max="5" width="16" customWidth="1"/>
    <col min="6" max="6" width="13" customWidth="1"/>
    <col min="7" max="7" width="15" customWidth="1"/>
  </cols>
  <sheetData>
    <row r="1" spans="2:7" ht="21.95" customHeight="1">
      <c r="B1" s="517" t="s">
        <v>10752</v>
      </c>
      <c r="C1" s="517"/>
      <c r="D1" s="517"/>
      <c r="E1" s="517"/>
      <c r="F1" s="517"/>
    </row>
    <row r="2" spans="2:7" ht="56.1" customHeight="1">
      <c r="B2" s="569" t="s">
        <v>10753</v>
      </c>
      <c r="C2" s="569"/>
      <c r="D2" s="569"/>
      <c r="E2" s="569"/>
      <c r="F2" s="569"/>
    </row>
    <row r="4" spans="2:7" ht="12.75">
      <c r="B4" s="165" t="s">
        <v>10754</v>
      </c>
      <c r="C4" s="186" t="str">
        <f>Subj_Address</f>
        <v>5775 Franklin Street</v>
      </c>
    </row>
    <row r="5" spans="2:7" ht="12.75">
      <c r="B5" s="165" t="s">
        <v>10755</v>
      </c>
      <c r="C5" s="186" t="str">
        <f>Subj_Basis</f>
        <v>Per SF</v>
      </c>
    </row>
    <row r="6" spans="2:7" ht="12.75">
      <c r="B6" s="165" t="s">
        <v>10756</v>
      </c>
      <c r="C6" s="187">
        <f>Subj_TotalBldgSF</f>
        <v>16800</v>
      </c>
    </row>
    <row r="7" spans="2:7" ht="12.75">
      <c r="B7" s="165" t="s">
        <v>10757</v>
      </c>
      <c r="C7" s="187">
        <f>Subj_TotalUnits</f>
        <v>0</v>
      </c>
    </row>
    <row r="9" spans="2:7" ht="15.75">
      <c r="B9" s="185" t="s">
        <v>10758</v>
      </c>
      <c r="C9" s="185" t="s">
        <v>112</v>
      </c>
      <c r="D9" s="185" t="s">
        <v>10759</v>
      </c>
      <c r="E9" s="185" t="s">
        <v>10760</v>
      </c>
      <c r="F9" s="185" t="s">
        <v>10761</v>
      </c>
      <c r="G9" s="185" t="s">
        <v>10762</v>
      </c>
    </row>
    <row r="10" spans="2:7" ht="12.75">
      <c r="B10" s="165" t="s">
        <v>10763</v>
      </c>
      <c r="C10" s="187">
        <f ca="1">IF(F10&lt;&gt;"",F10,IFERROR('Cost Approach MB'!C29,0))</f>
        <v>6339790.9179018242</v>
      </c>
      <c r="D10" s="187">
        <v>0</v>
      </c>
      <c r="E10" s="187">
        <f ca="1">N(C10)*N(D10)</f>
        <v>0</v>
      </c>
      <c r="F10" s="186"/>
      <c r="G10" s="187"/>
    </row>
    <row r="11" spans="2:7" ht="12.75">
      <c r="B11" s="165" t="s">
        <v>10764</v>
      </c>
      <c r="C11" s="187">
        <f>IF(F11&lt;&gt;"",F11,IFERROR(AVERAGEIF(G11:G13,"&gt;0"),0))</f>
        <v>2475466.6666666665</v>
      </c>
      <c r="D11" s="187">
        <v>0</v>
      </c>
      <c r="E11" s="187">
        <f>N(C11)*N(D11)</f>
        <v>2475466.6666666665</v>
      </c>
      <c r="F11" s="186"/>
      <c r="G11" s="187">
        <f>IFERROR(WO!H22,0)</f>
        <v>2262800</v>
      </c>
    </row>
    <row r="12" spans="2:7" ht="12.75">
      <c r="B12" s="165" t="s">
        <v>10765</v>
      </c>
      <c r="C12" s="187">
        <f>IF(F12&lt;&gt;"",F12,IFERROR('Direct Cap'!C21,0))</f>
      </c>
      <c r="D12" s="187">
        <v>1</v>
      </c>
      <c r="E12" s="187">
        <f>N(C12)*N(D12)</f>
        <v>0</v>
      </c>
      <c r="F12" s="186"/>
      <c r="G12" s="187">
        <f>IFERROR(WO!H25,0)</f>
        <v>2393600</v>
      </c>
    </row>
    <row r="13" spans="2:7" ht="12.75">
      <c r="B13" s="165" t="s">
        <v>152</v>
      </c>
      <c r="C13" s="187"/>
      <c r="D13" s="187">
        <f>SUM(D10:D12)</f>
        <v>1</v>
      </c>
      <c r="E13" s="187">
        <f ca="1">SUM(E10:E12)</f>
        <v>2475466.6666666665</v>
      </c>
      <c r="F13" s="186"/>
      <c r="G13" s="187">
        <f>IFERROR(WO!H28,0)</f>
        <v>2770000</v>
      </c>
    </row>
    <row r="15" spans="2:7" ht="15.75">
      <c r="B15" s="185" t="s">
        <v>10766</v>
      </c>
      <c r="C15" s="185">
        <f ca="1">IF(D13=0,0,E13/D13)</f>
        <v>2475466.6666666665</v>
      </c>
    </row>
    <row r="16" spans="2:7" ht="15.75">
      <c r="B16" s="185" t="s">
        <v>10767</v>
      </c>
      <c r="C16" s="185">
        <f ca="1">ROUND(C15/5000,0)*5000</f>
        <v>2475000</v>
      </c>
    </row>
    <row r="17" spans="2:3" ht="12.75">
      <c r="B17" s="165" t="s">
        <v>10768</v>
      </c>
      <c r="C17" s="187">
        <f ca="1">IFERROR(C16/Subj_TotalBldgSF,"")</f>
        <v>147.32142857142858</v>
      </c>
    </row>
    <row r="18" spans="2:3" ht="12.75">
      <c r="B18" s="165" t="s">
        <v>10769</v>
      </c>
      <c r="C18" s="187" t="str">
        <f>IF(Subj_Basis="Per SF","n/a (SF-based)",IFERROR(C16/Subj_TotalUnits,""))</f>
        <v>n/a (SF-based)</v>
      </c>
    </row>
  </sheetData>
  <mergeCells count="2">
    <mergeCell ref="B1:F1"/>
    <mergeCell ref="B2:F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01A7B-3D32-4AF4-9CCE-323C5F0DFB73}">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6640625" style="89" bestFit="1" customWidth="1"/>
    <col min="9" max="9" width="21" style="59" bestFit="1" customWidth="1"/>
    <col min="10" max="10" width="11" style="59" bestFit="1" customWidth="1"/>
    <col min="11" max="11" width="9.83203125" style="59" bestFit="1" customWidth="1"/>
    <col min="12" max="12" width="11.33203125" style="59" bestFit="1" customWidth="1"/>
    <col min="13" max="13" width="7" style="59" bestFit="1" customWidth="1"/>
    <col min="14" max="14" width="8.33203125" style="59" bestFit="1" customWidth="1"/>
    <col min="15" max="15" width="9" style="67" bestFit="1" customWidth="1"/>
    <col min="16" max="16" width="26" style="59" bestFit="1" customWidth="1"/>
    <col min="17" max="17" width="5.6640625" style="67" bestFit="1" customWidth="1"/>
    <col min="18" max="18" width="11" style="111" bestFit="1" customWidth="1"/>
    <col min="19" max="19" width="11.33203125" style="59" bestFit="1" customWidth="1"/>
    <col min="20" max="20" width="11.6640625" style="59" bestFit="1" customWidth="1"/>
    <col min="21" max="21" width="11" style="59" bestFit="1" customWidth="1"/>
    <col min="22" max="22" width="8.83203125" style="59" bestFit="1" customWidth="1"/>
    <col min="23" max="23" width="7" style="59" bestFit="1" customWidth="1"/>
    <col min="24" max="24" width="13.1640625" style="59" bestFit="1" customWidth="1"/>
    <col min="25" max="25" width="13.33203125" style="59" bestFit="1" customWidth="1"/>
    <col min="26" max="26" width="12" style="59" bestFit="1" customWidth="1"/>
    <col min="27" max="27" width="13.33203125" style="59" bestFit="1" customWidth="1"/>
    <col min="28" max="28" width="10.6640625" style="59" bestFit="1" customWidth="1"/>
    <col min="29" max="30" width="15" style="59" bestFit="1" customWidth="1"/>
    <col min="31" max="32" width="52" style="59" bestFit="1" customWidth="1"/>
    <col min="33" max="34" width="10.1640625" style="59" bestFit="1" customWidth="1"/>
    <col min="35" max="35" width="9.33203125" style="59" hidden="1" customWidth="1"/>
    <col min="36" max="36" width="13" hidden="1" customWidth="1"/>
    <col min="37" max="16384" width="9.33203125" style="59" hidden="1"/>
  </cols>
  <sheetData>
    <row r="1" spans="1:37" ht="36" customHeight="1">
      <c r="A1" s="219" t="s">
        <v>1755</v>
      </c>
      <c r="B1" s="219" t="s">
        <v>1756</v>
      </c>
      <c r="C1" s="219" t="s">
        <v>1757</v>
      </c>
      <c r="D1" s="220" t="s">
        <v>1758</v>
      </c>
      <c r="E1" s="219" t="s">
        <v>1759</v>
      </c>
      <c r="F1" s="219" t="s">
        <v>1760</v>
      </c>
      <c r="G1" s="220" t="s">
        <v>1761</v>
      </c>
      <c r="H1" s="221" t="s">
        <v>1762</v>
      </c>
      <c r="I1" s="219" t="s">
        <v>1763</v>
      </c>
      <c r="J1" s="219" t="s">
        <v>1764</v>
      </c>
      <c r="K1" s="219" t="s">
        <v>1765</v>
      </c>
      <c r="L1" s="219" t="s">
        <v>1766</v>
      </c>
      <c r="M1" s="219" t="s">
        <v>35</v>
      </c>
      <c r="N1" s="219" t="s">
        <v>1767</v>
      </c>
      <c r="O1" s="219" t="s">
        <v>1768</v>
      </c>
      <c r="P1" s="219" t="s">
        <v>57</v>
      </c>
      <c r="Q1" s="219" t="s">
        <v>1769</v>
      </c>
      <c r="R1" s="219" t="s">
        <v>1770</v>
      </c>
      <c r="S1" s="219" t="s">
        <v>150</v>
      </c>
      <c r="T1" s="220" t="s">
        <v>1771</v>
      </c>
      <c r="U1" s="219" t="s">
        <v>1772</v>
      </c>
      <c r="V1" s="219" t="s">
        <v>1773</v>
      </c>
      <c r="W1" s="219" t="s">
        <v>1774</v>
      </c>
      <c r="X1" s="219" t="s">
        <v>1775</v>
      </c>
      <c r="Y1" s="219" t="s">
        <v>1776</v>
      </c>
      <c r="Z1" s="219" t="s">
        <v>1777</v>
      </c>
      <c r="AA1" s="219" t="s">
        <v>1776</v>
      </c>
      <c r="AB1" s="219" t="s">
        <v>1778</v>
      </c>
      <c r="AC1" s="219" t="s">
        <v>56</v>
      </c>
      <c r="AD1" s="219" t="s">
        <v>1779</v>
      </c>
      <c r="AE1" s="260" t="s">
        <v>94</v>
      </c>
      <c r="AF1" s="260" t="s">
        <v>98</v>
      </c>
      <c r="AG1" s="219" t="s">
        <v>1780</v>
      </c>
      <c r="AH1" s="219" t="s">
        <v>1780</v>
      </c>
      <c r="AI1" s="222" t="s">
        <v>1781</v>
      </c>
      <c r="AJ1" t="s">
        <v>1782</v>
      </c>
      <c r="AK1" t="s">
        <v>10770</v>
      </c>
    </row>
    <row r="2" spans="1:37" ht="15" customHeight="1">
      <c r="A2" s="60">
        <v>5</v>
      </c>
      <c r="N2" s="4"/>
      <c r="O2" s="4"/>
      <c r="AB2" s="61"/>
      <c r="AI2" t="e">
        <f t="shared" ref="AI2:AI65" si="0">IF(AND($E2=Subj_OccCode,Subj_BldgSF&gt;0,ABS($L2-Subj_BldgSF)&lt;=Subj_BldgSF*Subj_SizeTol),ABS($L2-Subj_BldgSF),NA())</f>
        <v>#N/A</v>
      </c>
      <c r="AJ2" t="e">
        <f t="shared" ref="AJ2:AJ65" si="1">IF(ISNA(AI2),NA(),AI2+ROW()/10000000)</f>
        <v>#N/A</v>
      </c>
      <c r="AK2" t="str">
        <f t="shared" ref="AK2:AK65" si="2">IF(AND(ISNUMBER($N2),$N2&gt;0,ISNUMBER($Y2)),$Y2/$N2,"")</f>
        <v/>
      </c>
    </row>
    <row r="3" spans="1:37" ht="15" customHeight="1">
      <c r="A3" s="60">
        <v>5</v>
      </c>
      <c r="AB3" s="61"/>
      <c r="AI3" t="e">
        <f t="shared" si="0"/>
        <v>#N/A</v>
      </c>
      <c r="AJ3" t="e">
        <f t="shared" si="1"/>
        <v>#N/A</v>
      </c>
      <c r="AK3" t="str">
        <f t="shared" si="2"/>
        <v/>
      </c>
    </row>
    <row r="4" spans="1:37" ht="15" customHeight="1">
      <c r="A4" s="60">
        <v>5</v>
      </c>
      <c r="AB4" s="61"/>
      <c r="AI4" t="e">
        <f t="shared" si="0"/>
        <v>#N/A</v>
      </c>
      <c r="AJ4" t="e">
        <f t="shared" si="1"/>
        <v>#N/A</v>
      </c>
      <c r="AK4" t="str">
        <f t="shared" si="2"/>
        <v/>
      </c>
    </row>
    <row r="5" spans="1:37" ht="15" customHeight="1">
      <c r="A5" s="60">
        <v>5</v>
      </c>
      <c r="AB5" s="61"/>
      <c r="AI5" t="e">
        <f t="shared" si="0"/>
        <v>#N/A</v>
      </c>
      <c r="AJ5" t="e">
        <f t="shared" si="1"/>
        <v>#N/A</v>
      </c>
      <c r="AK5" t="str">
        <f t="shared" si="2"/>
        <v/>
      </c>
    </row>
    <row r="6" spans="1:37" ht="15" customHeight="1">
      <c r="A6" s="122">
        <v>6</v>
      </c>
      <c r="B6" s="59">
        <v>427</v>
      </c>
      <c r="C6" t="s">
        <v>1783</v>
      </c>
      <c r="D6" t="s">
        <v>1784</v>
      </c>
      <c r="E6">
        <v>353</v>
      </c>
      <c r="F6" t="s">
        <v>1785</v>
      </c>
      <c r="G6" t="s">
        <v>1786</v>
      </c>
      <c r="H6" s="119">
        <f t="shared" ref="H6:H69" si="3">Y6/J6</f>
        <v>160.96579476861166</v>
      </c>
      <c r="I6" s="117">
        <v>43731</v>
      </c>
      <c r="J6">
        <v>34790</v>
      </c>
      <c r="L6">
        <v>34790</v>
      </c>
      <c r="M6">
        <v>1973</v>
      </c>
      <c r="P6" t="s">
        <v>1787</v>
      </c>
      <c r="R6" t="s">
        <v>44</v>
      </c>
      <c r="S6">
        <v>156485</v>
      </c>
      <c r="T6" s="118">
        <f>S6/J6</f>
        <v>4.4979879275653927</v>
      </c>
      <c r="U6" t="s">
        <v>44</v>
      </c>
      <c r="Y6">
        <v>5600000</v>
      </c>
      <c r="AA6">
        <v>5600000</v>
      </c>
      <c r="AC6" t="s">
        <v>1788</v>
      </c>
      <c r="AD6" t="s">
        <v>1789</v>
      </c>
      <c r="AE6" s="243" t="s">
        <v>1790</v>
      </c>
      <c r="AF6" s="243" t="s">
        <v>1791</v>
      </c>
      <c r="AI6" s="59" t="e">
        <f t="shared" si="0"/>
        <v>#N/A</v>
      </c>
      <c r="AJ6" t="e">
        <f t="shared" si="1"/>
        <v>#N/A</v>
      </c>
      <c r="AK6" t="str">
        <f t="shared" si="2"/>
        <v/>
      </c>
    </row>
    <row r="7" spans="1:37" ht="15" customHeight="1">
      <c r="A7" s="122">
        <v>6</v>
      </c>
      <c r="B7" s="59">
        <v>514</v>
      </c>
      <c r="C7" t="s">
        <v>1792</v>
      </c>
      <c r="D7" t="s">
        <v>1793</v>
      </c>
      <c r="E7">
        <v>353</v>
      </c>
      <c r="F7" t="s">
        <v>1785</v>
      </c>
      <c r="G7" t="s">
        <v>89</v>
      </c>
      <c r="H7" s="119">
        <f t="shared" si="3"/>
        <v>132.99319727891157</v>
      </c>
      <c r="I7" s="117">
        <v>43374</v>
      </c>
      <c r="J7">
        <v>14700</v>
      </c>
      <c r="L7">
        <v>14700</v>
      </c>
      <c r="M7">
        <v>1978</v>
      </c>
      <c r="R7" t="s">
        <v>44</v>
      </c>
      <c r="S7">
        <v>93313</v>
      </c>
      <c r="T7" s="118">
        <f>S7/J7</f>
        <v>6.3478231292517009</v>
      </c>
      <c r="U7" t="s">
        <v>44</v>
      </c>
      <c r="Y7">
        <v>1955000</v>
      </c>
      <c r="AA7">
        <v>1955000</v>
      </c>
      <c r="AC7" t="s">
        <v>1794</v>
      </c>
      <c r="AD7" t="s">
        <v>1795</v>
      </c>
      <c r="AE7" s="243" t="s">
        <v>1796</v>
      </c>
      <c r="AF7" s="243" t="s">
        <v>1797</v>
      </c>
      <c r="AI7" s="59" t="e">
        <f t="shared" si="0"/>
        <v>#N/A</v>
      </c>
      <c r="AJ7" t="e">
        <f t="shared" si="1"/>
        <v>#N/A</v>
      </c>
      <c r="AK7" t="str">
        <f t="shared" si="2"/>
        <v/>
      </c>
    </row>
    <row r="8" spans="1:37" ht="15" customHeight="1">
      <c r="A8" s="122">
        <v>6</v>
      </c>
      <c r="B8" s="59">
        <v>599</v>
      </c>
      <c r="C8" t="s">
        <v>1798</v>
      </c>
      <c r="D8" t="s">
        <v>1799</v>
      </c>
      <c r="E8">
        <v>353</v>
      </c>
      <c r="F8" t="s">
        <v>1800</v>
      </c>
      <c r="G8" t="s">
        <v>88</v>
      </c>
      <c r="H8" s="119">
        <f t="shared" si="3"/>
        <v>145.78777465375404</v>
      </c>
      <c r="I8" s="117">
        <v>43354</v>
      </c>
      <c r="J8">
        <v>19206</v>
      </c>
      <c r="L8">
        <v>19206</v>
      </c>
      <c r="M8">
        <v>2005</v>
      </c>
      <c r="R8" t="s">
        <v>44</v>
      </c>
      <c r="S8">
        <v>104650</v>
      </c>
      <c r="T8" s="118">
        <f>S8/J8</f>
        <v>5.4488180776840567</v>
      </c>
      <c r="U8" t="s">
        <v>44</v>
      </c>
      <c r="Y8">
        <v>2800000</v>
      </c>
      <c r="AA8">
        <v>2800000</v>
      </c>
      <c r="AC8" t="s">
        <v>1801</v>
      </c>
      <c r="AD8" t="s">
        <v>1802</v>
      </c>
      <c r="AE8" s="243" t="s">
        <v>1803</v>
      </c>
      <c r="AF8" s="243" t="s">
        <v>1804</v>
      </c>
      <c r="AI8" s="59" t="e">
        <f t="shared" si="0"/>
        <v>#N/A</v>
      </c>
      <c r="AJ8" t="e">
        <f t="shared" si="1"/>
        <v>#N/A</v>
      </c>
      <c r="AK8" t="str">
        <f t="shared" si="2"/>
        <v/>
      </c>
    </row>
    <row r="9" spans="1:37" ht="15" customHeight="1">
      <c r="A9" s="62">
        <v>7</v>
      </c>
      <c r="B9" s="59">
        <v>1</v>
      </c>
      <c r="C9" t="s">
        <v>1805</v>
      </c>
      <c r="D9" t="s">
        <v>1806</v>
      </c>
      <c r="E9">
        <v>350</v>
      </c>
      <c r="F9" t="s">
        <v>1800</v>
      </c>
      <c r="G9" t="s">
        <v>90</v>
      </c>
      <c r="H9" s="119">
        <f t="shared" si="3"/>
        <v>188.46588767433096</v>
      </c>
      <c r="I9" s="123">
        <v>45219</v>
      </c>
      <c r="J9">
        <v>5306</v>
      </c>
      <c r="K9" s="119"/>
      <c r="L9">
        <v>5306</v>
      </c>
      <c r="M9">
        <v>1986</v>
      </c>
      <c r="P9" t="s">
        <v>1807</v>
      </c>
      <c r="R9" t="s">
        <v>44</v>
      </c>
      <c r="S9">
        <v>35348</v>
      </c>
      <c r="T9" s="120">
        <f t="shared" ref="T9:T72" si="4">S9/L9</f>
        <v>6.66189219751225</v>
      </c>
      <c r="U9" t="s">
        <v>44</v>
      </c>
      <c r="V9" s="120"/>
      <c r="W9" s="120"/>
      <c r="X9" s="120"/>
      <c r="Y9" s="121">
        <v>1000000</v>
      </c>
      <c r="Z9" s="121"/>
      <c r="AA9" s="121">
        <v>1000000</v>
      </c>
      <c r="AB9" s="121"/>
      <c r="AC9" t="s">
        <v>1808</v>
      </c>
      <c r="AD9" t="s">
        <v>1809</v>
      </c>
      <c r="AE9" s="243" t="s">
        <v>1810</v>
      </c>
      <c r="AF9" s="243" t="s">
        <v>1811</v>
      </c>
      <c r="AI9" s="59" t="e">
        <f t="shared" si="0"/>
        <v>#N/A</v>
      </c>
      <c r="AJ9" t="e">
        <f t="shared" si="1"/>
        <v>#N/A</v>
      </c>
      <c r="AK9" t="str">
        <f t="shared" si="2"/>
        <v/>
      </c>
    </row>
    <row r="10" spans="1:37" ht="15" customHeight="1">
      <c r="A10" s="62">
        <v>7</v>
      </c>
      <c r="B10" s="59">
        <v>2</v>
      </c>
      <c r="C10" t="s">
        <v>1812</v>
      </c>
      <c r="D10" t="s">
        <v>1813</v>
      </c>
      <c r="E10">
        <v>334</v>
      </c>
      <c r="F10" t="s">
        <v>1814</v>
      </c>
      <c r="G10" t="s">
        <v>1815</v>
      </c>
      <c r="H10" s="119">
        <f t="shared" si="3"/>
        <v>210.54224158799323</v>
      </c>
      <c r="I10" s="123">
        <v>44875</v>
      </c>
      <c r="J10">
        <v>16524</v>
      </c>
      <c r="K10" s="119"/>
      <c r="L10">
        <v>16524</v>
      </c>
      <c r="M10">
        <v>1978</v>
      </c>
      <c r="P10" t="s">
        <v>1816</v>
      </c>
      <c r="R10" t="s">
        <v>229</v>
      </c>
      <c r="S10">
        <v>93218</v>
      </c>
      <c r="T10" s="120">
        <f t="shared" si="4"/>
        <v>5.6413701282982327</v>
      </c>
      <c r="U10" t="s">
        <v>229</v>
      </c>
      <c r="V10" s="120"/>
      <c r="W10" s="120"/>
      <c r="X10" s="120"/>
      <c r="Y10" s="121">
        <v>3479000</v>
      </c>
      <c r="Z10" s="121"/>
      <c r="AA10" s="121">
        <v>3479000</v>
      </c>
      <c r="AB10" s="121"/>
      <c r="AC10" t="s">
        <v>1817</v>
      </c>
      <c r="AD10" t="s">
        <v>1818</v>
      </c>
      <c r="AE10" s="243" t="s">
        <v>1819</v>
      </c>
      <c r="AF10" s="243" t="s">
        <v>1820</v>
      </c>
      <c r="AI10" s="59" t="e">
        <f t="shared" si="0"/>
        <v>#N/A</v>
      </c>
      <c r="AJ10" t="e">
        <f t="shared" si="1"/>
        <v>#N/A</v>
      </c>
      <c r="AK10" t="str">
        <f t="shared" si="2"/>
        <v/>
      </c>
    </row>
    <row r="11" spans="1:37" ht="15" customHeight="1">
      <c r="A11" s="62">
        <v>7</v>
      </c>
      <c r="B11" s="59">
        <v>3</v>
      </c>
      <c r="C11" t="s">
        <v>1821</v>
      </c>
      <c r="D11" t="s">
        <v>1822</v>
      </c>
      <c r="E11">
        <v>407</v>
      </c>
      <c r="F11" t="s">
        <v>1814</v>
      </c>
      <c r="G11" t="s">
        <v>1815</v>
      </c>
      <c r="H11" s="119">
        <f t="shared" si="3"/>
        <v>177.08333333333334</v>
      </c>
      <c r="I11" s="123">
        <v>45275</v>
      </c>
      <c r="J11">
        <v>9600</v>
      </c>
      <c r="K11" s="119"/>
      <c r="L11">
        <v>9600</v>
      </c>
      <c r="M11">
        <v>1972</v>
      </c>
      <c r="P11" t="s">
        <v>1816</v>
      </c>
      <c r="R11" t="s">
        <v>44</v>
      </c>
      <c r="S11">
        <v>22687</v>
      </c>
      <c r="T11" s="120">
        <f t="shared" si="4"/>
        <v>2.3632291666666667</v>
      </c>
      <c r="U11" t="s">
        <v>44</v>
      </c>
      <c r="V11" s="120"/>
      <c r="W11" s="120"/>
      <c r="X11" s="120"/>
      <c r="Y11" s="121">
        <v>1700000</v>
      </c>
      <c r="Z11" s="121"/>
      <c r="AA11" s="121">
        <v>1700000</v>
      </c>
      <c r="AB11" s="121"/>
      <c r="AC11" t="s">
        <v>1823</v>
      </c>
      <c r="AD11" t="s">
        <v>1824</v>
      </c>
      <c r="AE11" s="243" t="s">
        <v>1825</v>
      </c>
      <c r="AF11" s="243" t="s">
        <v>1826</v>
      </c>
      <c r="AI11" s="59" t="e">
        <f t="shared" si="0"/>
        <v>#N/A</v>
      </c>
      <c r="AJ11" t="e">
        <f t="shared" si="1"/>
        <v>#N/A</v>
      </c>
      <c r="AK11" t="str">
        <f t="shared" si="2"/>
        <v/>
      </c>
    </row>
    <row r="12" spans="1:37" ht="15" customHeight="1">
      <c r="A12" s="62">
        <v>7</v>
      </c>
      <c r="B12" s="59">
        <v>4</v>
      </c>
      <c r="C12" t="s">
        <v>1827</v>
      </c>
      <c r="D12" t="s">
        <v>1828</v>
      </c>
      <c r="E12">
        <v>350</v>
      </c>
      <c r="F12" t="s">
        <v>1800</v>
      </c>
      <c r="G12" t="s">
        <v>1786</v>
      </c>
      <c r="H12" s="119">
        <f t="shared" si="3"/>
        <v>204.75020475020474</v>
      </c>
      <c r="I12" s="123">
        <v>45331</v>
      </c>
      <c r="J12">
        <v>9768</v>
      </c>
      <c r="K12" s="119"/>
      <c r="L12">
        <v>9768</v>
      </c>
      <c r="M12">
        <v>1999</v>
      </c>
      <c r="P12" t="s">
        <v>1807</v>
      </c>
      <c r="R12" t="s">
        <v>229</v>
      </c>
      <c r="S12">
        <v>68877.070300000007</v>
      </c>
      <c r="T12" s="120">
        <f t="shared" si="4"/>
        <v>7.0512971232596238</v>
      </c>
      <c r="U12" t="s">
        <v>229</v>
      </c>
      <c r="V12" s="120"/>
      <c r="W12" s="120"/>
      <c r="X12" s="120"/>
      <c r="Y12" s="121">
        <v>2000000</v>
      </c>
      <c r="Z12" s="121"/>
      <c r="AA12" s="121">
        <v>2000000</v>
      </c>
      <c r="AB12" s="121"/>
      <c r="AC12" t="s">
        <v>1829</v>
      </c>
      <c r="AD12" t="s">
        <v>1830</v>
      </c>
      <c r="AE12" s="243" t="s">
        <v>1831</v>
      </c>
      <c r="AF12" s="243" t="s">
        <v>1832</v>
      </c>
      <c r="AI12" s="59" t="e">
        <f t="shared" si="0"/>
        <v>#N/A</v>
      </c>
      <c r="AJ12" t="e">
        <f t="shared" si="1"/>
        <v>#N/A</v>
      </c>
      <c r="AK12" t="str">
        <f t="shared" si="2"/>
        <v/>
      </c>
    </row>
    <row r="13" spans="1:37" ht="15" customHeight="1">
      <c r="A13" s="62">
        <v>7</v>
      </c>
      <c r="B13" s="59">
        <v>5</v>
      </c>
      <c r="C13" t="s">
        <v>1833</v>
      </c>
      <c r="D13" t="s">
        <v>1834</v>
      </c>
      <c r="E13">
        <v>353</v>
      </c>
      <c r="F13" t="s">
        <v>1800</v>
      </c>
      <c r="G13" t="s">
        <v>90</v>
      </c>
      <c r="H13" s="119">
        <f t="shared" si="3"/>
        <v>253.72660957817951</v>
      </c>
      <c r="I13" s="123">
        <v>45258</v>
      </c>
      <c r="J13">
        <v>6306</v>
      </c>
      <c r="K13" s="119"/>
      <c r="L13">
        <v>6306</v>
      </c>
      <c r="M13">
        <v>2006</v>
      </c>
      <c r="P13" t="s">
        <v>1807</v>
      </c>
      <c r="R13" t="s">
        <v>229</v>
      </c>
      <c r="S13">
        <v>40087</v>
      </c>
      <c r="T13" s="120">
        <f t="shared" si="4"/>
        <v>6.3569616238503013</v>
      </c>
      <c r="U13" t="s">
        <v>229</v>
      </c>
      <c r="V13" s="120"/>
      <c r="W13" s="120"/>
      <c r="X13" s="120"/>
      <c r="Y13" s="121">
        <v>1600000</v>
      </c>
      <c r="Z13" s="121"/>
      <c r="AA13" s="121">
        <v>1500000</v>
      </c>
      <c r="AB13" s="121"/>
      <c r="AC13" t="s">
        <v>1835</v>
      </c>
      <c r="AD13" t="s">
        <v>1836</v>
      </c>
      <c r="AE13" s="243" t="s">
        <v>1837</v>
      </c>
      <c r="AF13" s="243" t="s">
        <v>1838</v>
      </c>
      <c r="AI13" s="59" t="e">
        <f t="shared" si="0"/>
        <v>#N/A</v>
      </c>
      <c r="AJ13" t="e">
        <f t="shared" si="1"/>
        <v>#N/A</v>
      </c>
      <c r="AK13" t="str">
        <f t="shared" si="2"/>
        <v/>
      </c>
    </row>
    <row r="14" spans="1:37" ht="15" customHeight="1">
      <c r="A14" s="62">
        <v>7</v>
      </c>
      <c r="B14" s="59">
        <v>6</v>
      </c>
      <c r="C14" t="s">
        <v>1839</v>
      </c>
      <c r="D14" t="s">
        <v>1840</v>
      </c>
      <c r="E14">
        <v>1344</v>
      </c>
      <c r="F14" t="s">
        <v>1800</v>
      </c>
      <c r="G14" t="s">
        <v>90</v>
      </c>
      <c r="H14" s="119">
        <f t="shared" si="3"/>
        <v>22.82641777417064</v>
      </c>
      <c r="I14" s="123">
        <v>44970</v>
      </c>
      <c r="J14">
        <v>19714</v>
      </c>
      <c r="K14" s="119"/>
      <c r="L14">
        <v>19714</v>
      </c>
      <c r="M14">
        <v>2006</v>
      </c>
      <c r="P14" t="s">
        <v>1807</v>
      </c>
      <c r="R14" t="s">
        <v>44</v>
      </c>
      <c r="S14">
        <v>5486</v>
      </c>
      <c r="T14" s="120">
        <f t="shared" si="4"/>
        <v>0.27827939535355584</v>
      </c>
      <c r="U14" t="s">
        <v>44</v>
      </c>
      <c r="V14" s="120"/>
      <c r="W14" s="120"/>
      <c r="X14" s="120"/>
      <c r="Y14" s="121">
        <v>450000</v>
      </c>
      <c r="Z14" s="121"/>
      <c r="AA14" s="121">
        <v>450000</v>
      </c>
      <c r="AB14" s="121"/>
      <c r="AC14" t="s">
        <v>1841</v>
      </c>
      <c r="AD14" t="s">
        <v>1842</v>
      </c>
      <c r="AE14" s="243" t="s">
        <v>1843</v>
      </c>
      <c r="AF14" s="243" t="s">
        <v>1844</v>
      </c>
      <c r="AI14" s="59" t="e">
        <f t="shared" si="0"/>
        <v>#N/A</v>
      </c>
      <c r="AJ14" t="e">
        <f t="shared" si="1"/>
        <v>#N/A</v>
      </c>
      <c r="AK14" t="str">
        <f t="shared" si="2"/>
        <v/>
      </c>
    </row>
    <row r="15" spans="1:37" ht="15" customHeight="1">
      <c r="A15" s="62">
        <v>7</v>
      </c>
      <c r="B15" s="59">
        <v>7</v>
      </c>
      <c r="C15" t="s">
        <v>1845</v>
      </c>
      <c r="D15" t="s">
        <v>1846</v>
      </c>
      <c r="E15">
        <v>353</v>
      </c>
      <c r="F15" t="s">
        <v>1800</v>
      </c>
      <c r="G15" t="s">
        <v>90</v>
      </c>
      <c r="H15" s="119">
        <f t="shared" si="3"/>
        <v>403.95846852693057</v>
      </c>
      <c r="I15" s="123">
        <v>44748</v>
      </c>
      <c r="J15">
        <v>6164</v>
      </c>
      <c r="K15" s="119"/>
      <c r="L15">
        <v>6164</v>
      </c>
      <c r="M15">
        <v>2017</v>
      </c>
      <c r="P15" t="s">
        <v>1807</v>
      </c>
      <c r="R15" t="s">
        <v>44</v>
      </c>
      <c r="S15">
        <v>34853</v>
      </c>
      <c r="T15" s="120">
        <f t="shared" si="4"/>
        <v>5.6542829331602853</v>
      </c>
      <c r="U15" t="s">
        <v>44</v>
      </c>
      <c r="V15" s="120"/>
      <c r="W15" s="120"/>
      <c r="X15" s="120"/>
      <c r="Y15" s="121">
        <v>2490000</v>
      </c>
      <c r="Z15" s="121"/>
      <c r="AA15" s="121">
        <v>2490000</v>
      </c>
      <c r="AB15" s="121"/>
      <c r="AC15" t="s">
        <v>1847</v>
      </c>
      <c r="AD15" t="s">
        <v>1848</v>
      </c>
      <c r="AE15" s="243" t="s">
        <v>1849</v>
      </c>
      <c r="AF15" s="243" t="s">
        <v>1850</v>
      </c>
      <c r="AI15" s="59" t="e">
        <f t="shared" si="0"/>
        <v>#N/A</v>
      </c>
      <c r="AJ15" t="e">
        <f t="shared" si="1"/>
        <v>#N/A</v>
      </c>
      <c r="AK15" t="str">
        <f t="shared" si="2"/>
        <v/>
      </c>
    </row>
    <row r="16" spans="1:37" ht="15" customHeight="1">
      <c r="A16" s="62">
        <v>7</v>
      </c>
      <c r="B16" s="59">
        <v>8</v>
      </c>
      <c r="C16" t="s">
        <v>1851</v>
      </c>
      <c r="D16" t="s">
        <v>1852</v>
      </c>
      <c r="E16">
        <v>1332</v>
      </c>
      <c r="F16" t="s">
        <v>1800</v>
      </c>
      <c r="G16" t="s">
        <v>90</v>
      </c>
      <c r="H16" s="119">
        <f t="shared" si="3"/>
        <v>67112.068965517246</v>
      </c>
      <c r="I16" s="123">
        <v>45398</v>
      </c>
      <c r="J16">
        <v>116</v>
      </c>
      <c r="K16" s="119"/>
      <c r="L16">
        <v>116</v>
      </c>
      <c r="M16">
        <v>1985</v>
      </c>
      <c r="P16" t="s">
        <v>1807</v>
      </c>
      <c r="R16" t="s">
        <v>229</v>
      </c>
      <c r="S16">
        <v>92400</v>
      </c>
      <c r="T16" s="120">
        <f t="shared" si="4"/>
        <v>796.55172413793105</v>
      </c>
      <c r="U16" t="s">
        <v>229</v>
      </c>
      <c r="V16" s="120"/>
      <c r="W16" s="120"/>
      <c r="X16" s="120"/>
      <c r="Y16" s="121">
        <v>7785000</v>
      </c>
      <c r="Z16" s="121"/>
      <c r="AA16" s="121">
        <v>7785000</v>
      </c>
      <c r="AB16" s="121"/>
      <c r="AC16" t="s">
        <v>1853</v>
      </c>
      <c r="AD16" t="s">
        <v>1854</v>
      </c>
      <c r="AE16" s="243" t="s">
        <v>1855</v>
      </c>
      <c r="AF16" s="243" t="s">
        <v>1856</v>
      </c>
      <c r="AI16" s="59" t="e">
        <f t="shared" si="0"/>
        <v>#N/A</v>
      </c>
      <c r="AJ16" t="e">
        <f t="shared" si="1"/>
        <v>#N/A</v>
      </c>
      <c r="AK16" t="str">
        <f t="shared" si="2"/>
        <v/>
      </c>
    </row>
    <row r="17" spans="1:37" ht="15" customHeight="1">
      <c r="A17" s="62">
        <v>7</v>
      </c>
      <c r="B17" s="59">
        <v>9</v>
      </c>
      <c r="C17" t="s">
        <v>1857</v>
      </c>
      <c r="D17" t="s">
        <v>1858</v>
      </c>
      <c r="E17">
        <v>344</v>
      </c>
      <c r="F17" t="s">
        <v>1800</v>
      </c>
      <c r="G17" t="s">
        <v>1786</v>
      </c>
      <c r="H17" s="119">
        <f t="shared" si="3"/>
        <v>354.16666666666669</v>
      </c>
      <c r="I17" s="123">
        <v>45358</v>
      </c>
      <c r="J17">
        <v>2400</v>
      </c>
      <c r="K17" s="119"/>
      <c r="L17">
        <v>2400</v>
      </c>
      <c r="M17">
        <v>1980</v>
      </c>
      <c r="P17" t="s">
        <v>1807</v>
      </c>
      <c r="R17" t="s">
        <v>44</v>
      </c>
      <c r="S17">
        <v>12501.72</v>
      </c>
      <c r="T17" s="120">
        <f t="shared" si="4"/>
        <v>5.2090499999999995</v>
      </c>
      <c r="U17" t="s">
        <v>44</v>
      </c>
      <c r="V17" s="120"/>
      <c r="W17" s="120"/>
      <c r="X17" s="120"/>
      <c r="Y17" s="121">
        <v>850000</v>
      </c>
      <c r="Z17" s="121"/>
      <c r="AA17" s="121">
        <v>850000</v>
      </c>
      <c r="AB17" s="121"/>
      <c r="AC17" t="s">
        <v>1859</v>
      </c>
      <c r="AD17" t="s">
        <v>1860</v>
      </c>
      <c r="AE17" s="243" t="s">
        <v>1861</v>
      </c>
      <c r="AF17" s="243" t="s">
        <v>1862</v>
      </c>
      <c r="AI17" s="59" t="e">
        <f t="shared" si="0"/>
        <v>#N/A</v>
      </c>
      <c r="AJ17" t="e">
        <f t="shared" si="1"/>
        <v>#N/A</v>
      </c>
      <c r="AK17" t="str">
        <f t="shared" si="2"/>
        <v/>
      </c>
    </row>
    <row r="18" spans="1:37" ht="15" customHeight="1">
      <c r="A18" s="62">
        <v>7</v>
      </c>
      <c r="B18" s="59">
        <v>10</v>
      </c>
      <c r="C18" t="s">
        <v>1863</v>
      </c>
      <c r="D18" t="s">
        <v>1864</v>
      </c>
      <c r="E18">
        <v>344</v>
      </c>
      <c r="F18" t="s">
        <v>1800</v>
      </c>
      <c r="G18" t="s">
        <v>1786</v>
      </c>
      <c r="H18" s="119">
        <f t="shared" si="3"/>
        <v>194.50171821305841</v>
      </c>
      <c r="I18" s="123">
        <v>45169</v>
      </c>
      <c r="J18">
        <v>4365</v>
      </c>
      <c r="K18" s="119"/>
      <c r="L18">
        <v>4365</v>
      </c>
      <c r="M18">
        <v>2000</v>
      </c>
      <c r="P18" t="s">
        <v>1807</v>
      </c>
      <c r="R18" t="s">
        <v>44</v>
      </c>
      <c r="S18">
        <v>14136</v>
      </c>
      <c r="T18" s="120">
        <f t="shared" si="4"/>
        <v>3.2384879725085911</v>
      </c>
      <c r="U18" t="s">
        <v>44</v>
      </c>
      <c r="V18" s="120"/>
      <c r="W18" s="120"/>
      <c r="X18" s="120"/>
      <c r="Y18" s="121">
        <v>849000</v>
      </c>
      <c r="Z18" s="121"/>
      <c r="AA18" s="121">
        <v>849000</v>
      </c>
      <c r="AB18" s="121"/>
      <c r="AC18" t="s">
        <v>1865</v>
      </c>
      <c r="AD18" t="s">
        <v>1866</v>
      </c>
      <c r="AE18" s="243" t="s">
        <v>1867</v>
      </c>
      <c r="AF18" s="243" t="s">
        <v>1868</v>
      </c>
      <c r="AI18" s="59" t="e">
        <f t="shared" si="0"/>
        <v>#N/A</v>
      </c>
      <c r="AJ18" t="e">
        <f t="shared" si="1"/>
        <v>#N/A</v>
      </c>
      <c r="AK18" t="str">
        <f t="shared" si="2"/>
        <v/>
      </c>
    </row>
    <row r="19" spans="1:37" ht="15" customHeight="1">
      <c r="A19" s="62">
        <v>7</v>
      </c>
      <c r="B19" s="59">
        <v>11</v>
      </c>
      <c r="C19" t="s">
        <v>1869</v>
      </c>
      <c r="D19" t="s">
        <v>1870</v>
      </c>
      <c r="E19">
        <v>407</v>
      </c>
      <c r="F19" t="s">
        <v>1814</v>
      </c>
      <c r="G19" t="s">
        <v>1815</v>
      </c>
      <c r="H19" s="119">
        <f t="shared" si="3"/>
        <v>186.75550171613165</v>
      </c>
      <c r="I19" s="123">
        <v>45068</v>
      </c>
      <c r="J19">
        <v>9906</v>
      </c>
      <c r="K19" s="119"/>
      <c r="L19">
        <v>9906</v>
      </c>
      <c r="M19">
        <v>1974</v>
      </c>
      <c r="P19" t="s">
        <v>1816</v>
      </c>
      <c r="R19" t="s">
        <v>44</v>
      </c>
      <c r="S19">
        <v>30056</v>
      </c>
      <c r="T19" s="120">
        <f t="shared" si="4"/>
        <v>3.0341207349081363</v>
      </c>
      <c r="U19" t="s">
        <v>44</v>
      </c>
      <c r="V19" s="120"/>
      <c r="W19" s="120"/>
      <c r="X19" s="120"/>
      <c r="Y19" s="121">
        <v>1850000</v>
      </c>
      <c r="Z19" s="121"/>
      <c r="AA19" s="121">
        <v>1850000</v>
      </c>
      <c r="AB19" s="121"/>
      <c r="AC19" t="s">
        <v>1871</v>
      </c>
      <c r="AD19" t="s">
        <v>1872</v>
      </c>
      <c r="AE19" s="243" t="s">
        <v>1873</v>
      </c>
      <c r="AF19" s="243" t="s">
        <v>1874</v>
      </c>
      <c r="AI19" s="59" t="e">
        <f t="shared" si="0"/>
        <v>#N/A</v>
      </c>
      <c r="AJ19" t="e">
        <f t="shared" si="1"/>
        <v>#N/A</v>
      </c>
      <c r="AK19" t="str">
        <f t="shared" si="2"/>
        <v/>
      </c>
    </row>
    <row r="20" spans="1:37" ht="15" customHeight="1">
      <c r="A20" s="62">
        <v>7</v>
      </c>
      <c r="B20" s="59">
        <v>12</v>
      </c>
      <c r="C20" t="s">
        <v>1875</v>
      </c>
      <c r="D20" t="s">
        <v>1876</v>
      </c>
      <c r="E20">
        <v>1344</v>
      </c>
      <c r="F20" t="s">
        <v>1785</v>
      </c>
      <c r="G20" t="s">
        <v>1786</v>
      </c>
      <c r="H20" s="119">
        <f t="shared" si="3"/>
        <v>13.188745603751466</v>
      </c>
      <c r="I20" s="123">
        <v>45209</v>
      </c>
      <c r="J20">
        <v>20472</v>
      </c>
      <c r="K20" s="119"/>
      <c r="L20">
        <v>20472</v>
      </c>
      <c r="M20">
        <v>2000</v>
      </c>
      <c r="P20" t="s">
        <v>1877</v>
      </c>
      <c r="R20" t="s">
        <v>44</v>
      </c>
      <c r="S20">
        <v>3100</v>
      </c>
      <c r="T20" s="120">
        <f t="shared" si="4"/>
        <v>0.15142633841344275</v>
      </c>
      <c r="U20" t="s">
        <v>44</v>
      </c>
      <c r="V20" s="120"/>
      <c r="W20" s="120"/>
      <c r="X20" s="120"/>
      <c r="Y20" s="121">
        <v>270000</v>
      </c>
      <c r="Z20" s="121"/>
      <c r="AA20" s="121">
        <v>270000</v>
      </c>
      <c r="AB20" s="121"/>
      <c r="AC20" t="s">
        <v>1878</v>
      </c>
      <c r="AD20" t="s">
        <v>1879</v>
      </c>
      <c r="AE20" s="243" t="s">
        <v>1880</v>
      </c>
      <c r="AF20" s="243" t="s">
        <v>1881</v>
      </c>
      <c r="AI20" s="59" t="e">
        <f t="shared" si="0"/>
        <v>#N/A</v>
      </c>
      <c r="AJ20" t="e">
        <f t="shared" si="1"/>
        <v>#N/A</v>
      </c>
      <c r="AK20" t="str">
        <f t="shared" si="2"/>
        <v/>
      </c>
    </row>
    <row r="21" spans="1:37" ht="15" customHeight="1">
      <c r="A21" s="62">
        <v>7</v>
      </c>
      <c r="B21" s="59">
        <v>13</v>
      </c>
      <c r="C21" t="s">
        <v>1882</v>
      </c>
      <c r="D21" t="s">
        <v>1883</v>
      </c>
      <c r="E21">
        <v>1353</v>
      </c>
      <c r="F21" t="s">
        <v>1800</v>
      </c>
      <c r="G21" t="s">
        <v>90</v>
      </c>
      <c r="H21" s="119">
        <f t="shared" si="3"/>
        <v>203.99305555555554</v>
      </c>
      <c r="I21" s="123">
        <v>44879</v>
      </c>
      <c r="J21">
        <v>11520</v>
      </c>
      <c r="K21" s="119"/>
      <c r="L21">
        <v>11520</v>
      </c>
      <c r="M21">
        <v>2007</v>
      </c>
      <c r="P21" t="s">
        <v>1807</v>
      </c>
      <c r="R21" t="s">
        <v>44</v>
      </c>
      <c r="S21">
        <v>3906.5</v>
      </c>
      <c r="T21" s="120">
        <f t="shared" si="4"/>
        <v>0.3391059027777778</v>
      </c>
      <c r="U21" t="s">
        <v>44</v>
      </c>
      <c r="V21" s="120"/>
      <c r="W21" s="120"/>
      <c r="X21" s="120"/>
      <c r="Y21" s="121">
        <v>2350000</v>
      </c>
      <c r="Z21" s="121"/>
      <c r="AA21" s="121">
        <v>2350000</v>
      </c>
      <c r="AB21" s="121"/>
      <c r="AC21" t="s">
        <v>1884</v>
      </c>
      <c r="AD21" t="s">
        <v>1885</v>
      </c>
      <c r="AE21" s="243" t="s">
        <v>1886</v>
      </c>
      <c r="AF21" s="243" t="s">
        <v>1887</v>
      </c>
      <c r="AI21" s="59" t="e">
        <f t="shared" si="0"/>
        <v>#N/A</v>
      </c>
      <c r="AJ21" t="e">
        <f t="shared" si="1"/>
        <v>#N/A</v>
      </c>
      <c r="AK21" t="str">
        <f t="shared" si="2"/>
        <v/>
      </c>
    </row>
    <row r="22" spans="1:37" ht="15" customHeight="1">
      <c r="A22" s="62">
        <v>7</v>
      </c>
      <c r="B22" s="59">
        <v>14</v>
      </c>
      <c r="C22" t="s">
        <v>1888</v>
      </c>
      <c r="D22" t="s">
        <v>1889</v>
      </c>
      <c r="E22">
        <v>344</v>
      </c>
      <c r="F22" t="s">
        <v>1800</v>
      </c>
      <c r="G22" t="s">
        <v>90</v>
      </c>
      <c r="H22" s="119">
        <f t="shared" si="3"/>
        <v>16.869851153516521</v>
      </c>
      <c r="I22" s="123">
        <v>45301</v>
      </c>
      <c r="J22">
        <v>57173</v>
      </c>
      <c r="K22" s="119"/>
      <c r="L22">
        <v>57173</v>
      </c>
      <c r="M22">
        <v>2007</v>
      </c>
      <c r="P22" t="s">
        <v>1807</v>
      </c>
      <c r="R22" t="s">
        <v>44</v>
      </c>
      <c r="S22">
        <v>10083</v>
      </c>
      <c r="T22" s="120">
        <f t="shared" si="4"/>
        <v>0.17635947037937488</v>
      </c>
      <c r="U22" t="s">
        <v>44</v>
      </c>
      <c r="V22" s="120"/>
      <c r="W22" s="120"/>
      <c r="X22" s="120"/>
      <c r="Y22" s="121">
        <v>964500</v>
      </c>
      <c r="Z22" s="121"/>
      <c r="AA22" s="121">
        <v>964500</v>
      </c>
      <c r="AB22" s="121"/>
      <c r="AC22" t="s">
        <v>1890</v>
      </c>
      <c r="AD22" t="s">
        <v>1891</v>
      </c>
      <c r="AE22" s="243" t="s">
        <v>1892</v>
      </c>
      <c r="AF22" s="243" t="s">
        <v>1893</v>
      </c>
      <c r="AI22" s="59" t="e">
        <f t="shared" si="0"/>
        <v>#N/A</v>
      </c>
      <c r="AJ22" t="e">
        <f t="shared" si="1"/>
        <v>#N/A</v>
      </c>
      <c r="AK22" t="str">
        <f t="shared" si="2"/>
        <v/>
      </c>
    </row>
    <row r="23" spans="1:37" ht="15" customHeight="1">
      <c r="A23" s="62">
        <v>7</v>
      </c>
      <c r="B23" s="59">
        <v>15</v>
      </c>
      <c r="C23" t="s">
        <v>1894</v>
      </c>
      <c r="D23" t="s">
        <v>1895</v>
      </c>
      <c r="E23">
        <v>350</v>
      </c>
      <c r="F23" t="s">
        <v>1896</v>
      </c>
      <c r="G23" t="s">
        <v>90</v>
      </c>
      <c r="H23" s="119">
        <f t="shared" si="3"/>
        <v>607.71103896103898</v>
      </c>
      <c r="I23" s="123">
        <v>45225</v>
      </c>
      <c r="J23">
        <v>6160</v>
      </c>
      <c r="K23" s="119"/>
      <c r="L23">
        <v>6160</v>
      </c>
      <c r="M23">
        <v>1995</v>
      </c>
      <c r="P23" t="s">
        <v>1897</v>
      </c>
      <c r="R23" t="s">
        <v>44</v>
      </c>
      <c r="S23">
        <v>66550</v>
      </c>
      <c r="T23" s="120">
        <f t="shared" si="4"/>
        <v>10.803571428571429</v>
      </c>
      <c r="U23" t="s">
        <v>44</v>
      </c>
      <c r="V23" s="120"/>
      <c r="W23" s="120"/>
      <c r="X23" s="120"/>
      <c r="Y23" s="121">
        <v>3743500</v>
      </c>
      <c r="Z23" s="121"/>
      <c r="AA23" s="121">
        <v>3743500</v>
      </c>
      <c r="AB23" s="121"/>
      <c r="AC23" t="s">
        <v>1898</v>
      </c>
      <c r="AD23" t="s">
        <v>1899</v>
      </c>
      <c r="AE23" s="243" t="s">
        <v>1900</v>
      </c>
      <c r="AF23" s="243" t="s">
        <v>1901</v>
      </c>
      <c r="AI23" s="59" t="e">
        <f t="shared" si="0"/>
        <v>#N/A</v>
      </c>
      <c r="AJ23" t="e">
        <f t="shared" si="1"/>
        <v>#N/A</v>
      </c>
      <c r="AK23" t="str">
        <f t="shared" si="2"/>
        <v/>
      </c>
    </row>
    <row r="24" spans="1:37" ht="15" customHeight="1">
      <c r="A24" s="62">
        <v>7</v>
      </c>
      <c r="B24" s="59">
        <v>16</v>
      </c>
      <c r="C24" t="s">
        <v>1902</v>
      </c>
      <c r="D24" t="s">
        <v>1903</v>
      </c>
      <c r="E24">
        <v>344</v>
      </c>
      <c r="F24" t="s">
        <v>1800</v>
      </c>
      <c r="G24" t="s">
        <v>1786</v>
      </c>
      <c r="H24" s="119">
        <f t="shared" si="3"/>
        <v>115.63742595147285</v>
      </c>
      <c r="I24" s="123">
        <v>45139</v>
      </c>
      <c r="J24">
        <v>12323</v>
      </c>
      <c r="K24" s="119"/>
      <c r="L24">
        <v>12323</v>
      </c>
      <c r="M24">
        <v>1999</v>
      </c>
      <c r="P24" t="s">
        <v>1807</v>
      </c>
      <c r="R24" t="s">
        <v>44</v>
      </c>
      <c r="S24">
        <v>51531.480499999998</v>
      </c>
      <c r="T24" s="120">
        <f t="shared" si="4"/>
        <v>4.1817317617463274</v>
      </c>
      <c r="U24" t="s">
        <v>44</v>
      </c>
      <c r="V24" s="120"/>
      <c r="W24" s="120"/>
      <c r="X24" s="120"/>
      <c r="Y24" s="121">
        <v>1425000</v>
      </c>
      <c r="Z24" s="121"/>
      <c r="AA24" s="121">
        <v>1425000</v>
      </c>
      <c r="AB24" s="121"/>
      <c r="AC24" t="s">
        <v>1904</v>
      </c>
      <c r="AD24" t="s">
        <v>1905</v>
      </c>
      <c r="AE24" s="243" t="s">
        <v>1906</v>
      </c>
      <c r="AF24" s="243" t="s">
        <v>1907</v>
      </c>
      <c r="AI24" s="59" t="e">
        <f t="shared" si="0"/>
        <v>#N/A</v>
      </c>
      <c r="AJ24" t="e">
        <f t="shared" si="1"/>
        <v>#N/A</v>
      </c>
      <c r="AK24" t="str">
        <f t="shared" si="2"/>
        <v/>
      </c>
    </row>
    <row r="25" spans="1:37" ht="15" customHeight="1">
      <c r="A25" s="62">
        <v>7</v>
      </c>
      <c r="B25" s="59">
        <v>17</v>
      </c>
      <c r="C25" t="s">
        <v>1908</v>
      </c>
      <c r="D25" t="s">
        <v>1909</v>
      </c>
      <c r="E25">
        <v>334</v>
      </c>
      <c r="G25" t="s">
        <v>1910</v>
      </c>
      <c r="H25" s="119">
        <f t="shared" si="3"/>
        <v>92.951200619674665</v>
      </c>
      <c r="I25" s="123">
        <v>45169</v>
      </c>
      <c r="J25">
        <v>51640</v>
      </c>
      <c r="K25" s="119"/>
      <c r="L25">
        <v>51640</v>
      </c>
      <c r="M25">
        <v>1978</v>
      </c>
      <c r="P25" t="s">
        <v>1911</v>
      </c>
      <c r="R25" t="s">
        <v>44</v>
      </c>
      <c r="S25">
        <v>146187</v>
      </c>
      <c r="T25" s="120">
        <f t="shared" si="4"/>
        <v>2.8308869093725795</v>
      </c>
      <c r="U25" t="s">
        <v>44</v>
      </c>
      <c r="V25" s="120"/>
      <c r="W25" s="120"/>
      <c r="X25" s="120"/>
      <c r="Y25" s="121">
        <v>4800000</v>
      </c>
      <c r="Z25" s="121"/>
      <c r="AA25" s="121">
        <v>4800000</v>
      </c>
      <c r="AB25" s="121"/>
      <c r="AC25" t="s">
        <v>1912</v>
      </c>
      <c r="AD25" t="s">
        <v>1913</v>
      </c>
      <c r="AE25" s="243" t="s">
        <v>1914</v>
      </c>
      <c r="AF25" s="243" t="s">
        <v>1915</v>
      </c>
      <c r="AI25" s="59" t="e">
        <f t="shared" si="0"/>
        <v>#N/A</v>
      </c>
      <c r="AJ25" t="e">
        <f t="shared" si="1"/>
        <v>#N/A</v>
      </c>
      <c r="AK25" t="str">
        <f t="shared" si="2"/>
        <v/>
      </c>
    </row>
    <row r="26" spans="1:37" ht="15" customHeight="1">
      <c r="A26" s="62">
        <v>7</v>
      </c>
      <c r="B26" s="59">
        <v>18</v>
      </c>
      <c r="C26" t="s">
        <v>1916</v>
      </c>
      <c r="D26" t="s">
        <v>1917</v>
      </c>
      <c r="E26">
        <v>353</v>
      </c>
      <c r="G26" t="s">
        <v>1910</v>
      </c>
      <c r="H26" s="119">
        <f t="shared" si="3"/>
        <v>325.92592592592592</v>
      </c>
      <c r="I26" s="123">
        <v>44764</v>
      </c>
      <c r="J26">
        <v>1350</v>
      </c>
      <c r="K26" s="119"/>
      <c r="L26">
        <v>1350</v>
      </c>
      <c r="M26">
        <v>1955</v>
      </c>
      <c r="P26" t="s">
        <v>1911</v>
      </c>
      <c r="R26" t="s">
        <v>44</v>
      </c>
      <c r="S26">
        <v>12325</v>
      </c>
      <c r="T26" s="120">
        <f t="shared" si="4"/>
        <v>9.1296296296296298</v>
      </c>
      <c r="U26" t="s">
        <v>44</v>
      </c>
      <c r="V26" s="120"/>
      <c r="W26" s="120"/>
      <c r="X26" s="120"/>
      <c r="Y26" s="121">
        <v>440000</v>
      </c>
      <c r="Z26" s="121"/>
      <c r="AA26" s="121">
        <v>440000</v>
      </c>
      <c r="AB26" s="121"/>
      <c r="AC26" t="s">
        <v>1918</v>
      </c>
      <c r="AD26" t="s">
        <v>1919</v>
      </c>
      <c r="AE26" s="243" t="s">
        <v>1920</v>
      </c>
      <c r="AF26" s="243" t="s">
        <v>1921</v>
      </c>
      <c r="AI26" s="59" t="e">
        <f t="shared" si="0"/>
        <v>#N/A</v>
      </c>
      <c r="AJ26" t="e">
        <f t="shared" si="1"/>
        <v>#N/A</v>
      </c>
      <c r="AK26" t="str">
        <f t="shared" si="2"/>
        <v/>
      </c>
    </row>
    <row r="27" spans="1:37" ht="15" customHeight="1">
      <c r="A27" s="62">
        <v>7</v>
      </c>
      <c r="B27" s="59">
        <v>19</v>
      </c>
      <c r="C27" t="s">
        <v>1922</v>
      </c>
      <c r="D27" t="s">
        <v>1923</v>
      </c>
      <c r="E27">
        <v>353</v>
      </c>
      <c r="F27" t="s">
        <v>1924</v>
      </c>
      <c r="G27" t="s">
        <v>88</v>
      </c>
      <c r="H27" s="119">
        <f t="shared" si="3"/>
        <v>106.76156583629893</v>
      </c>
      <c r="I27" s="123">
        <v>45295</v>
      </c>
      <c r="J27">
        <v>5620</v>
      </c>
      <c r="K27" s="119"/>
      <c r="L27">
        <v>5620</v>
      </c>
      <c r="M27">
        <v>1918</v>
      </c>
      <c r="P27" t="s">
        <v>1925</v>
      </c>
      <c r="R27" t="s">
        <v>44</v>
      </c>
      <c r="S27">
        <v>7800</v>
      </c>
      <c r="T27" s="120">
        <f t="shared" si="4"/>
        <v>1.3879003558718861</v>
      </c>
      <c r="U27" t="s">
        <v>44</v>
      </c>
      <c r="V27" s="120"/>
      <c r="W27" s="120"/>
      <c r="X27" s="120"/>
      <c r="Y27" s="121">
        <v>600000</v>
      </c>
      <c r="Z27" s="121"/>
      <c r="AA27" s="121">
        <v>600000</v>
      </c>
      <c r="AB27" s="121"/>
      <c r="AC27" t="s">
        <v>1926</v>
      </c>
      <c r="AD27" t="s">
        <v>1927</v>
      </c>
      <c r="AE27" s="243" t="s">
        <v>1928</v>
      </c>
      <c r="AF27" s="243" t="s">
        <v>1929</v>
      </c>
      <c r="AI27" s="59" t="e">
        <f t="shared" si="0"/>
        <v>#N/A</v>
      </c>
      <c r="AJ27" t="e">
        <f t="shared" si="1"/>
        <v>#N/A</v>
      </c>
      <c r="AK27" t="str">
        <f t="shared" si="2"/>
        <v/>
      </c>
    </row>
    <row r="28" spans="1:37" ht="15" customHeight="1">
      <c r="A28" s="62">
        <v>7</v>
      </c>
      <c r="B28" s="59">
        <v>20</v>
      </c>
      <c r="C28" t="s">
        <v>1930</v>
      </c>
      <c r="D28" t="s">
        <v>1931</v>
      </c>
      <c r="E28">
        <v>210</v>
      </c>
      <c r="F28" t="s">
        <v>1814</v>
      </c>
      <c r="G28" t="s">
        <v>1815</v>
      </c>
      <c r="H28" s="119">
        <f t="shared" si="3"/>
        <v>137.78230395974361</v>
      </c>
      <c r="I28" s="123">
        <v>45238</v>
      </c>
      <c r="J28">
        <v>66772</v>
      </c>
      <c r="K28" s="119"/>
      <c r="L28">
        <v>66772</v>
      </c>
      <c r="M28">
        <v>1985</v>
      </c>
      <c r="P28" t="s">
        <v>1932</v>
      </c>
      <c r="R28" t="s">
        <v>44</v>
      </c>
      <c r="S28">
        <v>214751</v>
      </c>
      <c r="T28" s="120">
        <f t="shared" si="4"/>
        <v>3.2161834301803149</v>
      </c>
      <c r="U28" t="s">
        <v>44</v>
      </c>
      <c r="V28" s="120"/>
      <c r="W28" s="120"/>
      <c r="X28" s="120"/>
      <c r="Y28" s="121">
        <v>9200000</v>
      </c>
      <c r="Z28" s="121"/>
      <c r="AA28" s="121">
        <v>9200000</v>
      </c>
      <c r="AB28" s="121"/>
      <c r="AC28" t="s">
        <v>1933</v>
      </c>
      <c r="AD28" t="s">
        <v>1934</v>
      </c>
      <c r="AE28" s="243" t="s">
        <v>1935</v>
      </c>
      <c r="AF28" s="243" t="s">
        <v>1936</v>
      </c>
      <c r="AI28" s="59" t="e">
        <f t="shared" si="0"/>
        <v>#N/A</v>
      </c>
      <c r="AJ28" t="e">
        <f t="shared" si="1"/>
        <v>#N/A</v>
      </c>
      <c r="AK28" t="str">
        <f t="shared" si="2"/>
        <v/>
      </c>
    </row>
    <row r="29" spans="1:37" ht="15" customHeight="1">
      <c r="A29" s="62">
        <v>7</v>
      </c>
      <c r="B29" s="59">
        <v>21</v>
      </c>
      <c r="C29" t="s">
        <v>1937</v>
      </c>
      <c r="D29" t="s">
        <v>1938</v>
      </c>
      <c r="E29">
        <v>425</v>
      </c>
      <c r="F29" t="s">
        <v>1814</v>
      </c>
      <c r="G29" t="s">
        <v>1815</v>
      </c>
      <c r="H29" s="119">
        <f t="shared" si="3"/>
        <v>18.055555555555557</v>
      </c>
      <c r="I29" s="123">
        <v>45187</v>
      </c>
      <c r="J29">
        <v>18000</v>
      </c>
      <c r="K29" s="119"/>
      <c r="L29">
        <v>18000</v>
      </c>
      <c r="M29">
        <v>1984</v>
      </c>
      <c r="P29" t="s">
        <v>1932</v>
      </c>
      <c r="R29" t="s">
        <v>229</v>
      </c>
      <c r="S29">
        <v>5227</v>
      </c>
      <c r="T29" s="120">
        <f t="shared" si="4"/>
        <v>0.29038888888888886</v>
      </c>
      <c r="U29" t="s">
        <v>229</v>
      </c>
      <c r="V29" s="120"/>
      <c r="W29" s="120"/>
      <c r="X29" s="120"/>
      <c r="Y29" s="121">
        <v>325000</v>
      </c>
      <c r="Z29" s="121"/>
      <c r="AA29" s="121">
        <v>325000</v>
      </c>
      <c r="AB29" s="121"/>
      <c r="AC29" t="s">
        <v>1939</v>
      </c>
      <c r="AD29" t="s">
        <v>1940</v>
      </c>
      <c r="AE29" s="243" t="s">
        <v>1941</v>
      </c>
      <c r="AF29" s="243" t="s">
        <v>1942</v>
      </c>
      <c r="AI29" s="59" t="e">
        <f t="shared" si="0"/>
        <v>#N/A</v>
      </c>
      <c r="AJ29" t="e">
        <f t="shared" si="1"/>
        <v>#N/A</v>
      </c>
      <c r="AK29" t="str">
        <f t="shared" si="2"/>
        <v/>
      </c>
    </row>
    <row r="30" spans="1:37" ht="15" customHeight="1">
      <c r="A30" s="62">
        <v>7</v>
      </c>
      <c r="B30" s="59">
        <v>22</v>
      </c>
      <c r="C30" t="s">
        <v>1943</v>
      </c>
      <c r="D30" t="s">
        <v>1944</v>
      </c>
      <c r="E30">
        <v>210</v>
      </c>
      <c r="F30" t="s">
        <v>1814</v>
      </c>
      <c r="G30" t="s">
        <v>1815</v>
      </c>
      <c r="H30" s="119">
        <f t="shared" si="3"/>
        <v>148.8218844311543</v>
      </c>
      <c r="I30" s="123">
        <v>45288</v>
      </c>
      <c r="J30">
        <v>144468</v>
      </c>
      <c r="K30" s="119"/>
      <c r="L30">
        <v>144468</v>
      </c>
      <c r="M30">
        <v>1985</v>
      </c>
      <c r="P30" t="s">
        <v>1932</v>
      </c>
      <c r="R30" t="s">
        <v>229</v>
      </c>
      <c r="S30">
        <v>363339</v>
      </c>
      <c r="T30" s="120">
        <f t="shared" si="4"/>
        <v>2.5150137054572639</v>
      </c>
      <c r="U30" t="s">
        <v>229</v>
      </c>
      <c r="V30" s="120"/>
      <c r="W30" s="120"/>
      <c r="X30" s="120"/>
      <c r="Y30" s="121">
        <v>21500000</v>
      </c>
      <c r="Z30" s="121"/>
      <c r="AA30" s="121">
        <v>20379895</v>
      </c>
      <c r="AB30" s="121"/>
      <c r="AC30" t="s">
        <v>1945</v>
      </c>
      <c r="AD30" t="s">
        <v>1946</v>
      </c>
      <c r="AE30" s="243" t="s">
        <v>1947</v>
      </c>
      <c r="AF30" s="243" t="s">
        <v>1948</v>
      </c>
      <c r="AI30" s="59" t="e">
        <f t="shared" si="0"/>
        <v>#N/A</v>
      </c>
      <c r="AJ30" t="e">
        <f t="shared" si="1"/>
        <v>#N/A</v>
      </c>
      <c r="AK30" t="str">
        <f t="shared" si="2"/>
        <v/>
      </c>
    </row>
    <row r="31" spans="1:37" ht="15" customHeight="1">
      <c r="A31" s="62">
        <v>7</v>
      </c>
      <c r="B31" s="59">
        <v>23</v>
      </c>
      <c r="C31" t="s">
        <v>1949</v>
      </c>
      <c r="D31" t="s">
        <v>1950</v>
      </c>
      <c r="E31">
        <v>406</v>
      </c>
      <c r="G31" t="s">
        <v>1910</v>
      </c>
      <c r="H31" s="119">
        <f t="shared" si="3"/>
        <v>197.62845849802372</v>
      </c>
      <c r="I31" s="123">
        <v>45099</v>
      </c>
      <c r="J31">
        <v>25300</v>
      </c>
      <c r="K31" s="119"/>
      <c r="L31">
        <v>25300</v>
      </c>
      <c r="M31">
        <v>1994</v>
      </c>
      <c r="P31" t="s">
        <v>1911</v>
      </c>
      <c r="R31" t="s">
        <v>44</v>
      </c>
      <c r="S31">
        <v>197703</v>
      </c>
      <c r="T31" s="120">
        <f t="shared" si="4"/>
        <v>7.8143478260869568</v>
      </c>
      <c r="U31" t="s">
        <v>44</v>
      </c>
      <c r="V31" s="120"/>
      <c r="W31" s="120"/>
      <c r="X31" s="120"/>
      <c r="Y31" s="121">
        <v>5000000</v>
      </c>
      <c r="Z31" s="121"/>
      <c r="AA31" s="121">
        <v>5000000</v>
      </c>
      <c r="AB31" s="121"/>
      <c r="AC31" t="s">
        <v>1951</v>
      </c>
      <c r="AD31" t="s">
        <v>1952</v>
      </c>
      <c r="AE31" s="243" t="s">
        <v>1953</v>
      </c>
      <c r="AF31" s="243" t="s">
        <v>1954</v>
      </c>
      <c r="AI31" s="59" t="e">
        <f t="shared" si="0"/>
        <v>#N/A</v>
      </c>
      <c r="AJ31" t="e">
        <f t="shared" si="1"/>
        <v>#N/A</v>
      </c>
      <c r="AK31" t="str">
        <f t="shared" si="2"/>
        <v/>
      </c>
    </row>
    <row r="32" spans="1:37" ht="15" customHeight="1">
      <c r="A32" s="62">
        <v>7</v>
      </c>
      <c r="B32" s="59">
        <v>24</v>
      </c>
      <c r="C32" t="s">
        <v>1955</v>
      </c>
      <c r="D32" t="s">
        <v>1956</v>
      </c>
      <c r="E32">
        <v>350</v>
      </c>
      <c r="G32" t="s">
        <v>1786</v>
      </c>
      <c r="H32" s="119">
        <f t="shared" si="3"/>
        <v>647.61904761904759</v>
      </c>
      <c r="I32" s="123">
        <v>45117</v>
      </c>
      <c r="J32">
        <v>1050</v>
      </c>
      <c r="K32" s="119"/>
      <c r="L32">
        <v>1050</v>
      </c>
      <c r="M32">
        <v>1964</v>
      </c>
      <c r="P32" t="s">
        <v>1925</v>
      </c>
      <c r="R32" t="s">
        <v>44</v>
      </c>
      <c r="S32">
        <v>24750</v>
      </c>
      <c r="T32" s="120">
        <f t="shared" si="4"/>
        <v>23.571428571428573</v>
      </c>
      <c r="U32" t="s">
        <v>44</v>
      </c>
      <c r="V32" s="120"/>
      <c r="W32" s="120"/>
      <c r="X32" s="120"/>
      <c r="Y32" s="121">
        <v>680000</v>
      </c>
      <c r="Z32" s="121"/>
      <c r="AA32" s="121">
        <v>680000</v>
      </c>
      <c r="AB32" s="121"/>
      <c r="AC32" t="s">
        <v>1957</v>
      </c>
      <c r="AD32" t="s">
        <v>1958</v>
      </c>
      <c r="AE32" s="243" t="s">
        <v>1959</v>
      </c>
      <c r="AF32" s="243" t="s">
        <v>1960</v>
      </c>
      <c r="AI32" s="59" t="e">
        <f t="shared" si="0"/>
        <v>#N/A</v>
      </c>
      <c r="AJ32" t="e">
        <f t="shared" si="1"/>
        <v>#N/A</v>
      </c>
      <c r="AK32" t="str">
        <f t="shared" si="2"/>
        <v/>
      </c>
    </row>
    <row r="33" spans="1:37" ht="15" customHeight="1">
      <c r="A33" s="62">
        <v>7</v>
      </c>
      <c r="B33" s="59">
        <v>25</v>
      </c>
      <c r="C33" t="s">
        <v>1961</v>
      </c>
      <c r="D33" t="s">
        <v>1962</v>
      </c>
      <c r="E33">
        <v>407</v>
      </c>
      <c r="G33" t="s">
        <v>1910</v>
      </c>
      <c r="H33" s="119">
        <f t="shared" si="3"/>
        <v>235</v>
      </c>
      <c r="I33" s="123">
        <v>45273</v>
      </c>
      <c r="J33">
        <v>30000</v>
      </c>
      <c r="K33" s="119"/>
      <c r="L33">
        <v>30000</v>
      </c>
      <c r="M33">
        <v>2001</v>
      </c>
      <c r="P33" t="s">
        <v>1911</v>
      </c>
      <c r="R33" t="s">
        <v>44</v>
      </c>
      <c r="S33">
        <v>96703.2</v>
      </c>
      <c r="T33" s="120">
        <f t="shared" si="4"/>
        <v>3.2234400000000001</v>
      </c>
      <c r="U33" t="s">
        <v>44</v>
      </c>
      <c r="V33" s="120"/>
      <c r="W33" s="120"/>
      <c r="X33" s="120"/>
      <c r="Y33" s="121">
        <v>7050000</v>
      </c>
      <c r="Z33" s="121"/>
      <c r="AA33" s="121">
        <v>6675000</v>
      </c>
      <c r="AB33" s="121"/>
      <c r="AC33" t="s">
        <v>1963</v>
      </c>
      <c r="AD33" t="s">
        <v>1964</v>
      </c>
      <c r="AE33" s="243" t="s">
        <v>1965</v>
      </c>
      <c r="AF33" s="243" t="s">
        <v>1966</v>
      </c>
      <c r="AI33" s="59" t="e">
        <f t="shared" si="0"/>
        <v>#N/A</v>
      </c>
      <c r="AJ33" t="e">
        <f t="shared" si="1"/>
        <v>#N/A</v>
      </c>
      <c r="AK33" t="str">
        <f t="shared" si="2"/>
        <v/>
      </c>
    </row>
    <row r="34" spans="1:37" ht="15" customHeight="1">
      <c r="A34" s="62">
        <v>7</v>
      </c>
      <c r="B34" s="59">
        <v>26</v>
      </c>
      <c r="C34" t="s">
        <v>1967</v>
      </c>
      <c r="D34" t="s">
        <v>1968</v>
      </c>
      <c r="E34">
        <v>425</v>
      </c>
      <c r="G34" t="s">
        <v>1910</v>
      </c>
      <c r="H34" s="119">
        <f t="shared" si="3"/>
        <v>51.660516605166052</v>
      </c>
      <c r="I34" s="123">
        <v>45264</v>
      </c>
      <c r="J34">
        <v>10840</v>
      </c>
      <c r="K34" s="119"/>
      <c r="L34">
        <v>10840</v>
      </c>
      <c r="M34">
        <v>2003</v>
      </c>
      <c r="P34" t="s">
        <v>1969</v>
      </c>
      <c r="R34" t="s">
        <v>44</v>
      </c>
      <c r="S34">
        <v>9670</v>
      </c>
      <c r="T34" s="120">
        <f t="shared" si="4"/>
        <v>0.89206642066420661</v>
      </c>
      <c r="U34" t="s">
        <v>44</v>
      </c>
      <c r="V34" s="120"/>
      <c r="W34" s="120"/>
      <c r="X34" s="120"/>
      <c r="Y34" s="121">
        <v>560000</v>
      </c>
      <c r="Z34" s="121"/>
      <c r="AA34" s="121">
        <v>560000</v>
      </c>
      <c r="AB34" s="121"/>
      <c r="AC34" t="s">
        <v>1970</v>
      </c>
      <c r="AD34" t="s">
        <v>1971</v>
      </c>
      <c r="AE34" s="243" t="s">
        <v>1972</v>
      </c>
      <c r="AF34" s="243" t="s">
        <v>1973</v>
      </c>
      <c r="AI34" s="59" t="e">
        <f t="shared" si="0"/>
        <v>#N/A</v>
      </c>
      <c r="AJ34" t="e">
        <f t="shared" si="1"/>
        <v>#N/A</v>
      </c>
      <c r="AK34" t="str">
        <f t="shared" si="2"/>
        <v/>
      </c>
    </row>
    <row r="35" spans="1:37" ht="15" customHeight="1">
      <c r="A35" s="62">
        <v>7</v>
      </c>
      <c r="B35" s="59">
        <v>27</v>
      </c>
      <c r="C35" t="s">
        <v>1974</v>
      </c>
      <c r="D35" t="s">
        <v>1975</v>
      </c>
      <c r="E35">
        <v>210</v>
      </c>
      <c r="F35" t="s">
        <v>1976</v>
      </c>
      <c r="G35" t="s">
        <v>1910</v>
      </c>
      <c r="H35" s="119">
        <f t="shared" si="3"/>
        <v>219.92018340833829</v>
      </c>
      <c r="I35" s="123">
        <v>45372</v>
      </c>
      <c r="J35">
        <v>23554</v>
      </c>
      <c r="K35" s="119"/>
      <c r="L35">
        <v>23554</v>
      </c>
      <c r="M35">
        <v>2008</v>
      </c>
      <c r="P35" t="s">
        <v>1977</v>
      </c>
      <c r="R35" t="s">
        <v>44</v>
      </c>
      <c r="S35">
        <v>98285</v>
      </c>
      <c r="T35" s="120">
        <f t="shared" si="4"/>
        <v>4.1727519741869745</v>
      </c>
      <c r="U35" t="s">
        <v>44</v>
      </c>
      <c r="V35" s="120"/>
      <c r="W35" s="120"/>
      <c r="X35" s="120"/>
      <c r="Y35" s="121">
        <v>5180000</v>
      </c>
      <c r="Z35" s="121"/>
      <c r="AA35" s="121">
        <v>5180000</v>
      </c>
      <c r="AB35" s="121"/>
      <c r="AC35" t="s">
        <v>1978</v>
      </c>
      <c r="AD35" t="s">
        <v>1979</v>
      </c>
      <c r="AE35" s="243" t="s">
        <v>1980</v>
      </c>
      <c r="AF35" s="243" t="s">
        <v>1981</v>
      </c>
      <c r="AI35" s="59" t="e">
        <f t="shared" si="0"/>
        <v>#N/A</v>
      </c>
      <c r="AJ35" t="e">
        <f t="shared" si="1"/>
        <v>#N/A</v>
      </c>
      <c r="AK35" t="str">
        <f t="shared" si="2"/>
        <v/>
      </c>
    </row>
    <row r="36" spans="1:37" ht="15" customHeight="1">
      <c r="A36" s="62">
        <v>7</v>
      </c>
      <c r="B36" s="59">
        <v>28</v>
      </c>
      <c r="C36" t="s">
        <v>1982</v>
      </c>
      <c r="D36" t="s">
        <v>1983</v>
      </c>
      <c r="E36">
        <v>406</v>
      </c>
      <c r="F36" t="s">
        <v>1984</v>
      </c>
      <c r="G36" t="s">
        <v>89</v>
      </c>
      <c r="H36" s="119">
        <f t="shared" si="3"/>
        <v>183.8235294117647</v>
      </c>
      <c r="I36" s="123">
        <v>44869</v>
      </c>
      <c r="J36">
        <v>4080</v>
      </c>
      <c r="K36" s="119"/>
      <c r="L36">
        <v>4080</v>
      </c>
      <c r="M36">
        <v>1954</v>
      </c>
      <c r="P36" t="s">
        <v>1985</v>
      </c>
      <c r="R36" t="s">
        <v>44</v>
      </c>
      <c r="S36">
        <v>12762</v>
      </c>
      <c r="T36" s="120">
        <f t="shared" si="4"/>
        <v>3.1279411764705882</v>
      </c>
      <c r="U36" t="s">
        <v>44</v>
      </c>
      <c r="V36" s="120"/>
      <c r="W36" s="120"/>
      <c r="X36" s="120"/>
      <c r="Y36" s="121">
        <v>750000</v>
      </c>
      <c r="Z36" s="121"/>
      <c r="AA36" s="121">
        <v>750000</v>
      </c>
      <c r="AB36" s="121"/>
      <c r="AC36" t="s">
        <v>1986</v>
      </c>
      <c r="AD36" t="s">
        <v>1987</v>
      </c>
      <c r="AE36" s="243" t="s">
        <v>1988</v>
      </c>
      <c r="AF36" s="243" t="s">
        <v>1989</v>
      </c>
      <c r="AI36" s="59" t="e">
        <f t="shared" si="0"/>
        <v>#N/A</v>
      </c>
      <c r="AJ36" t="e">
        <f t="shared" si="1"/>
        <v>#N/A</v>
      </c>
      <c r="AK36" t="str">
        <f t="shared" si="2"/>
        <v/>
      </c>
    </row>
    <row r="37" spans="1:37" ht="15" customHeight="1">
      <c r="A37" s="62">
        <v>7</v>
      </c>
      <c r="B37" s="59">
        <v>29</v>
      </c>
      <c r="C37" t="s">
        <v>1990</v>
      </c>
      <c r="D37" t="s">
        <v>1991</v>
      </c>
      <c r="E37">
        <v>353</v>
      </c>
      <c r="F37" t="s">
        <v>1924</v>
      </c>
      <c r="G37" t="s">
        <v>88</v>
      </c>
      <c r="H37" s="119">
        <f t="shared" si="3"/>
        <v>121.52777777777777</v>
      </c>
      <c r="I37" s="123">
        <v>45190</v>
      </c>
      <c r="J37">
        <v>2880</v>
      </c>
      <c r="K37" s="119"/>
      <c r="L37">
        <v>2880</v>
      </c>
      <c r="M37">
        <v>1954</v>
      </c>
      <c r="P37" t="s">
        <v>1925</v>
      </c>
      <c r="R37" t="s">
        <v>44</v>
      </c>
      <c r="S37">
        <v>5000</v>
      </c>
      <c r="T37" s="120">
        <f t="shared" si="4"/>
        <v>1.7361111111111112</v>
      </c>
      <c r="U37" t="s">
        <v>44</v>
      </c>
      <c r="V37" s="120"/>
      <c r="W37" s="120"/>
      <c r="X37" s="120"/>
      <c r="Y37" s="121">
        <v>350000</v>
      </c>
      <c r="Z37" s="121"/>
      <c r="AA37" s="121">
        <v>350000</v>
      </c>
      <c r="AB37" s="121"/>
      <c r="AC37" t="s">
        <v>1992</v>
      </c>
      <c r="AD37" t="s">
        <v>1993</v>
      </c>
      <c r="AE37" s="243" t="s">
        <v>1994</v>
      </c>
      <c r="AF37" s="243" t="s">
        <v>1995</v>
      </c>
      <c r="AI37" s="59" t="e">
        <f t="shared" si="0"/>
        <v>#N/A</v>
      </c>
      <c r="AJ37" t="e">
        <f t="shared" si="1"/>
        <v>#N/A</v>
      </c>
      <c r="AK37" t="str">
        <f t="shared" si="2"/>
        <v/>
      </c>
    </row>
    <row r="38" spans="1:37" ht="15" customHeight="1">
      <c r="A38" s="62">
        <v>7</v>
      </c>
      <c r="B38" s="59">
        <v>30</v>
      </c>
      <c r="C38" t="s">
        <v>1996</v>
      </c>
      <c r="D38" t="s">
        <v>1997</v>
      </c>
      <c r="E38">
        <v>407</v>
      </c>
      <c r="F38" t="s">
        <v>1814</v>
      </c>
      <c r="G38" t="s">
        <v>1815</v>
      </c>
      <c r="H38" s="119">
        <f t="shared" si="3"/>
        <v>300.0483169592527</v>
      </c>
      <c r="I38" s="123">
        <v>44791</v>
      </c>
      <c r="J38">
        <v>24836</v>
      </c>
      <c r="K38" s="119"/>
      <c r="L38">
        <v>24836</v>
      </c>
      <c r="M38">
        <v>1976</v>
      </c>
      <c r="P38" t="s">
        <v>1932</v>
      </c>
      <c r="R38" t="s">
        <v>302</v>
      </c>
      <c r="S38">
        <v>290110</v>
      </c>
      <c r="T38" s="120">
        <f t="shared" si="4"/>
        <v>11.681027540666774</v>
      </c>
      <c r="U38" t="s">
        <v>302</v>
      </c>
      <c r="V38" s="120"/>
      <c r="W38" s="120"/>
      <c r="X38" s="120"/>
      <c r="Y38" s="121">
        <v>7452000</v>
      </c>
      <c r="Z38" s="121"/>
      <c r="AA38" s="121">
        <v>7452000</v>
      </c>
      <c r="AB38" s="121"/>
      <c r="AC38" t="s">
        <v>1998</v>
      </c>
      <c r="AD38" t="s">
        <v>1999</v>
      </c>
      <c r="AE38" s="243" t="s">
        <v>2000</v>
      </c>
      <c r="AF38" s="243" t="s">
        <v>2001</v>
      </c>
      <c r="AI38" s="59" t="e">
        <f t="shared" si="0"/>
        <v>#N/A</v>
      </c>
      <c r="AJ38" t="e">
        <f t="shared" si="1"/>
        <v>#N/A</v>
      </c>
      <c r="AK38" t="str">
        <f t="shared" si="2"/>
        <v/>
      </c>
    </row>
    <row r="39" spans="1:37" ht="15" customHeight="1">
      <c r="A39" s="62">
        <v>7</v>
      </c>
      <c r="B39" s="59">
        <v>31</v>
      </c>
      <c r="C39" t="s">
        <v>2002</v>
      </c>
      <c r="D39" t="s">
        <v>2003</v>
      </c>
      <c r="E39">
        <v>1344</v>
      </c>
      <c r="F39" t="s">
        <v>1785</v>
      </c>
      <c r="G39" t="s">
        <v>1786</v>
      </c>
      <c r="H39" s="119">
        <f t="shared" si="3"/>
        <v>11.723329425556859</v>
      </c>
      <c r="I39" s="123">
        <v>45036</v>
      </c>
      <c r="J39">
        <v>20472</v>
      </c>
      <c r="K39" s="119"/>
      <c r="L39">
        <v>20472</v>
      </c>
      <c r="M39">
        <v>2000</v>
      </c>
      <c r="P39" t="s">
        <v>1877</v>
      </c>
      <c r="R39" t="s">
        <v>44</v>
      </c>
      <c r="S39">
        <v>3100</v>
      </c>
      <c r="T39" s="120">
        <f t="shared" si="4"/>
        <v>0.15142633841344275</v>
      </c>
      <c r="U39" t="s">
        <v>44</v>
      </c>
      <c r="V39" s="120"/>
      <c r="W39" s="120"/>
      <c r="X39" s="120"/>
      <c r="Y39" s="121">
        <v>240000</v>
      </c>
      <c r="Z39" s="121"/>
      <c r="AA39" s="121">
        <v>240000</v>
      </c>
      <c r="AB39" s="121"/>
      <c r="AC39" t="s">
        <v>2004</v>
      </c>
      <c r="AD39" t="s">
        <v>2005</v>
      </c>
      <c r="AE39" s="243" t="s">
        <v>2006</v>
      </c>
      <c r="AF39" s="243" t="s">
        <v>2007</v>
      </c>
      <c r="AI39" s="59" t="e">
        <f t="shared" si="0"/>
        <v>#N/A</v>
      </c>
      <c r="AJ39" t="e">
        <f t="shared" si="1"/>
        <v>#N/A</v>
      </c>
      <c r="AK39" t="str">
        <f t="shared" si="2"/>
        <v/>
      </c>
    </row>
    <row r="40" spans="1:37" ht="15" customHeight="1">
      <c r="A40" s="62">
        <v>7</v>
      </c>
      <c r="B40" s="59">
        <v>32</v>
      </c>
      <c r="C40" t="s">
        <v>2008</v>
      </c>
      <c r="D40" t="s">
        <v>2009</v>
      </c>
      <c r="E40">
        <v>1344</v>
      </c>
      <c r="F40" t="s">
        <v>1785</v>
      </c>
      <c r="G40" t="s">
        <v>1786</v>
      </c>
      <c r="H40" s="119">
        <f t="shared" si="3"/>
        <v>12.031066822977726</v>
      </c>
      <c r="I40" s="123">
        <v>45054</v>
      </c>
      <c r="J40">
        <v>20472</v>
      </c>
      <c r="K40" s="119"/>
      <c r="L40">
        <v>20472</v>
      </c>
      <c r="M40">
        <v>2000</v>
      </c>
      <c r="P40" t="s">
        <v>1877</v>
      </c>
      <c r="R40" t="s">
        <v>44</v>
      </c>
      <c r="S40">
        <v>3100</v>
      </c>
      <c r="T40" s="120">
        <f t="shared" si="4"/>
        <v>0.15142633841344275</v>
      </c>
      <c r="U40" t="s">
        <v>44</v>
      </c>
      <c r="V40" s="120"/>
      <c r="W40" s="120"/>
      <c r="X40" s="120"/>
      <c r="Y40" s="121">
        <v>246300</v>
      </c>
      <c r="Z40" s="121"/>
      <c r="AA40" s="121">
        <v>246300</v>
      </c>
      <c r="AB40" s="121"/>
      <c r="AC40" t="s">
        <v>2010</v>
      </c>
      <c r="AD40" t="s">
        <v>2011</v>
      </c>
      <c r="AE40" s="243" t="s">
        <v>2006</v>
      </c>
      <c r="AF40" s="243" t="s">
        <v>2012</v>
      </c>
      <c r="AI40" s="59" t="e">
        <f t="shared" si="0"/>
        <v>#N/A</v>
      </c>
      <c r="AJ40" t="e">
        <f t="shared" si="1"/>
        <v>#N/A</v>
      </c>
      <c r="AK40" t="str">
        <f t="shared" si="2"/>
        <v/>
      </c>
    </row>
    <row r="41" spans="1:37" ht="15" customHeight="1">
      <c r="A41" s="62">
        <v>7</v>
      </c>
      <c r="B41" s="59">
        <v>33</v>
      </c>
      <c r="C41" t="s">
        <v>2013</v>
      </c>
      <c r="D41" t="s">
        <v>2014</v>
      </c>
      <c r="E41">
        <v>1344</v>
      </c>
      <c r="F41" t="s">
        <v>1785</v>
      </c>
      <c r="G41" t="s">
        <v>1786</v>
      </c>
      <c r="H41" s="119">
        <f t="shared" si="3"/>
        <v>15.631105900742478</v>
      </c>
      <c r="I41" s="123">
        <v>45154</v>
      </c>
      <c r="J41">
        <v>20472</v>
      </c>
      <c r="K41" s="119"/>
      <c r="L41">
        <v>20472</v>
      </c>
      <c r="M41">
        <v>2000</v>
      </c>
      <c r="P41" t="s">
        <v>1877</v>
      </c>
      <c r="R41" t="s">
        <v>44</v>
      </c>
      <c r="S41">
        <v>3100</v>
      </c>
      <c r="T41" s="120">
        <f t="shared" si="4"/>
        <v>0.15142633841344275</v>
      </c>
      <c r="U41" t="s">
        <v>44</v>
      </c>
      <c r="V41" s="120"/>
      <c r="W41" s="120"/>
      <c r="X41" s="120"/>
      <c r="Y41" s="121">
        <v>320000</v>
      </c>
      <c r="Z41" s="121"/>
      <c r="AA41" s="121">
        <v>320000</v>
      </c>
      <c r="AB41" s="121"/>
      <c r="AC41" t="s">
        <v>2015</v>
      </c>
      <c r="AD41" t="s">
        <v>2016</v>
      </c>
      <c r="AE41" s="243" t="s">
        <v>2017</v>
      </c>
      <c r="AF41" s="243" t="s">
        <v>2018</v>
      </c>
      <c r="AI41" s="59" t="e">
        <f t="shared" si="0"/>
        <v>#N/A</v>
      </c>
      <c r="AJ41" t="e">
        <f t="shared" si="1"/>
        <v>#N/A</v>
      </c>
      <c r="AK41" t="str">
        <f t="shared" si="2"/>
        <v/>
      </c>
    </row>
    <row r="42" spans="1:37" ht="15" customHeight="1">
      <c r="A42" s="62">
        <v>7</v>
      </c>
      <c r="B42" s="59">
        <v>34</v>
      </c>
      <c r="C42" t="s">
        <v>2019</v>
      </c>
      <c r="D42" t="s">
        <v>2020</v>
      </c>
      <c r="E42">
        <v>1344</v>
      </c>
      <c r="F42" t="s">
        <v>1896</v>
      </c>
      <c r="G42" t="s">
        <v>90</v>
      </c>
      <c r="H42" s="119">
        <f t="shared" si="3"/>
        <v>19.332871652816252</v>
      </c>
      <c r="I42" s="123">
        <v>45205</v>
      </c>
      <c r="J42">
        <v>17328</v>
      </c>
      <c r="K42" s="119"/>
      <c r="L42">
        <v>17328</v>
      </c>
      <c r="M42">
        <v>2000</v>
      </c>
      <c r="P42" t="s">
        <v>1897</v>
      </c>
      <c r="R42" t="s">
        <v>44</v>
      </c>
      <c r="S42">
        <v>3838.69</v>
      </c>
      <c r="T42" s="120">
        <f t="shared" si="4"/>
        <v>0.22153104801477377</v>
      </c>
      <c r="U42" t="s">
        <v>44</v>
      </c>
      <c r="V42" s="120"/>
      <c r="W42" s="120"/>
      <c r="X42" s="120"/>
      <c r="Y42" s="121">
        <v>335000</v>
      </c>
      <c r="Z42" s="121"/>
      <c r="AA42" s="121">
        <v>335000</v>
      </c>
      <c r="AB42" s="121"/>
      <c r="AC42" t="s">
        <v>2021</v>
      </c>
      <c r="AD42" t="s">
        <v>2022</v>
      </c>
      <c r="AE42" s="243" t="s">
        <v>2023</v>
      </c>
      <c r="AF42" s="243" t="s">
        <v>2024</v>
      </c>
      <c r="AI42" s="59" t="e">
        <f t="shared" si="0"/>
        <v>#N/A</v>
      </c>
      <c r="AJ42" t="e">
        <f t="shared" si="1"/>
        <v>#N/A</v>
      </c>
      <c r="AK42" t="str">
        <f t="shared" si="2"/>
        <v/>
      </c>
    </row>
    <row r="43" spans="1:37" ht="15" customHeight="1">
      <c r="A43" s="62">
        <v>7</v>
      </c>
      <c r="B43" s="59">
        <v>35</v>
      </c>
      <c r="C43" t="s">
        <v>2025</v>
      </c>
      <c r="D43" t="s">
        <v>2026</v>
      </c>
      <c r="E43">
        <v>425</v>
      </c>
      <c r="F43" t="s">
        <v>1814</v>
      </c>
      <c r="G43" t="s">
        <v>1815</v>
      </c>
      <c r="H43" s="119">
        <f t="shared" si="3"/>
        <v>18.430769230769229</v>
      </c>
      <c r="I43" s="123">
        <v>44957</v>
      </c>
      <c r="J43">
        <v>32500</v>
      </c>
      <c r="K43" s="119"/>
      <c r="L43">
        <v>32500</v>
      </c>
      <c r="M43">
        <v>2004</v>
      </c>
      <c r="P43" t="s">
        <v>2027</v>
      </c>
      <c r="R43" t="s">
        <v>44</v>
      </c>
      <c r="S43">
        <v>4740</v>
      </c>
      <c r="T43" s="120">
        <f t="shared" si="4"/>
        <v>0.14584615384615385</v>
      </c>
      <c r="U43" t="s">
        <v>44</v>
      </c>
      <c r="V43" s="120"/>
      <c r="W43" s="120"/>
      <c r="X43" s="120"/>
      <c r="Y43" s="121">
        <v>599000</v>
      </c>
      <c r="Z43" s="121"/>
      <c r="AA43" s="121">
        <v>599000</v>
      </c>
      <c r="AB43" s="121"/>
      <c r="AC43" t="s">
        <v>2028</v>
      </c>
      <c r="AD43" t="s">
        <v>2029</v>
      </c>
      <c r="AE43" s="243" t="s">
        <v>2030</v>
      </c>
      <c r="AF43" s="243" t="s">
        <v>2031</v>
      </c>
      <c r="AI43" s="59" t="e">
        <f t="shared" si="0"/>
        <v>#N/A</v>
      </c>
      <c r="AJ43" t="e">
        <f t="shared" si="1"/>
        <v>#N/A</v>
      </c>
      <c r="AK43" t="str">
        <f t="shared" si="2"/>
        <v/>
      </c>
    </row>
    <row r="44" spans="1:37" ht="15" customHeight="1">
      <c r="A44" s="62">
        <v>7</v>
      </c>
      <c r="B44" s="59">
        <v>36</v>
      </c>
      <c r="C44" t="s">
        <v>2032</v>
      </c>
      <c r="D44" t="s">
        <v>2033</v>
      </c>
      <c r="E44">
        <v>1332</v>
      </c>
      <c r="F44" t="s">
        <v>1800</v>
      </c>
      <c r="G44" t="s">
        <v>1786</v>
      </c>
      <c r="H44" s="119">
        <f t="shared" si="3"/>
        <v>102803.73831775702</v>
      </c>
      <c r="I44" s="123">
        <v>45113</v>
      </c>
      <c r="J44">
        <v>107</v>
      </c>
      <c r="K44" s="119"/>
      <c r="L44">
        <v>107</v>
      </c>
      <c r="M44">
        <v>1997</v>
      </c>
      <c r="P44" t="s">
        <v>1807</v>
      </c>
      <c r="R44" t="s">
        <v>44</v>
      </c>
      <c r="S44">
        <v>114649.92</v>
      </c>
      <c r="T44" s="120">
        <f t="shared" si="4"/>
        <v>1071.4945794392522</v>
      </c>
      <c r="U44" t="s">
        <v>44</v>
      </c>
      <c r="V44" s="120"/>
      <c r="W44" s="120"/>
      <c r="X44" s="120"/>
      <c r="Y44" s="121">
        <v>11000000</v>
      </c>
      <c r="Z44" s="121"/>
      <c r="AA44" s="121">
        <v>11000000</v>
      </c>
      <c r="AB44" s="121"/>
      <c r="AC44" t="s">
        <v>2034</v>
      </c>
      <c r="AD44" t="s">
        <v>2035</v>
      </c>
      <c r="AE44" s="243" t="s">
        <v>2036</v>
      </c>
      <c r="AF44" s="243" t="s">
        <v>2037</v>
      </c>
      <c r="AI44" s="59" t="e">
        <f t="shared" si="0"/>
        <v>#N/A</v>
      </c>
      <c r="AJ44" t="e">
        <f t="shared" si="1"/>
        <v>#N/A</v>
      </c>
      <c r="AK44" t="str">
        <f t="shared" si="2"/>
        <v/>
      </c>
    </row>
    <row r="45" spans="1:37" ht="15" customHeight="1">
      <c r="A45" s="62">
        <v>7</v>
      </c>
      <c r="B45" s="59">
        <v>37</v>
      </c>
      <c r="C45" t="s">
        <v>2038</v>
      </c>
      <c r="D45" t="s">
        <v>2039</v>
      </c>
      <c r="E45">
        <v>1344</v>
      </c>
      <c r="F45" t="s">
        <v>1785</v>
      </c>
      <c r="G45" t="s">
        <v>1786</v>
      </c>
      <c r="H45" s="119">
        <f t="shared" si="3"/>
        <v>17.616421568627452</v>
      </c>
      <c r="I45" s="123">
        <v>45215</v>
      </c>
      <c r="J45">
        <v>19584</v>
      </c>
      <c r="K45" s="119"/>
      <c r="L45">
        <v>19584</v>
      </c>
      <c r="M45">
        <v>2001</v>
      </c>
      <c r="P45" t="s">
        <v>1877</v>
      </c>
      <c r="R45" t="s">
        <v>44</v>
      </c>
      <c r="S45">
        <v>5862</v>
      </c>
      <c r="T45" s="120">
        <f t="shared" si="4"/>
        <v>0.29932598039215685</v>
      </c>
      <c r="U45" t="s">
        <v>44</v>
      </c>
      <c r="V45" s="120"/>
      <c r="W45" s="120"/>
      <c r="X45" s="120"/>
      <c r="Y45" s="121">
        <v>345000</v>
      </c>
      <c r="Z45" s="121"/>
      <c r="AA45" s="121">
        <v>345000</v>
      </c>
      <c r="AB45" s="121"/>
      <c r="AC45" t="s">
        <v>2040</v>
      </c>
      <c r="AD45" t="s">
        <v>2041</v>
      </c>
      <c r="AE45" s="243" t="s">
        <v>2042</v>
      </c>
      <c r="AF45" s="243" t="s">
        <v>2043</v>
      </c>
      <c r="AI45" s="59" t="e">
        <f t="shared" si="0"/>
        <v>#N/A</v>
      </c>
      <c r="AJ45" t="e">
        <f t="shared" si="1"/>
        <v>#N/A</v>
      </c>
      <c r="AK45" t="str">
        <f t="shared" si="2"/>
        <v/>
      </c>
    </row>
    <row r="46" spans="1:37" ht="15" customHeight="1">
      <c r="A46" s="62">
        <v>7</v>
      </c>
      <c r="B46" s="59">
        <v>38</v>
      </c>
      <c r="C46" t="s">
        <v>2044</v>
      </c>
      <c r="D46" t="s">
        <v>2045</v>
      </c>
      <c r="E46">
        <v>227</v>
      </c>
      <c r="F46" t="s">
        <v>1896</v>
      </c>
      <c r="G46" t="s">
        <v>1786</v>
      </c>
      <c r="H46" s="119">
        <f t="shared" si="3"/>
        <v>325.03968905676902</v>
      </c>
      <c r="I46" s="123">
        <v>45379</v>
      </c>
      <c r="J46">
        <v>36534</v>
      </c>
      <c r="K46" s="119"/>
      <c r="L46">
        <v>36534</v>
      </c>
      <c r="M46">
        <v>1975</v>
      </c>
      <c r="P46" t="s">
        <v>1897</v>
      </c>
      <c r="R46" t="s">
        <v>44</v>
      </c>
      <c r="S46">
        <v>586186.92000000004</v>
      </c>
      <c r="T46" s="120">
        <f t="shared" si="4"/>
        <v>16.044969617342751</v>
      </c>
      <c r="U46" t="s">
        <v>44</v>
      </c>
      <c r="V46" s="120"/>
      <c r="W46" s="120"/>
      <c r="X46" s="120"/>
      <c r="Y46" s="121">
        <v>11875000</v>
      </c>
      <c r="Z46" s="121"/>
      <c r="AA46" s="121">
        <v>11875000</v>
      </c>
      <c r="AB46" s="121"/>
      <c r="AC46" t="s">
        <v>2046</v>
      </c>
      <c r="AD46" t="s">
        <v>2047</v>
      </c>
      <c r="AE46" s="243" t="s">
        <v>2048</v>
      </c>
      <c r="AF46" s="243" t="s">
        <v>2049</v>
      </c>
      <c r="AI46" s="59" t="e">
        <f t="shared" si="0"/>
        <v>#N/A</v>
      </c>
      <c r="AJ46" t="e">
        <f t="shared" si="1"/>
        <v>#N/A</v>
      </c>
      <c r="AK46" t="str">
        <f t="shared" si="2"/>
        <v/>
      </c>
    </row>
    <row r="47" spans="1:37" ht="15" customHeight="1">
      <c r="A47" s="62">
        <v>7</v>
      </c>
      <c r="B47" s="59">
        <v>39</v>
      </c>
      <c r="C47" t="s">
        <v>2050</v>
      </c>
      <c r="D47" t="s">
        <v>2051</v>
      </c>
      <c r="E47">
        <v>353</v>
      </c>
      <c r="F47" t="s">
        <v>1896</v>
      </c>
      <c r="G47" t="s">
        <v>1786</v>
      </c>
      <c r="H47" s="119">
        <f t="shared" si="3"/>
        <v>309.59752321981426</v>
      </c>
      <c r="I47" s="123">
        <v>45294</v>
      </c>
      <c r="J47">
        <v>1292</v>
      </c>
      <c r="K47" s="119"/>
      <c r="L47">
        <v>1292</v>
      </c>
      <c r="M47">
        <v>1959</v>
      </c>
      <c r="P47" t="s">
        <v>1897</v>
      </c>
      <c r="R47" t="s">
        <v>44</v>
      </c>
      <c r="S47">
        <v>10018.799999999999</v>
      </c>
      <c r="T47" s="120">
        <f t="shared" si="4"/>
        <v>7.7544891640866869</v>
      </c>
      <c r="U47" t="s">
        <v>44</v>
      </c>
      <c r="V47" s="120"/>
      <c r="W47" s="120"/>
      <c r="X47" s="120"/>
      <c r="Y47" s="121">
        <v>400000</v>
      </c>
      <c r="Z47" s="121"/>
      <c r="AA47" s="121">
        <v>400000</v>
      </c>
      <c r="AB47" s="121"/>
      <c r="AC47" t="s">
        <v>2052</v>
      </c>
      <c r="AD47" t="s">
        <v>2053</v>
      </c>
      <c r="AE47" s="243" t="s">
        <v>2054</v>
      </c>
      <c r="AF47" s="243" t="s">
        <v>2055</v>
      </c>
      <c r="AI47" s="59" t="e">
        <f t="shared" si="0"/>
        <v>#N/A</v>
      </c>
      <c r="AJ47" t="e">
        <f t="shared" si="1"/>
        <v>#N/A</v>
      </c>
      <c r="AK47" t="str">
        <f t="shared" si="2"/>
        <v/>
      </c>
    </row>
    <row r="48" spans="1:37" ht="15" customHeight="1">
      <c r="A48" s="62">
        <v>7</v>
      </c>
      <c r="B48" s="59">
        <v>40</v>
      </c>
      <c r="C48" t="s">
        <v>2056</v>
      </c>
      <c r="D48" t="s">
        <v>2057</v>
      </c>
      <c r="E48">
        <v>353</v>
      </c>
      <c r="F48" t="s">
        <v>1800</v>
      </c>
      <c r="G48" t="s">
        <v>1786</v>
      </c>
      <c r="H48" s="119">
        <f t="shared" si="3"/>
        <v>323.87869270782215</v>
      </c>
      <c r="I48" s="123">
        <v>44764</v>
      </c>
      <c r="J48">
        <v>10189</v>
      </c>
      <c r="K48" s="119"/>
      <c r="L48">
        <v>10189</v>
      </c>
      <c r="M48">
        <v>1986</v>
      </c>
      <c r="P48" t="s">
        <v>1807</v>
      </c>
      <c r="R48" t="s">
        <v>44</v>
      </c>
      <c r="S48">
        <v>66211</v>
      </c>
      <c r="T48" s="120">
        <f t="shared" si="4"/>
        <v>6.4982824614780643</v>
      </c>
      <c r="U48" t="s">
        <v>44</v>
      </c>
      <c r="V48" s="120"/>
      <c r="W48" s="120"/>
      <c r="X48" s="120"/>
      <c r="Y48" s="121">
        <v>3300000</v>
      </c>
      <c r="Z48" s="121"/>
      <c r="AA48" s="121">
        <v>3300000</v>
      </c>
      <c r="AB48" s="121"/>
      <c r="AC48" t="s">
        <v>2058</v>
      </c>
      <c r="AD48" t="s">
        <v>2059</v>
      </c>
      <c r="AE48" s="243" t="s">
        <v>2060</v>
      </c>
      <c r="AF48" s="243" t="s">
        <v>2061</v>
      </c>
      <c r="AI48" s="59" t="e">
        <f t="shared" si="0"/>
        <v>#N/A</v>
      </c>
      <c r="AJ48" t="e">
        <f t="shared" si="1"/>
        <v>#N/A</v>
      </c>
      <c r="AK48" t="str">
        <f t="shared" si="2"/>
        <v/>
      </c>
    </row>
    <row r="49" spans="1:37" ht="15" customHeight="1">
      <c r="A49" s="62">
        <v>7</v>
      </c>
      <c r="B49" s="59">
        <v>41</v>
      </c>
      <c r="C49" t="s">
        <v>2062</v>
      </c>
      <c r="D49" t="s">
        <v>2063</v>
      </c>
      <c r="E49">
        <v>344</v>
      </c>
      <c r="F49" t="s">
        <v>1800</v>
      </c>
      <c r="G49" t="s">
        <v>1786</v>
      </c>
      <c r="H49" s="119">
        <f t="shared" si="3"/>
        <v>178.46519928613921</v>
      </c>
      <c r="I49" s="123">
        <v>44838</v>
      </c>
      <c r="J49">
        <v>3362</v>
      </c>
      <c r="K49" s="119"/>
      <c r="L49">
        <v>3362</v>
      </c>
      <c r="M49">
        <v>1987</v>
      </c>
      <c r="P49" t="s">
        <v>1807</v>
      </c>
      <c r="R49" t="s">
        <v>44</v>
      </c>
      <c r="S49">
        <v>3070</v>
      </c>
      <c r="T49" s="120">
        <f t="shared" si="4"/>
        <v>0.91314693634741229</v>
      </c>
      <c r="U49" t="s">
        <v>44</v>
      </c>
      <c r="V49" s="120"/>
      <c r="W49" s="120"/>
      <c r="X49" s="120"/>
      <c r="Y49" s="121">
        <v>600000</v>
      </c>
      <c r="Z49" s="121"/>
      <c r="AA49" s="121">
        <v>600000</v>
      </c>
      <c r="AB49" s="121"/>
      <c r="AC49" t="s">
        <v>2064</v>
      </c>
      <c r="AD49" t="s">
        <v>2065</v>
      </c>
      <c r="AE49" s="243" t="s">
        <v>2066</v>
      </c>
      <c r="AF49" s="243" t="s">
        <v>2067</v>
      </c>
      <c r="AI49" s="59" t="e">
        <f t="shared" si="0"/>
        <v>#N/A</v>
      </c>
      <c r="AJ49" t="e">
        <f t="shared" si="1"/>
        <v>#N/A</v>
      </c>
      <c r="AK49" t="str">
        <f t="shared" si="2"/>
        <v/>
      </c>
    </row>
    <row r="50" spans="1:37" ht="15" customHeight="1">
      <c r="A50" s="62">
        <v>7</v>
      </c>
      <c r="B50" s="59">
        <v>42</v>
      </c>
      <c r="C50" t="s">
        <v>2068</v>
      </c>
      <c r="D50" t="s">
        <v>2069</v>
      </c>
      <c r="E50">
        <v>304</v>
      </c>
      <c r="F50" t="s">
        <v>1896</v>
      </c>
      <c r="G50" t="s">
        <v>90</v>
      </c>
      <c r="H50" s="119">
        <f t="shared" si="3"/>
        <v>247.63923684717673</v>
      </c>
      <c r="I50" s="123">
        <v>44845</v>
      </c>
      <c r="J50">
        <v>5189</v>
      </c>
      <c r="K50" s="119"/>
      <c r="L50">
        <v>5189</v>
      </c>
      <c r="M50">
        <v>2006</v>
      </c>
      <c r="P50" t="s">
        <v>1897</v>
      </c>
      <c r="R50" t="s">
        <v>44</v>
      </c>
      <c r="S50">
        <v>37287</v>
      </c>
      <c r="T50" s="120">
        <f t="shared" si="4"/>
        <v>7.1857776064752361</v>
      </c>
      <c r="U50" t="s">
        <v>44</v>
      </c>
      <c r="V50" s="120"/>
      <c r="W50" s="120"/>
      <c r="X50" s="120"/>
      <c r="Y50" s="121">
        <v>1285000</v>
      </c>
      <c r="Z50" s="121"/>
      <c r="AA50" s="121">
        <v>1285000</v>
      </c>
      <c r="AB50" s="121"/>
      <c r="AC50" t="s">
        <v>2070</v>
      </c>
      <c r="AD50" t="s">
        <v>2071</v>
      </c>
      <c r="AE50" s="243" t="s">
        <v>2072</v>
      </c>
      <c r="AF50" s="243" t="s">
        <v>2073</v>
      </c>
      <c r="AI50" s="59" t="e">
        <f t="shared" si="0"/>
        <v>#N/A</v>
      </c>
      <c r="AJ50" t="e">
        <f t="shared" si="1"/>
        <v>#N/A</v>
      </c>
      <c r="AK50" t="str">
        <f t="shared" si="2"/>
        <v/>
      </c>
    </row>
    <row r="51" spans="1:37" ht="15" customHeight="1">
      <c r="A51" s="62">
        <v>7</v>
      </c>
      <c r="B51" s="59">
        <v>43</v>
      </c>
      <c r="C51" t="s">
        <v>2074</v>
      </c>
      <c r="D51" t="s">
        <v>2075</v>
      </c>
      <c r="E51">
        <v>353</v>
      </c>
      <c r="F51" t="s">
        <v>1800</v>
      </c>
      <c r="G51" t="s">
        <v>90</v>
      </c>
      <c r="H51" s="119">
        <f t="shared" si="3"/>
        <v>383.0546989125142</v>
      </c>
      <c r="I51" s="123">
        <v>44774</v>
      </c>
      <c r="J51">
        <v>6161</v>
      </c>
      <c r="K51" s="119"/>
      <c r="L51">
        <v>6161</v>
      </c>
      <c r="M51">
        <v>2017</v>
      </c>
      <c r="P51" t="s">
        <v>1807</v>
      </c>
      <c r="R51" t="s">
        <v>44</v>
      </c>
      <c r="S51">
        <v>41047</v>
      </c>
      <c r="T51" s="120">
        <f t="shared" si="4"/>
        <v>6.6623924687550726</v>
      </c>
      <c r="U51" t="s">
        <v>44</v>
      </c>
      <c r="V51" s="120"/>
      <c r="W51" s="120"/>
      <c r="X51" s="120"/>
      <c r="Y51" s="121">
        <v>2360000</v>
      </c>
      <c r="Z51" s="121"/>
      <c r="AA51" s="121">
        <v>2360000</v>
      </c>
      <c r="AB51" s="121"/>
      <c r="AC51" t="s">
        <v>2076</v>
      </c>
      <c r="AD51" t="s">
        <v>2077</v>
      </c>
      <c r="AE51" s="243" t="s">
        <v>1849</v>
      </c>
      <c r="AF51" s="243" t="s">
        <v>2078</v>
      </c>
      <c r="AI51" s="59" t="e">
        <f t="shared" si="0"/>
        <v>#N/A</v>
      </c>
      <c r="AJ51" t="e">
        <f t="shared" si="1"/>
        <v>#N/A</v>
      </c>
      <c r="AK51" t="str">
        <f t="shared" si="2"/>
        <v/>
      </c>
    </row>
    <row r="52" spans="1:37" ht="15" customHeight="1">
      <c r="A52" s="62">
        <v>7</v>
      </c>
      <c r="B52" s="59">
        <v>44</v>
      </c>
      <c r="C52" t="s">
        <v>2079</v>
      </c>
      <c r="D52" t="s">
        <v>2080</v>
      </c>
      <c r="E52">
        <v>425</v>
      </c>
      <c r="F52" t="s">
        <v>1800</v>
      </c>
      <c r="G52" t="s">
        <v>90</v>
      </c>
      <c r="H52" s="119">
        <f t="shared" si="3"/>
        <v>36.213343829954731</v>
      </c>
      <c r="I52" s="123">
        <v>45007</v>
      </c>
      <c r="J52">
        <v>15243</v>
      </c>
      <c r="K52" s="119"/>
      <c r="L52">
        <v>15243</v>
      </c>
      <c r="M52">
        <v>2016</v>
      </c>
      <c r="P52" t="s">
        <v>1807</v>
      </c>
      <c r="R52" t="s">
        <v>229</v>
      </c>
      <c r="S52">
        <v>5569</v>
      </c>
      <c r="T52" s="120">
        <f t="shared" si="4"/>
        <v>0.3653480286032933</v>
      </c>
      <c r="U52" t="s">
        <v>229</v>
      </c>
      <c r="V52" s="120"/>
      <c r="W52" s="120"/>
      <c r="X52" s="120"/>
      <c r="Y52" s="121">
        <v>552000</v>
      </c>
      <c r="Z52" s="121"/>
      <c r="AA52" s="121">
        <v>552000</v>
      </c>
      <c r="AB52" s="121"/>
      <c r="AC52" t="s">
        <v>2081</v>
      </c>
      <c r="AD52" t="s">
        <v>2082</v>
      </c>
      <c r="AE52" s="243" t="s">
        <v>2083</v>
      </c>
      <c r="AF52" s="243" t="s">
        <v>2084</v>
      </c>
      <c r="AI52" s="59" t="e">
        <f t="shared" si="0"/>
        <v>#N/A</v>
      </c>
      <c r="AJ52" t="e">
        <f t="shared" si="1"/>
        <v>#N/A</v>
      </c>
      <c r="AK52" t="str">
        <f t="shared" si="2"/>
        <v/>
      </c>
    </row>
    <row r="53" spans="1:37" ht="15" customHeight="1">
      <c r="A53" s="62">
        <v>7</v>
      </c>
      <c r="B53" s="59">
        <v>45</v>
      </c>
      <c r="C53" t="s">
        <v>2085</v>
      </c>
      <c r="D53" t="s">
        <v>2080</v>
      </c>
      <c r="E53">
        <v>425</v>
      </c>
      <c r="F53" t="s">
        <v>1800</v>
      </c>
      <c r="G53" t="s">
        <v>90</v>
      </c>
      <c r="H53" s="119">
        <f t="shared" si="3"/>
        <v>35.71880136553294</v>
      </c>
      <c r="I53" s="123">
        <v>44931</v>
      </c>
      <c r="J53">
        <v>15818</v>
      </c>
      <c r="K53" s="119"/>
      <c r="L53">
        <v>15818</v>
      </c>
      <c r="M53">
        <v>2016</v>
      </c>
      <c r="P53" t="s">
        <v>1807</v>
      </c>
      <c r="R53" t="s">
        <v>229</v>
      </c>
      <c r="S53">
        <v>5569</v>
      </c>
      <c r="T53" s="120">
        <f t="shared" si="4"/>
        <v>0.35206726514097864</v>
      </c>
      <c r="U53" t="s">
        <v>229</v>
      </c>
      <c r="V53" s="120"/>
      <c r="W53" s="120"/>
      <c r="X53" s="120"/>
      <c r="Y53" s="121">
        <v>565000</v>
      </c>
      <c r="Z53" s="121"/>
      <c r="AA53" s="121">
        <v>565000</v>
      </c>
      <c r="AB53" s="121"/>
      <c r="AC53" t="s">
        <v>2086</v>
      </c>
      <c r="AD53" t="s">
        <v>2087</v>
      </c>
      <c r="AE53" s="243" t="s">
        <v>2088</v>
      </c>
      <c r="AF53" s="243" t="s">
        <v>2089</v>
      </c>
      <c r="AI53" s="59" t="e">
        <f t="shared" si="0"/>
        <v>#N/A</v>
      </c>
      <c r="AJ53" t="e">
        <f t="shared" si="1"/>
        <v>#N/A</v>
      </c>
      <c r="AK53" t="str">
        <f t="shared" si="2"/>
        <v/>
      </c>
    </row>
    <row r="54" spans="1:37" ht="15" customHeight="1">
      <c r="A54" s="62">
        <v>7</v>
      </c>
      <c r="B54" s="59">
        <v>46</v>
      </c>
      <c r="C54" t="s">
        <v>2090</v>
      </c>
      <c r="D54" t="s">
        <v>2091</v>
      </c>
      <c r="E54">
        <v>407</v>
      </c>
      <c r="F54" t="s">
        <v>1814</v>
      </c>
      <c r="G54" t="s">
        <v>1815</v>
      </c>
      <c r="H54" s="119">
        <f t="shared" si="3"/>
        <v>109.15281393951533</v>
      </c>
      <c r="I54" s="123">
        <v>45219</v>
      </c>
      <c r="J54">
        <v>99860</v>
      </c>
      <c r="K54" s="119"/>
      <c r="L54">
        <v>99860</v>
      </c>
      <c r="M54">
        <v>1984</v>
      </c>
      <c r="P54" t="s">
        <v>1932</v>
      </c>
      <c r="R54" t="s">
        <v>44</v>
      </c>
      <c r="S54">
        <v>184258</v>
      </c>
      <c r="T54" s="120">
        <f t="shared" si="4"/>
        <v>1.845163228519928</v>
      </c>
      <c r="U54" t="s">
        <v>44</v>
      </c>
      <c r="V54" s="120"/>
      <c r="W54" s="120"/>
      <c r="X54" s="120"/>
      <c r="Y54" s="121">
        <v>10900000</v>
      </c>
      <c r="Z54" s="121"/>
      <c r="AA54" s="121">
        <v>10900000</v>
      </c>
      <c r="AB54" s="121"/>
      <c r="AC54" t="s">
        <v>2092</v>
      </c>
      <c r="AD54" t="s">
        <v>2093</v>
      </c>
      <c r="AE54" s="243" t="s">
        <v>2094</v>
      </c>
      <c r="AF54" s="243" t="s">
        <v>2095</v>
      </c>
      <c r="AI54" s="59" t="e">
        <f t="shared" si="0"/>
        <v>#N/A</v>
      </c>
      <c r="AJ54" t="e">
        <f t="shared" si="1"/>
        <v>#N/A</v>
      </c>
      <c r="AK54" t="str">
        <f t="shared" si="2"/>
        <v/>
      </c>
    </row>
    <row r="55" spans="1:37" ht="15" customHeight="1">
      <c r="A55" s="62">
        <v>7</v>
      </c>
      <c r="B55" s="59">
        <v>47</v>
      </c>
      <c r="C55" t="s">
        <v>2096</v>
      </c>
      <c r="D55" t="s">
        <v>2097</v>
      </c>
      <c r="E55">
        <v>344</v>
      </c>
      <c r="G55" t="s">
        <v>1910</v>
      </c>
      <c r="H55" s="119">
        <f t="shared" si="3"/>
        <v>286.91660290742158</v>
      </c>
      <c r="I55" s="123">
        <v>45317</v>
      </c>
      <c r="J55">
        <v>15684</v>
      </c>
      <c r="K55" s="119"/>
      <c r="L55">
        <v>15684</v>
      </c>
      <c r="M55">
        <v>1971</v>
      </c>
      <c r="P55" t="s">
        <v>1911</v>
      </c>
      <c r="R55" t="s">
        <v>44</v>
      </c>
      <c r="S55">
        <v>35459</v>
      </c>
      <c r="T55" s="120">
        <f t="shared" si="4"/>
        <v>2.2608390716653917</v>
      </c>
      <c r="U55" t="s">
        <v>44</v>
      </c>
      <c r="V55" s="120"/>
      <c r="W55" s="120"/>
      <c r="X55" s="120"/>
      <c r="Y55" s="121">
        <v>4500000</v>
      </c>
      <c r="Z55" s="121"/>
      <c r="AA55" s="121">
        <v>4500000</v>
      </c>
      <c r="AB55" s="121"/>
      <c r="AC55" t="s">
        <v>2098</v>
      </c>
      <c r="AD55" t="s">
        <v>2099</v>
      </c>
      <c r="AE55" s="243" t="s">
        <v>2100</v>
      </c>
      <c r="AF55" s="243" t="s">
        <v>2101</v>
      </c>
      <c r="AI55" s="59" t="e">
        <f t="shared" si="0"/>
        <v>#N/A</v>
      </c>
      <c r="AJ55" t="e">
        <f t="shared" si="1"/>
        <v>#N/A</v>
      </c>
      <c r="AK55" t="str">
        <f t="shared" si="2"/>
        <v/>
      </c>
    </row>
    <row r="56" spans="1:37" ht="15" customHeight="1">
      <c r="A56" s="62">
        <v>7</v>
      </c>
      <c r="B56" s="59">
        <v>48</v>
      </c>
      <c r="C56" t="s">
        <v>2102</v>
      </c>
      <c r="D56" t="s">
        <v>2103</v>
      </c>
      <c r="E56">
        <v>407</v>
      </c>
      <c r="G56" t="s">
        <v>1910</v>
      </c>
      <c r="H56" s="119">
        <f t="shared" si="3"/>
        <v>232.87671232876713</v>
      </c>
      <c r="I56" s="123">
        <v>45078</v>
      </c>
      <c r="J56">
        <v>14600</v>
      </c>
      <c r="K56" s="119"/>
      <c r="L56">
        <v>14600</v>
      </c>
      <c r="M56">
        <v>2006</v>
      </c>
      <c r="P56" t="s">
        <v>1969</v>
      </c>
      <c r="R56" t="s">
        <v>44</v>
      </c>
      <c r="S56">
        <v>59677.2</v>
      </c>
      <c r="T56" s="120">
        <f t="shared" si="4"/>
        <v>4.0874794520547946</v>
      </c>
      <c r="U56" t="s">
        <v>44</v>
      </c>
      <c r="V56" s="120"/>
      <c r="W56" s="120"/>
      <c r="X56" s="120"/>
      <c r="Y56" s="121">
        <v>3400000</v>
      </c>
      <c r="Z56" s="121"/>
      <c r="AA56" s="121">
        <v>3400000</v>
      </c>
      <c r="AB56" s="121"/>
      <c r="AC56" t="s">
        <v>2104</v>
      </c>
      <c r="AD56" t="s">
        <v>2105</v>
      </c>
      <c r="AE56" s="243" t="s">
        <v>2106</v>
      </c>
      <c r="AF56" s="243" t="s">
        <v>2107</v>
      </c>
      <c r="AI56" s="59" t="e">
        <f t="shared" si="0"/>
        <v>#N/A</v>
      </c>
      <c r="AJ56" t="e">
        <f t="shared" si="1"/>
        <v>#N/A</v>
      </c>
      <c r="AK56" t="str">
        <f t="shared" si="2"/>
        <v/>
      </c>
    </row>
    <row r="57" spans="1:37" ht="15" customHeight="1">
      <c r="A57" s="62">
        <v>7</v>
      </c>
      <c r="B57" s="59">
        <v>49</v>
      </c>
      <c r="C57" t="s">
        <v>2108</v>
      </c>
      <c r="D57" t="s">
        <v>2109</v>
      </c>
      <c r="E57">
        <v>326</v>
      </c>
      <c r="F57" t="s">
        <v>1814</v>
      </c>
      <c r="G57" t="s">
        <v>1815</v>
      </c>
      <c r="H57" s="119">
        <f t="shared" si="3"/>
        <v>291.66666666666669</v>
      </c>
      <c r="I57" s="123">
        <v>45169</v>
      </c>
      <c r="J57">
        <v>14400</v>
      </c>
      <c r="K57" s="119"/>
      <c r="L57">
        <v>14400</v>
      </c>
      <c r="M57">
        <v>2010</v>
      </c>
      <c r="P57" t="s">
        <v>1932</v>
      </c>
      <c r="R57" t="s">
        <v>44</v>
      </c>
      <c r="S57">
        <v>104566</v>
      </c>
      <c r="T57" s="120">
        <f t="shared" si="4"/>
        <v>7.2615277777777774</v>
      </c>
      <c r="U57" t="s">
        <v>44</v>
      </c>
      <c r="V57" s="120"/>
      <c r="W57" s="120"/>
      <c r="X57" s="120"/>
      <c r="Y57" s="121">
        <v>4200000</v>
      </c>
      <c r="Z57" s="121"/>
      <c r="AA57" s="121">
        <v>4200000</v>
      </c>
      <c r="AB57" s="121"/>
      <c r="AC57" t="s">
        <v>2110</v>
      </c>
      <c r="AD57" t="s">
        <v>2111</v>
      </c>
      <c r="AE57" s="243" t="s">
        <v>2112</v>
      </c>
      <c r="AF57" s="243" t="s">
        <v>2113</v>
      </c>
      <c r="AI57" s="59" t="e">
        <f t="shared" si="0"/>
        <v>#N/A</v>
      </c>
      <c r="AJ57" t="e">
        <f t="shared" si="1"/>
        <v>#N/A</v>
      </c>
      <c r="AK57" t="str">
        <f t="shared" si="2"/>
        <v/>
      </c>
    </row>
    <row r="58" spans="1:37" ht="15" customHeight="1">
      <c r="A58" s="62">
        <v>7</v>
      </c>
      <c r="B58" s="59">
        <v>50</v>
      </c>
      <c r="C58" t="s">
        <v>2114</v>
      </c>
      <c r="D58" t="s">
        <v>2115</v>
      </c>
      <c r="E58">
        <v>344</v>
      </c>
      <c r="F58" t="s">
        <v>1984</v>
      </c>
      <c r="G58" t="s">
        <v>89</v>
      </c>
      <c r="H58" s="119">
        <f t="shared" si="3"/>
        <v>504</v>
      </c>
      <c r="I58" s="123">
        <v>45043</v>
      </c>
      <c r="J58">
        <v>2500</v>
      </c>
      <c r="K58" s="119"/>
      <c r="L58">
        <v>2500</v>
      </c>
      <c r="M58">
        <v>1972</v>
      </c>
      <c r="P58" t="s">
        <v>2116</v>
      </c>
      <c r="R58" t="s">
        <v>44</v>
      </c>
      <c r="S58">
        <v>10454.4</v>
      </c>
      <c r="T58" s="120">
        <f t="shared" si="4"/>
        <v>4.1817599999999997</v>
      </c>
      <c r="U58" t="s">
        <v>44</v>
      </c>
      <c r="V58" s="120"/>
      <c r="W58" s="120"/>
      <c r="X58" s="120"/>
      <c r="Y58" s="121">
        <v>1260000</v>
      </c>
      <c r="Z58" s="121"/>
      <c r="AA58" s="121">
        <v>1260000</v>
      </c>
      <c r="AB58" s="121"/>
      <c r="AC58" t="s">
        <v>2117</v>
      </c>
      <c r="AD58" t="s">
        <v>2118</v>
      </c>
      <c r="AE58" s="243" t="s">
        <v>2119</v>
      </c>
      <c r="AF58" s="243" t="s">
        <v>2120</v>
      </c>
      <c r="AI58" s="59" t="e">
        <f t="shared" si="0"/>
        <v>#N/A</v>
      </c>
      <c r="AJ58" t="e">
        <f t="shared" si="1"/>
        <v>#N/A</v>
      </c>
      <c r="AK58" t="str">
        <f t="shared" si="2"/>
        <v/>
      </c>
    </row>
    <row r="59" spans="1:37" ht="15" customHeight="1">
      <c r="A59" s="62">
        <v>7</v>
      </c>
      <c r="B59" s="59">
        <v>51</v>
      </c>
      <c r="C59" t="s">
        <v>2121</v>
      </c>
      <c r="D59" t="s">
        <v>2122</v>
      </c>
      <c r="E59">
        <v>386</v>
      </c>
      <c r="G59" t="s">
        <v>1786</v>
      </c>
      <c r="H59" s="119">
        <f t="shared" si="3"/>
        <v>121.11292962356792</v>
      </c>
      <c r="I59" s="123">
        <v>45138</v>
      </c>
      <c r="J59">
        <v>30550</v>
      </c>
      <c r="K59" s="119"/>
      <c r="L59">
        <v>30550</v>
      </c>
      <c r="M59">
        <v>1985</v>
      </c>
      <c r="P59" t="s">
        <v>1969</v>
      </c>
      <c r="R59" t="s">
        <v>44</v>
      </c>
      <c r="S59">
        <v>97138</v>
      </c>
      <c r="T59" s="120">
        <f t="shared" si="4"/>
        <v>3.1796399345335518</v>
      </c>
      <c r="U59" t="s">
        <v>44</v>
      </c>
      <c r="V59" s="120"/>
      <c r="W59" s="120"/>
      <c r="X59" s="120"/>
      <c r="Y59" s="121">
        <v>3700000</v>
      </c>
      <c r="Z59" s="121"/>
      <c r="AA59" s="121">
        <v>3700000</v>
      </c>
      <c r="AB59" s="121"/>
      <c r="AC59" t="s">
        <v>2123</v>
      </c>
      <c r="AD59" t="s">
        <v>2124</v>
      </c>
      <c r="AE59" s="243" t="s">
        <v>2125</v>
      </c>
      <c r="AF59" s="243" t="s">
        <v>2126</v>
      </c>
      <c r="AI59" s="59" t="e">
        <f t="shared" si="0"/>
        <v>#N/A</v>
      </c>
      <c r="AJ59" t="e">
        <f t="shared" si="1"/>
        <v>#N/A</v>
      </c>
      <c r="AK59" t="str">
        <f t="shared" si="2"/>
        <v/>
      </c>
    </row>
    <row r="60" spans="1:37" ht="15" customHeight="1">
      <c r="A60" s="62">
        <v>7</v>
      </c>
      <c r="B60" s="59">
        <v>52</v>
      </c>
      <c r="C60" t="s">
        <v>2127</v>
      </c>
      <c r="D60" t="s">
        <v>2128</v>
      </c>
      <c r="E60">
        <v>407</v>
      </c>
      <c r="F60" t="s">
        <v>1814</v>
      </c>
      <c r="G60" t="s">
        <v>1815</v>
      </c>
      <c r="H60" s="119">
        <f t="shared" si="3"/>
        <v>178.90295358649789</v>
      </c>
      <c r="I60" s="123">
        <v>45393</v>
      </c>
      <c r="J60">
        <v>29625</v>
      </c>
      <c r="K60" s="119"/>
      <c r="L60">
        <v>29625</v>
      </c>
      <c r="M60">
        <v>1977</v>
      </c>
      <c r="P60" t="s">
        <v>1932</v>
      </c>
      <c r="R60" t="s">
        <v>44</v>
      </c>
      <c r="S60">
        <v>218148</v>
      </c>
      <c r="T60" s="120">
        <f t="shared" si="4"/>
        <v>7.3636455696202532</v>
      </c>
      <c r="U60" t="s">
        <v>44</v>
      </c>
      <c r="V60" s="120"/>
      <c r="W60" s="120"/>
      <c r="X60" s="120"/>
      <c r="Y60" s="121">
        <v>5300000</v>
      </c>
      <c r="Z60" s="121"/>
      <c r="AA60" s="121">
        <v>5300000</v>
      </c>
      <c r="AB60" s="121"/>
      <c r="AC60" t="s">
        <v>2129</v>
      </c>
      <c r="AD60" t="s">
        <v>2130</v>
      </c>
      <c r="AE60" s="243" t="s">
        <v>2131</v>
      </c>
      <c r="AF60" s="243" t="s">
        <v>2132</v>
      </c>
      <c r="AI60" s="59" t="e">
        <f t="shared" si="0"/>
        <v>#N/A</v>
      </c>
      <c r="AJ60" t="e">
        <f t="shared" si="1"/>
        <v>#N/A</v>
      </c>
      <c r="AK60" t="str">
        <f t="shared" si="2"/>
        <v/>
      </c>
    </row>
    <row r="61" spans="1:37" ht="15" customHeight="1">
      <c r="A61" s="62">
        <v>7</v>
      </c>
      <c r="B61" s="59">
        <v>53</v>
      </c>
      <c r="C61" t="s">
        <v>2133</v>
      </c>
      <c r="D61" t="s">
        <v>2134</v>
      </c>
      <c r="E61">
        <v>210</v>
      </c>
      <c r="F61" t="s">
        <v>1814</v>
      </c>
      <c r="G61" t="s">
        <v>1815</v>
      </c>
      <c r="H61" s="119">
        <f t="shared" si="3"/>
        <v>110.36036036036036</v>
      </c>
      <c r="I61" s="123">
        <v>44914</v>
      </c>
      <c r="J61">
        <v>22200</v>
      </c>
      <c r="K61" s="119"/>
      <c r="L61">
        <v>22200</v>
      </c>
      <c r="M61">
        <v>1979</v>
      </c>
      <c r="P61" t="s">
        <v>1932</v>
      </c>
      <c r="R61" t="s">
        <v>44</v>
      </c>
      <c r="S61">
        <v>67500</v>
      </c>
      <c r="T61" s="120">
        <f t="shared" si="4"/>
        <v>3.0405405405405403</v>
      </c>
      <c r="U61" t="s">
        <v>44</v>
      </c>
      <c r="V61" s="120"/>
      <c r="W61" s="120"/>
      <c r="X61" s="120"/>
      <c r="Y61" s="121">
        <v>2450000</v>
      </c>
      <c r="Z61" s="121"/>
      <c r="AA61" s="121">
        <v>2450000</v>
      </c>
      <c r="AB61" s="121"/>
      <c r="AC61" t="s">
        <v>2135</v>
      </c>
      <c r="AD61" t="s">
        <v>2136</v>
      </c>
      <c r="AE61" s="243" t="s">
        <v>2137</v>
      </c>
      <c r="AF61" s="243" t="s">
        <v>2138</v>
      </c>
      <c r="AI61" s="59" t="e">
        <f t="shared" si="0"/>
        <v>#N/A</v>
      </c>
      <c r="AJ61" t="e">
        <f t="shared" si="1"/>
        <v>#N/A</v>
      </c>
      <c r="AK61" t="str">
        <f t="shared" si="2"/>
        <v/>
      </c>
    </row>
    <row r="62" spans="1:37" ht="15" customHeight="1">
      <c r="A62" s="62">
        <v>7</v>
      </c>
      <c r="B62" s="59">
        <v>54</v>
      </c>
      <c r="C62" t="s">
        <v>2139</v>
      </c>
      <c r="D62" t="s">
        <v>2140</v>
      </c>
      <c r="E62">
        <v>406</v>
      </c>
      <c r="F62" t="s">
        <v>2141</v>
      </c>
      <c r="G62" t="s">
        <v>1910</v>
      </c>
      <c r="H62" s="119">
        <f t="shared" si="3"/>
        <v>118.3385579937304</v>
      </c>
      <c r="I62" s="123">
        <v>45236</v>
      </c>
      <c r="J62">
        <v>31900</v>
      </c>
      <c r="K62" s="119"/>
      <c r="L62">
        <v>31900</v>
      </c>
      <c r="M62">
        <v>1996</v>
      </c>
      <c r="P62" t="s">
        <v>2142</v>
      </c>
      <c r="R62" t="s">
        <v>44</v>
      </c>
      <c r="S62">
        <v>88091</v>
      </c>
      <c r="T62" s="120">
        <f t="shared" si="4"/>
        <v>2.7614733542319749</v>
      </c>
      <c r="U62" t="s">
        <v>44</v>
      </c>
      <c r="V62" s="120"/>
      <c r="W62" s="120"/>
      <c r="X62" s="120"/>
      <c r="Y62" s="121">
        <v>3775000</v>
      </c>
      <c r="Z62" s="121"/>
      <c r="AA62" s="121">
        <v>3775000</v>
      </c>
      <c r="AB62" s="121"/>
      <c r="AC62" t="s">
        <v>2143</v>
      </c>
      <c r="AD62" t="s">
        <v>2144</v>
      </c>
      <c r="AE62" s="243" t="s">
        <v>2145</v>
      </c>
      <c r="AF62" s="243" t="s">
        <v>2146</v>
      </c>
      <c r="AI62" s="59" t="e">
        <f t="shared" si="0"/>
        <v>#N/A</v>
      </c>
      <c r="AJ62" t="e">
        <f t="shared" si="1"/>
        <v>#N/A</v>
      </c>
      <c r="AK62" t="str">
        <f t="shared" si="2"/>
        <v/>
      </c>
    </row>
    <row r="63" spans="1:37" ht="15" customHeight="1">
      <c r="A63" s="62">
        <v>7</v>
      </c>
      <c r="B63" s="59">
        <v>55</v>
      </c>
      <c r="C63" t="s">
        <v>2147</v>
      </c>
      <c r="D63" t="s">
        <v>2148</v>
      </c>
      <c r="E63">
        <v>406</v>
      </c>
      <c r="F63" t="s">
        <v>2141</v>
      </c>
      <c r="G63" t="s">
        <v>1910</v>
      </c>
      <c r="H63" s="119">
        <f t="shared" si="3"/>
        <v>130.91309130913092</v>
      </c>
      <c r="I63" s="123">
        <v>45405</v>
      </c>
      <c r="J63">
        <v>9090</v>
      </c>
      <c r="K63" s="119"/>
      <c r="L63">
        <v>9090</v>
      </c>
      <c r="M63">
        <v>1964</v>
      </c>
      <c r="P63" t="s">
        <v>2142</v>
      </c>
      <c r="R63" t="s">
        <v>44</v>
      </c>
      <c r="S63">
        <v>18900</v>
      </c>
      <c r="T63" s="120">
        <f t="shared" si="4"/>
        <v>2.0792079207920793</v>
      </c>
      <c r="U63" t="s">
        <v>44</v>
      </c>
      <c r="V63" s="120"/>
      <c r="W63" s="120"/>
      <c r="X63" s="120"/>
      <c r="Y63" s="121">
        <v>1190000</v>
      </c>
      <c r="Z63" s="121"/>
      <c r="AA63" s="121">
        <v>1190000</v>
      </c>
      <c r="AB63" s="121"/>
      <c r="AC63" t="s">
        <v>2149</v>
      </c>
      <c r="AD63" t="s">
        <v>2150</v>
      </c>
      <c r="AE63" s="243" t="s">
        <v>2151</v>
      </c>
      <c r="AF63" s="243" t="s">
        <v>2152</v>
      </c>
      <c r="AI63" s="59" t="e">
        <f t="shared" si="0"/>
        <v>#N/A</v>
      </c>
      <c r="AJ63" t="e">
        <f t="shared" si="1"/>
        <v>#N/A</v>
      </c>
      <c r="AK63" t="str">
        <f t="shared" si="2"/>
        <v/>
      </c>
    </row>
    <row r="64" spans="1:37" ht="15" customHeight="1">
      <c r="A64" s="62">
        <v>7</v>
      </c>
      <c r="B64" s="59">
        <v>56</v>
      </c>
      <c r="C64" t="s">
        <v>2153</v>
      </c>
      <c r="D64" t="s">
        <v>2154</v>
      </c>
      <c r="E64">
        <v>407</v>
      </c>
      <c r="F64" t="s">
        <v>2141</v>
      </c>
      <c r="G64" t="s">
        <v>1910</v>
      </c>
      <c r="H64" s="119">
        <f t="shared" si="3"/>
        <v>168.79562043795622</v>
      </c>
      <c r="I64" s="123">
        <v>44914</v>
      </c>
      <c r="J64">
        <v>10960</v>
      </c>
      <c r="K64" s="119"/>
      <c r="L64">
        <v>10960</v>
      </c>
      <c r="M64">
        <v>1974</v>
      </c>
      <c r="P64" t="s">
        <v>2142</v>
      </c>
      <c r="R64" t="s">
        <v>44</v>
      </c>
      <c r="S64">
        <v>27226</v>
      </c>
      <c r="T64" s="120">
        <f t="shared" si="4"/>
        <v>2.4841240875912409</v>
      </c>
      <c r="U64" t="s">
        <v>44</v>
      </c>
      <c r="V64" s="120"/>
      <c r="W64" s="120"/>
      <c r="X64" s="120"/>
      <c r="Y64" s="121">
        <v>1850000</v>
      </c>
      <c r="Z64" s="121"/>
      <c r="AA64" s="121">
        <v>1850000</v>
      </c>
      <c r="AB64" s="121"/>
      <c r="AC64" t="s">
        <v>2155</v>
      </c>
      <c r="AD64" t="s">
        <v>2156</v>
      </c>
      <c r="AE64" s="243" t="s">
        <v>2157</v>
      </c>
      <c r="AF64" s="243" t="s">
        <v>2158</v>
      </c>
      <c r="AI64" s="59" t="e">
        <f t="shared" si="0"/>
        <v>#N/A</v>
      </c>
      <c r="AJ64" t="e">
        <f t="shared" si="1"/>
        <v>#N/A</v>
      </c>
      <c r="AK64" t="str">
        <f t="shared" si="2"/>
        <v/>
      </c>
    </row>
    <row r="65" spans="1:37" ht="15" customHeight="1">
      <c r="A65" s="62">
        <v>7</v>
      </c>
      <c r="B65" s="59">
        <v>57</v>
      </c>
      <c r="C65" t="s">
        <v>2159</v>
      </c>
      <c r="D65" t="s">
        <v>2160</v>
      </c>
      <c r="E65">
        <v>334</v>
      </c>
      <c r="G65" t="s">
        <v>1910</v>
      </c>
      <c r="H65" s="119">
        <f t="shared" si="3"/>
        <v>201.85185185185185</v>
      </c>
      <c r="I65" s="123">
        <v>44862</v>
      </c>
      <c r="J65">
        <v>13500</v>
      </c>
      <c r="K65" s="119"/>
      <c r="L65">
        <v>13500</v>
      </c>
      <c r="M65">
        <v>1989</v>
      </c>
      <c r="P65" t="s">
        <v>1911</v>
      </c>
      <c r="R65" t="s">
        <v>44</v>
      </c>
      <c r="S65">
        <v>80781</v>
      </c>
      <c r="T65" s="120">
        <f t="shared" si="4"/>
        <v>5.9837777777777781</v>
      </c>
      <c r="U65" t="s">
        <v>44</v>
      </c>
      <c r="V65" s="120"/>
      <c r="W65" s="120"/>
      <c r="X65" s="120"/>
      <c r="Y65" s="121">
        <v>2725000</v>
      </c>
      <c r="Z65" s="121"/>
      <c r="AA65" s="121">
        <v>2725000</v>
      </c>
      <c r="AB65" s="121"/>
      <c r="AC65" t="s">
        <v>2161</v>
      </c>
      <c r="AD65" t="s">
        <v>2162</v>
      </c>
      <c r="AE65" s="243" t="s">
        <v>2163</v>
      </c>
      <c r="AF65" s="243" t="s">
        <v>2164</v>
      </c>
      <c r="AI65" s="59" t="e">
        <f t="shared" si="0"/>
        <v>#N/A</v>
      </c>
      <c r="AJ65" t="e">
        <f t="shared" si="1"/>
        <v>#N/A</v>
      </c>
      <c r="AK65" t="str">
        <f t="shared" si="2"/>
        <v/>
      </c>
    </row>
    <row r="66" spans="1:37" ht="15" customHeight="1">
      <c r="A66" s="62">
        <v>7</v>
      </c>
      <c r="B66" s="59">
        <v>58</v>
      </c>
      <c r="C66" t="s">
        <v>2165</v>
      </c>
      <c r="D66" t="s">
        <v>2166</v>
      </c>
      <c r="E66">
        <v>353</v>
      </c>
      <c r="G66" t="s">
        <v>1910</v>
      </c>
      <c r="H66" s="119">
        <f t="shared" si="3"/>
        <v>202.38095238095238</v>
      </c>
      <c r="I66" s="123">
        <v>44860</v>
      </c>
      <c r="J66">
        <v>2100</v>
      </c>
      <c r="K66" s="119"/>
      <c r="L66">
        <v>2100</v>
      </c>
      <c r="M66">
        <v>1955</v>
      </c>
      <c r="P66" t="s">
        <v>1925</v>
      </c>
      <c r="R66" t="s">
        <v>44</v>
      </c>
      <c r="S66">
        <v>19950</v>
      </c>
      <c r="T66" s="120">
        <f t="shared" si="4"/>
        <v>9.5</v>
      </c>
      <c r="U66" t="s">
        <v>44</v>
      </c>
      <c r="V66" s="120"/>
      <c r="W66" s="120"/>
      <c r="X66" s="120"/>
      <c r="Y66" s="121">
        <v>425000</v>
      </c>
      <c r="Z66" s="121"/>
      <c r="AA66" s="121">
        <v>425000</v>
      </c>
      <c r="AB66" s="121"/>
      <c r="AC66" t="s">
        <v>2167</v>
      </c>
      <c r="AD66" t="s">
        <v>2168</v>
      </c>
      <c r="AE66" s="243" t="s">
        <v>2169</v>
      </c>
      <c r="AF66" s="243" t="s">
        <v>2170</v>
      </c>
      <c r="AI66" s="59" t="e">
        <f t="shared" ref="AI66:AI129" si="5">IF(AND($E66=Subj_OccCode,Subj_BldgSF&gt;0,ABS($L66-Subj_BldgSF)&lt;=Subj_BldgSF*Subj_SizeTol),ABS($L66-Subj_BldgSF),NA())</f>
        <v>#N/A</v>
      </c>
      <c r="AJ66" t="e">
        <f t="shared" ref="AJ66:AJ129" si="6">IF(ISNA(AI66),NA(),AI66+ROW()/10000000)</f>
        <v>#N/A</v>
      </c>
      <c r="AK66" t="str">
        <f t="shared" ref="AK66:AK129" si="7">IF(AND(ISNUMBER($N66),$N66&gt;0,ISNUMBER($Y66)),$Y66/$N66,"")</f>
        <v/>
      </c>
    </row>
    <row r="67" spans="1:37" ht="15" customHeight="1">
      <c r="A67" s="62">
        <v>7</v>
      </c>
      <c r="B67" s="59">
        <v>59</v>
      </c>
      <c r="C67" t="s">
        <v>2171</v>
      </c>
      <c r="D67" t="s">
        <v>2172</v>
      </c>
      <c r="E67">
        <v>406</v>
      </c>
      <c r="G67" t="s">
        <v>1910</v>
      </c>
      <c r="H67" s="119">
        <f t="shared" si="3"/>
        <v>261.35389888603254</v>
      </c>
      <c r="I67" s="123">
        <v>45470</v>
      </c>
      <c r="J67">
        <v>5835</v>
      </c>
      <c r="K67" s="119"/>
      <c r="L67">
        <v>5835</v>
      </c>
      <c r="M67">
        <v>2002</v>
      </c>
      <c r="P67" t="s">
        <v>1925</v>
      </c>
      <c r="R67" t="s">
        <v>44</v>
      </c>
      <c r="S67">
        <v>22084.92</v>
      </c>
      <c r="T67" s="120">
        <f t="shared" si="4"/>
        <v>3.7849048843187658</v>
      </c>
      <c r="U67" t="s">
        <v>44</v>
      </c>
      <c r="V67" s="120"/>
      <c r="W67" s="120"/>
      <c r="X67" s="120"/>
      <c r="Y67" s="121">
        <v>1525000</v>
      </c>
      <c r="Z67" s="121"/>
      <c r="AA67" s="121">
        <v>1525000</v>
      </c>
      <c r="AB67" s="121"/>
      <c r="AC67" t="s">
        <v>2173</v>
      </c>
      <c r="AD67" t="s">
        <v>2174</v>
      </c>
      <c r="AE67" s="243" t="s">
        <v>2175</v>
      </c>
      <c r="AF67" s="243" t="s">
        <v>2176</v>
      </c>
      <c r="AI67" s="59" t="e">
        <f t="shared" si="5"/>
        <v>#N/A</v>
      </c>
      <c r="AJ67" t="e">
        <f t="shared" si="6"/>
        <v>#N/A</v>
      </c>
      <c r="AK67" t="str">
        <f t="shared" si="7"/>
        <v/>
      </c>
    </row>
    <row r="68" spans="1:37" ht="15" customHeight="1">
      <c r="A68" s="62">
        <v>7</v>
      </c>
      <c r="B68" s="59">
        <v>60</v>
      </c>
      <c r="C68" t="s">
        <v>2177</v>
      </c>
      <c r="D68" t="s">
        <v>2178</v>
      </c>
      <c r="E68">
        <v>425</v>
      </c>
      <c r="G68" t="s">
        <v>1910</v>
      </c>
      <c r="H68" s="119">
        <f t="shared" si="3"/>
        <v>20.149683362118594</v>
      </c>
      <c r="I68" s="123">
        <v>45152</v>
      </c>
      <c r="J68">
        <v>34740</v>
      </c>
      <c r="K68" s="119"/>
      <c r="L68">
        <v>34740</v>
      </c>
      <c r="M68">
        <v>1985</v>
      </c>
      <c r="P68" t="s">
        <v>1911</v>
      </c>
      <c r="R68" t="s">
        <v>44</v>
      </c>
      <c r="S68">
        <v>7920</v>
      </c>
      <c r="T68" s="120">
        <f t="shared" si="4"/>
        <v>0.22797927461139897</v>
      </c>
      <c r="U68" t="s">
        <v>44</v>
      </c>
      <c r="V68" s="120"/>
      <c r="W68" s="120"/>
      <c r="X68" s="120"/>
      <c r="Y68" s="121">
        <v>700000</v>
      </c>
      <c r="Z68" s="121"/>
      <c r="AA68" s="121">
        <v>700000</v>
      </c>
      <c r="AB68" s="121"/>
      <c r="AC68" t="s">
        <v>2179</v>
      </c>
      <c r="AD68" t="s">
        <v>2180</v>
      </c>
      <c r="AE68" s="243" t="s">
        <v>2181</v>
      </c>
      <c r="AF68" s="243" t="s">
        <v>2182</v>
      </c>
      <c r="AI68" s="59" t="e">
        <f t="shared" si="5"/>
        <v>#N/A</v>
      </c>
      <c r="AJ68" t="e">
        <f t="shared" si="6"/>
        <v>#N/A</v>
      </c>
      <c r="AK68" t="str">
        <f t="shared" si="7"/>
        <v/>
      </c>
    </row>
    <row r="69" spans="1:37" ht="15" customHeight="1">
      <c r="A69" s="62">
        <v>7</v>
      </c>
      <c r="B69" s="59">
        <v>61</v>
      </c>
      <c r="C69" t="s">
        <v>2183</v>
      </c>
      <c r="D69" t="s">
        <v>2184</v>
      </c>
      <c r="E69">
        <v>425</v>
      </c>
      <c r="G69" t="s">
        <v>1910</v>
      </c>
      <c r="H69" s="119">
        <f t="shared" si="3"/>
        <v>22.884283246977546</v>
      </c>
      <c r="I69" s="123">
        <v>44760</v>
      </c>
      <c r="J69">
        <v>34740</v>
      </c>
      <c r="K69" s="119"/>
      <c r="L69">
        <v>34740</v>
      </c>
      <c r="M69">
        <v>1985</v>
      </c>
      <c r="P69" t="s">
        <v>1911</v>
      </c>
      <c r="R69" t="s">
        <v>44</v>
      </c>
      <c r="S69">
        <v>7920</v>
      </c>
      <c r="T69" s="120">
        <f t="shared" si="4"/>
        <v>0.22797927461139897</v>
      </c>
      <c r="U69" t="s">
        <v>44</v>
      </c>
      <c r="V69" s="120"/>
      <c r="W69" s="120"/>
      <c r="X69" s="120"/>
      <c r="Y69" s="121">
        <v>795000</v>
      </c>
      <c r="Z69" s="121"/>
      <c r="AA69" s="121">
        <v>795000</v>
      </c>
      <c r="AB69" s="121"/>
      <c r="AC69" t="s">
        <v>2185</v>
      </c>
      <c r="AD69" t="s">
        <v>2186</v>
      </c>
      <c r="AE69" s="243" t="s">
        <v>2187</v>
      </c>
      <c r="AF69" s="243" t="s">
        <v>2188</v>
      </c>
      <c r="AI69" s="59" t="e">
        <f t="shared" si="5"/>
        <v>#N/A</v>
      </c>
      <c r="AJ69" t="e">
        <f t="shared" si="6"/>
        <v>#N/A</v>
      </c>
      <c r="AK69" t="str">
        <f t="shared" si="7"/>
        <v/>
      </c>
    </row>
    <row r="70" spans="1:37" ht="15" customHeight="1">
      <c r="A70" s="62">
        <v>7</v>
      </c>
      <c r="B70" s="59">
        <v>62</v>
      </c>
      <c r="C70" t="s">
        <v>2189</v>
      </c>
      <c r="D70" t="s">
        <v>2190</v>
      </c>
      <c r="E70">
        <v>442</v>
      </c>
      <c r="G70" t="s">
        <v>1786</v>
      </c>
      <c r="H70" s="119">
        <f t="shared" ref="H70:H133" si="8">Y70/J70</f>
        <v>247.5</v>
      </c>
      <c r="I70" s="123">
        <v>45197</v>
      </c>
      <c r="J70">
        <v>2000</v>
      </c>
      <c r="K70" s="119"/>
      <c r="L70">
        <v>2000</v>
      </c>
      <c r="M70">
        <v>1974</v>
      </c>
      <c r="P70" t="s">
        <v>1925</v>
      </c>
      <c r="R70" t="s">
        <v>44</v>
      </c>
      <c r="S70">
        <v>27934</v>
      </c>
      <c r="T70" s="120">
        <f t="shared" si="4"/>
        <v>13.967000000000001</v>
      </c>
      <c r="U70" t="s">
        <v>44</v>
      </c>
      <c r="V70" s="120"/>
      <c r="W70" s="120"/>
      <c r="X70" s="120"/>
      <c r="Y70" s="121">
        <v>495000</v>
      </c>
      <c r="Z70" s="121"/>
      <c r="AA70" s="121">
        <v>495000</v>
      </c>
      <c r="AB70" s="121"/>
      <c r="AC70" t="s">
        <v>2191</v>
      </c>
      <c r="AD70" t="s">
        <v>2192</v>
      </c>
      <c r="AE70" s="243" t="s">
        <v>2193</v>
      </c>
      <c r="AF70" s="243" t="s">
        <v>2194</v>
      </c>
      <c r="AI70" s="59" t="e">
        <f t="shared" si="5"/>
        <v>#N/A</v>
      </c>
      <c r="AJ70" t="e">
        <f t="shared" si="6"/>
        <v>#N/A</v>
      </c>
      <c r="AK70" t="str">
        <f t="shared" si="7"/>
        <v/>
      </c>
    </row>
    <row r="71" spans="1:37" ht="15" customHeight="1">
      <c r="A71" s="62">
        <v>7</v>
      </c>
      <c r="B71" s="59">
        <v>63</v>
      </c>
      <c r="C71" t="s">
        <v>2195</v>
      </c>
      <c r="D71" t="s">
        <v>2196</v>
      </c>
      <c r="E71">
        <v>334</v>
      </c>
      <c r="F71" t="s">
        <v>1896</v>
      </c>
      <c r="G71" t="s">
        <v>90</v>
      </c>
      <c r="H71" s="119">
        <f t="shared" si="8"/>
        <v>138.04192833955281</v>
      </c>
      <c r="I71" s="123">
        <v>45376</v>
      </c>
      <c r="J71">
        <v>32961</v>
      </c>
      <c r="K71" s="119"/>
      <c r="L71">
        <v>32961</v>
      </c>
      <c r="M71">
        <v>1983</v>
      </c>
      <c r="P71" t="s">
        <v>2197</v>
      </c>
      <c r="R71" t="s">
        <v>229</v>
      </c>
      <c r="S71">
        <v>112471</v>
      </c>
      <c r="T71" s="120">
        <f t="shared" si="4"/>
        <v>3.4122447741269988</v>
      </c>
      <c r="U71" t="s">
        <v>229</v>
      </c>
      <c r="V71" s="120"/>
      <c r="W71" s="120"/>
      <c r="X71" s="120"/>
      <c r="Y71" s="121">
        <v>4550000</v>
      </c>
      <c r="Z71" s="121"/>
      <c r="AA71" s="121">
        <v>4550000</v>
      </c>
      <c r="AB71" s="121"/>
      <c r="AC71" t="s">
        <v>2198</v>
      </c>
      <c r="AD71" t="s">
        <v>2199</v>
      </c>
      <c r="AE71" s="243" t="s">
        <v>2200</v>
      </c>
      <c r="AF71" s="243" t="s">
        <v>2201</v>
      </c>
      <c r="AI71" s="59" t="e">
        <f t="shared" si="5"/>
        <v>#N/A</v>
      </c>
      <c r="AJ71" t="e">
        <f t="shared" si="6"/>
        <v>#N/A</v>
      </c>
      <c r="AK71" t="str">
        <f t="shared" si="7"/>
        <v/>
      </c>
    </row>
    <row r="72" spans="1:37" ht="15" customHeight="1">
      <c r="A72" s="62">
        <v>7</v>
      </c>
      <c r="B72" s="59">
        <v>64</v>
      </c>
      <c r="C72" t="s">
        <v>2202</v>
      </c>
      <c r="D72" t="s">
        <v>2203</v>
      </c>
      <c r="E72">
        <v>425</v>
      </c>
      <c r="F72" t="s">
        <v>1785</v>
      </c>
      <c r="G72" t="s">
        <v>1786</v>
      </c>
      <c r="H72" s="119">
        <f t="shared" si="8"/>
        <v>13.725490196078431</v>
      </c>
      <c r="I72" s="123">
        <v>45044</v>
      </c>
      <c r="J72">
        <v>25500</v>
      </c>
      <c r="K72" s="119"/>
      <c r="L72">
        <v>25500</v>
      </c>
      <c r="M72">
        <v>1984</v>
      </c>
      <c r="P72" t="s">
        <v>2204</v>
      </c>
      <c r="R72" t="s">
        <v>44</v>
      </c>
      <c r="S72">
        <v>4655</v>
      </c>
      <c r="T72" s="120">
        <f t="shared" si="4"/>
        <v>0.18254901960784314</v>
      </c>
      <c r="U72" t="s">
        <v>44</v>
      </c>
      <c r="V72" s="120"/>
      <c r="W72" s="120"/>
      <c r="X72" s="120"/>
      <c r="Y72" s="121">
        <v>350000</v>
      </c>
      <c r="Z72" s="121"/>
      <c r="AA72" s="121">
        <v>350000</v>
      </c>
      <c r="AB72" s="121"/>
      <c r="AC72" t="s">
        <v>2205</v>
      </c>
      <c r="AD72" t="s">
        <v>2206</v>
      </c>
      <c r="AE72" s="243" t="s">
        <v>2207</v>
      </c>
      <c r="AF72" s="243" t="s">
        <v>2208</v>
      </c>
      <c r="AI72" s="59" t="e">
        <f t="shared" si="5"/>
        <v>#N/A</v>
      </c>
      <c r="AJ72" t="e">
        <f t="shared" si="6"/>
        <v>#N/A</v>
      </c>
      <c r="AK72" t="str">
        <f t="shared" si="7"/>
        <v/>
      </c>
    </row>
    <row r="73" spans="1:37" ht="15" customHeight="1">
      <c r="A73" s="62">
        <v>7</v>
      </c>
      <c r="B73" s="59">
        <v>65</v>
      </c>
      <c r="C73" t="s">
        <v>2209</v>
      </c>
      <c r="D73" t="s">
        <v>2210</v>
      </c>
      <c r="E73">
        <v>406</v>
      </c>
      <c r="F73" t="s">
        <v>1800</v>
      </c>
      <c r="G73" t="s">
        <v>1786</v>
      </c>
      <c r="H73" s="119">
        <f t="shared" si="8"/>
        <v>160.62683643486778</v>
      </c>
      <c r="I73" s="123">
        <v>45135</v>
      </c>
      <c r="J73">
        <v>5105</v>
      </c>
      <c r="K73" s="119"/>
      <c r="L73">
        <v>5105</v>
      </c>
      <c r="M73">
        <v>1972</v>
      </c>
      <c r="P73" t="s">
        <v>2211</v>
      </c>
      <c r="R73" t="s">
        <v>44</v>
      </c>
      <c r="S73">
        <v>25000</v>
      </c>
      <c r="T73" s="120">
        <f t="shared" ref="T73:T136" si="9">S73/L73</f>
        <v>4.8971596474045054</v>
      </c>
      <c r="U73" t="s">
        <v>44</v>
      </c>
      <c r="V73" s="120"/>
      <c r="W73" s="120"/>
      <c r="X73" s="120"/>
      <c r="Y73" s="121">
        <v>820000</v>
      </c>
      <c r="Z73" s="121"/>
      <c r="AA73" s="121">
        <v>820000</v>
      </c>
      <c r="AB73" s="121"/>
      <c r="AC73" t="s">
        <v>2212</v>
      </c>
      <c r="AD73" t="s">
        <v>2213</v>
      </c>
      <c r="AE73" s="243" t="s">
        <v>2214</v>
      </c>
      <c r="AF73" s="243" t="s">
        <v>2215</v>
      </c>
      <c r="AI73" s="59" t="e">
        <f t="shared" si="5"/>
        <v>#N/A</v>
      </c>
      <c r="AJ73" t="e">
        <f t="shared" si="6"/>
        <v>#N/A</v>
      </c>
      <c r="AK73" t="str">
        <f t="shared" si="7"/>
        <v/>
      </c>
    </row>
    <row r="74" spans="1:37" ht="15" customHeight="1">
      <c r="A74" s="62">
        <v>7</v>
      </c>
      <c r="B74" s="59">
        <v>66</v>
      </c>
      <c r="C74" t="s">
        <v>2216</v>
      </c>
      <c r="D74" t="s">
        <v>2217</v>
      </c>
      <c r="E74">
        <v>353</v>
      </c>
      <c r="F74" t="s">
        <v>1800</v>
      </c>
      <c r="G74" t="s">
        <v>1786</v>
      </c>
      <c r="H74" s="119">
        <f t="shared" si="8"/>
        <v>486.11111111111109</v>
      </c>
      <c r="I74" s="123">
        <v>45427</v>
      </c>
      <c r="J74">
        <v>1440</v>
      </c>
      <c r="K74" s="119"/>
      <c r="L74">
        <v>1440</v>
      </c>
      <c r="M74">
        <v>1950</v>
      </c>
      <c r="P74" t="s">
        <v>2211</v>
      </c>
      <c r="R74" t="s">
        <v>44</v>
      </c>
      <c r="S74">
        <v>9375</v>
      </c>
      <c r="T74" s="120">
        <f t="shared" si="9"/>
        <v>6.510416666666667</v>
      </c>
      <c r="U74" t="s">
        <v>44</v>
      </c>
      <c r="V74" s="120"/>
      <c r="W74" s="120"/>
      <c r="X74" s="120"/>
      <c r="Y74" s="121">
        <v>700000</v>
      </c>
      <c r="Z74" s="121"/>
      <c r="AA74" s="121">
        <v>700000</v>
      </c>
      <c r="AB74" s="121"/>
      <c r="AC74" t="s">
        <v>2218</v>
      </c>
      <c r="AD74" t="s">
        <v>2219</v>
      </c>
      <c r="AE74" s="243" t="s">
        <v>2220</v>
      </c>
      <c r="AF74" s="243" t="s">
        <v>2221</v>
      </c>
      <c r="AI74" s="59" t="e">
        <f t="shared" si="5"/>
        <v>#N/A</v>
      </c>
      <c r="AJ74" t="e">
        <f t="shared" si="6"/>
        <v>#N/A</v>
      </c>
      <c r="AK74" t="str">
        <f t="shared" si="7"/>
        <v/>
      </c>
    </row>
    <row r="75" spans="1:37" ht="15" customHeight="1">
      <c r="A75" s="62">
        <v>7</v>
      </c>
      <c r="B75" s="59">
        <v>67</v>
      </c>
      <c r="C75" t="s">
        <v>2222</v>
      </c>
      <c r="D75" t="s">
        <v>2223</v>
      </c>
      <c r="E75">
        <v>344</v>
      </c>
      <c r="F75" t="s">
        <v>1800</v>
      </c>
      <c r="G75" t="s">
        <v>1786</v>
      </c>
      <c r="H75" s="119">
        <f t="shared" si="8"/>
        <v>242.42424242424244</v>
      </c>
      <c r="I75" s="123">
        <v>44755</v>
      </c>
      <c r="J75">
        <v>3300</v>
      </c>
      <c r="K75" s="119"/>
      <c r="L75">
        <v>3300</v>
      </c>
      <c r="M75">
        <v>1964</v>
      </c>
      <c r="P75" t="s">
        <v>2211</v>
      </c>
      <c r="R75" t="s">
        <v>44</v>
      </c>
      <c r="S75">
        <v>7500</v>
      </c>
      <c r="T75" s="120">
        <f t="shared" si="9"/>
        <v>2.2727272727272729</v>
      </c>
      <c r="U75" t="s">
        <v>44</v>
      </c>
      <c r="V75" s="120"/>
      <c r="W75" s="120"/>
      <c r="X75" s="120"/>
      <c r="Y75" s="121">
        <v>800000</v>
      </c>
      <c r="Z75" s="121"/>
      <c r="AA75" s="121">
        <v>800000</v>
      </c>
      <c r="AB75" s="121"/>
      <c r="AC75" t="s">
        <v>2224</v>
      </c>
      <c r="AD75" t="s">
        <v>2225</v>
      </c>
      <c r="AE75" s="243" t="s">
        <v>2226</v>
      </c>
      <c r="AF75" s="243" t="s">
        <v>2227</v>
      </c>
      <c r="AI75" s="59" t="e">
        <f t="shared" si="5"/>
        <v>#N/A</v>
      </c>
      <c r="AJ75" t="e">
        <f t="shared" si="6"/>
        <v>#N/A</v>
      </c>
      <c r="AK75" t="str">
        <f t="shared" si="7"/>
        <v/>
      </c>
    </row>
    <row r="76" spans="1:37" ht="15" customHeight="1">
      <c r="A76" s="62">
        <v>7</v>
      </c>
      <c r="B76" s="59">
        <v>68</v>
      </c>
      <c r="C76" t="s">
        <v>2228</v>
      </c>
      <c r="D76" t="s">
        <v>2229</v>
      </c>
      <c r="E76">
        <v>406</v>
      </c>
      <c r="F76" t="s">
        <v>2141</v>
      </c>
      <c r="G76" t="s">
        <v>1910</v>
      </c>
      <c r="H76" s="119">
        <f t="shared" si="8"/>
        <v>166.22340425531914</v>
      </c>
      <c r="I76" s="123">
        <v>45468</v>
      </c>
      <c r="J76">
        <v>15040</v>
      </c>
      <c r="K76" s="119"/>
      <c r="L76">
        <v>15040</v>
      </c>
      <c r="M76">
        <v>1987</v>
      </c>
      <c r="P76" t="s">
        <v>2230</v>
      </c>
      <c r="R76" t="s">
        <v>44</v>
      </c>
      <c r="S76">
        <v>33584.76</v>
      </c>
      <c r="T76" s="120">
        <f t="shared" si="9"/>
        <v>2.2330292553191491</v>
      </c>
      <c r="U76" t="s">
        <v>44</v>
      </c>
      <c r="V76" s="120"/>
      <c r="W76" s="120"/>
      <c r="X76" s="120"/>
      <c r="Y76" s="121">
        <v>2500000</v>
      </c>
      <c r="Z76" s="121"/>
      <c r="AA76" s="121">
        <v>2500000</v>
      </c>
      <c r="AB76" s="121"/>
      <c r="AC76" t="s">
        <v>2231</v>
      </c>
      <c r="AD76" t="s">
        <v>2232</v>
      </c>
      <c r="AE76" s="243" t="s">
        <v>2233</v>
      </c>
      <c r="AF76" s="243" t="s">
        <v>2234</v>
      </c>
      <c r="AI76" s="59">
        <f t="shared" si="5"/>
        <v>640</v>
      </c>
      <c r="AJ76">
        <f t="shared" si="6"/>
        <v>640.0000076</v>
      </c>
      <c r="AK76" t="str">
        <f t="shared" si="7"/>
        <v/>
      </c>
    </row>
    <row r="77" spans="1:37" ht="15" customHeight="1">
      <c r="A77" s="62">
        <v>7</v>
      </c>
      <c r="B77" s="59">
        <v>69</v>
      </c>
      <c r="C77" t="s">
        <v>2235</v>
      </c>
      <c r="D77" t="s">
        <v>2236</v>
      </c>
      <c r="E77">
        <v>406</v>
      </c>
      <c r="F77" t="s">
        <v>2141</v>
      </c>
      <c r="G77" t="s">
        <v>1910</v>
      </c>
      <c r="H77" s="119">
        <f t="shared" si="8"/>
        <v>128.47222222222223</v>
      </c>
      <c r="I77" s="123">
        <v>45218</v>
      </c>
      <c r="J77">
        <v>1440</v>
      </c>
      <c r="K77" s="119"/>
      <c r="L77">
        <v>1440</v>
      </c>
      <c r="M77">
        <v>1940</v>
      </c>
      <c r="P77" t="s">
        <v>1911</v>
      </c>
      <c r="R77" t="s">
        <v>302</v>
      </c>
      <c r="S77">
        <v>12506</v>
      </c>
      <c r="T77" s="120">
        <f t="shared" si="9"/>
        <v>8.6847222222222218</v>
      </c>
      <c r="U77" t="s">
        <v>302</v>
      </c>
      <c r="V77" s="120"/>
      <c r="W77" s="120"/>
      <c r="X77" s="120"/>
      <c r="Y77" s="121">
        <v>185000</v>
      </c>
      <c r="Z77" s="121"/>
      <c r="AA77" s="121">
        <v>185000</v>
      </c>
      <c r="AB77" s="121"/>
      <c r="AC77" t="s">
        <v>2237</v>
      </c>
      <c r="AD77" t="s">
        <v>2238</v>
      </c>
      <c r="AE77" s="243" t="s">
        <v>2239</v>
      </c>
      <c r="AF77" s="243" t="s">
        <v>2240</v>
      </c>
      <c r="AI77" s="59" t="e">
        <f t="shared" si="5"/>
        <v>#N/A</v>
      </c>
      <c r="AJ77" t="e">
        <f t="shared" si="6"/>
        <v>#N/A</v>
      </c>
      <c r="AK77" t="str">
        <f t="shared" si="7"/>
        <v/>
      </c>
    </row>
    <row r="78" spans="1:37" ht="15" customHeight="1">
      <c r="A78" s="62">
        <v>7</v>
      </c>
      <c r="B78" s="59">
        <v>70</v>
      </c>
      <c r="C78" t="s">
        <v>2241</v>
      </c>
      <c r="D78" t="s">
        <v>2242</v>
      </c>
      <c r="E78">
        <v>406</v>
      </c>
      <c r="F78" t="s">
        <v>2141</v>
      </c>
      <c r="G78" t="s">
        <v>1910</v>
      </c>
      <c r="H78" s="119">
        <f t="shared" si="8"/>
        <v>158.95161290322579</v>
      </c>
      <c r="I78" s="123">
        <v>45128</v>
      </c>
      <c r="J78">
        <v>2232</v>
      </c>
      <c r="K78" s="119"/>
      <c r="L78">
        <v>2232</v>
      </c>
      <c r="M78">
        <v>1956</v>
      </c>
      <c r="P78" t="s">
        <v>2243</v>
      </c>
      <c r="R78" t="s">
        <v>1258</v>
      </c>
      <c r="S78">
        <v>7600</v>
      </c>
      <c r="T78" s="120">
        <f t="shared" si="9"/>
        <v>3.4050179211469533</v>
      </c>
      <c r="U78" t="s">
        <v>1258</v>
      </c>
      <c r="V78" s="120"/>
      <c r="W78" s="120"/>
      <c r="X78" s="120"/>
      <c r="Y78" s="121">
        <v>354780</v>
      </c>
      <c r="Z78" s="121"/>
      <c r="AA78" s="121">
        <v>354780</v>
      </c>
      <c r="AB78" s="121"/>
      <c r="AC78" t="s">
        <v>2244</v>
      </c>
      <c r="AD78" t="s">
        <v>2245</v>
      </c>
      <c r="AE78" s="243" t="s">
        <v>2246</v>
      </c>
      <c r="AF78" s="243" t="s">
        <v>2247</v>
      </c>
      <c r="AI78" s="59" t="e">
        <f t="shared" si="5"/>
        <v>#N/A</v>
      </c>
      <c r="AJ78" t="e">
        <f t="shared" si="6"/>
        <v>#N/A</v>
      </c>
      <c r="AK78" t="str">
        <f t="shared" si="7"/>
        <v/>
      </c>
    </row>
    <row r="79" spans="1:37" ht="15" customHeight="1">
      <c r="A79" s="62">
        <v>7</v>
      </c>
      <c r="B79" s="59">
        <v>71</v>
      </c>
      <c r="C79" t="s">
        <v>2248</v>
      </c>
      <c r="D79" t="s">
        <v>2249</v>
      </c>
      <c r="E79">
        <v>325</v>
      </c>
      <c r="F79" t="s">
        <v>2141</v>
      </c>
      <c r="G79" t="s">
        <v>1910</v>
      </c>
      <c r="H79" s="119">
        <f t="shared" si="8"/>
        <v>584.55882352941171</v>
      </c>
      <c r="I79" s="123">
        <v>45408</v>
      </c>
      <c r="J79">
        <v>1360</v>
      </c>
      <c r="K79" s="119"/>
      <c r="L79">
        <v>1360</v>
      </c>
      <c r="M79">
        <v>1970</v>
      </c>
      <c r="P79" t="s">
        <v>2230</v>
      </c>
      <c r="R79" t="s">
        <v>44</v>
      </c>
      <c r="S79">
        <v>16885</v>
      </c>
      <c r="T79" s="120">
        <f t="shared" si="9"/>
        <v>12.415441176470589</v>
      </c>
      <c r="U79" t="s">
        <v>44</v>
      </c>
      <c r="V79" s="120"/>
      <c r="W79" s="120"/>
      <c r="X79" s="120"/>
      <c r="Y79" s="121">
        <v>795000</v>
      </c>
      <c r="Z79" s="121"/>
      <c r="AA79" s="121">
        <v>795000</v>
      </c>
      <c r="AB79" s="121"/>
      <c r="AC79" t="s">
        <v>2250</v>
      </c>
      <c r="AD79" t="s">
        <v>2251</v>
      </c>
      <c r="AE79" s="243" t="s">
        <v>2252</v>
      </c>
      <c r="AF79" s="243" t="s">
        <v>2253</v>
      </c>
      <c r="AI79" s="59" t="e">
        <f t="shared" si="5"/>
        <v>#N/A</v>
      </c>
      <c r="AJ79" t="e">
        <f t="shared" si="6"/>
        <v>#N/A</v>
      </c>
      <c r="AK79" t="str">
        <f t="shared" si="7"/>
        <v/>
      </c>
    </row>
    <row r="80" spans="1:37" ht="15" customHeight="1">
      <c r="A80" s="62">
        <v>7</v>
      </c>
      <c r="B80" s="59">
        <v>72</v>
      </c>
      <c r="C80" t="s">
        <v>2254</v>
      </c>
      <c r="D80" t="s">
        <v>2255</v>
      </c>
      <c r="E80">
        <v>334</v>
      </c>
      <c r="F80" t="s">
        <v>2141</v>
      </c>
      <c r="G80" t="s">
        <v>1910</v>
      </c>
      <c r="H80" s="119">
        <f t="shared" si="8"/>
        <v>148.38556505223173</v>
      </c>
      <c r="I80" s="123">
        <v>44813</v>
      </c>
      <c r="J80">
        <v>25272</v>
      </c>
      <c r="K80" s="119"/>
      <c r="L80">
        <v>25272</v>
      </c>
      <c r="M80">
        <v>1973</v>
      </c>
      <c r="P80" t="s">
        <v>2230</v>
      </c>
      <c r="R80" t="s">
        <v>44</v>
      </c>
      <c r="S80">
        <v>83000</v>
      </c>
      <c r="T80" s="120">
        <f t="shared" si="9"/>
        <v>3.2842671731560622</v>
      </c>
      <c r="U80" t="s">
        <v>44</v>
      </c>
      <c r="V80" s="120"/>
      <c r="W80" s="120"/>
      <c r="X80" s="120"/>
      <c r="Y80" s="121">
        <v>3750000</v>
      </c>
      <c r="Z80" s="121"/>
      <c r="AA80" s="121">
        <v>3750000</v>
      </c>
      <c r="AB80" s="121"/>
      <c r="AC80" t="s">
        <v>2256</v>
      </c>
      <c r="AD80" t="s">
        <v>2257</v>
      </c>
      <c r="AE80" s="243" t="s">
        <v>2258</v>
      </c>
      <c r="AF80" s="243" t="s">
        <v>2259</v>
      </c>
      <c r="AI80" s="59" t="e">
        <f t="shared" si="5"/>
        <v>#N/A</v>
      </c>
      <c r="AJ80" t="e">
        <f t="shared" si="6"/>
        <v>#N/A</v>
      </c>
      <c r="AK80" t="str">
        <f t="shared" si="7"/>
        <v/>
      </c>
    </row>
    <row r="81" spans="1:37" ht="15" customHeight="1">
      <c r="A81" s="62">
        <v>7</v>
      </c>
      <c r="B81" s="59">
        <v>73</v>
      </c>
      <c r="C81" t="s">
        <v>2260</v>
      </c>
      <c r="D81" t="s">
        <v>2261</v>
      </c>
      <c r="E81">
        <v>425</v>
      </c>
      <c r="G81" t="s">
        <v>1910</v>
      </c>
      <c r="H81" s="119">
        <f t="shared" si="8"/>
        <v>11.320754716981131</v>
      </c>
      <c r="I81" s="123">
        <v>45288</v>
      </c>
      <c r="J81">
        <v>26500</v>
      </c>
      <c r="K81" s="119"/>
      <c r="L81">
        <v>26500</v>
      </c>
      <c r="M81">
        <v>1984</v>
      </c>
      <c r="P81" t="s">
        <v>1911</v>
      </c>
      <c r="R81" t="s">
        <v>44</v>
      </c>
      <c r="S81">
        <v>2893</v>
      </c>
      <c r="T81" s="120">
        <f t="shared" si="9"/>
        <v>0.10916981132075472</v>
      </c>
      <c r="U81" t="s">
        <v>44</v>
      </c>
      <c r="V81" s="120"/>
      <c r="W81" s="120"/>
      <c r="X81" s="120"/>
      <c r="Y81" s="121">
        <v>300000</v>
      </c>
      <c r="Z81" s="121"/>
      <c r="AA81" s="121">
        <v>300000</v>
      </c>
      <c r="AB81" s="121"/>
      <c r="AC81" t="s">
        <v>2262</v>
      </c>
      <c r="AD81" t="s">
        <v>2263</v>
      </c>
      <c r="AE81" s="243" t="s">
        <v>2264</v>
      </c>
      <c r="AF81" s="243" t="s">
        <v>2265</v>
      </c>
      <c r="AI81" s="59" t="e">
        <f t="shared" si="5"/>
        <v>#N/A</v>
      </c>
      <c r="AJ81" t="e">
        <f t="shared" si="6"/>
        <v>#N/A</v>
      </c>
      <c r="AK81" t="str">
        <f t="shared" si="7"/>
        <v/>
      </c>
    </row>
    <row r="82" spans="1:37" ht="15" customHeight="1">
      <c r="A82" s="62">
        <v>7</v>
      </c>
      <c r="B82" s="59">
        <v>74</v>
      </c>
      <c r="C82" t="s">
        <v>2266</v>
      </c>
      <c r="D82" t="s">
        <v>2267</v>
      </c>
      <c r="E82">
        <v>325</v>
      </c>
      <c r="F82" t="s">
        <v>1800</v>
      </c>
      <c r="G82" t="s">
        <v>1786</v>
      </c>
      <c r="H82" s="119">
        <f t="shared" si="8"/>
        <v>164.01124648547329</v>
      </c>
      <c r="I82" s="123">
        <v>45275</v>
      </c>
      <c r="J82">
        <v>6402</v>
      </c>
      <c r="K82" s="119"/>
      <c r="L82">
        <v>6402</v>
      </c>
      <c r="M82">
        <v>1971</v>
      </c>
      <c r="P82" t="s">
        <v>2268</v>
      </c>
      <c r="R82" t="s">
        <v>44</v>
      </c>
      <c r="S82">
        <v>20250</v>
      </c>
      <c r="T82" s="120">
        <f t="shared" si="9"/>
        <v>3.1630740393626993</v>
      </c>
      <c r="U82" t="s">
        <v>44</v>
      </c>
      <c r="V82" s="120"/>
      <c r="W82" s="120"/>
      <c r="X82" s="120"/>
      <c r="Y82" s="121">
        <v>1050000</v>
      </c>
      <c r="Z82" s="121"/>
      <c r="AA82" s="121">
        <v>1050000</v>
      </c>
      <c r="AB82" s="121"/>
      <c r="AC82" t="s">
        <v>2269</v>
      </c>
      <c r="AD82" t="s">
        <v>2270</v>
      </c>
      <c r="AE82" s="243" t="s">
        <v>2271</v>
      </c>
      <c r="AF82" s="243" t="s">
        <v>2272</v>
      </c>
      <c r="AI82" s="59" t="e">
        <f t="shared" si="5"/>
        <v>#N/A</v>
      </c>
      <c r="AJ82" t="e">
        <f t="shared" si="6"/>
        <v>#N/A</v>
      </c>
      <c r="AK82" t="str">
        <f t="shared" si="7"/>
        <v/>
      </c>
    </row>
    <row r="83" spans="1:37" ht="15" customHeight="1">
      <c r="A83" s="62">
        <v>7</v>
      </c>
      <c r="B83" s="59">
        <v>75</v>
      </c>
      <c r="C83" t="s">
        <v>2273</v>
      </c>
      <c r="D83" t="s">
        <v>2274</v>
      </c>
      <c r="E83">
        <v>334</v>
      </c>
      <c r="G83" t="s">
        <v>1910</v>
      </c>
      <c r="H83" s="119">
        <f t="shared" si="8"/>
        <v>236.60714285714286</v>
      </c>
      <c r="I83" s="123">
        <v>45317</v>
      </c>
      <c r="J83">
        <v>11200</v>
      </c>
      <c r="K83" s="119"/>
      <c r="L83">
        <v>11200</v>
      </c>
      <c r="M83">
        <v>1982</v>
      </c>
      <c r="P83" t="s">
        <v>1911</v>
      </c>
      <c r="R83" t="s">
        <v>44</v>
      </c>
      <c r="S83">
        <v>26839</v>
      </c>
      <c r="T83" s="120">
        <f t="shared" si="9"/>
        <v>2.3963392857142858</v>
      </c>
      <c r="U83" t="s">
        <v>44</v>
      </c>
      <c r="V83" s="120"/>
      <c r="W83" s="120"/>
      <c r="X83" s="120"/>
      <c r="Y83" s="121">
        <v>2650000</v>
      </c>
      <c r="Z83" s="121"/>
      <c r="AA83" s="121">
        <v>2650000</v>
      </c>
      <c r="AB83" s="121"/>
      <c r="AC83" t="s">
        <v>2275</v>
      </c>
      <c r="AD83" t="s">
        <v>2276</v>
      </c>
      <c r="AE83" s="243" t="s">
        <v>2277</v>
      </c>
      <c r="AF83" s="243" t="s">
        <v>2278</v>
      </c>
      <c r="AI83" s="59" t="e">
        <f t="shared" si="5"/>
        <v>#N/A</v>
      </c>
      <c r="AJ83" t="e">
        <f t="shared" si="6"/>
        <v>#N/A</v>
      </c>
      <c r="AK83" t="str">
        <f t="shared" si="7"/>
        <v/>
      </c>
    </row>
    <row r="84" spans="1:37" ht="15" customHeight="1">
      <c r="A84" s="62">
        <v>7</v>
      </c>
      <c r="B84" s="59">
        <v>76</v>
      </c>
      <c r="C84" t="s">
        <v>2279</v>
      </c>
      <c r="D84" t="s">
        <v>2280</v>
      </c>
      <c r="E84">
        <v>407</v>
      </c>
      <c r="G84" t="s">
        <v>1910</v>
      </c>
      <c r="H84" s="119">
        <f t="shared" si="8"/>
        <v>175.48321464903358</v>
      </c>
      <c r="I84" s="123">
        <v>45174</v>
      </c>
      <c r="J84">
        <v>19660</v>
      </c>
      <c r="K84" s="119"/>
      <c r="L84">
        <v>19660</v>
      </c>
      <c r="M84">
        <v>2002</v>
      </c>
      <c r="P84" t="s">
        <v>1911</v>
      </c>
      <c r="R84" t="s">
        <v>44</v>
      </c>
      <c r="S84">
        <v>47044.800000000003</v>
      </c>
      <c r="T84" s="120">
        <f t="shared" si="9"/>
        <v>2.3929196337741607</v>
      </c>
      <c r="U84" t="s">
        <v>44</v>
      </c>
      <c r="V84" s="120"/>
      <c r="W84" s="120"/>
      <c r="X84" s="120"/>
      <c r="Y84" s="121">
        <v>3450000</v>
      </c>
      <c r="Z84" s="121"/>
      <c r="AA84" s="121">
        <v>3450000</v>
      </c>
      <c r="AB84" s="121"/>
      <c r="AC84" t="s">
        <v>2281</v>
      </c>
      <c r="AD84" t="s">
        <v>2282</v>
      </c>
      <c r="AE84" s="243" t="s">
        <v>2283</v>
      </c>
      <c r="AF84" s="243" t="s">
        <v>2284</v>
      </c>
      <c r="AI84" s="59" t="e">
        <f t="shared" si="5"/>
        <v>#N/A</v>
      </c>
      <c r="AJ84" t="e">
        <f t="shared" si="6"/>
        <v>#N/A</v>
      </c>
      <c r="AK84" t="str">
        <f t="shared" si="7"/>
        <v/>
      </c>
    </row>
    <row r="85" spans="1:37" ht="15" customHeight="1">
      <c r="A85" s="62">
        <v>7</v>
      </c>
      <c r="B85" s="59">
        <v>77</v>
      </c>
      <c r="C85" t="s">
        <v>2285</v>
      </c>
      <c r="D85" t="s">
        <v>2286</v>
      </c>
      <c r="E85">
        <v>344</v>
      </c>
      <c r="F85" t="s">
        <v>1984</v>
      </c>
      <c r="G85" t="s">
        <v>89</v>
      </c>
      <c r="H85" s="119">
        <f t="shared" si="8"/>
        <v>379.9019607843137</v>
      </c>
      <c r="I85" s="123">
        <v>45257</v>
      </c>
      <c r="J85">
        <v>816</v>
      </c>
      <c r="K85" s="119"/>
      <c r="L85">
        <v>816</v>
      </c>
      <c r="M85">
        <v>1917</v>
      </c>
      <c r="P85" t="s">
        <v>2287</v>
      </c>
      <c r="R85" t="s">
        <v>44</v>
      </c>
      <c r="S85">
        <v>7500</v>
      </c>
      <c r="T85" s="120">
        <f t="shared" si="9"/>
        <v>9.1911764705882355</v>
      </c>
      <c r="U85" t="s">
        <v>44</v>
      </c>
      <c r="V85" s="120"/>
      <c r="W85" s="120"/>
      <c r="X85" s="120"/>
      <c r="Y85" s="121">
        <v>310000</v>
      </c>
      <c r="Z85" s="121"/>
      <c r="AA85" s="121">
        <v>306000</v>
      </c>
      <c r="AB85" s="121"/>
      <c r="AC85" t="s">
        <v>2288</v>
      </c>
      <c r="AD85" t="s">
        <v>2289</v>
      </c>
      <c r="AE85" s="243" t="s">
        <v>2290</v>
      </c>
      <c r="AF85" s="243" t="s">
        <v>2291</v>
      </c>
      <c r="AI85" s="59" t="e">
        <f t="shared" si="5"/>
        <v>#N/A</v>
      </c>
      <c r="AJ85" t="e">
        <f t="shared" si="6"/>
        <v>#N/A</v>
      </c>
      <c r="AK85" t="str">
        <f t="shared" si="7"/>
        <v/>
      </c>
    </row>
    <row r="86" spans="1:37" ht="15" customHeight="1">
      <c r="A86" s="62">
        <v>7</v>
      </c>
      <c r="B86" s="59">
        <v>78</v>
      </c>
      <c r="C86" t="s">
        <v>2292</v>
      </c>
      <c r="D86" t="s">
        <v>2293</v>
      </c>
      <c r="E86">
        <v>406</v>
      </c>
      <c r="F86" t="s">
        <v>1785</v>
      </c>
      <c r="G86" t="s">
        <v>1786</v>
      </c>
      <c r="H86" s="119">
        <f t="shared" si="8"/>
        <v>187.5</v>
      </c>
      <c r="I86" s="123">
        <v>45083</v>
      </c>
      <c r="J86">
        <v>4000</v>
      </c>
      <c r="K86" s="119"/>
      <c r="L86">
        <v>4000</v>
      </c>
      <c r="M86">
        <v>1973</v>
      </c>
      <c r="P86" t="s">
        <v>2204</v>
      </c>
      <c r="R86" t="s">
        <v>44</v>
      </c>
      <c r="S86">
        <v>22477</v>
      </c>
      <c r="T86" s="120">
        <f t="shared" si="9"/>
        <v>5.6192500000000001</v>
      </c>
      <c r="U86" t="s">
        <v>44</v>
      </c>
      <c r="V86" s="120"/>
      <c r="W86" s="120"/>
      <c r="X86" s="120"/>
      <c r="Y86" s="121">
        <v>750000</v>
      </c>
      <c r="Z86" s="121"/>
      <c r="AA86" s="121">
        <v>750000</v>
      </c>
      <c r="AB86" s="121"/>
      <c r="AC86" t="s">
        <v>2294</v>
      </c>
      <c r="AD86" t="s">
        <v>2295</v>
      </c>
      <c r="AE86" s="243" t="s">
        <v>2296</v>
      </c>
      <c r="AF86" s="243" t="s">
        <v>2297</v>
      </c>
      <c r="AI86" s="59" t="e">
        <f t="shared" si="5"/>
        <v>#N/A</v>
      </c>
      <c r="AJ86" t="e">
        <f t="shared" si="6"/>
        <v>#N/A</v>
      </c>
      <c r="AK86" t="str">
        <f t="shared" si="7"/>
        <v/>
      </c>
    </row>
    <row r="87" spans="1:37" ht="15" customHeight="1">
      <c r="A87" s="62">
        <v>7</v>
      </c>
      <c r="B87" s="59">
        <v>79</v>
      </c>
      <c r="C87" t="s">
        <v>2298</v>
      </c>
      <c r="D87" t="s">
        <v>2299</v>
      </c>
      <c r="E87">
        <v>406</v>
      </c>
      <c r="G87" t="s">
        <v>1910</v>
      </c>
      <c r="H87" s="119">
        <f t="shared" si="8"/>
        <v>161.07885371792472</v>
      </c>
      <c r="I87" s="123">
        <v>45163</v>
      </c>
      <c r="J87">
        <v>26695</v>
      </c>
      <c r="K87" s="119"/>
      <c r="L87">
        <v>26695</v>
      </c>
      <c r="M87">
        <v>2000</v>
      </c>
      <c r="P87" t="s">
        <v>1911</v>
      </c>
      <c r="R87" t="s">
        <v>44</v>
      </c>
      <c r="S87">
        <v>77615.210900000005</v>
      </c>
      <c r="T87" s="120">
        <f t="shared" si="9"/>
        <v>2.9074812099644132</v>
      </c>
      <c r="U87" t="s">
        <v>44</v>
      </c>
      <c r="V87" s="120"/>
      <c r="W87" s="120"/>
      <c r="X87" s="120"/>
      <c r="Y87" s="121">
        <v>4300000</v>
      </c>
      <c r="Z87" s="121"/>
      <c r="AA87" s="121">
        <v>4300000</v>
      </c>
      <c r="AB87" s="121"/>
      <c r="AC87" t="s">
        <v>2300</v>
      </c>
      <c r="AD87" t="s">
        <v>2301</v>
      </c>
      <c r="AE87" s="243" t="s">
        <v>2302</v>
      </c>
      <c r="AF87" s="243" t="s">
        <v>2303</v>
      </c>
      <c r="AI87" s="59" t="e">
        <f t="shared" si="5"/>
        <v>#N/A</v>
      </c>
      <c r="AJ87" t="e">
        <f t="shared" si="6"/>
        <v>#N/A</v>
      </c>
      <c r="AK87" t="str">
        <f t="shared" si="7"/>
        <v/>
      </c>
    </row>
    <row r="88" spans="1:37" ht="15" customHeight="1">
      <c r="A88" s="62">
        <v>7</v>
      </c>
      <c r="B88" s="59">
        <v>80</v>
      </c>
      <c r="C88" t="s">
        <v>2304</v>
      </c>
      <c r="D88" t="s">
        <v>2305</v>
      </c>
      <c r="E88">
        <v>406</v>
      </c>
      <c r="F88" t="s">
        <v>1984</v>
      </c>
      <c r="G88" t="s">
        <v>89</v>
      </c>
      <c r="H88" s="119">
        <f t="shared" si="8"/>
        <v>173.68501529051989</v>
      </c>
      <c r="I88" s="123">
        <v>44887</v>
      </c>
      <c r="J88">
        <v>6540</v>
      </c>
      <c r="K88" s="119"/>
      <c r="L88">
        <v>6540</v>
      </c>
      <c r="M88">
        <v>1977</v>
      </c>
      <c r="P88" t="s">
        <v>1985</v>
      </c>
      <c r="R88" t="s">
        <v>44</v>
      </c>
      <c r="S88">
        <v>32975</v>
      </c>
      <c r="T88" s="120">
        <f t="shared" si="9"/>
        <v>5.0420489296636086</v>
      </c>
      <c r="U88" t="s">
        <v>44</v>
      </c>
      <c r="V88" s="120"/>
      <c r="W88" s="120"/>
      <c r="X88" s="120"/>
      <c r="Y88" s="121">
        <v>1135900</v>
      </c>
      <c r="Z88" s="121"/>
      <c r="AA88" s="121">
        <v>1135900</v>
      </c>
      <c r="AB88" s="121"/>
      <c r="AC88" t="s">
        <v>2306</v>
      </c>
      <c r="AD88" t="s">
        <v>2307</v>
      </c>
      <c r="AE88" s="243" t="s">
        <v>1844</v>
      </c>
      <c r="AF88" s="243" t="s">
        <v>2308</v>
      </c>
      <c r="AI88" s="59" t="e">
        <f t="shared" si="5"/>
        <v>#N/A</v>
      </c>
      <c r="AJ88" t="e">
        <f t="shared" si="6"/>
        <v>#N/A</v>
      </c>
      <c r="AK88" t="str">
        <f t="shared" si="7"/>
        <v/>
      </c>
    </row>
    <row r="89" spans="1:37" ht="15" customHeight="1">
      <c r="A89" s="62">
        <v>7</v>
      </c>
      <c r="B89" s="59">
        <v>81</v>
      </c>
      <c r="C89" t="s">
        <v>2309</v>
      </c>
      <c r="D89" t="s">
        <v>2310</v>
      </c>
      <c r="E89">
        <v>344</v>
      </c>
      <c r="G89" t="s">
        <v>1786</v>
      </c>
      <c r="H89" s="119">
        <f t="shared" si="8"/>
        <v>348.58387799564269</v>
      </c>
      <c r="I89" s="123">
        <v>45394</v>
      </c>
      <c r="J89">
        <v>4590</v>
      </c>
      <c r="K89" s="119"/>
      <c r="L89">
        <v>4590</v>
      </c>
      <c r="M89">
        <v>1993</v>
      </c>
      <c r="P89" t="s">
        <v>1925</v>
      </c>
      <c r="R89" t="s">
        <v>44</v>
      </c>
      <c r="S89">
        <v>15400</v>
      </c>
      <c r="T89" s="120">
        <f t="shared" si="9"/>
        <v>3.3551198257080612</v>
      </c>
      <c r="U89" t="s">
        <v>44</v>
      </c>
      <c r="V89" s="120"/>
      <c r="W89" s="120"/>
      <c r="X89" s="120"/>
      <c r="Y89" s="121">
        <v>1600000</v>
      </c>
      <c r="Z89" s="121"/>
      <c r="AA89" s="121">
        <v>1600000</v>
      </c>
      <c r="AB89" s="121"/>
      <c r="AC89" t="s">
        <v>2311</v>
      </c>
      <c r="AD89" t="s">
        <v>2312</v>
      </c>
      <c r="AE89" s="243" t="s">
        <v>2313</v>
      </c>
      <c r="AF89" s="243" t="s">
        <v>2314</v>
      </c>
      <c r="AI89" s="59" t="e">
        <f t="shared" si="5"/>
        <v>#N/A</v>
      </c>
      <c r="AJ89" t="e">
        <f t="shared" si="6"/>
        <v>#N/A</v>
      </c>
      <c r="AK89" t="str">
        <f t="shared" si="7"/>
        <v/>
      </c>
    </row>
    <row r="90" spans="1:37" ht="15" customHeight="1">
      <c r="A90" s="62">
        <v>7</v>
      </c>
      <c r="B90" s="59">
        <v>82</v>
      </c>
      <c r="C90" t="s">
        <v>2315</v>
      </c>
      <c r="D90" t="s">
        <v>2316</v>
      </c>
      <c r="E90">
        <v>425</v>
      </c>
      <c r="F90" t="s">
        <v>1814</v>
      </c>
      <c r="G90" t="s">
        <v>1815</v>
      </c>
      <c r="H90" s="119">
        <f t="shared" si="8"/>
        <v>33.545790003354576</v>
      </c>
      <c r="I90" s="123">
        <v>44953</v>
      </c>
      <c r="J90">
        <v>8943</v>
      </c>
      <c r="K90" s="119"/>
      <c r="L90">
        <v>8943</v>
      </c>
      <c r="M90">
        <v>1982</v>
      </c>
      <c r="P90" t="s">
        <v>1932</v>
      </c>
      <c r="R90" t="s">
        <v>44</v>
      </c>
      <c r="S90">
        <v>6313</v>
      </c>
      <c r="T90" s="120">
        <f t="shared" si="9"/>
        <v>0.70591524097059155</v>
      </c>
      <c r="U90" t="s">
        <v>44</v>
      </c>
      <c r="V90" s="120"/>
      <c r="W90" s="120"/>
      <c r="X90" s="120"/>
      <c r="Y90" s="121">
        <v>300000</v>
      </c>
      <c r="Z90" s="121"/>
      <c r="AA90" s="121">
        <v>300000</v>
      </c>
      <c r="AB90" s="121"/>
      <c r="AC90" t="s">
        <v>2317</v>
      </c>
      <c r="AD90" t="s">
        <v>2318</v>
      </c>
      <c r="AE90" s="243" t="s">
        <v>2319</v>
      </c>
      <c r="AF90" s="243" t="s">
        <v>2320</v>
      </c>
      <c r="AI90" s="59" t="e">
        <f t="shared" si="5"/>
        <v>#N/A</v>
      </c>
      <c r="AJ90" t="e">
        <f t="shared" si="6"/>
        <v>#N/A</v>
      </c>
      <c r="AK90" t="str">
        <f t="shared" si="7"/>
        <v/>
      </c>
    </row>
    <row r="91" spans="1:37" ht="15" customHeight="1">
      <c r="A91" s="62">
        <v>7</v>
      </c>
      <c r="B91" s="59">
        <v>83</v>
      </c>
      <c r="C91" t="s">
        <v>2321</v>
      </c>
      <c r="D91" t="s">
        <v>2322</v>
      </c>
      <c r="E91">
        <v>325</v>
      </c>
      <c r="F91" t="s">
        <v>2141</v>
      </c>
      <c r="G91" t="s">
        <v>1910</v>
      </c>
      <c r="H91" s="119">
        <f t="shared" si="8"/>
        <v>350.02373042240151</v>
      </c>
      <c r="I91" s="123">
        <v>44830</v>
      </c>
      <c r="J91">
        <v>4214</v>
      </c>
      <c r="K91" s="119"/>
      <c r="L91">
        <v>4214</v>
      </c>
      <c r="M91">
        <v>1972</v>
      </c>
      <c r="P91" t="s">
        <v>2142</v>
      </c>
      <c r="R91" t="s">
        <v>44</v>
      </c>
      <c r="S91">
        <v>35896</v>
      </c>
      <c r="T91" s="120">
        <f t="shared" si="9"/>
        <v>8.5182724252491688</v>
      </c>
      <c r="U91" t="s">
        <v>44</v>
      </c>
      <c r="V91" s="120"/>
      <c r="W91" s="120"/>
      <c r="X91" s="120"/>
      <c r="Y91" s="121">
        <v>1475000</v>
      </c>
      <c r="Z91" s="121"/>
      <c r="AA91" s="121">
        <v>1475000</v>
      </c>
      <c r="AB91" s="121"/>
      <c r="AC91" t="s">
        <v>2323</v>
      </c>
      <c r="AD91" t="s">
        <v>2324</v>
      </c>
      <c r="AE91" s="243" t="s">
        <v>2325</v>
      </c>
      <c r="AF91" s="243" t="s">
        <v>2326</v>
      </c>
      <c r="AI91" s="59" t="e">
        <f t="shared" si="5"/>
        <v>#N/A</v>
      </c>
      <c r="AJ91" t="e">
        <f t="shared" si="6"/>
        <v>#N/A</v>
      </c>
      <c r="AK91" t="str">
        <f t="shared" si="7"/>
        <v/>
      </c>
    </row>
    <row r="92" spans="1:37" ht="15" customHeight="1">
      <c r="A92" s="62">
        <v>7</v>
      </c>
      <c r="B92" s="59">
        <v>84</v>
      </c>
      <c r="C92" t="s">
        <v>2327</v>
      </c>
      <c r="D92" t="s">
        <v>2328</v>
      </c>
      <c r="E92">
        <v>353</v>
      </c>
      <c r="F92" t="s">
        <v>1814</v>
      </c>
      <c r="G92" t="s">
        <v>1815</v>
      </c>
      <c r="H92" s="119">
        <f t="shared" si="8"/>
        <v>489.39641109298532</v>
      </c>
      <c r="I92" s="123">
        <v>45427</v>
      </c>
      <c r="J92">
        <v>4291</v>
      </c>
      <c r="K92" s="119"/>
      <c r="L92">
        <v>4291</v>
      </c>
      <c r="M92">
        <v>1964</v>
      </c>
      <c r="P92" t="s">
        <v>2329</v>
      </c>
      <c r="R92" t="s">
        <v>44</v>
      </c>
      <c r="S92">
        <v>18766.2</v>
      </c>
      <c r="T92" s="120">
        <f t="shared" si="9"/>
        <v>4.373386157072944</v>
      </c>
      <c r="U92" t="s">
        <v>44</v>
      </c>
      <c r="V92" s="120"/>
      <c r="W92" s="120"/>
      <c r="X92" s="120"/>
      <c r="Y92" s="121">
        <v>2100000</v>
      </c>
      <c r="Z92" s="121"/>
      <c r="AA92" s="121">
        <v>2100000</v>
      </c>
      <c r="AB92" s="121"/>
      <c r="AC92" t="s">
        <v>2330</v>
      </c>
      <c r="AD92" t="s">
        <v>2331</v>
      </c>
      <c r="AE92" s="243" t="s">
        <v>2332</v>
      </c>
      <c r="AF92" s="243" t="s">
        <v>2333</v>
      </c>
      <c r="AI92" s="59" t="e">
        <f t="shared" si="5"/>
        <v>#N/A</v>
      </c>
      <c r="AJ92" t="e">
        <f t="shared" si="6"/>
        <v>#N/A</v>
      </c>
      <c r="AK92" t="str">
        <f t="shared" si="7"/>
        <v/>
      </c>
    </row>
    <row r="93" spans="1:37" ht="15" customHeight="1">
      <c r="A93" s="62">
        <v>7</v>
      </c>
      <c r="B93" s="59">
        <v>85</v>
      </c>
      <c r="C93" t="s">
        <v>2334</v>
      </c>
      <c r="D93" t="s">
        <v>2335</v>
      </c>
      <c r="E93">
        <v>406</v>
      </c>
      <c r="G93" t="s">
        <v>1910</v>
      </c>
      <c r="H93" s="119">
        <f t="shared" si="8"/>
        <v>154.69061876247505</v>
      </c>
      <c r="I93" s="123">
        <v>45142</v>
      </c>
      <c r="J93">
        <v>20040</v>
      </c>
      <c r="K93" s="119"/>
      <c r="L93">
        <v>20040</v>
      </c>
      <c r="M93">
        <v>2000</v>
      </c>
      <c r="P93" t="s">
        <v>1911</v>
      </c>
      <c r="R93" t="s">
        <v>44</v>
      </c>
      <c r="S93">
        <v>94176.72</v>
      </c>
      <c r="T93" s="120">
        <f t="shared" si="9"/>
        <v>4.6994371257485028</v>
      </c>
      <c r="U93" t="s">
        <v>44</v>
      </c>
      <c r="V93" s="120"/>
      <c r="W93" s="120"/>
      <c r="X93" s="120"/>
      <c r="Y93" s="121">
        <v>3100000</v>
      </c>
      <c r="Z93" s="121"/>
      <c r="AA93" s="121">
        <v>3100000</v>
      </c>
      <c r="AB93" s="121"/>
      <c r="AC93" t="s">
        <v>2336</v>
      </c>
      <c r="AD93" t="s">
        <v>2337</v>
      </c>
      <c r="AE93" s="243" t="s">
        <v>2338</v>
      </c>
      <c r="AF93" s="243" t="s">
        <v>2339</v>
      </c>
      <c r="AI93" s="59" t="e">
        <f t="shared" si="5"/>
        <v>#N/A</v>
      </c>
      <c r="AJ93" t="e">
        <f t="shared" si="6"/>
        <v>#N/A</v>
      </c>
      <c r="AK93" t="str">
        <f t="shared" si="7"/>
        <v/>
      </c>
    </row>
    <row r="94" spans="1:37" ht="15" customHeight="1">
      <c r="A94" s="62">
        <v>7</v>
      </c>
      <c r="B94" s="59">
        <v>86</v>
      </c>
      <c r="C94" t="s">
        <v>2340</v>
      </c>
      <c r="D94" t="s">
        <v>2341</v>
      </c>
      <c r="E94">
        <v>407</v>
      </c>
      <c r="G94" t="s">
        <v>1786</v>
      </c>
      <c r="H94" s="119">
        <f t="shared" si="8"/>
        <v>178.89492753623188</v>
      </c>
      <c r="I94" s="123">
        <v>44792</v>
      </c>
      <c r="J94">
        <v>11040</v>
      </c>
      <c r="K94" s="119"/>
      <c r="L94">
        <v>11040</v>
      </c>
      <c r="M94">
        <v>2000</v>
      </c>
      <c r="P94" t="s">
        <v>1969</v>
      </c>
      <c r="R94" t="s">
        <v>44</v>
      </c>
      <c r="S94">
        <v>36887</v>
      </c>
      <c r="T94" s="120">
        <f t="shared" si="9"/>
        <v>3.3412137681159422</v>
      </c>
      <c r="U94" t="s">
        <v>44</v>
      </c>
      <c r="V94" s="120"/>
      <c r="W94" s="120"/>
      <c r="X94" s="120"/>
      <c r="Y94" s="121">
        <v>1975000</v>
      </c>
      <c r="Z94" s="121"/>
      <c r="AA94" s="121">
        <v>1975000</v>
      </c>
      <c r="AB94" s="121"/>
      <c r="AC94" t="s">
        <v>2342</v>
      </c>
      <c r="AD94" t="s">
        <v>2343</v>
      </c>
      <c r="AE94" s="243" t="s">
        <v>2344</v>
      </c>
      <c r="AF94" s="243" t="s">
        <v>2345</v>
      </c>
      <c r="AI94" s="59" t="e">
        <f t="shared" si="5"/>
        <v>#N/A</v>
      </c>
      <c r="AJ94" t="e">
        <f t="shared" si="6"/>
        <v>#N/A</v>
      </c>
      <c r="AK94" t="str">
        <f t="shared" si="7"/>
        <v/>
      </c>
    </row>
    <row r="95" spans="1:37" ht="15" customHeight="1">
      <c r="A95" s="62">
        <v>7</v>
      </c>
      <c r="B95" s="59">
        <v>87</v>
      </c>
      <c r="C95" t="s">
        <v>2346</v>
      </c>
      <c r="D95" t="s">
        <v>2347</v>
      </c>
      <c r="E95">
        <v>407</v>
      </c>
      <c r="G95" t="s">
        <v>1910</v>
      </c>
      <c r="H95" s="119">
        <f t="shared" si="8"/>
        <v>310</v>
      </c>
      <c r="I95" s="123">
        <v>45468</v>
      </c>
      <c r="J95">
        <v>15000</v>
      </c>
      <c r="K95" s="119"/>
      <c r="L95">
        <v>15000</v>
      </c>
      <c r="M95">
        <v>1998</v>
      </c>
      <c r="P95" t="s">
        <v>1911</v>
      </c>
      <c r="R95" t="s">
        <v>44</v>
      </c>
      <c r="S95">
        <v>93654</v>
      </c>
      <c r="T95" s="120">
        <f t="shared" si="9"/>
        <v>6.2435999999999998</v>
      </c>
      <c r="U95" t="s">
        <v>44</v>
      </c>
      <c r="V95" s="120"/>
      <c r="W95" s="120"/>
      <c r="X95" s="120"/>
      <c r="Y95" s="121">
        <v>4650000</v>
      </c>
      <c r="Z95" s="121"/>
      <c r="AA95" s="121">
        <v>4650000</v>
      </c>
      <c r="AB95" s="121"/>
      <c r="AC95" t="s">
        <v>2348</v>
      </c>
      <c r="AD95" t="s">
        <v>2349</v>
      </c>
      <c r="AE95" s="243" t="s">
        <v>2350</v>
      </c>
      <c r="AF95" s="243" t="s">
        <v>2351</v>
      </c>
      <c r="AI95" s="59" t="e">
        <f t="shared" si="5"/>
        <v>#N/A</v>
      </c>
      <c r="AJ95" t="e">
        <f t="shared" si="6"/>
        <v>#N/A</v>
      </c>
      <c r="AK95" t="str">
        <f t="shared" si="7"/>
        <v/>
      </c>
    </row>
    <row r="96" spans="1:37" ht="15" customHeight="1">
      <c r="A96" s="62">
        <v>7</v>
      </c>
      <c r="B96" s="59">
        <v>88</v>
      </c>
      <c r="C96" t="s">
        <v>2352</v>
      </c>
      <c r="D96" t="s">
        <v>2353</v>
      </c>
      <c r="E96">
        <v>407</v>
      </c>
      <c r="G96" t="s">
        <v>1910</v>
      </c>
      <c r="H96" s="119">
        <f t="shared" si="8"/>
        <v>279.39464493597205</v>
      </c>
      <c r="I96" s="123">
        <v>44914</v>
      </c>
      <c r="J96">
        <v>30065</v>
      </c>
      <c r="K96" s="119"/>
      <c r="L96">
        <v>30065</v>
      </c>
      <c r="M96">
        <v>1982</v>
      </c>
      <c r="P96" t="s">
        <v>1911</v>
      </c>
      <c r="R96" t="s">
        <v>44</v>
      </c>
      <c r="S96">
        <v>237402</v>
      </c>
      <c r="T96" s="120">
        <f t="shared" si="9"/>
        <v>7.8962913687011476</v>
      </c>
      <c r="U96" t="s">
        <v>44</v>
      </c>
      <c r="V96" s="120"/>
      <c r="W96" s="120"/>
      <c r="X96" s="120"/>
      <c r="Y96" s="121">
        <v>8400000</v>
      </c>
      <c r="Z96" s="121"/>
      <c r="AA96" s="121">
        <v>8400000</v>
      </c>
      <c r="AB96" s="121"/>
      <c r="AC96" t="s">
        <v>2354</v>
      </c>
      <c r="AD96" t="s">
        <v>2355</v>
      </c>
      <c r="AE96" s="243" t="s">
        <v>2356</v>
      </c>
      <c r="AF96" s="243" t="s">
        <v>2357</v>
      </c>
      <c r="AI96" s="59" t="e">
        <f t="shared" si="5"/>
        <v>#N/A</v>
      </c>
      <c r="AJ96" t="e">
        <f t="shared" si="6"/>
        <v>#N/A</v>
      </c>
      <c r="AK96" t="str">
        <f t="shared" si="7"/>
        <v/>
      </c>
    </row>
    <row r="97" spans="1:37" ht="15" customHeight="1">
      <c r="A97" s="62">
        <v>7</v>
      </c>
      <c r="B97" s="59">
        <v>89</v>
      </c>
      <c r="C97" t="s">
        <v>2358</v>
      </c>
      <c r="D97" t="s">
        <v>2359</v>
      </c>
      <c r="E97">
        <v>325</v>
      </c>
      <c r="G97" t="s">
        <v>1786</v>
      </c>
      <c r="H97" s="119">
        <f t="shared" si="8"/>
        <v>167.57575757575756</v>
      </c>
      <c r="I97" s="123">
        <v>45210</v>
      </c>
      <c r="J97">
        <v>16500</v>
      </c>
      <c r="K97" s="119"/>
      <c r="L97">
        <v>16500</v>
      </c>
      <c r="M97">
        <v>2003</v>
      </c>
      <c r="P97" t="s">
        <v>1969</v>
      </c>
      <c r="R97" t="s">
        <v>44</v>
      </c>
      <c r="S97">
        <v>68986</v>
      </c>
      <c r="T97" s="120">
        <f t="shared" si="9"/>
        <v>4.1809696969696972</v>
      </c>
      <c r="U97" t="s">
        <v>44</v>
      </c>
      <c r="V97" s="120"/>
      <c r="W97" s="120"/>
      <c r="X97" s="120"/>
      <c r="Y97" s="121">
        <v>2765000</v>
      </c>
      <c r="Z97" s="121"/>
      <c r="AA97" s="121">
        <v>2765000</v>
      </c>
      <c r="AB97" s="121"/>
      <c r="AC97" t="s">
        <v>2360</v>
      </c>
      <c r="AD97" t="s">
        <v>2361</v>
      </c>
      <c r="AE97" s="243" t="s">
        <v>2362</v>
      </c>
      <c r="AF97" s="243" t="s">
        <v>2363</v>
      </c>
      <c r="AI97" s="59" t="e">
        <f t="shared" si="5"/>
        <v>#N/A</v>
      </c>
      <c r="AJ97" t="e">
        <f t="shared" si="6"/>
        <v>#N/A</v>
      </c>
      <c r="AK97" t="str">
        <f t="shared" si="7"/>
        <v/>
      </c>
    </row>
    <row r="98" spans="1:37" ht="15" customHeight="1">
      <c r="A98" s="62">
        <v>7</v>
      </c>
      <c r="B98" s="59">
        <v>90</v>
      </c>
      <c r="C98" t="s">
        <v>2364</v>
      </c>
      <c r="D98" t="s">
        <v>2365</v>
      </c>
      <c r="E98">
        <v>407</v>
      </c>
      <c r="G98" t="s">
        <v>1910</v>
      </c>
      <c r="H98" s="119">
        <f t="shared" si="8"/>
        <v>248.77618168686303</v>
      </c>
      <c r="I98" s="123">
        <v>44865</v>
      </c>
      <c r="J98">
        <v>12461</v>
      </c>
      <c r="K98" s="119"/>
      <c r="L98">
        <v>12461</v>
      </c>
      <c r="M98">
        <v>2001</v>
      </c>
      <c r="P98" t="s">
        <v>1969</v>
      </c>
      <c r="R98" t="s">
        <v>250</v>
      </c>
      <c r="S98">
        <v>43560</v>
      </c>
      <c r="T98" s="120">
        <f t="shared" si="9"/>
        <v>3.4957066046063718</v>
      </c>
      <c r="U98" t="s">
        <v>250</v>
      </c>
      <c r="V98" s="120"/>
      <c r="W98" s="120"/>
      <c r="X98" s="120"/>
      <c r="Y98" s="121">
        <v>3100000</v>
      </c>
      <c r="Z98" s="121"/>
      <c r="AA98" s="121">
        <v>3100000</v>
      </c>
      <c r="AB98" s="121"/>
      <c r="AC98" t="s">
        <v>2366</v>
      </c>
      <c r="AD98" t="s">
        <v>2367</v>
      </c>
      <c r="AE98" s="243" t="s">
        <v>2368</v>
      </c>
      <c r="AF98" s="243" t="s">
        <v>2369</v>
      </c>
      <c r="AI98" s="59" t="e">
        <f t="shared" si="5"/>
        <v>#N/A</v>
      </c>
      <c r="AJ98" t="e">
        <f t="shared" si="6"/>
        <v>#N/A</v>
      </c>
      <c r="AK98" t="str">
        <f t="shared" si="7"/>
        <v/>
      </c>
    </row>
    <row r="99" spans="1:37" ht="15" customHeight="1">
      <c r="A99" s="62">
        <v>7</v>
      </c>
      <c r="B99" s="59">
        <v>91</v>
      </c>
      <c r="C99" t="s">
        <v>2370</v>
      </c>
      <c r="D99" t="s">
        <v>2371</v>
      </c>
      <c r="E99">
        <v>425</v>
      </c>
      <c r="G99" t="s">
        <v>1910</v>
      </c>
      <c r="H99" s="119">
        <f t="shared" si="8"/>
        <v>35.911103080675758</v>
      </c>
      <c r="I99" s="123">
        <v>45184</v>
      </c>
      <c r="J99">
        <v>22138</v>
      </c>
      <c r="K99" s="119"/>
      <c r="L99">
        <v>22138</v>
      </c>
      <c r="M99">
        <v>2005</v>
      </c>
      <c r="P99" t="s">
        <v>1969</v>
      </c>
      <c r="R99" t="s">
        <v>44</v>
      </c>
      <c r="S99">
        <v>13402</v>
      </c>
      <c r="T99" s="120">
        <f t="shared" si="9"/>
        <v>0.60538440690215922</v>
      </c>
      <c r="U99" t="s">
        <v>44</v>
      </c>
      <c r="V99" s="120"/>
      <c r="W99" s="120"/>
      <c r="X99" s="120"/>
      <c r="Y99" s="121">
        <v>795000</v>
      </c>
      <c r="Z99" s="121"/>
      <c r="AA99" s="121">
        <v>795000</v>
      </c>
      <c r="AB99" s="121"/>
      <c r="AC99" t="s">
        <v>2372</v>
      </c>
      <c r="AD99" t="s">
        <v>2373</v>
      </c>
      <c r="AE99" s="243" t="s">
        <v>2374</v>
      </c>
      <c r="AF99" s="243" t="s">
        <v>2375</v>
      </c>
      <c r="AI99" s="59" t="e">
        <f t="shared" si="5"/>
        <v>#N/A</v>
      </c>
      <c r="AJ99" t="e">
        <f t="shared" si="6"/>
        <v>#N/A</v>
      </c>
      <c r="AK99" t="str">
        <f t="shared" si="7"/>
        <v/>
      </c>
    </row>
    <row r="100" spans="1:37" ht="15" customHeight="1">
      <c r="A100" s="62">
        <v>7</v>
      </c>
      <c r="B100" s="59">
        <v>92</v>
      </c>
      <c r="C100" t="s">
        <v>2376</v>
      </c>
      <c r="D100" t="s">
        <v>2377</v>
      </c>
      <c r="E100">
        <v>386</v>
      </c>
      <c r="F100" t="s">
        <v>1984</v>
      </c>
      <c r="G100" t="s">
        <v>90</v>
      </c>
      <c r="H100" s="119">
        <f t="shared" si="8"/>
        <v>108.88163011354798</v>
      </c>
      <c r="I100" s="123">
        <v>45398</v>
      </c>
      <c r="J100">
        <v>32145</v>
      </c>
      <c r="K100" s="119"/>
      <c r="L100">
        <v>32145</v>
      </c>
      <c r="M100">
        <v>2006</v>
      </c>
      <c r="P100" t="s">
        <v>1985</v>
      </c>
      <c r="R100" t="s">
        <v>44</v>
      </c>
      <c r="S100">
        <v>93249</v>
      </c>
      <c r="T100" s="120">
        <f t="shared" si="9"/>
        <v>2.9008866075594959</v>
      </c>
      <c r="U100" t="s">
        <v>44</v>
      </c>
      <c r="V100" s="120"/>
      <c r="W100" s="120"/>
      <c r="X100" s="120"/>
      <c r="Y100" s="121">
        <v>3500000</v>
      </c>
      <c r="Z100" s="121"/>
      <c r="AA100" s="121">
        <v>3500000</v>
      </c>
      <c r="AB100" s="121"/>
      <c r="AC100" t="s">
        <v>2378</v>
      </c>
      <c r="AD100" t="s">
        <v>2379</v>
      </c>
      <c r="AE100" s="243" t="s">
        <v>2380</v>
      </c>
      <c r="AF100" s="243" t="s">
        <v>2381</v>
      </c>
      <c r="AI100" s="59" t="e">
        <f t="shared" si="5"/>
        <v>#N/A</v>
      </c>
      <c r="AJ100" t="e">
        <f t="shared" si="6"/>
        <v>#N/A</v>
      </c>
      <c r="AK100" t="str">
        <f t="shared" si="7"/>
        <v/>
      </c>
    </row>
    <row r="101" spans="1:37" ht="15" customHeight="1">
      <c r="A101" s="62">
        <v>7</v>
      </c>
      <c r="B101" s="59">
        <v>93</v>
      </c>
      <c r="C101" t="s">
        <v>2382</v>
      </c>
      <c r="D101" t="s">
        <v>2383</v>
      </c>
      <c r="E101">
        <v>425</v>
      </c>
      <c r="G101" t="s">
        <v>1910</v>
      </c>
      <c r="H101" s="119">
        <f t="shared" si="8"/>
        <v>21.732872769142197</v>
      </c>
      <c r="I101" s="123">
        <v>44747</v>
      </c>
      <c r="J101">
        <v>34740</v>
      </c>
      <c r="K101" s="119"/>
      <c r="L101">
        <v>34740</v>
      </c>
      <c r="M101">
        <v>1985</v>
      </c>
      <c r="P101" t="s">
        <v>1911</v>
      </c>
      <c r="R101" t="s">
        <v>44</v>
      </c>
      <c r="S101">
        <v>7920</v>
      </c>
      <c r="T101" s="120">
        <f t="shared" si="9"/>
        <v>0.22797927461139897</v>
      </c>
      <c r="U101" t="s">
        <v>44</v>
      </c>
      <c r="V101" s="120"/>
      <c r="W101" s="120"/>
      <c r="X101" s="120"/>
      <c r="Y101" s="121">
        <v>755000</v>
      </c>
      <c r="Z101" s="121"/>
      <c r="AA101" s="121">
        <v>755000</v>
      </c>
      <c r="AB101" s="121"/>
      <c r="AC101" t="s">
        <v>2384</v>
      </c>
      <c r="AD101" t="s">
        <v>2385</v>
      </c>
      <c r="AE101" s="243" t="s">
        <v>2386</v>
      </c>
      <c r="AF101" s="243" t="s">
        <v>2387</v>
      </c>
      <c r="AI101" s="59" t="e">
        <f t="shared" si="5"/>
        <v>#N/A</v>
      </c>
      <c r="AJ101" t="e">
        <f t="shared" si="6"/>
        <v>#N/A</v>
      </c>
      <c r="AK101" t="str">
        <f t="shared" si="7"/>
        <v/>
      </c>
    </row>
    <row r="102" spans="1:37" ht="15" customHeight="1">
      <c r="A102" s="62">
        <v>7</v>
      </c>
      <c r="B102" s="59">
        <v>94</v>
      </c>
      <c r="C102" t="s">
        <v>2388</v>
      </c>
      <c r="D102" t="s">
        <v>2389</v>
      </c>
      <c r="E102">
        <v>425</v>
      </c>
      <c r="F102" t="s">
        <v>2141</v>
      </c>
      <c r="G102" t="s">
        <v>1910</v>
      </c>
      <c r="H102" s="119">
        <f t="shared" si="8"/>
        <v>11.19047619047619</v>
      </c>
      <c r="I102" s="123">
        <v>45400</v>
      </c>
      <c r="J102">
        <v>16800</v>
      </c>
      <c r="K102" s="119"/>
      <c r="L102">
        <v>16800</v>
      </c>
      <c r="M102">
        <v>2023</v>
      </c>
      <c r="P102" t="s">
        <v>1911</v>
      </c>
      <c r="R102" t="s">
        <v>44</v>
      </c>
      <c r="S102">
        <v>1783</v>
      </c>
      <c r="T102" s="120">
        <f t="shared" si="9"/>
        <v>0.10613095238095238</v>
      </c>
      <c r="U102" t="s">
        <v>44</v>
      </c>
      <c r="V102" s="120"/>
      <c r="W102" s="120"/>
      <c r="X102" s="120"/>
      <c r="Y102" s="121">
        <v>188000</v>
      </c>
      <c r="Z102" s="121"/>
      <c r="AA102" s="121">
        <v>188000</v>
      </c>
      <c r="AB102" s="121"/>
      <c r="AC102" t="s">
        <v>2390</v>
      </c>
      <c r="AD102" t="s">
        <v>2391</v>
      </c>
      <c r="AE102" s="243" t="s">
        <v>2392</v>
      </c>
      <c r="AF102" s="243" t="s">
        <v>2393</v>
      </c>
      <c r="AI102" s="59" t="e">
        <f t="shared" si="5"/>
        <v>#N/A</v>
      </c>
      <c r="AJ102" t="e">
        <f t="shared" si="6"/>
        <v>#N/A</v>
      </c>
      <c r="AK102" t="str">
        <f t="shared" si="7"/>
        <v/>
      </c>
    </row>
    <row r="103" spans="1:37" ht="15" customHeight="1">
      <c r="A103" s="62">
        <v>7</v>
      </c>
      <c r="B103" s="59">
        <v>95</v>
      </c>
      <c r="C103" t="s">
        <v>2394</v>
      </c>
      <c r="D103" t="s">
        <v>2395</v>
      </c>
      <c r="E103">
        <v>407</v>
      </c>
      <c r="F103" t="s">
        <v>2141</v>
      </c>
      <c r="G103" t="s">
        <v>1910</v>
      </c>
      <c r="H103" s="119">
        <f t="shared" si="8"/>
        <v>259.25925925925924</v>
      </c>
      <c r="I103" s="123">
        <v>45338</v>
      </c>
      <c r="J103">
        <v>16200</v>
      </c>
      <c r="K103" s="119"/>
      <c r="L103">
        <v>16200</v>
      </c>
      <c r="M103">
        <v>1988</v>
      </c>
      <c r="P103" t="s">
        <v>2230</v>
      </c>
      <c r="R103" t="s">
        <v>44</v>
      </c>
      <c r="S103">
        <v>108900</v>
      </c>
      <c r="T103" s="120">
        <f t="shared" si="9"/>
        <v>6.7222222222222223</v>
      </c>
      <c r="U103" t="s">
        <v>44</v>
      </c>
      <c r="V103" s="120"/>
      <c r="W103" s="120"/>
      <c r="X103" s="120"/>
      <c r="Y103" s="121">
        <v>4200000</v>
      </c>
      <c r="Z103" s="121"/>
      <c r="AA103" s="121">
        <v>4200000</v>
      </c>
      <c r="AB103" s="121"/>
      <c r="AC103" t="s">
        <v>2396</v>
      </c>
      <c r="AD103" t="s">
        <v>2397</v>
      </c>
      <c r="AE103" s="243" t="s">
        <v>2398</v>
      </c>
      <c r="AF103" s="243" t="s">
        <v>2399</v>
      </c>
      <c r="AI103" s="59" t="e">
        <f t="shared" si="5"/>
        <v>#N/A</v>
      </c>
      <c r="AJ103" t="e">
        <f t="shared" si="6"/>
        <v>#N/A</v>
      </c>
      <c r="AK103" t="str">
        <f t="shared" si="7"/>
        <v/>
      </c>
    </row>
    <row r="104" spans="1:37" ht="15" customHeight="1">
      <c r="A104" s="62">
        <v>7</v>
      </c>
      <c r="B104" s="59">
        <v>96</v>
      </c>
      <c r="C104" t="s">
        <v>2400</v>
      </c>
      <c r="D104" t="s">
        <v>2401</v>
      </c>
      <c r="E104">
        <v>100</v>
      </c>
      <c r="F104" t="s">
        <v>2141</v>
      </c>
      <c r="G104" t="s">
        <v>1910</v>
      </c>
      <c r="H104" s="119">
        <f t="shared" si="8"/>
        <v>178.13245929673306</v>
      </c>
      <c r="I104" s="123">
        <v>44771</v>
      </c>
      <c r="J104">
        <v>28069</v>
      </c>
      <c r="K104" s="119"/>
      <c r="L104">
        <v>28069</v>
      </c>
      <c r="M104">
        <v>1939</v>
      </c>
      <c r="P104" t="s">
        <v>2402</v>
      </c>
      <c r="R104" t="s">
        <v>302</v>
      </c>
      <c r="S104">
        <v>226512</v>
      </c>
      <c r="T104" s="120">
        <f t="shared" si="9"/>
        <v>8.0698279240443185</v>
      </c>
      <c r="U104" t="s">
        <v>302</v>
      </c>
      <c r="V104" s="120"/>
      <c r="W104" s="120"/>
      <c r="X104" s="120"/>
      <c r="Y104" s="121">
        <v>5000000</v>
      </c>
      <c r="Z104" s="121"/>
      <c r="AA104" s="121">
        <v>5000000</v>
      </c>
      <c r="AB104" s="121"/>
      <c r="AC104" t="s">
        <v>2403</v>
      </c>
      <c r="AD104" t="s">
        <v>2404</v>
      </c>
      <c r="AE104" s="243" t="s">
        <v>2405</v>
      </c>
      <c r="AF104" s="243" t="s">
        <v>2406</v>
      </c>
      <c r="AI104" s="59" t="e">
        <f t="shared" si="5"/>
        <v>#N/A</v>
      </c>
      <c r="AJ104" t="e">
        <f t="shared" si="6"/>
        <v>#N/A</v>
      </c>
      <c r="AK104" t="str">
        <f t="shared" si="7"/>
        <v/>
      </c>
    </row>
    <row r="105" spans="1:37" ht="15" customHeight="1">
      <c r="A105" s="62">
        <v>7</v>
      </c>
      <c r="B105" s="59">
        <v>97</v>
      </c>
      <c r="C105" t="s">
        <v>2407</v>
      </c>
      <c r="D105" t="s">
        <v>2408</v>
      </c>
      <c r="E105">
        <v>425</v>
      </c>
      <c r="G105" t="s">
        <v>1910</v>
      </c>
      <c r="H105" s="119">
        <f t="shared" si="8"/>
        <v>14.528301886792454</v>
      </c>
      <c r="I105" s="123">
        <v>45197</v>
      </c>
      <c r="J105">
        <v>26500</v>
      </c>
      <c r="K105" s="119"/>
      <c r="L105">
        <v>26500</v>
      </c>
      <c r="M105">
        <v>1984</v>
      </c>
      <c r="P105" t="s">
        <v>1911</v>
      </c>
      <c r="R105" t="s">
        <v>44</v>
      </c>
      <c r="S105">
        <v>4340</v>
      </c>
      <c r="T105" s="120">
        <f t="shared" si="9"/>
        <v>0.16377358490566038</v>
      </c>
      <c r="U105" t="s">
        <v>44</v>
      </c>
      <c r="V105" s="120"/>
      <c r="W105" s="120"/>
      <c r="X105" s="120"/>
      <c r="Y105" s="121">
        <v>385000</v>
      </c>
      <c r="Z105" s="121"/>
      <c r="AA105" s="121">
        <v>385000</v>
      </c>
      <c r="AB105" s="121"/>
      <c r="AC105" t="s">
        <v>2409</v>
      </c>
      <c r="AD105" t="s">
        <v>2410</v>
      </c>
      <c r="AE105" s="243" t="s">
        <v>2411</v>
      </c>
      <c r="AF105" s="243" t="s">
        <v>2412</v>
      </c>
      <c r="AI105" s="59" t="e">
        <f t="shared" si="5"/>
        <v>#N/A</v>
      </c>
      <c r="AJ105" t="e">
        <f t="shared" si="6"/>
        <v>#N/A</v>
      </c>
      <c r="AK105" t="str">
        <f t="shared" si="7"/>
        <v/>
      </c>
    </row>
    <row r="106" spans="1:37" ht="15" customHeight="1">
      <c r="A106" s="62">
        <v>7</v>
      </c>
      <c r="B106" s="59">
        <v>98</v>
      </c>
      <c r="C106" t="s">
        <v>2413</v>
      </c>
      <c r="D106" t="s">
        <v>2414</v>
      </c>
      <c r="E106">
        <v>407</v>
      </c>
      <c r="F106" t="s">
        <v>1800</v>
      </c>
      <c r="G106" t="s">
        <v>1786</v>
      </c>
      <c r="H106" s="119">
        <f t="shared" si="8"/>
        <v>172.46955859969557</v>
      </c>
      <c r="I106" s="123">
        <v>45072</v>
      </c>
      <c r="J106">
        <v>10512</v>
      </c>
      <c r="K106" s="119"/>
      <c r="L106">
        <v>10512</v>
      </c>
      <c r="M106">
        <v>1977</v>
      </c>
      <c r="P106" t="s">
        <v>2268</v>
      </c>
      <c r="R106" t="s">
        <v>44</v>
      </c>
      <c r="S106">
        <v>29041</v>
      </c>
      <c r="T106" s="120">
        <f t="shared" si="9"/>
        <v>2.7626522070015223</v>
      </c>
      <c r="U106" t="s">
        <v>44</v>
      </c>
      <c r="V106" s="120"/>
      <c r="W106" s="120"/>
      <c r="X106" s="120"/>
      <c r="Y106" s="121">
        <v>1813000</v>
      </c>
      <c r="Z106" s="121"/>
      <c r="AA106" s="121">
        <v>1813000</v>
      </c>
      <c r="AB106" s="121"/>
      <c r="AC106" t="s">
        <v>2415</v>
      </c>
      <c r="AD106" t="s">
        <v>2416</v>
      </c>
      <c r="AE106" s="243" t="s">
        <v>2417</v>
      </c>
      <c r="AF106" s="243" t="s">
        <v>2418</v>
      </c>
      <c r="AI106" s="59" t="e">
        <f t="shared" si="5"/>
        <v>#N/A</v>
      </c>
      <c r="AJ106" t="e">
        <f t="shared" si="6"/>
        <v>#N/A</v>
      </c>
      <c r="AK106" t="str">
        <f t="shared" si="7"/>
        <v/>
      </c>
    </row>
    <row r="107" spans="1:37" ht="15" customHeight="1">
      <c r="A107" s="62">
        <v>7</v>
      </c>
      <c r="B107" s="59">
        <v>99</v>
      </c>
      <c r="C107" t="s">
        <v>2419</v>
      </c>
      <c r="D107" t="s">
        <v>2420</v>
      </c>
      <c r="E107">
        <v>407</v>
      </c>
      <c r="F107" t="s">
        <v>2141</v>
      </c>
      <c r="G107" t="s">
        <v>1910</v>
      </c>
      <c r="H107" s="119">
        <f t="shared" si="8"/>
        <v>219.78021978021977</v>
      </c>
      <c r="I107" s="123">
        <v>45230</v>
      </c>
      <c r="J107">
        <v>27300</v>
      </c>
      <c r="K107" s="119"/>
      <c r="L107">
        <v>27300</v>
      </c>
      <c r="M107">
        <v>1996</v>
      </c>
      <c r="P107" t="s">
        <v>2402</v>
      </c>
      <c r="R107" t="s">
        <v>44</v>
      </c>
      <c r="S107">
        <v>425973.3</v>
      </c>
      <c r="T107" s="120">
        <f t="shared" si="9"/>
        <v>15.603417582417581</v>
      </c>
      <c r="U107" t="s">
        <v>44</v>
      </c>
      <c r="V107" s="120"/>
      <c r="W107" s="120"/>
      <c r="X107" s="120"/>
      <c r="Y107" s="121">
        <v>6000000</v>
      </c>
      <c r="Z107" s="121"/>
      <c r="AA107" s="121">
        <v>6000000</v>
      </c>
      <c r="AB107" s="121"/>
      <c r="AC107" t="s">
        <v>2421</v>
      </c>
      <c r="AD107" t="s">
        <v>2422</v>
      </c>
      <c r="AE107" s="243" t="s">
        <v>2423</v>
      </c>
      <c r="AF107" s="243" t="s">
        <v>2424</v>
      </c>
      <c r="AI107" s="59" t="e">
        <f t="shared" si="5"/>
        <v>#N/A</v>
      </c>
      <c r="AJ107" t="e">
        <f t="shared" si="6"/>
        <v>#N/A</v>
      </c>
      <c r="AK107" t="str">
        <f t="shared" si="7"/>
        <v/>
      </c>
    </row>
    <row r="108" spans="1:37" ht="15" customHeight="1">
      <c r="A108" s="62">
        <v>7</v>
      </c>
      <c r="B108" s="59">
        <v>100</v>
      </c>
      <c r="C108" t="s">
        <v>2425</v>
      </c>
      <c r="D108" t="s">
        <v>2426</v>
      </c>
      <c r="E108">
        <v>423</v>
      </c>
      <c r="F108" t="s">
        <v>1984</v>
      </c>
      <c r="G108" t="s">
        <v>89</v>
      </c>
      <c r="H108" s="119">
        <f t="shared" si="8"/>
        <v>660</v>
      </c>
      <c r="I108" s="123">
        <v>45201</v>
      </c>
      <c r="J108">
        <v>2500</v>
      </c>
      <c r="K108" s="119"/>
      <c r="L108">
        <v>2500</v>
      </c>
      <c r="M108">
        <v>2003</v>
      </c>
      <c r="P108" t="s">
        <v>2427</v>
      </c>
      <c r="R108" t="s">
        <v>44</v>
      </c>
      <c r="S108">
        <v>33846.120000000003</v>
      </c>
      <c r="T108" s="120">
        <f t="shared" si="9"/>
        <v>13.538448000000001</v>
      </c>
      <c r="U108" t="s">
        <v>44</v>
      </c>
      <c r="V108" s="120"/>
      <c r="W108" s="120"/>
      <c r="X108" s="120"/>
      <c r="Y108" s="121">
        <v>1650000</v>
      </c>
      <c r="Z108" s="121"/>
      <c r="AA108" s="121">
        <v>1644000</v>
      </c>
      <c r="AB108" s="121"/>
      <c r="AC108" t="s">
        <v>2428</v>
      </c>
      <c r="AD108" t="s">
        <v>2429</v>
      </c>
      <c r="AE108" s="243" t="s">
        <v>2430</v>
      </c>
      <c r="AF108" s="243" t="s">
        <v>2431</v>
      </c>
      <c r="AI108" s="59" t="e">
        <f t="shared" si="5"/>
        <v>#N/A</v>
      </c>
      <c r="AJ108" t="e">
        <f t="shared" si="6"/>
        <v>#N/A</v>
      </c>
      <c r="AK108" t="str">
        <f t="shared" si="7"/>
        <v/>
      </c>
    </row>
    <row r="109" spans="1:37" ht="15" customHeight="1">
      <c r="A109" s="62">
        <v>7</v>
      </c>
      <c r="B109" s="59">
        <v>101</v>
      </c>
      <c r="C109" t="s">
        <v>2432</v>
      </c>
      <c r="D109" t="s">
        <v>2433</v>
      </c>
      <c r="E109">
        <v>425</v>
      </c>
      <c r="G109" t="s">
        <v>1910</v>
      </c>
      <c r="H109" s="119">
        <f t="shared" si="8"/>
        <v>34.049586776859506</v>
      </c>
      <c r="I109" s="123">
        <v>45042</v>
      </c>
      <c r="J109">
        <v>15125</v>
      </c>
      <c r="K109" s="119"/>
      <c r="L109">
        <v>15125</v>
      </c>
      <c r="M109">
        <v>2005</v>
      </c>
      <c r="P109" t="s">
        <v>1911</v>
      </c>
      <c r="R109" t="s">
        <v>44</v>
      </c>
      <c r="S109">
        <v>10924</v>
      </c>
      <c r="T109" s="120">
        <f t="shared" si="9"/>
        <v>0.72224793388429753</v>
      </c>
      <c r="U109" t="s">
        <v>44</v>
      </c>
      <c r="V109" s="120"/>
      <c r="W109" s="120"/>
      <c r="X109" s="120"/>
      <c r="Y109" s="121">
        <v>515000</v>
      </c>
      <c r="Z109" s="121"/>
      <c r="AA109" s="121">
        <v>515000</v>
      </c>
      <c r="AB109" s="121"/>
      <c r="AC109" t="s">
        <v>2434</v>
      </c>
      <c r="AD109" t="s">
        <v>2435</v>
      </c>
      <c r="AE109" s="243" t="s">
        <v>2436</v>
      </c>
      <c r="AF109" s="243" t="s">
        <v>2437</v>
      </c>
      <c r="AI109" s="59" t="e">
        <f t="shared" si="5"/>
        <v>#N/A</v>
      </c>
      <c r="AJ109" t="e">
        <f t="shared" si="6"/>
        <v>#N/A</v>
      </c>
      <c r="AK109" t="str">
        <f t="shared" si="7"/>
        <v/>
      </c>
    </row>
    <row r="110" spans="1:37" ht="15" customHeight="1">
      <c r="A110" s="62">
        <v>7</v>
      </c>
      <c r="B110" s="59">
        <v>102</v>
      </c>
      <c r="C110" t="s">
        <v>2438</v>
      </c>
      <c r="D110" t="s">
        <v>2439</v>
      </c>
      <c r="E110">
        <v>425</v>
      </c>
      <c r="G110" t="s">
        <v>1910</v>
      </c>
      <c r="H110" s="119">
        <f t="shared" si="8"/>
        <v>46.214876033057848</v>
      </c>
      <c r="I110" s="123">
        <v>45152</v>
      </c>
      <c r="J110">
        <v>15125</v>
      </c>
      <c r="K110" s="119"/>
      <c r="L110">
        <v>15125</v>
      </c>
      <c r="M110">
        <v>2005</v>
      </c>
      <c r="P110" t="s">
        <v>1911</v>
      </c>
      <c r="R110" t="s">
        <v>44</v>
      </c>
      <c r="S110">
        <v>10924</v>
      </c>
      <c r="T110" s="120">
        <f t="shared" si="9"/>
        <v>0.72224793388429753</v>
      </c>
      <c r="U110" t="s">
        <v>44</v>
      </c>
      <c r="V110" s="120"/>
      <c r="W110" s="120"/>
      <c r="X110" s="120"/>
      <c r="Y110" s="121">
        <v>699000</v>
      </c>
      <c r="Z110" s="121"/>
      <c r="AA110" s="121">
        <v>699000</v>
      </c>
      <c r="AB110" s="121"/>
      <c r="AC110" t="s">
        <v>2440</v>
      </c>
      <c r="AD110" t="s">
        <v>2441</v>
      </c>
      <c r="AE110" s="243" t="s">
        <v>2442</v>
      </c>
      <c r="AF110" s="243" t="s">
        <v>2443</v>
      </c>
      <c r="AI110" s="59" t="e">
        <f t="shared" si="5"/>
        <v>#N/A</v>
      </c>
      <c r="AJ110" t="e">
        <f t="shared" si="6"/>
        <v>#N/A</v>
      </c>
      <c r="AK110" t="str">
        <f t="shared" si="7"/>
        <v/>
      </c>
    </row>
    <row r="111" spans="1:37" ht="15" customHeight="1">
      <c r="A111" s="62">
        <v>7</v>
      </c>
      <c r="B111" s="59">
        <v>103</v>
      </c>
      <c r="C111" t="s">
        <v>2444</v>
      </c>
      <c r="D111" t="s">
        <v>2445</v>
      </c>
      <c r="E111">
        <v>344</v>
      </c>
      <c r="F111" t="s">
        <v>1984</v>
      </c>
      <c r="G111" t="s">
        <v>89</v>
      </c>
      <c r="H111" s="119">
        <f t="shared" si="8"/>
        <v>256.94444444444446</v>
      </c>
      <c r="I111" s="123">
        <v>44985</v>
      </c>
      <c r="J111">
        <v>2880</v>
      </c>
      <c r="K111" s="119"/>
      <c r="L111">
        <v>2880</v>
      </c>
      <c r="M111">
        <v>1984</v>
      </c>
      <c r="P111" t="s">
        <v>2427</v>
      </c>
      <c r="R111" t="s">
        <v>44</v>
      </c>
      <c r="S111">
        <v>11805</v>
      </c>
      <c r="T111" s="120">
        <f t="shared" si="9"/>
        <v>4.098958333333333</v>
      </c>
      <c r="U111" t="s">
        <v>44</v>
      </c>
      <c r="V111" s="120"/>
      <c r="W111" s="120"/>
      <c r="X111" s="120"/>
      <c r="Y111" s="121">
        <v>740000</v>
      </c>
      <c r="Z111" s="121"/>
      <c r="AA111" s="121">
        <v>740000</v>
      </c>
      <c r="AB111" s="121"/>
      <c r="AC111" t="s">
        <v>2446</v>
      </c>
      <c r="AD111" t="s">
        <v>2447</v>
      </c>
      <c r="AE111" s="243" t="s">
        <v>2448</v>
      </c>
      <c r="AF111" s="243" t="s">
        <v>2449</v>
      </c>
      <c r="AI111" s="59" t="e">
        <f t="shared" si="5"/>
        <v>#N/A</v>
      </c>
      <c r="AJ111" t="e">
        <f t="shared" si="6"/>
        <v>#N/A</v>
      </c>
      <c r="AK111" t="str">
        <f t="shared" si="7"/>
        <v/>
      </c>
    </row>
    <row r="112" spans="1:37" ht="15" customHeight="1">
      <c r="A112" s="62">
        <v>7</v>
      </c>
      <c r="B112" s="59">
        <v>104</v>
      </c>
      <c r="C112" t="s">
        <v>2450</v>
      </c>
      <c r="D112" t="s">
        <v>2451</v>
      </c>
      <c r="E112">
        <v>3441</v>
      </c>
      <c r="F112" t="s">
        <v>1984</v>
      </c>
      <c r="G112" t="s">
        <v>89</v>
      </c>
      <c r="H112" s="119">
        <f t="shared" si="8"/>
        <v>292.77331686226063</v>
      </c>
      <c r="I112" s="123">
        <v>44848</v>
      </c>
      <c r="J112">
        <v>1619</v>
      </c>
      <c r="K112" s="119"/>
      <c r="L112">
        <v>1619</v>
      </c>
      <c r="M112">
        <v>1951</v>
      </c>
      <c r="P112" t="s">
        <v>2287</v>
      </c>
      <c r="R112" t="s">
        <v>1258</v>
      </c>
      <c r="S112">
        <v>6500</v>
      </c>
      <c r="T112" s="120">
        <f t="shared" si="9"/>
        <v>4.0148239654107476</v>
      </c>
      <c r="U112" t="s">
        <v>1258</v>
      </c>
      <c r="V112" s="120"/>
      <c r="W112" s="120"/>
      <c r="X112" s="120"/>
      <c r="Y112" s="121">
        <v>474000</v>
      </c>
      <c r="Z112" s="121"/>
      <c r="AA112" s="121">
        <v>474000</v>
      </c>
      <c r="AB112" s="121"/>
      <c r="AC112" t="s">
        <v>2452</v>
      </c>
      <c r="AD112" t="s">
        <v>2453</v>
      </c>
      <c r="AE112" s="243" t="s">
        <v>2454</v>
      </c>
      <c r="AF112" s="243" t="s">
        <v>2455</v>
      </c>
      <c r="AI112" s="59" t="e">
        <f t="shared" si="5"/>
        <v>#N/A</v>
      </c>
      <c r="AJ112" t="e">
        <f t="shared" si="6"/>
        <v>#N/A</v>
      </c>
      <c r="AK112" t="str">
        <f t="shared" si="7"/>
        <v/>
      </c>
    </row>
    <row r="113" spans="1:37" ht="15" customHeight="1">
      <c r="A113" s="62">
        <v>7</v>
      </c>
      <c r="B113" s="59">
        <v>105</v>
      </c>
      <c r="C113" t="s">
        <v>2456</v>
      </c>
      <c r="D113" t="s">
        <v>2457</v>
      </c>
      <c r="E113">
        <v>100</v>
      </c>
      <c r="F113" t="s">
        <v>1984</v>
      </c>
      <c r="G113" t="s">
        <v>89</v>
      </c>
      <c r="H113" s="119">
        <f t="shared" si="8"/>
        <v>315.93406593406593</v>
      </c>
      <c r="I113" s="123">
        <v>44959</v>
      </c>
      <c r="J113">
        <v>1820</v>
      </c>
      <c r="K113" s="119"/>
      <c r="L113">
        <v>1820</v>
      </c>
      <c r="M113">
        <v>1916</v>
      </c>
      <c r="P113" t="s">
        <v>2287</v>
      </c>
      <c r="R113" t="s">
        <v>44</v>
      </c>
      <c r="S113">
        <v>7500</v>
      </c>
      <c r="T113" s="120">
        <f t="shared" si="9"/>
        <v>4.1208791208791204</v>
      </c>
      <c r="U113" t="s">
        <v>44</v>
      </c>
      <c r="V113" s="120"/>
      <c r="W113" s="120"/>
      <c r="X113" s="120"/>
      <c r="Y113" s="121">
        <v>575000</v>
      </c>
      <c r="Z113" s="121"/>
      <c r="AA113" s="121">
        <v>575000</v>
      </c>
      <c r="AB113" s="121"/>
      <c r="AC113" t="s">
        <v>2458</v>
      </c>
      <c r="AD113" t="s">
        <v>2459</v>
      </c>
      <c r="AE113" s="243" t="s">
        <v>2460</v>
      </c>
      <c r="AF113" s="243" t="s">
        <v>2120</v>
      </c>
      <c r="AI113" s="59" t="e">
        <f t="shared" si="5"/>
        <v>#N/A</v>
      </c>
      <c r="AJ113" t="e">
        <f t="shared" si="6"/>
        <v>#N/A</v>
      </c>
      <c r="AK113" t="str">
        <f t="shared" si="7"/>
        <v/>
      </c>
    </row>
    <row r="114" spans="1:37" ht="15" customHeight="1">
      <c r="A114" s="62">
        <v>7</v>
      </c>
      <c r="B114" s="59">
        <v>106</v>
      </c>
      <c r="C114" t="s">
        <v>2461</v>
      </c>
      <c r="D114" t="s">
        <v>2462</v>
      </c>
      <c r="E114">
        <v>210</v>
      </c>
      <c r="F114" t="s">
        <v>1785</v>
      </c>
      <c r="G114" t="s">
        <v>1786</v>
      </c>
      <c r="H114" s="119">
        <f t="shared" si="8"/>
        <v>151.85185185185185</v>
      </c>
      <c r="I114" s="123">
        <v>44756</v>
      </c>
      <c r="J114">
        <v>27000</v>
      </c>
      <c r="K114" s="119"/>
      <c r="L114">
        <v>27000</v>
      </c>
      <c r="M114">
        <v>1986</v>
      </c>
      <c r="P114" t="s">
        <v>2204</v>
      </c>
      <c r="R114" t="s">
        <v>229</v>
      </c>
      <c r="S114">
        <v>87120</v>
      </c>
      <c r="T114" s="120">
        <f t="shared" si="9"/>
        <v>3.2266666666666666</v>
      </c>
      <c r="U114" t="s">
        <v>229</v>
      </c>
      <c r="V114" s="120"/>
      <c r="W114" s="120"/>
      <c r="X114" s="120"/>
      <c r="Y114" s="121">
        <v>4100000</v>
      </c>
      <c r="Z114" s="121"/>
      <c r="AA114" s="121">
        <v>4100000</v>
      </c>
      <c r="AB114" s="121"/>
      <c r="AC114" t="s">
        <v>2463</v>
      </c>
      <c r="AD114" t="s">
        <v>2464</v>
      </c>
      <c r="AE114" s="243" t="s">
        <v>2465</v>
      </c>
      <c r="AF114" s="243" t="s">
        <v>2466</v>
      </c>
      <c r="AI114" s="59" t="e">
        <f t="shared" si="5"/>
        <v>#N/A</v>
      </c>
      <c r="AJ114" t="e">
        <f t="shared" si="6"/>
        <v>#N/A</v>
      </c>
      <c r="AK114" t="str">
        <f t="shared" si="7"/>
        <v/>
      </c>
    </row>
    <row r="115" spans="1:37" ht="15" customHeight="1">
      <c r="A115" s="62">
        <v>7</v>
      </c>
      <c r="B115" s="59">
        <v>107</v>
      </c>
      <c r="C115" t="s">
        <v>2467</v>
      </c>
      <c r="D115" t="s">
        <v>2468</v>
      </c>
      <c r="E115">
        <v>406</v>
      </c>
      <c r="F115" t="s">
        <v>1785</v>
      </c>
      <c r="G115" t="s">
        <v>1786</v>
      </c>
      <c r="H115" s="119">
        <f t="shared" si="8"/>
        <v>262.5</v>
      </c>
      <c r="I115" s="123">
        <v>44763</v>
      </c>
      <c r="J115">
        <v>4000</v>
      </c>
      <c r="K115" s="119"/>
      <c r="L115">
        <v>4000</v>
      </c>
      <c r="M115">
        <v>1974</v>
      </c>
      <c r="P115" t="s">
        <v>2204</v>
      </c>
      <c r="R115" t="s">
        <v>44</v>
      </c>
      <c r="S115">
        <v>35086</v>
      </c>
      <c r="T115" s="120">
        <f t="shared" si="9"/>
        <v>8.7714999999999996</v>
      </c>
      <c r="U115" t="s">
        <v>44</v>
      </c>
      <c r="V115" s="120"/>
      <c r="W115" s="120"/>
      <c r="X115" s="120"/>
      <c r="Y115" s="121">
        <v>1050000</v>
      </c>
      <c r="Z115" s="121"/>
      <c r="AA115" s="121">
        <v>1050000</v>
      </c>
      <c r="AB115" s="121"/>
      <c r="AC115" t="s">
        <v>2469</v>
      </c>
      <c r="AD115" t="s">
        <v>2470</v>
      </c>
      <c r="AE115" s="243" t="s">
        <v>2471</v>
      </c>
      <c r="AF115" s="243" t="s">
        <v>2472</v>
      </c>
      <c r="AI115" s="59" t="e">
        <f t="shared" si="5"/>
        <v>#N/A</v>
      </c>
      <c r="AJ115" t="e">
        <f t="shared" si="6"/>
        <v>#N/A</v>
      </c>
      <c r="AK115" t="str">
        <f t="shared" si="7"/>
        <v/>
      </c>
    </row>
    <row r="116" spans="1:37" ht="15" customHeight="1">
      <c r="A116" s="62">
        <v>7</v>
      </c>
      <c r="B116" s="59">
        <v>108</v>
      </c>
      <c r="C116" t="s">
        <v>2473</v>
      </c>
      <c r="D116" t="s">
        <v>2474</v>
      </c>
      <c r="E116">
        <v>406</v>
      </c>
      <c r="F116" t="s">
        <v>1785</v>
      </c>
      <c r="G116" t="s">
        <v>1786</v>
      </c>
      <c r="H116" s="119">
        <f t="shared" si="8"/>
        <v>300.92592592592592</v>
      </c>
      <c r="I116" s="123">
        <v>45226</v>
      </c>
      <c r="J116">
        <v>4320</v>
      </c>
      <c r="K116" s="119"/>
      <c r="L116">
        <v>4320</v>
      </c>
      <c r="M116">
        <v>1998</v>
      </c>
      <c r="P116" t="s">
        <v>2204</v>
      </c>
      <c r="R116" t="s">
        <v>44</v>
      </c>
      <c r="S116">
        <v>14965</v>
      </c>
      <c r="T116" s="120">
        <f t="shared" si="9"/>
        <v>3.4641203703703702</v>
      </c>
      <c r="U116" t="s">
        <v>44</v>
      </c>
      <c r="V116" s="120"/>
      <c r="W116" s="120"/>
      <c r="X116" s="120"/>
      <c r="Y116" s="121">
        <v>1300000</v>
      </c>
      <c r="Z116" s="121"/>
      <c r="AA116" s="121">
        <v>1300000</v>
      </c>
      <c r="AB116" s="121"/>
      <c r="AC116" t="s">
        <v>2475</v>
      </c>
      <c r="AD116" t="s">
        <v>2476</v>
      </c>
      <c r="AE116" s="243" t="s">
        <v>2477</v>
      </c>
      <c r="AF116" s="243" t="s">
        <v>2478</v>
      </c>
      <c r="AI116" s="59" t="e">
        <f t="shared" si="5"/>
        <v>#N/A</v>
      </c>
      <c r="AJ116" t="e">
        <f t="shared" si="6"/>
        <v>#N/A</v>
      </c>
      <c r="AK116" t="str">
        <f t="shared" si="7"/>
        <v/>
      </c>
    </row>
    <row r="117" spans="1:37" ht="15" customHeight="1">
      <c r="A117" s="62">
        <v>7</v>
      </c>
      <c r="B117" s="59">
        <v>109</v>
      </c>
      <c r="C117" t="s">
        <v>2479</v>
      </c>
      <c r="D117" t="s">
        <v>2480</v>
      </c>
      <c r="E117">
        <v>419</v>
      </c>
      <c r="F117" t="s">
        <v>1800</v>
      </c>
      <c r="G117" t="s">
        <v>1786</v>
      </c>
      <c r="H117" s="119">
        <f t="shared" si="8"/>
        <v>667.7018633540373</v>
      </c>
      <c r="I117" s="123">
        <v>45443</v>
      </c>
      <c r="J117">
        <v>1288</v>
      </c>
      <c r="K117" s="119"/>
      <c r="L117">
        <v>1288</v>
      </c>
      <c r="M117">
        <v>1961</v>
      </c>
      <c r="P117" t="s">
        <v>2211</v>
      </c>
      <c r="R117" t="s">
        <v>44</v>
      </c>
      <c r="S117">
        <v>16250</v>
      </c>
      <c r="T117" s="120">
        <f t="shared" si="9"/>
        <v>12.616459627329192</v>
      </c>
      <c r="U117" t="s">
        <v>44</v>
      </c>
      <c r="V117" s="120"/>
      <c r="W117" s="120"/>
      <c r="X117" s="120"/>
      <c r="Y117" s="121">
        <v>860000</v>
      </c>
      <c r="Z117" s="121"/>
      <c r="AA117" s="121">
        <v>860000</v>
      </c>
      <c r="AB117" s="121"/>
      <c r="AC117" t="s">
        <v>2481</v>
      </c>
      <c r="AD117" t="s">
        <v>2482</v>
      </c>
      <c r="AE117" s="243" t="s">
        <v>2483</v>
      </c>
      <c r="AF117" s="243" t="s">
        <v>2484</v>
      </c>
      <c r="AI117" s="59" t="e">
        <f t="shared" si="5"/>
        <v>#N/A</v>
      </c>
      <c r="AJ117" t="e">
        <f t="shared" si="6"/>
        <v>#N/A</v>
      </c>
      <c r="AK117" t="str">
        <f t="shared" si="7"/>
        <v/>
      </c>
    </row>
    <row r="118" spans="1:37" ht="15" customHeight="1">
      <c r="A118" s="62">
        <v>7</v>
      </c>
      <c r="B118" s="59">
        <v>110</v>
      </c>
      <c r="C118" t="s">
        <v>2485</v>
      </c>
      <c r="D118" t="s">
        <v>2486</v>
      </c>
      <c r="E118">
        <v>325</v>
      </c>
      <c r="F118" t="s">
        <v>1984</v>
      </c>
      <c r="G118" t="s">
        <v>89</v>
      </c>
      <c r="H118" s="119">
        <f t="shared" si="8"/>
        <v>154.63917525773195</v>
      </c>
      <c r="I118" s="123">
        <v>45050</v>
      </c>
      <c r="J118">
        <v>3977</v>
      </c>
      <c r="K118" s="119"/>
      <c r="L118">
        <v>3977</v>
      </c>
      <c r="M118">
        <v>1939</v>
      </c>
      <c r="P118" t="s">
        <v>2487</v>
      </c>
      <c r="R118" t="s">
        <v>44</v>
      </c>
      <c r="S118">
        <v>13500</v>
      </c>
      <c r="T118" s="120">
        <f t="shared" si="9"/>
        <v>3.3945184812672871</v>
      </c>
      <c r="U118" t="s">
        <v>44</v>
      </c>
      <c r="V118" s="120"/>
      <c r="W118" s="120"/>
      <c r="X118" s="120"/>
      <c r="Y118" s="121">
        <v>615000</v>
      </c>
      <c r="Z118" s="121"/>
      <c r="AA118" s="121">
        <v>615000</v>
      </c>
      <c r="AB118" s="121"/>
      <c r="AC118" t="s">
        <v>2488</v>
      </c>
      <c r="AD118" t="s">
        <v>2489</v>
      </c>
      <c r="AE118" s="243" t="s">
        <v>2490</v>
      </c>
      <c r="AF118" s="243" t="s">
        <v>2491</v>
      </c>
      <c r="AI118" s="59" t="e">
        <f t="shared" si="5"/>
        <v>#N/A</v>
      </c>
      <c r="AJ118" t="e">
        <f t="shared" si="6"/>
        <v>#N/A</v>
      </c>
      <c r="AK118" t="str">
        <f t="shared" si="7"/>
        <v/>
      </c>
    </row>
    <row r="119" spans="1:37" ht="15" customHeight="1">
      <c r="A119" s="62">
        <v>7</v>
      </c>
      <c r="B119" s="59">
        <v>111</v>
      </c>
      <c r="C119" t="s">
        <v>2492</v>
      </c>
      <c r="D119" t="s">
        <v>2493</v>
      </c>
      <c r="E119">
        <v>100</v>
      </c>
      <c r="F119" t="s">
        <v>2494</v>
      </c>
      <c r="G119" t="s">
        <v>1786</v>
      </c>
      <c r="H119" s="119">
        <f t="shared" si="8"/>
        <v>763.88888888888891</v>
      </c>
      <c r="I119" s="123">
        <v>45078</v>
      </c>
      <c r="J119">
        <v>792</v>
      </c>
      <c r="K119" s="119"/>
      <c r="L119">
        <v>792</v>
      </c>
      <c r="M119">
        <v>1947</v>
      </c>
      <c r="P119" t="s">
        <v>2495</v>
      </c>
      <c r="R119" t="s">
        <v>302</v>
      </c>
      <c r="S119">
        <v>16512</v>
      </c>
      <c r="T119" s="120">
        <f t="shared" si="9"/>
        <v>20.848484848484848</v>
      </c>
      <c r="U119" t="s">
        <v>302</v>
      </c>
      <c r="V119" s="120"/>
      <c r="W119" s="120"/>
      <c r="X119" s="120"/>
      <c r="Y119" s="121">
        <v>605000</v>
      </c>
      <c r="Z119" s="121"/>
      <c r="AA119" s="121">
        <v>605000</v>
      </c>
      <c r="AB119" s="121"/>
      <c r="AC119" t="s">
        <v>2496</v>
      </c>
      <c r="AD119" t="s">
        <v>2497</v>
      </c>
      <c r="AE119" s="243" t="s">
        <v>2498</v>
      </c>
      <c r="AF119" s="243" t="s">
        <v>2499</v>
      </c>
      <c r="AI119" s="59" t="e">
        <f t="shared" si="5"/>
        <v>#N/A</v>
      </c>
      <c r="AJ119" t="e">
        <f t="shared" si="6"/>
        <v>#N/A</v>
      </c>
      <c r="AK119" t="str">
        <f t="shared" si="7"/>
        <v/>
      </c>
    </row>
    <row r="120" spans="1:37" ht="15" customHeight="1">
      <c r="A120" s="62">
        <v>7</v>
      </c>
      <c r="B120" s="59">
        <v>112</v>
      </c>
      <c r="C120" t="s">
        <v>2500</v>
      </c>
      <c r="D120" t="s">
        <v>2501</v>
      </c>
      <c r="E120">
        <v>344</v>
      </c>
      <c r="F120" t="s">
        <v>2141</v>
      </c>
      <c r="G120" t="s">
        <v>1910</v>
      </c>
      <c r="H120" s="119">
        <f t="shared" si="8"/>
        <v>291.66666666666669</v>
      </c>
      <c r="I120" s="123">
        <v>44958</v>
      </c>
      <c r="J120">
        <v>2400</v>
      </c>
      <c r="K120" s="119"/>
      <c r="L120">
        <v>2400</v>
      </c>
      <c r="M120">
        <v>1974</v>
      </c>
      <c r="P120" t="s">
        <v>2502</v>
      </c>
      <c r="R120" t="s">
        <v>44</v>
      </c>
      <c r="S120">
        <v>22725</v>
      </c>
      <c r="T120" s="120">
        <f t="shared" si="9"/>
        <v>9.46875</v>
      </c>
      <c r="U120" t="s">
        <v>44</v>
      </c>
      <c r="V120" s="120"/>
      <c r="W120" s="120"/>
      <c r="X120" s="120"/>
      <c r="Y120" s="121">
        <v>700000</v>
      </c>
      <c r="Z120" s="121"/>
      <c r="AA120" s="121">
        <v>700000</v>
      </c>
      <c r="AB120" s="121"/>
      <c r="AC120" t="s">
        <v>2503</v>
      </c>
      <c r="AD120" t="s">
        <v>2504</v>
      </c>
      <c r="AE120" s="243" t="s">
        <v>2505</v>
      </c>
      <c r="AF120" s="243" t="s">
        <v>2506</v>
      </c>
      <c r="AI120" s="59" t="e">
        <f t="shared" si="5"/>
        <v>#N/A</v>
      </c>
      <c r="AJ120" t="e">
        <f t="shared" si="6"/>
        <v>#N/A</v>
      </c>
      <c r="AK120" t="str">
        <f t="shared" si="7"/>
        <v/>
      </c>
    </row>
    <row r="121" spans="1:37" ht="15" customHeight="1">
      <c r="A121" s="62">
        <v>7</v>
      </c>
      <c r="B121" s="59">
        <v>113</v>
      </c>
      <c r="C121" t="s">
        <v>2507</v>
      </c>
      <c r="D121" t="s">
        <v>2508</v>
      </c>
      <c r="E121">
        <v>344</v>
      </c>
      <c r="F121" t="s">
        <v>2141</v>
      </c>
      <c r="G121" t="s">
        <v>1910</v>
      </c>
      <c r="H121" s="119">
        <f t="shared" si="8"/>
        <v>387.01923076923077</v>
      </c>
      <c r="I121" s="123">
        <v>45230</v>
      </c>
      <c r="J121">
        <v>2080</v>
      </c>
      <c r="K121" s="119"/>
      <c r="L121">
        <v>2080</v>
      </c>
      <c r="M121">
        <v>1974</v>
      </c>
      <c r="P121" t="s">
        <v>2502</v>
      </c>
      <c r="R121" t="s">
        <v>44</v>
      </c>
      <c r="S121">
        <v>19375</v>
      </c>
      <c r="T121" s="120">
        <f t="shared" si="9"/>
        <v>9.3149038461538467</v>
      </c>
      <c r="U121" t="s">
        <v>44</v>
      </c>
      <c r="V121" s="120"/>
      <c r="W121" s="120"/>
      <c r="X121" s="120"/>
      <c r="Y121" s="121">
        <v>805000</v>
      </c>
      <c r="Z121" s="121"/>
      <c r="AA121" s="121">
        <v>805000</v>
      </c>
      <c r="AB121" s="121"/>
      <c r="AC121" t="s">
        <v>2509</v>
      </c>
      <c r="AD121" t="s">
        <v>2510</v>
      </c>
      <c r="AE121" s="243" t="s">
        <v>2511</v>
      </c>
      <c r="AF121" s="243" t="s">
        <v>2512</v>
      </c>
      <c r="AI121" s="59" t="e">
        <f t="shared" si="5"/>
        <v>#N/A</v>
      </c>
      <c r="AJ121" t="e">
        <f t="shared" si="6"/>
        <v>#N/A</v>
      </c>
      <c r="AK121" t="str">
        <f t="shared" si="7"/>
        <v/>
      </c>
    </row>
    <row r="122" spans="1:37" ht="15" customHeight="1">
      <c r="A122" s="62">
        <v>7</v>
      </c>
      <c r="B122" s="59">
        <v>114</v>
      </c>
      <c r="C122" t="s">
        <v>2513</v>
      </c>
      <c r="D122" t="s">
        <v>2514</v>
      </c>
      <c r="E122">
        <v>407</v>
      </c>
      <c r="F122" t="s">
        <v>2141</v>
      </c>
      <c r="G122" t="s">
        <v>1910</v>
      </c>
      <c r="H122" s="119">
        <f t="shared" si="8"/>
        <v>153.41382181515405</v>
      </c>
      <c r="I122" s="123">
        <v>44823</v>
      </c>
      <c r="J122">
        <v>24020</v>
      </c>
      <c r="K122" s="119"/>
      <c r="L122">
        <v>24020</v>
      </c>
      <c r="M122">
        <v>1982</v>
      </c>
      <c r="P122" t="s">
        <v>2515</v>
      </c>
      <c r="R122" t="s">
        <v>44</v>
      </c>
      <c r="S122">
        <v>80000</v>
      </c>
      <c r="T122" s="120">
        <f t="shared" si="9"/>
        <v>3.330557868442964</v>
      </c>
      <c r="U122" t="s">
        <v>44</v>
      </c>
      <c r="V122" s="120"/>
      <c r="W122" s="120"/>
      <c r="X122" s="120"/>
      <c r="Y122" s="121">
        <v>3685000</v>
      </c>
      <c r="Z122" s="121"/>
      <c r="AA122" s="121">
        <v>3685000</v>
      </c>
      <c r="AB122" s="121"/>
      <c r="AC122" t="s">
        <v>2516</v>
      </c>
      <c r="AD122" t="s">
        <v>2517</v>
      </c>
      <c r="AE122" s="243" t="s">
        <v>2518</v>
      </c>
      <c r="AF122" s="243" t="s">
        <v>2519</v>
      </c>
      <c r="AI122" s="59" t="e">
        <f t="shared" si="5"/>
        <v>#N/A</v>
      </c>
      <c r="AJ122" t="e">
        <f t="shared" si="6"/>
        <v>#N/A</v>
      </c>
      <c r="AK122" t="str">
        <f t="shared" si="7"/>
        <v/>
      </c>
    </row>
    <row r="123" spans="1:37" ht="15" customHeight="1">
      <c r="A123" s="62">
        <v>7</v>
      </c>
      <c r="B123" s="59">
        <v>115</v>
      </c>
      <c r="C123" t="s">
        <v>2520</v>
      </c>
      <c r="D123" t="s">
        <v>2521</v>
      </c>
      <c r="E123">
        <v>325</v>
      </c>
      <c r="F123" t="s">
        <v>1785</v>
      </c>
      <c r="G123" t="s">
        <v>1786</v>
      </c>
      <c r="H123" s="119">
        <f t="shared" si="8"/>
        <v>260.95465912797653</v>
      </c>
      <c r="I123" s="123">
        <v>45392</v>
      </c>
      <c r="J123">
        <v>9197</v>
      </c>
      <c r="K123" s="119"/>
      <c r="L123">
        <v>9197</v>
      </c>
      <c r="M123">
        <v>2001</v>
      </c>
      <c r="P123" t="s">
        <v>2522</v>
      </c>
      <c r="R123" t="s">
        <v>229</v>
      </c>
      <c r="S123">
        <v>38839</v>
      </c>
      <c r="T123" s="120">
        <f t="shared" si="9"/>
        <v>4.2230075024464497</v>
      </c>
      <c r="U123" t="s">
        <v>229</v>
      </c>
      <c r="V123" s="120"/>
      <c r="W123" s="120"/>
      <c r="X123" s="120"/>
      <c r="Y123" s="121">
        <v>2400000</v>
      </c>
      <c r="Z123" s="121"/>
      <c r="AA123" s="121">
        <v>2400000</v>
      </c>
      <c r="AB123" s="121"/>
      <c r="AC123" t="s">
        <v>2523</v>
      </c>
      <c r="AD123" t="s">
        <v>2524</v>
      </c>
      <c r="AE123" s="243" t="s">
        <v>2525</v>
      </c>
      <c r="AF123" s="243" t="s">
        <v>2526</v>
      </c>
      <c r="AI123" s="59" t="e">
        <f t="shared" si="5"/>
        <v>#N/A</v>
      </c>
      <c r="AJ123" t="e">
        <f t="shared" si="6"/>
        <v>#N/A</v>
      </c>
      <c r="AK123" t="str">
        <f t="shared" si="7"/>
        <v/>
      </c>
    </row>
    <row r="124" spans="1:37" ht="15" customHeight="1">
      <c r="A124" s="62">
        <v>7</v>
      </c>
      <c r="B124" s="59">
        <v>116</v>
      </c>
      <c r="C124" t="s">
        <v>2527</v>
      </c>
      <c r="D124" t="s">
        <v>2528</v>
      </c>
      <c r="E124">
        <v>353</v>
      </c>
      <c r="F124" t="s">
        <v>1896</v>
      </c>
      <c r="G124" t="s">
        <v>1786</v>
      </c>
      <c r="H124" s="119">
        <f t="shared" si="8"/>
        <v>354.64098073555164</v>
      </c>
      <c r="I124" s="123">
        <v>45288</v>
      </c>
      <c r="J124">
        <v>5710</v>
      </c>
      <c r="K124" s="119"/>
      <c r="L124">
        <v>5710</v>
      </c>
      <c r="M124">
        <v>2005</v>
      </c>
      <c r="P124" t="s">
        <v>2529</v>
      </c>
      <c r="R124" t="s">
        <v>44</v>
      </c>
      <c r="S124">
        <v>34421</v>
      </c>
      <c r="T124" s="120">
        <f t="shared" si="9"/>
        <v>6.0281961471103331</v>
      </c>
      <c r="U124" t="s">
        <v>44</v>
      </c>
      <c r="V124" s="120"/>
      <c r="W124" s="120"/>
      <c r="X124" s="120"/>
      <c r="Y124" s="121">
        <v>2025000</v>
      </c>
      <c r="Z124" s="121"/>
      <c r="AA124" s="121">
        <v>2025000</v>
      </c>
      <c r="AB124" s="121"/>
      <c r="AC124" t="s">
        <v>2530</v>
      </c>
      <c r="AD124" t="s">
        <v>2531</v>
      </c>
      <c r="AE124" s="243" t="s">
        <v>2532</v>
      </c>
      <c r="AF124" s="243" t="s">
        <v>2533</v>
      </c>
      <c r="AI124" s="59" t="e">
        <f t="shared" si="5"/>
        <v>#N/A</v>
      </c>
      <c r="AJ124" t="e">
        <f t="shared" si="6"/>
        <v>#N/A</v>
      </c>
      <c r="AK124" t="str">
        <f t="shared" si="7"/>
        <v/>
      </c>
    </row>
    <row r="125" spans="1:37" ht="15" customHeight="1">
      <c r="A125" s="62">
        <v>7</v>
      </c>
      <c r="B125" s="59">
        <v>117</v>
      </c>
      <c r="C125" t="s">
        <v>2534</v>
      </c>
      <c r="D125" t="s">
        <v>2535</v>
      </c>
      <c r="E125">
        <v>328</v>
      </c>
      <c r="G125" t="s">
        <v>88</v>
      </c>
      <c r="H125" s="119">
        <f t="shared" si="8"/>
        <v>22.222222222222221</v>
      </c>
      <c r="I125" s="123">
        <v>45273</v>
      </c>
      <c r="J125">
        <v>27000</v>
      </c>
      <c r="K125" s="119"/>
      <c r="L125">
        <v>27000</v>
      </c>
      <c r="M125">
        <v>2006</v>
      </c>
      <c r="R125" t="s">
        <v>44</v>
      </c>
      <c r="T125" s="120">
        <f t="shared" si="9"/>
        <v>0</v>
      </c>
      <c r="U125" t="s">
        <v>44</v>
      </c>
      <c r="V125" s="120"/>
      <c r="W125" s="120"/>
      <c r="X125" s="120"/>
      <c r="Y125" s="121">
        <v>600000</v>
      </c>
      <c r="Z125" s="121"/>
      <c r="AA125" s="121">
        <v>600000</v>
      </c>
      <c r="AB125" s="121"/>
      <c r="AC125" t="s">
        <v>2536</v>
      </c>
      <c r="AD125" t="s">
        <v>2537</v>
      </c>
      <c r="AE125" s="243" t="s">
        <v>2538</v>
      </c>
      <c r="AF125" s="243" t="s">
        <v>2539</v>
      </c>
      <c r="AI125" s="59" t="e">
        <f t="shared" si="5"/>
        <v>#N/A</v>
      </c>
      <c r="AJ125" t="e">
        <f t="shared" si="6"/>
        <v>#N/A</v>
      </c>
      <c r="AK125" t="str">
        <f t="shared" si="7"/>
        <v/>
      </c>
    </row>
    <row r="126" spans="1:37" ht="15" customHeight="1">
      <c r="A126" s="62">
        <v>7</v>
      </c>
      <c r="B126" s="59">
        <v>118</v>
      </c>
      <c r="C126" t="s">
        <v>2540</v>
      </c>
      <c r="D126" t="s">
        <v>2541</v>
      </c>
      <c r="E126">
        <v>325</v>
      </c>
      <c r="F126" t="s">
        <v>2542</v>
      </c>
      <c r="G126" t="s">
        <v>88</v>
      </c>
      <c r="H126" s="119">
        <f t="shared" si="8"/>
        <v>587.64502978990276</v>
      </c>
      <c r="I126" s="123">
        <v>45226</v>
      </c>
      <c r="J126">
        <v>9567</v>
      </c>
      <c r="K126" s="119"/>
      <c r="L126">
        <v>9567</v>
      </c>
      <c r="M126">
        <v>2023</v>
      </c>
      <c r="R126" t="s">
        <v>44</v>
      </c>
      <c r="S126">
        <v>58678</v>
      </c>
      <c r="T126" s="120">
        <f t="shared" si="9"/>
        <v>6.1333751437232156</v>
      </c>
      <c r="U126" t="s">
        <v>44</v>
      </c>
      <c r="V126" s="120"/>
      <c r="W126" s="120"/>
      <c r="X126" s="120"/>
      <c r="Y126" s="121">
        <v>5622000</v>
      </c>
      <c r="Z126" s="121"/>
      <c r="AA126" s="121">
        <v>5622000</v>
      </c>
      <c r="AB126" s="121"/>
      <c r="AC126" t="s">
        <v>2543</v>
      </c>
      <c r="AD126" t="s">
        <v>2544</v>
      </c>
      <c r="AE126" s="243" t="s">
        <v>2545</v>
      </c>
      <c r="AF126" s="243" t="s">
        <v>2546</v>
      </c>
      <c r="AI126" s="59" t="e">
        <f t="shared" si="5"/>
        <v>#N/A</v>
      </c>
      <c r="AJ126" t="e">
        <f t="shared" si="6"/>
        <v>#N/A</v>
      </c>
      <c r="AK126" t="str">
        <f t="shared" si="7"/>
        <v/>
      </c>
    </row>
    <row r="127" spans="1:37" ht="15" customHeight="1">
      <c r="A127" s="62">
        <v>7</v>
      </c>
      <c r="B127" s="59">
        <v>119</v>
      </c>
      <c r="C127" t="s">
        <v>2547</v>
      </c>
      <c r="D127" t="s">
        <v>2548</v>
      </c>
      <c r="E127">
        <v>406</v>
      </c>
      <c r="F127" t="s">
        <v>2141</v>
      </c>
      <c r="G127" t="s">
        <v>1910</v>
      </c>
      <c r="H127" s="119">
        <f t="shared" si="8"/>
        <v>227.37625265715153</v>
      </c>
      <c r="I127" s="123">
        <v>45097</v>
      </c>
      <c r="J127">
        <v>13172</v>
      </c>
      <c r="K127" s="119"/>
      <c r="L127">
        <v>13172</v>
      </c>
      <c r="M127">
        <v>2021</v>
      </c>
      <c r="R127" t="s">
        <v>229</v>
      </c>
      <c r="S127">
        <v>33790</v>
      </c>
      <c r="T127" s="120">
        <f t="shared" si="9"/>
        <v>2.565290009110234</v>
      </c>
      <c r="U127" t="s">
        <v>229</v>
      </c>
      <c r="V127" s="120"/>
      <c r="W127" s="120"/>
      <c r="X127" s="120"/>
      <c r="Y127" s="121">
        <v>2995000</v>
      </c>
      <c r="Z127" s="121"/>
      <c r="AA127" s="121">
        <v>2995000</v>
      </c>
      <c r="AB127" s="121"/>
      <c r="AC127" t="s">
        <v>2549</v>
      </c>
      <c r="AD127" t="s">
        <v>2550</v>
      </c>
      <c r="AE127" s="243" t="s">
        <v>2551</v>
      </c>
      <c r="AF127" s="243" t="s">
        <v>2552</v>
      </c>
      <c r="AI127" s="59">
        <f t="shared" si="5"/>
        <v>1228</v>
      </c>
      <c r="AJ127">
        <f t="shared" si="6"/>
        <v>1228.0000127000001</v>
      </c>
      <c r="AK127" t="str">
        <f t="shared" si="7"/>
        <v/>
      </c>
    </row>
    <row r="128" spans="1:37" ht="15" customHeight="1">
      <c r="A128" s="62">
        <v>7</v>
      </c>
      <c r="B128" s="59">
        <v>120</v>
      </c>
      <c r="C128" t="s">
        <v>2553</v>
      </c>
      <c r="D128" t="s">
        <v>2554</v>
      </c>
      <c r="E128">
        <v>406</v>
      </c>
      <c r="F128" t="s">
        <v>2141</v>
      </c>
      <c r="G128" t="s">
        <v>1910</v>
      </c>
      <c r="H128" s="119">
        <f t="shared" si="8"/>
        <v>255.98290598290598</v>
      </c>
      <c r="I128" s="123">
        <v>44915</v>
      </c>
      <c r="J128">
        <v>11700</v>
      </c>
      <c r="K128" s="119"/>
      <c r="L128">
        <v>11700</v>
      </c>
      <c r="M128">
        <v>2021</v>
      </c>
      <c r="R128" t="s">
        <v>229</v>
      </c>
      <c r="S128">
        <v>37615</v>
      </c>
      <c r="T128" s="120">
        <f t="shared" si="9"/>
        <v>3.2149572649572651</v>
      </c>
      <c r="U128" t="s">
        <v>229</v>
      </c>
      <c r="V128" s="120"/>
      <c r="W128" s="120"/>
      <c r="X128" s="120"/>
      <c r="Y128" s="121">
        <v>2995000</v>
      </c>
      <c r="Z128" s="121"/>
      <c r="AA128" s="121">
        <v>2995000</v>
      </c>
      <c r="AB128" s="121"/>
      <c r="AC128" t="s">
        <v>2555</v>
      </c>
      <c r="AD128" t="s">
        <v>2556</v>
      </c>
      <c r="AE128" s="243" t="s">
        <v>2557</v>
      </c>
      <c r="AF128" s="243" t="s">
        <v>2558</v>
      </c>
      <c r="AI128" s="59">
        <f t="shared" si="5"/>
        <v>2700</v>
      </c>
      <c r="AJ128">
        <f t="shared" si="6"/>
        <v>2700.0000128000001</v>
      </c>
      <c r="AK128" t="str">
        <f t="shared" si="7"/>
        <v/>
      </c>
    </row>
    <row r="129" spans="1:37" ht="15" customHeight="1">
      <c r="A129" s="62">
        <v>7</v>
      </c>
      <c r="B129" s="59">
        <v>121</v>
      </c>
      <c r="C129" t="s">
        <v>2559</v>
      </c>
      <c r="D129" t="s">
        <v>2560</v>
      </c>
      <c r="E129">
        <v>353</v>
      </c>
      <c r="F129" t="s">
        <v>1896</v>
      </c>
      <c r="G129" t="s">
        <v>90</v>
      </c>
      <c r="H129" s="119">
        <f t="shared" si="8"/>
        <v>439.09143518518516</v>
      </c>
      <c r="I129" s="123">
        <v>45105</v>
      </c>
      <c r="J129">
        <v>6912</v>
      </c>
      <c r="K129" s="119"/>
      <c r="L129">
        <v>6912</v>
      </c>
      <c r="M129">
        <v>2022</v>
      </c>
      <c r="R129" t="s">
        <v>44</v>
      </c>
      <c r="S129">
        <v>34869</v>
      </c>
      <c r="T129" s="120">
        <f t="shared" si="9"/>
        <v>5.0447048611111107</v>
      </c>
      <c r="U129" t="s">
        <v>44</v>
      </c>
      <c r="V129" s="120"/>
      <c r="W129" s="120"/>
      <c r="X129" s="120"/>
      <c r="Y129" s="121">
        <v>3035000</v>
      </c>
      <c r="Z129" s="121"/>
      <c r="AA129" s="121">
        <v>3035000</v>
      </c>
      <c r="AB129" s="121"/>
      <c r="AC129" t="s">
        <v>2561</v>
      </c>
      <c r="AD129" t="s">
        <v>2562</v>
      </c>
      <c r="AE129" s="243" t="s">
        <v>2563</v>
      </c>
      <c r="AF129" s="243" t="s">
        <v>2564</v>
      </c>
      <c r="AI129" s="59" t="e">
        <f t="shared" si="5"/>
        <v>#N/A</v>
      </c>
      <c r="AJ129" t="e">
        <f t="shared" si="6"/>
        <v>#N/A</v>
      </c>
      <c r="AK129" t="str">
        <f t="shared" si="7"/>
        <v/>
      </c>
    </row>
    <row r="130" spans="1:37" ht="15" customHeight="1">
      <c r="A130" s="62">
        <v>7</v>
      </c>
      <c r="B130" s="59">
        <v>122</v>
      </c>
      <c r="C130" t="s">
        <v>2565</v>
      </c>
      <c r="D130" t="s">
        <v>2566</v>
      </c>
      <c r="E130">
        <v>426</v>
      </c>
      <c r="F130" t="s">
        <v>2141</v>
      </c>
      <c r="G130" t="s">
        <v>89</v>
      </c>
      <c r="H130" s="119">
        <f t="shared" si="8"/>
        <v>560.91987229403514</v>
      </c>
      <c r="I130" s="123">
        <v>45267</v>
      </c>
      <c r="J130">
        <v>12842</v>
      </c>
      <c r="K130" s="119"/>
      <c r="L130">
        <v>12842</v>
      </c>
      <c r="M130">
        <v>2023</v>
      </c>
      <c r="R130" t="s">
        <v>44</v>
      </c>
      <c r="S130">
        <v>94652</v>
      </c>
      <c r="T130" s="120">
        <f t="shared" si="9"/>
        <v>7.3705030369101383</v>
      </c>
      <c r="U130" t="s">
        <v>44</v>
      </c>
      <c r="V130" s="120"/>
      <c r="W130" s="120"/>
      <c r="X130" s="120"/>
      <c r="Y130" s="121">
        <v>7203333</v>
      </c>
      <c r="Z130" s="121"/>
      <c r="AA130" s="121">
        <v>7203333</v>
      </c>
      <c r="AB130" s="121"/>
      <c r="AC130" t="s">
        <v>2567</v>
      </c>
      <c r="AD130" t="s">
        <v>2568</v>
      </c>
      <c r="AE130" s="243" t="s">
        <v>2569</v>
      </c>
      <c r="AF130" s="243" t="s">
        <v>2570</v>
      </c>
      <c r="AI130" s="59" t="e">
        <f t="shared" ref="AI130:AI193" si="10">IF(AND($E130=Subj_OccCode,Subj_BldgSF&gt;0,ABS($L130-Subj_BldgSF)&lt;=Subj_BldgSF*Subj_SizeTol),ABS($L130-Subj_BldgSF),NA())</f>
        <v>#N/A</v>
      </c>
      <c r="AJ130" t="e">
        <f t="shared" ref="AJ130:AJ193" si="11">IF(ISNA(AI130),NA(),AI130+ROW()/10000000)</f>
        <v>#N/A</v>
      </c>
      <c r="AK130" t="str">
        <f t="shared" ref="AK130:AK193" si="12">IF(AND(ISNUMBER($N130),$N130&gt;0,ISNUMBER($Y130)),$Y130/$N130,"")</f>
        <v/>
      </c>
    </row>
    <row r="131" spans="1:37" ht="15" customHeight="1">
      <c r="A131" s="62">
        <v>7</v>
      </c>
      <c r="B131" s="59">
        <v>123</v>
      </c>
      <c r="C131" t="s">
        <v>2571</v>
      </c>
      <c r="D131" t="s">
        <v>2572</v>
      </c>
      <c r="E131">
        <v>328</v>
      </c>
      <c r="G131" t="s">
        <v>88</v>
      </c>
      <c r="H131" s="119">
        <f t="shared" si="8"/>
        <v>101.27133105802048</v>
      </c>
      <c r="I131" s="123">
        <v>45390</v>
      </c>
      <c r="J131">
        <v>2930</v>
      </c>
      <c r="K131" s="119"/>
      <c r="L131">
        <v>2930</v>
      </c>
      <c r="M131">
        <v>2024</v>
      </c>
      <c r="R131" t="s">
        <v>44</v>
      </c>
      <c r="T131" s="120">
        <f t="shared" si="9"/>
        <v>0</v>
      </c>
      <c r="U131" t="s">
        <v>44</v>
      </c>
      <c r="V131" s="120"/>
      <c r="W131" s="120"/>
      <c r="X131" s="120"/>
      <c r="Y131" s="121">
        <v>296725</v>
      </c>
      <c r="Z131" s="121"/>
      <c r="AA131" s="121">
        <v>296725</v>
      </c>
      <c r="AB131" s="121"/>
      <c r="AC131" t="s">
        <v>2573</v>
      </c>
      <c r="AD131" t="s">
        <v>2574</v>
      </c>
      <c r="AE131" s="243" t="s">
        <v>2575</v>
      </c>
      <c r="AF131" s="243" t="s">
        <v>2576</v>
      </c>
      <c r="AI131" s="59" t="e">
        <f t="shared" si="10"/>
        <v>#N/A</v>
      </c>
      <c r="AJ131" t="e">
        <f t="shared" si="11"/>
        <v>#N/A</v>
      </c>
      <c r="AK131" t="str">
        <f t="shared" si="12"/>
        <v/>
      </c>
    </row>
    <row r="132" spans="1:37" ht="15" customHeight="1">
      <c r="A132" s="62">
        <v>7</v>
      </c>
      <c r="B132" s="59">
        <v>124</v>
      </c>
      <c r="C132" t="s">
        <v>2577</v>
      </c>
      <c r="D132" t="s">
        <v>2578</v>
      </c>
      <c r="E132">
        <v>353</v>
      </c>
      <c r="F132" t="s">
        <v>1984</v>
      </c>
      <c r="G132" t="s">
        <v>89</v>
      </c>
      <c r="H132" s="119">
        <f t="shared" si="8"/>
        <v>209.7704918032787</v>
      </c>
      <c r="I132" s="123">
        <v>45419</v>
      </c>
      <c r="J132">
        <v>1525</v>
      </c>
      <c r="K132" s="119"/>
      <c r="L132">
        <v>1525</v>
      </c>
      <c r="M132">
        <v>1957</v>
      </c>
      <c r="P132" t="s">
        <v>2487</v>
      </c>
      <c r="R132" t="s">
        <v>44</v>
      </c>
      <c r="S132">
        <v>1775</v>
      </c>
      <c r="T132" s="120">
        <f t="shared" si="9"/>
        <v>1.1639344262295082</v>
      </c>
      <c r="U132" t="s">
        <v>44</v>
      </c>
      <c r="V132" s="120"/>
      <c r="W132" s="120"/>
      <c r="X132" s="120"/>
      <c r="Y132" s="121">
        <v>319900</v>
      </c>
      <c r="Z132" s="121"/>
      <c r="AA132" s="121">
        <v>319900</v>
      </c>
      <c r="AB132" s="121"/>
      <c r="AC132" t="s">
        <v>2579</v>
      </c>
      <c r="AD132" t="s">
        <v>2580</v>
      </c>
      <c r="AE132" s="243" t="s">
        <v>2581</v>
      </c>
      <c r="AF132" s="243" t="s">
        <v>2582</v>
      </c>
      <c r="AI132" s="59" t="e">
        <f t="shared" si="10"/>
        <v>#N/A</v>
      </c>
      <c r="AJ132" t="e">
        <f t="shared" si="11"/>
        <v>#N/A</v>
      </c>
      <c r="AK132" t="str">
        <f t="shared" si="12"/>
        <v/>
      </c>
    </row>
    <row r="133" spans="1:37" ht="15" customHeight="1">
      <c r="A133" s="62">
        <v>7</v>
      </c>
      <c r="B133" s="59">
        <v>125</v>
      </c>
      <c r="C133" t="s">
        <v>2583</v>
      </c>
      <c r="D133" t="s">
        <v>2584</v>
      </c>
      <c r="E133">
        <v>344</v>
      </c>
      <c r="F133" t="s">
        <v>1896</v>
      </c>
      <c r="G133" t="s">
        <v>1786</v>
      </c>
      <c r="H133" s="119">
        <f t="shared" si="8"/>
        <v>67.721182218352439</v>
      </c>
      <c r="I133" s="123">
        <v>44762</v>
      </c>
      <c r="J133">
        <v>20673</v>
      </c>
      <c r="K133" s="119"/>
      <c r="L133">
        <v>20673</v>
      </c>
      <c r="M133">
        <v>1975</v>
      </c>
      <c r="P133" t="s">
        <v>2529</v>
      </c>
      <c r="R133" t="s">
        <v>44</v>
      </c>
      <c r="S133">
        <v>90169</v>
      </c>
      <c r="T133" s="120">
        <f t="shared" si="9"/>
        <v>4.3616794853190148</v>
      </c>
      <c r="U133" t="s">
        <v>44</v>
      </c>
      <c r="V133" s="120"/>
      <c r="W133" s="120"/>
      <c r="X133" s="120"/>
      <c r="Y133" s="121">
        <v>1400000</v>
      </c>
      <c r="Z133" s="121"/>
      <c r="AA133" s="121">
        <v>1400000</v>
      </c>
      <c r="AB133" s="121"/>
      <c r="AC133" t="s">
        <v>2585</v>
      </c>
      <c r="AD133" t="s">
        <v>2586</v>
      </c>
      <c r="AE133" s="243" t="s">
        <v>2587</v>
      </c>
      <c r="AF133" s="243" t="s">
        <v>2588</v>
      </c>
      <c r="AI133" s="59" t="e">
        <f t="shared" si="10"/>
        <v>#N/A</v>
      </c>
      <c r="AJ133" t="e">
        <f t="shared" si="11"/>
        <v>#N/A</v>
      </c>
      <c r="AK133" t="str">
        <f t="shared" si="12"/>
        <v/>
      </c>
    </row>
    <row r="134" spans="1:37" ht="15" customHeight="1">
      <c r="A134" s="62">
        <v>7</v>
      </c>
      <c r="B134" s="59">
        <v>126</v>
      </c>
      <c r="C134" t="s">
        <v>2589</v>
      </c>
      <c r="D134" t="s">
        <v>2590</v>
      </c>
      <c r="E134">
        <v>350</v>
      </c>
      <c r="F134" t="s">
        <v>1896</v>
      </c>
      <c r="G134" t="s">
        <v>1786</v>
      </c>
      <c r="H134" s="119">
        <f t="shared" ref="H134:H197" si="13">Y134/J134</f>
        <v>343.62325371789092</v>
      </c>
      <c r="I134" s="123">
        <v>45070</v>
      </c>
      <c r="J134">
        <v>4438</v>
      </c>
      <c r="K134" s="119"/>
      <c r="L134">
        <v>4438</v>
      </c>
      <c r="M134">
        <v>1973</v>
      </c>
      <c r="P134" t="s">
        <v>2529</v>
      </c>
      <c r="R134" t="s">
        <v>44</v>
      </c>
      <c r="S134">
        <v>34473</v>
      </c>
      <c r="T134" s="120">
        <f t="shared" si="9"/>
        <v>7.7676881478143311</v>
      </c>
      <c r="U134" t="s">
        <v>44</v>
      </c>
      <c r="V134" s="120"/>
      <c r="W134" s="120"/>
      <c r="X134" s="120"/>
      <c r="Y134" s="121">
        <v>1525000</v>
      </c>
      <c r="Z134" s="121"/>
      <c r="AA134" s="121">
        <v>1525000</v>
      </c>
      <c r="AB134" s="121"/>
      <c r="AC134" t="s">
        <v>2591</v>
      </c>
      <c r="AD134" t="s">
        <v>2592</v>
      </c>
      <c r="AE134" s="243" t="s">
        <v>2593</v>
      </c>
      <c r="AF134" s="243" t="s">
        <v>2594</v>
      </c>
      <c r="AI134" s="59" t="e">
        <f t="shared" si="10"/>
        <v>#N/A</v>
      </c>
      <c r="AJ134" t="e">
        <f t="shared" si="11"/>
        <v>#N/A</v>
      </c>
      <c r="AK134" t="str">
        <f t="shared" si="12"/>
        <v/>
      </c>
    </row>
    <row r="135" spans="1:37" ht="15" customHeight="1">
      <c r="A135" s="62">
        <v>7</v>
      </c>
      <c r="B135" s="59">
        <v>127</v>
      </c>
      <c r="C135" t="s">
        <v>2595</v>
      </c>
      <c r="D135" t="s">
        <v>2596</v>
      </c>
      <c r="E135">
        <v>406</v>
      </c>
      <c r="F135" t="s">
        <v>2141</v>
      </c>
      <c r="G135" t="s">
        <v>1910</v>
      </c>
      <c r="H135" s="119">
        <f t="shared" si="13"/>
        <v>270</v>
      </c>
      <c r="I135" s="123">
        <v>45085</v>
      </c>
      <c r="J135">
        <v>7500</v>
      </c>
      <c r="K135" s="119"/>
      <c r="L135">
        <v>7500</v>
      </c>
      <c r="M135">
        <v>1987</v>
      </c>
      <c r="P135" t="s">
        <v>2230</v>
      </c>
      <c r="R135" t="s">
        <v>44</v>
      </c>
      <c r="S135">
        <v>49295</v>
      </c>
      <c r="T135" s="120">
        <f t="shared" si="9"/>
        <v>6.5726666666666667</v>
      </c>
      <c r="U135" t="s">
        <v>44</v>
      </c>
      <c r="V135" s="120"/>
      <c r="W135" s="120"/>
      <c r="X135" s="120"/>
      <c r="Y135" s="121">
        <v>2025000</v>
      </c>
      <c r="Z135" s="121"/>
      <c r="AA135" s="121">
        <v>2025000</v>
      </c>
      <c r="AB135" s="121"/>
      <c r="AC135" t="s">
        <v>2597</v>
      </c>
      <c r="AD135" t="s">
        <v>2598</v>
      </c>
      <c r="AE135" s="243" t="s">
        <v>2599</v>
      </c>
      <c r="AF135" s="243" t="s">
        <v>2600</v>
      </c>
      <c r="AI135" s="59" t="e">
        <f t="shared" si="10"/>
        <v>#N/A</v>
      </c>
      <c r="AJ135" t="e">
        <f t="shared" si="11"/>
        <v>#N/A</v>
      </c>
      <c r="AK135" t="str">
        <f t="shared" si="12"/>
        <v/>
      </c>
    </row>
    <row r="136" spans="1:37" ht="15" customHeight="1">
      <c r="A136" s="62">
        <v>7</v>
      </c>
      <c r="B136" s="59">
        <v>128</v>
      </c>
      <c r="C136" t="s">
        <v>2601</v>
      </c>
      <c r="D136" t="s">
        <v>2602</v>
      </c>
      <c r="E136">
        <v>386</v>
      </c>
      <c r="F136" t="s">
        <v>1814</v>
      </c>
      <c r="G136" t="s">
        <v>1815</v>
      </c>
      <c r="H136" s="119">
        <f t="shared" si="13"/>
        <v>91.483979763912316</v>
      </c>
      <c r="I136" s="123">
        <v>45062</v>
      </c>
      <c r="J136">
        <v>29650</v>
      </c>
      <c r="K136" s="119"/>
      <c r="L136">
        <v>29650</v>
      </c>
      <c r="M136">
        <v>1985</v>
      </c>
      <c r="P136" t="s">
        <v>2603</v>
      </c>
      <c r="R136" t="s">
        <v>44</v>
      </c>
      <c r="S136">
        <v>62929</v>
      </c>
      <c r="T136" s="120">
        <f t="shared" si="9"/>
        <v>2.1223946037099495</v>
      </c>
      <c r="U136" t="s">
        <v>44</v>
      </c>
      <c r="V136" s="120"/>
      <c r="W136" s="120"/>
      <c r="X136" s="120"/>
      <c r="Y136" s="121">
        <v>2712500</v>
      </c>
      <c r="Z136" s="121"/>
      <c r="AA136" s="121">
        <v>2712500</v>
      </c>
      <c r="AB136" s="121"/>
      <c r="AC136" t="s">
        <v>2604</v>
      </c>
      <c r="AD136" t="s">
        <v>2605</v>
      </c>
      <c r="AE136" s="243" t="s">
        <v>2606</v>
      </c>
      <c r="AF136" s="243" t="s">
        <v>2607</v>
      </c>
      <c r="AI136" s="59" t="e">
        <f t="shared" si="10"/>
        <v>#N/A</v>
      </c>
      <c r="AJ136" t="e">
        <f t="shared" si="11"/>
        <v>#N/A</v>
      </c>
      <c r="AK136" t="str">
        <f t="shared" si="12"/>
        <v/>
      </c>
    </row>
    <row r="137" spans="1:37" ht="15" customHeight="1">
      <c r="A137" s="62">
        <v>7</v>
      </c>
      <c r="B137" s="59">
        <v>129</v>
      </c>
      <c r="C137" t="s">
        <v>2608</v>
      </c>
      <c r="D137" t="s">
        <v>2609</v>
      </c>
      <c r="E137">
        <v>419</v>
      </c>
      <c r="F137" t="s">
        <v>2141</v>
      </c>
      <c r="G137" t="s">
        <v>1910</v>
      </c>
      <c r="H137" s="119">
        <f t="shared" si="13"/>
        <v>864.49981543004799</v>
      </c>
      <c r="I137" s="123">
        <v>44858</v>
      </c>
      <c r="J137">
        <v>2709</v>
      </c>
      <c r="K137" s="119"/>
      <c r="L137">
        <v>2709</v>
      </c>
      <c r="M137">
        <v>1995</v>
      </c>
      <c r="P137" t="s">
        <v>2610</v>
      </c>
      <c r="R137" t="s">
        <v>44</v>
      </c>
      <c r="S137">
        <v>50268</v>
      </c>
      <c r="T137" s="120">
        <f t="shared" ref="T137:T200" si="14">S137/L137</f>
        <v>18.555924695459581</v>
      </c>
      <c r="U137" t="s">
        <v>44</v>
      </c>
      <c r="V137" s="120"/>
      <c r="W137" s="120"/>
      <c r="X137" s="120"/>
      <c r="Y137" s="121">
        <v>2341930</v>
      </c>
      <c r="Z137" s="121"/>
      <c r="AA137" s="121">
        <v>2341930</v>
      </c>
      <c r="AB137" s="121"/>
      <c r="AC137" t="s">
        <v>2611</v>
      </c>
      <c r="AD137" t="s">
        <v>2612</v>
      </c>
      <c r="AE137" s="243" t="s">
        <v>2613</v>
      </c>
      <c r="AF137" s="243" t="s">
        <v>2614</v>
      </c>
      <c r="AI137" s="59" t="e">
        <f t="shared" si="10"/>
        <v>#N/A</v>
      </c>
      <c r="AJ137" t="e">
        <f t="shared" si="11"/>
        <v>#N/A</v>
      </c>
      <c r="AK137" t="str">
        <f t="shared" si="12"/>
        <v/>
      </c>
    </row>
    <row r="138" spans="1:37" ht="15" customHeight="1">
      <c r="A138" s="62">
        <v>7</v>
      </c>
      <c r="B138" s="59">
        <v>130</v>
      </c>
      <c r="C138" t="s">
        <v>2615</v>
      </c>
      <c r="D138" t="s">
        <v>2616</v>
      </c>
      <c r="E138">
        <v>334</v>
      </c>
      <c r="F138" t="s">
        <v>2141</v>
      </c>
      <c r="G138" t="s">
        <v>1910</v>
      </c>
      <c r="H138" s="119">
        <f t="shared" si="13"/>
        <v>463.57142857142856</v>
      </c>
      <c r="I138" s="123">
        <v>45275</v>
      </c>
      <c r="J138">
        <v>11200</v>
      </c>
      <c r="K138" s="119"/>
      <c r="L138">
        <v>11200</v>
      </c>
      <c r="M138">
        <v>1974</v>
      </c>
      <c r="P138" t="s">
        <v>2230</v>
      </c>
      <c r="R138" t="s">
        <v>44</v>
      </c>
      <c r="S138">
        <v>145011</v>
      </c>
      <c r="T138" s="120">
        <f t="shared" si="14"/>
        <v>12.947410714285715</v>
      </c>
      <c r="U138" t="s">
        <v>44</v>
      </c>
      <c r="V138" s="120"/>
      <c r="W138" s="120"/>
      <c r="X138" s="120"/>
      <c r="Y138" s="121">
        <v>5192000</v>
      </c>
      <c r="Z138" s="121"/>
      <c r="AA138" s="121">
        <v>5192000</v>
      </c>
      <c r="AB138" s="121"/>
      <c r="AC138" t="s">
        <v>2617</v>
      </c>
      <c r="AD138" t="s">
        <v>2618</v>
      </c>
      <c r="AE138" s="243" t="s">
        <v>2619</v>
      </c>
      <c r="AF138" s="243" t="s">
        <v>2620</v>
      </c>
      <c r="AI138" s="59" t="e">
        <f t="shared" si="10"/>
        <v>#N/A</v>
      </c>
      <c r="AJ138" t="e">
        <f t="shared" si="11"/>
        <v>#N/A</v>
      </c>
      <c r="AK138" t="str">
        <f t="shared" si="12"/>
        <v/>
      </c>
    </row>
    <row r="139" spans="1:37" ht="15" customHeight="1">
      <c r="A139" s="62">
        <v>7</v>
      </c>
      <c r="B139" s="59">
        <v>131</v>
      </c>
      <c r="C139" t="s">
        <v>2621</v>
      </c>
      <c r="D139" t="s">
        <v>2622</v>
      </c>
      <c r="E139">
        <v>350</v>
      </c>
      <c r="F139" t="s">
        <v>1800</v>
      </c>
      <c r="G139" t="s">
        <v>1786</v>
      </c>
      <c r="H139" s="119">
        <f t="shared" si="13"/>
        <v>515.90713671539118</v>
      </c>
      <c r="I139" s="123">
        <v>45166</v>
      </c>
      <c r="J139">
        <v>1163</v>
      </c>
      <c r="K139" s="119"/>
      <c r="L139">
        <v>1163</v>
      </c>
      <c r="M139">
        <v>1964</v>
      </c>
      <c r="P139" t="s">
        <v>2268</v>
      </c>
      <c r="R139" t="s">
        <v>44</v>
      </c>
      <c r="S139">
        <v>14556</v>
      </c>
      <c r="T139" s="120">
        <f t="shared" si="14"/>
        <v>12.515907136715391</v>
      </c>
      <c r="U139" t="s">
        <v>44</v>
      </c>
      <c r="V139" s="120"/>
      <c r="W139" s="120"/>
      <c r="X139" s="120"/>
      <c r="Y139" s="121">
        <v>600000</v>
      </c>
      <c r="Z139" s="121"/>
      <c r="AA139" s="121">
        <v>600000</v>
      </c>
      <c r="AB139" s="121"/>
      <c r="AC139" t="s">
        <v>2623</v>
      </c>
      <c r="AD139" t="s">
        <v>2624</v>
      </c>
      <c r="AE139" s="243" t="s">
        <v>2625</v>
      </c>
      <c r="AF139" s="243" t="s">
        <v>2626</v>
      </c>
      <c r="AI139" s="59" t="e">
        <f t="shared" si="10"/>
        <v>#N/A</v>
      </c>
      <c r="AJ139" t="e">
        <f t="shared" si="11"/>
        <v>#N/A</v>
      </c>
      <c r="AK139" t="str">
        <f t="shared" si="12"/>
        <v/>
      </c>
    </row>
    <row r="140" spans="1:37" ht="15" customHeight="1">
      <c r="A140" s="62">
        <v>7</v>
      </c>
      <c r="B140" s="59">
        <v>132</v>
      </c>
      <c r="C140" t="s">
        <v>2627</v>
      </c>
      <c r="D140" t="s">
        <v>2628</v>
      </c>
      <c r="E140">
        <v>407</v>
      </c>
      <c r="G140" t="s">
        <v>1910</v>
      </c>
      <c r="H140" s="119">
        <f t="shared" si="13"/>
        <v>163.4467053551752</v>
      </c>
      <c r="I140" s="123">
        <v>45117</v>
      </c>
      <c r="J140">
        <v>13613</v>
      </c>
      <c r="K140" s="119"/>
      <c r="L140">
        <v>13613</v>
      </c>
      <c r="M140">
        <v>1973</v>
      </c>
      <c r="P140" t="s">
        <v>1911</v>
      </c>
      <c r="R140" t="s">
        <v>44</v>
      </c>
      <c r="S140">
        <v>41382</v>
      </c>
      <c r="T140" s="120">
        <f t="shared" si="14"/>
        <v>3.0398883420260048</v>
      </c>
      <c r="U140" t="s">
        <v>44</v>
      </c>
      <c r="V140" s="120"/>
      <c r="W140" s="120"/>
      <c r="X140" s="120"/>
      <c r="Y140" s="121">
        <v>2225000</v>
      </c>
      <c r="Z140" s="121"/>
      <c r="AA140" s="121">
        <v>2225000</v>
      </c>
      <c r="AB140" s="121"/>
      <c r="AC140" t="s">
        <v>2629</v>
      </c>
      <c r="AD140" t="s">
        <v>2630</v>
      </c>
      <c r="AE140" s="243" t="s">
        <v>2631</v>
      </c>
      <c r="AF140" s="243" t="s">
        <v>2632</v>
      </c>
      <c r="AI140" s="59" t="e">
        <f t="shared" si="10"/>
        <v>#N/A</v>
      </c>
      <c r="AJ140" t="e">
        <f t="shared" si="11"/>
        <v>#N/A</v>
      </c>
      <c r="AK140" t="str">
        <f t="shared" si="12"/>
        <v/>
      </c>
    </row>
    <row r="141" spans="1:37" ht="15" customHeight="1">
      <c r="A141" s="62">
        <v>7</v>
      </c>
      <c r="B141" s="59">
        <v>133</v>
      </c>
      <c r="C141" t="s">
        <v>2633</v>
      </c>
      <c r="D141" t="s">
        <v>2634</v>
      </c>
      <c r="E141">
        <v>325</v>
      </c>
      <c r="F141" t="s">
        <v>1896</v>
      </c>
      <c r="G141" t="s">
        <v>1786</v>
      </c>
      <c r="H141" s="119">
        <f t="shared" si="13"/>
        <v>388.19875776397515</v>
      </c>
      <c r="I141" s="123">
        <v>45442</v>
      </c>
      <c r="J141">
        <v>6440</v>
      </c>
      <c r="K141" s="119"/>
      <c r="L141">
        <v>6440</v>
      </c>
      <c r="M141">
        <v>2002</v>
      </c>
      <c r="P141" t="s">
        <v>2635</v>
      </c>
      <c r="R141" t="s">
        <v>44</v>
      </c>
      <c r="S141">
        <v>52276</v>
      </c>
      <c r="T141" s="120">
        <f t="shared" si="14"/>
        <v>8.1173913043478265</v>
      </c>
      <c r="U141" t="s">
        <v>44</v>
      </c>
      <c r="V141" s="120"/>
      <c r="W141" s="120"/>
      <c r="X141" s="120"/>
      <c r="Y141" s="121">
        <v>2500000</v>
      </c>
      <c r="Z141" s="121"/>
      <c r="AA141" s="121">
        <v>2500000</v>
      </c>
      <c r="AB141" s="121"/>
      <c r="AC141" t="s">
        <v>2636</v>
      </c>
      <c r="AD141" t="s">
        <v>2637</v>
      </c>
      <c r="AE141" s="243" t="s">
        <v>2638</v>
      </c>
      <c r="AF141" s="243" t="s">
        <v>2639</v>
      </c>
      <c r="AI141" s="59" t="e">
        <f t="shared" si="10"/>
        <v>#N/A</v>
      </c>
      <c r="AJ141" t="e">
        <f t="shared" si="11"/>
        <v>#N/A</v>
      </c>
      <c r="AK141" t="str">
        <f t="shared" si="12"/>
        <v/>
      </c>
    </row>
    <row r="142" spans="1:37" ht="15" customHeight="1">
      <c r="A142" s="62">
        <v>7</v>
      </c>
      <c r="B142" s="59">
        <v>134</v>
      </c>
      <c r="C142" t="s">
        <v>2640</v>
      </c>
      <c r="D142" t="s">
        <v>2641</v>
      </c>
      <c r="E142">
        <v>407</v>
      </c>
      <c r="F142" t="s">
        <v>1785</v>
      </c>
      <c r="G142" t="s">
        <v>1786</v>
      </c>
      <c r="H142" s="119">
        <f t="shared" si="13"/>
        <v>167.24137931034483</v>
      </c>
      <c r="I142" s="123">
        <v>45362</v>
      </c>
      <c r="J142">
        <v>29000</v>
      </c>
      <c r="K142" s="119"/>
      <c r="L142">
        <v>29000</v>
      </c>
      <c r="M142">
        <v>1977</v>
      </c>
      <c r="P142" t="s">
        <v>2204</v>
      </c>
      <c r="R142" t="s">
        <v>44</v>
      </c>
      <c r="S142">
        <v>92434</v>
      </c>
      <c r="T142" s="120">
        <f t="shared" si="14"/>
        <v>3.1873793103448276</v>
      </c>
      <c r="U142" t="s">
        <v>44</v>
      </c>
      <c r="V142" s="120"/>
      <c r="W142" s="120"/>
      <c r="X142" s="120"/>
      <c r="Y142" s="121">
        <v>4850000</v>
      </c>
      <c r="Z142" s="121"/>
      <c r="AA142" s="121">
        <v>4850000</v>
      </c>
      <c r="AB142" s="121"/>
      <c r="AC142" t="s">
        <v>2642</v>
      </c>
      <c r="AD142" t="s">
        <v>2643</v>
      </c>
      <c r="AE142" s="243" t="s">
        <v>2644</v>
      </c>
      <c r="AF142" s="243" t="s">
        <v>2645</v>
      </c>
      <c r="AI142" s="59" t="e">
        <f t="shared" si="10"/>
        <v>#N/A</v>
      </c>
      <c r="AJ142" t="e">
        <f t="shared" si="11"/>
        <v>#N/A</v>
      </c>
      <c r="AK142" t="str">
        <f t="shared" si="12"/>
        <v/>
      </c>
    </row>
    <row r="143" spans="1:37" ht="15" customHeight="1">
      <c r="A143" s="62">
        <v>7</v>
      </c>
      <c r="B143" s="59">
        <v>135</v>
      </c>
      <c r="C143" t="s">
        <v>2646</v>
      </c>
      <c r="D143" t="s">
        <v>2647</v>
      </c>
      <c r="E143">
        <v>325</v>
      </c>
      <c r="F143" t="s">
        <v>1785</v>
      </c>
      <c r="G143" t="s">
        <v>1786</v>
      </c>
      <c r="H143" s="119">
        <f t="shared" si="13"/>
        <v>327.9320987654321</v>
      </c>
      <c r="I143" s="123">
        <v>45051</v>
      </c>
      <c r="J143">
        <v>2592</v>
      </c>
      <c r="K143" s="119"/>
      <c r="L143">
        <v>2592</v>
      </c>
      <c r="M143">
        <v>1975</v>
      </c>
      <c r="P143" t="s">
        <v>2204</v>
      </c>
      <c r="R143" t="s">
        <v>44</v>
      </c>
      <c r="S143">
        <v>22500</v>
      </c>
      <c r="T143" s="120">
        <f t="shared" si="14"/>
        <v>8.6805555555555554</v>
      </c>
      <c r="U143" t="s">
        <v>44</v>
      </c>
      <c r="V143" s="120"/>
      <c r="W143" s="120"/>
      <c r="X143" s="120"/>
      <c r="Y143" s="121">
        <v>850000</v>
      </c>
      <c r="Z143" s="121"/>
      <c r="AA143" s="121">
        <v>850000</v>
      </c>
      <c r="AB143" s="121"/>
      <c r="AC143" t="s">
        <v>2648</v>
      </c>
      <c r="AD143" t="s">
        <v>2649</v>
      </c>
      <c r="AE143" s="243" t="s">
        <v>2650</v>
      </c>
      <c r="AF143" s="243" t="s">
        <v>2651</v>
      </c>
      <c r="AI143" s="59" t="e">
        <f t="shared" si="10"/>
        <v>#N/A</v>
      </c>
      <c r="AJ143" t="e">
        <f t="shared" si="11"/>
        <v>#N/A</v>
      </c>
      <c r="AK143" t="str">
        <f t="shared" si="12"/>
        <v/>
      </c>
    </row>
    <row r="144" spans="1:37" ht="15" customHeight="1">
      <c r="A144" s="62">
        <v>7</v>
      </c>
      <c r="B144" s="59">
        <v>136</v>
      </c>
      <c r="C144" t="s">
        <v>2652</v>
      </c>
      <c r="D144" t="s">
        <v>2653</v>
      </c>
      <c r="E144">
        <v>1344</v>
      </c>
      <c r="F144" t="s">
        <v>1800</v>
      </c>
      <c r="G144" t="s">
        <v>1786</v>
      </c>
      <c r="H144" s="119">
        <f t="shared" si="13"/>
        <v>57.017543859649123</v>
      </c>
      <c r="I144" s="123">
        <v>45436</v>
      </c>
      <c r="J144">
        <v>5700</v>
      </c>
      <c r="K144" s="119"/>
      <c r="L144">
        <v>5700</v>
      </c>
      <c r="M144">
        <v>1981</v>
      </c>
      <c r="P144" t="s">
        <v>2211</v>
      </c>
      <c r="R144" t="s">
        <v>44</v>
      </c>
      <c r="S144">
        <v>720</v>
      </c>
      <c r="T144" s="120">
        <f t="shared" si="14"/>
        <v>0.12631578947368421</v>
      </c>
      <c r="U144" t="s">
        <v>44</v>
      </c>
      <c r="V144" s="120"/>
      <c r="W144" s="120"/>
      <c r="X144" s="120"/>
      <c r="Y144" s="121">
        <v>325000</v>
      </c>
      <c r="Z144" s="121"/>
      <c r="AA144" s="121">
        <v>325000</v>
      </c>
      <c r="AB144" s="121"/>
      <c r="AC144" t="s">
        <v>2654</v>
      </c>
      <c r="AD144" t="s">
        <v>2655</v>
      </c>
      <c r="AE144" s="243" t="s">
        <v>2656</v>
      </c>
      <c r="AF144" s="243" t="s">
        <v>2657</v>
      </c>
      <c r="AI144" s="59" t="e">
        <f t="shared" si="10"/>
        <v>#N/A</v>
      </c>
      <c r="AJ144" t="e">
        <f t="shared" si="11"/>
        <v>#N/A</v>
      </c>
      <c r="AK144" t="str">
        <f t="shared" si="12"/>
        <v/>
      </c>
    </row>
    <row r="145" spans="1:37" ht="15" customHeight="1">
      <c r="A145" s="62">
        <v>7</v>
      </c>
      <c r="B145" s="59">
        <v>137</v>
      </c>
      <c r="C145" t="s">
        <v>2658</v>
      </c>
      <c r="D145" t="s">
        <v>2659</v>
      </c>
      <c r="E145">
        <v>344</v>
      </c>
      <c r="F145" t="s">
        <v>1800</v>
      </c>
      <c r="G145" t="s">
        <v>1786</v>
      </c>
      <c r="H145" s="119">
        <f t="shared" si="13"/>
        <v>159.57446808510639</v>
      </c>
      <c r="I145" s="123">
        <v>45457</v>
      </c>
      <c r="J145">
        <v>1880</v>
      </c>
      <c r="K145" s="119"/>
      <c r="L145">
        <v>1880</v>
      </c>
      <c r="M145">
        <v>1952</v>
      </c>
      <c r="P145" t="s">
        <v>2211</v>
      </c>
      <c r="R145" t="s">
        <v>44</v>
      </c>
      <c r="S145">
        <v>4800</v>
      </c>
      <c r="T145" s="120">
        <f t="shared" si="14"/>
        <v>2.5531914893617023</v>
      </c>
      <c r="U145" t="s">
        <v>44</v>
      </c>
      <c r="V145" s="120"/>
      <c r="W145" s="120"/>
      <c r="X145" s="120"/>
      <c r="Y145" s="121">
        <v>300000</v>
      </c>
      <c r="Z145" s="121"/>
      <c r="AA145" s="121">
        <v>300000</v>
      </c>
      <c r="AB145" s="121"/>
      <c r="AC145" t="s">
        <v>2660</v>
      </c>
      <c r="AD145" t="s">
        <v>2661</v>
      </c>
      <c r="AE145" s="243" t="s">
        <v>2662</v>
      </c>
      <c r="AF145" s="243" t="s">
        <v>2663</v>
      </c>
      <c r="AI145" s="59" t="e">
        <f t="shared" si="10"/>
        <v>#N/A</v>
      </c>
      <c r="AJ145" t="e">
        <f t="shared" si="11"/>
        <v>#N/A</v>
      </c>
      <c r="AK145" t="str">
        <f t="shared" si="12"/>
        <v/>
      </c>
    </row>
    <row r="146" spans="1:37" ht="15" customHeight="1">
      <c r="A146" s="62">
        <v>7</v>
      </c>
      <c r="B146" s="59">
        <v>138</v>
      </c>
      <c r="C146" t="s">
        <v>2664</v>
      </c>
      <c r="D146" t="s">
        <v>2665</v>
      </c>
      <c r="E146">
        <v>407</v>
      </c>
      <c r="F146" t="s">
        <v>2141</v>
      </c>
      <c r="G146" t="s">
        <v>1910</v>
      </c>
      <c r="H146" s="119">
        <f t="shared" si="13"/>
        <v>137.85314487867262</v>
      </c>
      <c r="I146" s="123">
        <v>45231</v>
      </c>
      <c r="J146">
        <v>60209</v>
      </c>
      <c r="K146" s="119"/>
      <c r="L146">
        <v>60209</v>
      </c>
      <c r="M146">
        <v>1992</v>
      </c>
      <c r="P146" t="s">
        <v>2402</v>
      </c>
      <c r="R146" t="s">
        <v>44</v>
      </c>
      <c r="S146">
        <v>491008</v>
      </c>
      <c r="T146" s="120">
        <f t="shared" si="14"/>
        <v>8.1550598747695524</v>
      </c>
      <c r="U146" t="s">
        <v>44</v>
      </c>
      <c r="V146" s="120"/>
      <c r="W146" s="120"/>
      <c r="X146" s="120"/>
      <c r="Y146" s="121">
        <v>8300000</v>
      </c>
      <c r="Z146" s="121"/>
      <c r="AA146" s="121">
        <v>8300000</v>
      </c>
      <c r="AB146" s="121"/>
      <c r="AC146" t="s">
        <v>2666</v>
      </c>
      <c r="AD146" t="s">
        <v>2667</v>
      </c>
      <c r="AE146" s="243" t="s">
        <v>2668</v>
      </c>
      <c r="AF146" s="243" t="s">
        <v>2669</v>
      </c>
      <c r="AI146" s="59" t="e">
        <f t="shared" si="10"/>
        <v>#N/A</v>
      </c>
      <c r="AJ146" t="e">
        <f t="shared" si="11"/>
        <v>#N/A</v>
      </c>
      <c r="AK146" t="str">
        <f t="shared" si="12"/>
        <v/>
      </c>
    </row>
    <row r="147" spans="1:37" ht="15" customHeight="1">
      <c r="A147" s="62">
        <v>7</v>
      </c>
      <c r="B147" s="59">
        <v>139</v>
      </c>
      <c r="C147" t="s">
        <v>2670</v>
      </c>
      <c r="D147" t="s">
        <v>2671</v>
      </c>
      <c r="E147">
        <v>325</v>
      </c>
      <c r="F147" t="s">
        <v>2141</v>
      </c>
      <c r="G147" t="s">
        <v>1910</v>
      </c>
      <c r="H147" s="119">
        <f t="shared" si="13"/>
        <v>392.30769230769232</v>
      </c>
      <c r="I147" s="123">
        <v>44770</v>
      </c>
      <c r="J147">
        <v>6500</v>
      </c>
      <c r="K147" s="119"/>
      <c r="L147">
        <v>6500</v>
      </c>
      <c r="M147">
        <v>1984</v>
      </c>
      <c r="P147" t="s">
        <v>2230</v>
      </c>
      <c r="R147" t="s">
        <v>44</v>
      </c>
      <c r="S147">
        <v>50060</v>
      </c>
      <c r="T147" s="120">
        <f t="shared" si="14"/>
        <v>7.7015384615384619</v>
      </c>
      <c r="U147" t="s">
        <v>44</v>
      </c>
      <c r="V147" s="120"/>
      <c r="W147" s="120"/>
      <c r="X147" s="120"/>
      <c r="Y147" s="121">
        <v>2550000</v>
      </c>
      <c r="Z147" s="121"/>
      <c r="AA147" s="121">
        <v>2550000</v>
      </c>
      <c r="AB147" s="121"/>
      <c r="AC147" t="s">
        <v>2672</v>
      </c>
      <c r="AD147" t="s">
        <v>2673</v>
      </c>
      <c r="AE147" s="243" t="s">
        <v>2674</v>
      </c>
      <c r="AF147" s="243" t="s">
        <v>2675</v>
      </c>
      <c r="AI147" s="59" t="e">
        <f t="shared" si="10"/>
        <v>#N/A</v>
      </c>
      <c r="AJ147" t="e">
        <f t="shared" si="11"/>
        <v>#N/A</v>
      </c>
      <c r="AK147" t="str">
        <f t="shared" si="12"/>
        <v/>
      </c>
    </row>
    <row r="148" spans="1:37" ht="15" customHeight="1">
      <c r="A148" s="62">
        <v>7</v>
      </c>
      <c r="B148" s="59">
        <v>140</v>
      </c>
      <c r="C148" t="s">
        <v>2676</v>
      </c>
      <c r="D148" t="s">
        <v>2677</v>
      </c>
      <c r="E148">
        <v>344</v>
      </c>
      <c r="G148" t="s">
        <v>1910</v>
      </c>
      <c r="H148" s="119">
        <f t="shared" si="13"/>
        <v>205.0735294117647</v>
      </c>
      <c r="I148" s="123">
        <v>45149</v>
      </c>
      <c r="J148">
        <v>13600</v>
      </c>
      <c r="K148" s="119"/>
      <c r="L148">
        <v>13600</v>
      </c>
      <c r="M148">
        <v>1968</v>
      </c>
      <c r="P148" t="s">
        <v>1911</v>
      </c>
      <c r="R148" t="s">
        <v>44</v>
      </c>
      <c r="S148">
        <v>39334</v>
      </c>
      <c r="T148" s="120">
        <f t="shared" si="14"/>
        <v>2.8922058823529411</v>
      </c>
      <c r="U148" t="s">
        <v>44</v>
      </c>
      <c r="V148" s="120"/>
      <c r="W148" s="120"/>
      <c r="X148" s="120"/>
      <c r="Y148" s="121">
        <v>2789000</v>
      </c>
      <c r="Z148" s="121"/>
      <c r="AA148" s="121">
        <v>2789000</v>
      </c>
      <c r="AB148" s="121"/>
      <c r="AC148" t="s">
        <v>2678</v>
      </c>
      <c r="AD148" t="s">
        <v>2679</v>
      </c>
      <c r="AE148" s="243" t="s">
        <v>2680</v>
      </c>
      <c r="AF148" s="243" t="s">
        <v>2681</v>
      </c>
      <c r="AI148" s="59" t="e">
        <f t="shared" si="10"/>
        <v>#N/A</v>
      </c>
      <c r="AJ148" t="e">
        <f t="shared" si="11"/>
        <v>#N/A</v>
      </c>
      <c r="AK148" t="str">
        <f t="shared" si="12"/>
        <v/>
      </c>
    </row>
    <row r="149" spans="1:37" ht="15" customHeight="1">
      <c r="A149" s="62">
        <v>7</v>
      </c>
      <c r="B149" s="59">
        <v>141</v>
      </c>
      <c r="C149" t="s">
        <v>2682</v>
      </c>
      <c r="D149" t="s">
        <v>2683</v>
      </c>
      <c r="E149">
        <v>425</v>
      </c>
      <c r="G149" t="s">
        <v>1910</v>
      </c>
      <c r="H149" s="119">
        <f t="shared" si="13"/>
        <v>15.471698113207546</v>
      </c>
      <c r="I149" s="123">
        <v>44817</v>
      </c>
      <c r="J149">
        <v>26500</v>
      </c>
      <c r="K149" s="119"/>
      <c r="L149">
        <v>26500</v>
      </c>
      <c r="M149">
        <v>1984</v>
      </c>
      <c r="P149" t="s">
        <v>1911</v>
      </c>
      <c r="R149" t="s">
        <v>44</v>
      </c>
      <c r="S149">
        <v>4340</v>
      </c>
      <c r="T149" s="120">
        <f t="shared" si="14"/>
        <v>0.16377358490566038</v>
      </c>
      <c r="U149" t="s">
        <v>44</v>
      </c>
      <c r="V149" s="120"/>
      <c r="W149" s="120"/>
      <c r="X149" s="120"/>
      <c r="Y149" s="121">
        <v>410000</v>
      </c>
      <c r="Z149" s="121"/>
      <c r="AA149" s="121">
        <v>410000</v>
      </c>
      <c r="AB149" s="121"/>
      <c r="AC149" t="s">
        <v>2684</v>
      </c>
      <c r="AD149" t="s">
        <v>2685</v>
      </c>
      <c r="AE149" s="243" t="s">
        <v>2686</v>
      </c>
      <c r="AF149" s="243" t="s">
        <v>2687</v>
      </c>
      <c r="AI149" s="59" t="e">
        <f t="shared" si="10"/>
        <v>#N/A</v>
      </c>
      <c r="AJ149" t="e">
        <f t="shared" si="11"/>
        <v>#N/A</v>
      </c>
      <c r="AK149" t="str">
        <f t="shared" si="12"/>
        <v/>
      </c>
    </row>
    <row r="150" spans="1:37" ht="15" customHeight="1">
      <c r="A150" s="62">
        <v>7</v>
      </c>
      <c r="B150" s="59">
        <v>142</v>
      </c>
      <c r="C150" t="s">
        <v>2688</v>
      </c>
      <c r="D150" t="s">
        <v>2689</v>
      </c>
      <c r="E150">
        <v>344</v>
      </c>
      <c r="F150" t="s">
        <v>1896</v>
      </c>
      <c r="G150" t="s">
        <v>1786</v>
      </c>
      <c r="H150" s="119">
        <f t="shared" si="13"/>
        <v>121.1475092072107</v>
      </c>
      <c r="I150" s="123">
        <v>44838</v>
      </c>
      <c r="J150">
        <v>20636</v>
      </c>
      <c r="K150" s="119"/>
      <c r="L150">
        <v>20636</v>
      </c>
      <c r="M150">
        <v>1985</v>
      </c>
      <c r="P150" t="s">
        <v>2197</v>
      </c>
      <c r="R150" t="s">
        <v>44</v>
      </c>
      <c r="S150">
        <v>54189</v>
      </c>
      <c r="T150" s="120">
        <f t="shared" si="14"/>
        <v>2.6259449505718164</v>
      </c>
      <c r="U150" t="s">
        <v>44</v>
      </c>
      <c r="V150" s="120"/>
      <c r="W150" s="120"/>
      <c r="X150" s="120"/>
      <c r="Y150" s="121">
        <v>2500000</v>
      </c>
      <c r="Z150" s="121"/>
      <c r="AA150" s="121">
        <v>2500000</v>
      </c>
      <c r="AB150" s="121"/>
      <c r="AC150" t="s">
        <v>2690</v>
      </c>
      <c r="AD150" t="s">
        <v>2691</v>
      </c>
      <c r="AE150" s="243" t="s">
        <v>2692</v>
      </c>
      <c r="AF150" s="243" t="s">
        <v>2693</v>
      </c>
      <c r="AI150" s="59" t="e">
        <f t="shared" si="10"/>
        <v>#N/A</v>
      </c>
      <c r="AJ150" t="e">
        <f t="shared" si="11"/>
        <v>#N/A</v>
      </c>
      <c r="AK150" t="str">
        <f t="shared" si="12"/>
        <v/>
      </c>
    </row>
    <row r="151" spans="1:37" ht="15" customHeight="1">
      <c r="A151" s="62">
        <v>7</v>
      </c>
      <c r="B151" s="59">
        <v>143</v>
      </c>
      <c r="C151" t="s">
        <v>2694</v>
      </c>
      <c r="D151" t="s">
        <v>2695</v>
      </c>
      <c r="E151">
        <v>407</v>
      </c>
      <c r="G151" t="s">
        <v>1910</v>
      </c>
      <c r="H151" s="119">
        <f t="shared" si="13"/>
        <v>167.49123891981034</v>
      </c>
      <c r="I151" s="123">
        <v>44909</v>
      </c>
      <c r="J151">
        <v>38808</v>
      </c>
      <c r="K151" s="119"/>
      <c r="L151">
        <v>38808</v>
      </c>
      <c r="M151">
        <v>1972</v>
      </c>
      <c r="P151" t="s">
        <v>1911</v>
      </c>
      <c r="R151" t="s">
        <v>44</v>
      </c>
      <c r="S151">
        <v>139566.24</v>
      </c>
      <c r="T151" s="120">
        <f t="shared" si="14"/>
        <v>3.5963265306122447</v>
      </c>
      <c r="U151" t="s">
        <v>44</v>
      </c>
      <c r="V151" s="120"/>
      <c r="W151" s="120"/>
      <c r="X151" s="120"/>
      <c r="Y151" s="121">
        <v>6500000</v>
      </c>
      <c r="Z151" s="121"/>
      <c r="AA151" s="121">
        <v>6500000</v>
      </c>
      <c r="AB151" s="121"/>
      <c r="AC151" t="s">
        <v>2696</v>
      </c>
      <c r="AD151" t="s">
        <v>2697</v>
      </c>
      <c r="AE151" s="243" t="s">
        <v>2698</v>
      </c>
      <c r="AF151" s="243" t="s">
        <v>2699</v>
      </c>
      <c r="AI151" s="59" t="e">
        <f t="shared" si="10"/>
        <v>#N/A</v>
      </c>
      <c r="AJ151" t="e">
        <f t="shared" si="11"/>
        <v>#N/A</v>
      </c>
      <c r="AK151" t="str">
        <f t="shared" si="12"/>
        <v/>
      </c>
    </row>
    <row r="152" spans="1:37" ht="15" customHeight="1">
      <c r="A152" s="62">
        <v>7</v>
      </c>
      <c r="B152" s="59">
        <v>144</v>
      </c>
      <c r="C152" t="s">
        <v>2700</v>
      </c>
      <c r="D152" t="s">
        <v>2701</v>
      </c>
      <c r="E152">
        <v>442</v>
      </c>
      <c r="F152" t="s">
        <v>1896</v>
      </c>
      <c r="G152" t="s">
        <v>1786</v>
      </c>
      <c r="H152" s="119">
        <f t="shared" si="13"/>
        <v>442.62295081967216</v>
      </c>
      <c r="I152" s="123">
        <v>44974</v>
      </c>
      <c r="J152">
        <v>3050</v>
      </c>
      <c r="K152" s="119"/>
      <c r="L152">
        <v>3050</v>
      </c>
      <c r="M152">
        <v>1970</v>
      </c>
      <c r="P152" t="s">
        <v>2529</v>
      </c>
      <c r="R152" t="s">
        <v>44</v>
      </c>
      <c r="S152">
        <v>33000</v>
      </c>
      <c r="T152" s="120">
        <f t="shared" si="14"/>
        <v>10.819672131147541</v>
      </c>
      <c r="U152" t="s">
        <v>44</v>
      </c>
      <c r="V152" s="120"/>
      <c r="W152" s="120"/>
      <c r="X152" s="120"/>
      <c r="Y152" s="121">
        <v>1350000</v>
      </c>
      <c r="Z152" s="121"/>
      <c r="AA152" s="121">
        <v>1350000</v>
      </c>
      <c r="AB152" s="121"/>
      <c r="AC152" t="s">
        <v>2702</v>
      </c>
      <c r="AD152" t="s">
        <v>2703</v>
      </c>
      <c r="AE152" s="243" t="s">
        <v>2704</v>
      </c>
      <c r="AF152" s="243" t="s">
        <v>2705</v>
      </c>
      <c r="AI152" s="59" t="e">
        <f t="shared" si="10"/>
        <v>#N/A</v>
      </c>
      <c r="AJ152" t="e">
        <f t="shared" si="11"/>
        <v>#N/A</v>
      </c>
      <c r="AK152" t="str">
        <f t="shared" si="12"/>
        <v/>
      </c>
    </row>
    <row r="153" spans="1:37" ht="15" customHeight="1">
      <c r="A153" s="62">
        <v>7</v>
      </c>
      <c r="B153" s="59">
        <v>145</v>
      </c>
      <c r="C153" t="s">
        <v>2706</v>
      </c>
      <c r="D153" t="s">
        <v>2707</v>
      </c>
      <c r="E153">
        <v>381</v>
      </c>
      <c r="F153" t="s">
        <v>1800</v>
      </c>
      <c r="G153" t="s">
        <v>1786</v>
      </c>
      <c r="H153" s="119">
        <f t="shared" si="13"/>
        <v>425</v>
      </c>
      <c r="I153" s="123">
        <v>45033</v>
      </c>
      <c r="J153">
        <v>2000</v>
      </c>
      <c r="K153" s="119"/>
      <c r="L153">
        <v>2000</v>
      </c>
      <c r="M153">
        <v>1979</v>
      </c>
      <c r="P153" t="s">
        <v>2708</v>
      </c>
      <c r="R153" t="s">
        <v>44</v>
      </c>
      <c r="S153">
        <v>7195</v>
      </c>
      <c r="T153" s="120">
        <f t="shared" si="14"/>
        <v>3.5975000000000001</v>
      </c>
      <c r="U153" t="s">
        <v>44</v>
      </c>
      <c r="V153" s="120"/>
      <c r="W153" s="120"/>
      <c r="X153" s="120"/>
      <c r="Y153" s="121">
        <v>850000</v>
      </c>
      <c r="Z153" s="121"/>
      <c r="AA153" s="121">
        <v>850000</v>
      </c>
      <c r="AB153" s="121"/>
      <c r="AC153" t="s">
        <v>2709</v>
      </c>
      <c r="AD153" t="s">
        <v>2710</v>
      </c>
      <c r="AE153" s="243" t="s">
        <v>2711</v>
      </c>
      <c r="AF153" s="243" t="s">
        <v>2712</v>
      </c>
      <c r="AI153" s="59" t="e">
        <f t="shared" si="10"/>
        <v>#N/A</v>
      </c>
      <c r="AJ153" t="e">
        <f t="shared" si="11"/>
        <v>#N/A</v>
      </c>
      <c r="AK153" t="str">
        <f t="shared" si="12"/>
        <v/>
      </c>
    </row>
    <row r="154" spans="1:37" ht="15" customHeight="1">
      <c r="A154" s="62">
        <v>7</v>
      </c>
      <c r="B154" s="59">
        <v>146</v>
      </c>
      <c r="C154" t="s">
        <v>2713</v>
      </c>
      <c r="D154" t="s">
        <v>2714</v>
      </c>
      <c r="E154">
        <v>309</v>
      </c>
      <c r="F154" t="s">
        <v>1814</v>
      </c>
      <c r="G154" t="s">
        <v>1815</v>
      </c>
      <c r="H154" s="119">
        <f t="shared" si="13"/>
        <v>443.04733727810651</v>
      </c>
      <c r="I154" s="123">
        <v>45184</v>
      </c>
      <c r="J154">
        <v>1352</v>
      </c>
      <c r="K154" s="119"/>
      <c r="L154">
        <v>1352</v>
      </c>
      <c r="M154">
        <v>1930</v>
      </c>
      <c r="P154" t="s">
        <v>2715</v>
      </c>
      <c r="R154" t="s">
        <v>229</v>
      </c>
      <c r="S154">
        <v>10357</v>
      </c>
      <c r="T154" s="120">
        <f t="shared" si="14"/>
        <v>7.6605029585798814</v>
      </c>
      <c r="U154" t="s">
        <v>229</v>
      </c>
      <c r="V154" s="120"/>
      <c r="W154" s="120"/>
      <c r="X154" s="120"/>
      <c r="Y154" s="121">
        <v>599000</v>
      </c>
      <c r="Z154" s="121"/>
      <c r="AA154" s="121">
        <v>599000</v>
      </c>
      <c r="AB154" s="121"/>
      <c r="AC154" t="s">
        <v>2716</v>
      </c>
      <c r="AD154" t="s">
        <v>2717</v>
      </c>
      <c r="AE154" s="243" t="s">
        <v>2718</v>
      </c>
      <c r="AF154" s="243" t="s">
        <v>2719</v>
      </c>
      <c r="AI154" s="59" t="e">
        <f t="shared" si="10"/>
        <v>#N/A</v>
      </c>
      <c r="AJ154" t="e">
        <f t="shared" si="11"/>
        <v>#N/A</v>
      </c>
      <c r="AK154" t="str">
        <f t="shared" si="12"/>
        <v/>
      </c>
    </row>
    <row r="155" spans="1:37" ht="15" customHeight="1">
      <c r="A155" s="62">
        <v>7</v>
      </c>
      <c r="B155" s="59">
        <v>147</v>
      </c>
      <c r="C155" t="s">
        <v>2720</v>
      </c>
      <c r="D155" t="s">
        <v>2721</v>
      </c>
      <c r="E155">
        <v>353</v>
      </c>
      <c r="F155" t="s">
        <v>1984</v>
      </c>
      <c r="G155" t="s">
        <v>89</v>
      </c>
      <c r="H155" s="119">
        <f t="shared" si="13"/>
        <v>195.14310494362533</v>
      </c>
      <c r="I155" s="123">
        <v>45174</v>
      </c>
      <c r="J155">
        <v>4612</v>
      </c>
      <c r="K155" s="119"/>
      <c r="L155">
        <v>4612</v>
      </c>
      <c r="M155">
        <v>1944</v>
      </c>
      <c r="P155" t="s">
        <v>2722</v>
      </c>
      <c r="R155" t="s">
        <v>44</v>
      </c>
      <c r="S155">
        <v>12624</v>
      </c>
      <c r="T155" s="120">
        <f t="shared" si="14"/>
        <v>2.7372072853425844</v>
      </c>
      <c r="U155" t="s">
        <v>44</v>
      </c>
      <c r="V155" s="120"/>
      <c r="W155" s="120"/>
      <c r="X155" s="120"/>
      <c r="Y155" s="121">
        <v>900000</v>
      </c>
      <c r="Z155" s="121"/>
      <c r="AA155" s="121">
        <v>900000</v>
      </c>
      <c r="AB155" s="121"/>
      <c r="AC155" t="s">
        <v>2723</v>
      </c>
      <c r="AD155" t="s">
        <v>2724</v>
      </c>
      <c r="AE155" s="243" t="s">
        <v>2725</v>
      </c>
      <c r="AF155" s="243" t="s">
        <v>2726</v>
      </c>
      <c r="AI155" s="59" t="e">
        <f t="shared" si="10"/>
        <v>#N/A</v>
      </c>
      <c r="AJ155" t="e">
        <f t="shared" si="11"/>
        <v>#N/A</v>
      </c>
      <c r="AK155" t="str">
        <f t="shared" si="12"/>
        <v/>
      </c>
    </row>
    <row r="156" spans="1:37" ht="15" customHeight="1">
      <c r="A156" s="62">
        <v>7</v>
      </c>
      <c r="B156" s="59">
        <v>148</v>
      </c>
      <c r="C156" t="s">
        <v>2727</v>
      </c>
      <c r="D156" t="s">
        <v>2728</v>
      </c>
      <c r="E156">
        <v>407</v>
      </c>
      <c r="F156" t="s">
        <v>1814</v>
      </c>
      <c r="G156" t="s">
        <v>1815</v>
      </c>
      <c r="H156" s="119">
        <f t="shared" si="13"/>
        <v>155</v>
      </c>
      <c r="I156" s="123">
        <v>45412</v>
      </c>
      <c r="J156">
        <v>75000</v>
      </c>
      <c r="K156" s="119"/>
      <c r="L156">
        <v>75000</v>
      </c>
      <c r="M156">
        <v>2003</v>
      </c>
      <c r="P156" t="s">
        <v>2729</v>
      </c>
      <c r="R156" t="s">
        <v>44</v>
      </c>
      <c r="S156">
        <v>415287.97</v>
      </c>
      <c r="T156" s="120">
        <f t="shared" si="14"/>
        <v>5.5371729333333333</v>
      </c>
      <c r="U156" t="s">
        <v>44</v>
      </c>
      <c r="V156" s="120"/>
      <c r="W156" s="120"/>
      <c r="X156" s="120"/>
      <c r="Y156" s="121">
        <v>11625000</v>
      </c>
      <c r="Z156" s="121"/>
      <c r="AA156" s="121">
        <v>11625000</v>
      </c>
      <c r="AB156" s="121"/>
      <c r="AC156" t="s">
        <v>2730</v>
      </c>
      <c r="AD156" t="s">
        <v>2731</v>
      </c>
      <c r="AE156" s="243" t="s">
        <v>2732</v>
      </c>
      <c r="AF156" s="243" t="s">
        <v>2733</v>
      </c>
      <c r="AI156" s="59" t="e">
        <f t="shared" si="10"/>
        <v>#N/A</v>
      </c>
      <c r="AJ156" t="e">
        <f t="shared" si="11"/>
        <v>#N/A</v>
      </c>
      <c r="AK156" t="str">
        <f t="shared" si="12"/>
        <v/>
      </c>
    </row>
    <row r="157" spans="1:37" ht="15" customHeight="1">
      <c r="A157" s="62">
        <v>7</v>
      </c>
      <c r="B157" s="59">
        <v>149</v>
      </c>
      <c r="C157" t="s">
        <v>2734</v>
      </c>
      <c r="D157" t="s">
        <v>2735</v>
      </c>
      <c r="E157">
        <v>531</v>
      </c>
      <c r="F157" t="s">
        <v>2141</v>
      </c>
      <c r="G157" t="s">
        <v>1910</v>
      </c>
      <c r="H157" s="119">
        <f t="shared" si="13"/>
        <v>1549.9194847020933</v>
      </c>
      <c r="I157" s="123">
        <v>44750</v>
      </c>
      <c r="J157">
        <v>1242</v>
      </c>
      <c r="K157" s="119"/>
      <c r="L157">
        <v>1242</v>
      </c>
      <c r="M157">
        <v>2017</v>
      </c>
      <c r="R157" t="s">
        <v>44</v>
      </c>
      <c r="S157">
        <v>70867</v>
      </c>
      <c r="T157" s="120">
        <f t="shared" si="14"/>
        <v>57.058776167471819</v>
      </c>
      <c r="U157" t="s">
        <v>44</v>
      </c>
      <c r="V157" s="120"/>
      <c r="W157" s="120"/>
      <c r="X157" s="120"/>
      <c r="Y157" s="121">
        <v>1925000</v>
      </c>
      <c r="Z157" s="121"/>
      <c r="AA157" s="121">
        <v>1925000</v>
      </c>
      <c r="AB157" s="121"/>
      <c r="AC157" t="s">
        <v>2736</v>
      </c>
      <c r="AD157" t="s">
        <v>2737</v>
      </c>
      <c r="AE157" s="243" t="s">
        <v>2738</v>
      </c>
      <c r="AF157" s="243" t="s">
        <v>2739</v>
      </c>
      <c r="AI157" s="59" t="e">
        <f t="shared" si="10"/>
        <v>#N/A</v>
      </c>
      <c r="AJ157" t="e">
        <f t="shared" si="11"/>
        <v>#N/A</v>
      </c>
      <c r="AK157" t="str">
        <f t="shared" si="12"/>
        <v/>
      </c>
    </row>
    <row r="158" spans="1:37" ht="15" customHeight="1">
      <c r="A158" s="62">
        <v>7</v>
      </c>
      <c r="B158" s="59">
        <v>150</v>
      </c>
      <c r="C158" t="s">
        <v>2740</v>
      </c>
      <c r="D158" t="s">
        <v>2741</v>
      </c>
      <c r="E158">
        <v>328</v>
      </c>
      <c r="G158" t="s">
        <v>88</v>
      </c>
      <c r="H158" s="119">
        <f t="shared" si="13"/>
        <v>105.72687224669603</v>
      </c>
      <c r="I158" s="123">
        <v>45106</v>
      </c>
      <c r="J158">
        <v>2270</v>
      </c>
      <c r="K158" s="119"/>
      <c r="L158">
        <v>2270</v>
      </c>
      <c r="R158" t="s">
        <v>44</v>
      </c>
      <c r="T158" s="120">
        <f t="shared" si="14"/>
        <v>0</v>
      </c>
      <c r="U158" t="s">
        <v>44</v>
      </c>
      <c r="V158" s="120"/>
      <c r="W158" s="120"/>
      <c r="X158" s="120"/>
      <c r="Y158" s="121">
        <v>240000</v>
      </c>
      <c r="Z158" s="121"/>
      <c r="AA158" s="121">
        <v>240000</v>
      </c>
      <c r="AB158" s="121"/>
      <c r="AC158" t="s">
        <v>2742</v>
      </c>
      <c r="AD158" t="s">
        <v>2743</v>
      </c>
      <c r="AE158" s="243" t="s">
        <v>2744</v>
      </c>
      <c r="AF158" s="243" t="s">
        <v>2745</v>
      </c>
      <c r="AI158" s="59" t="e">
        <f t="shared" si="10"/>
        <v>#N/A</v>
      </c>
      <c r="AJ158" t="e">
        <f t="shared" si="11"/>
        <v>#N/A</v>
      </c>
      <c r="AK158" t="str">
        <f t="shared" si="12"/>
        <v/>
      </c>
    </row>
    <row r="159" spans="1:37" ht="15" customHeight="1">
      <c r="A159" s="62">
        <v>7</v>
      </c>
      <c r="B159" s="59">
        <v>151</v>
      </c>
      <c r="C159" t="s">
        <v>2746</v>
      </c>
      <c r="D159" t="s">
        <v>2747</v>
      </c>
      <c r="E159">
        <v>446</v>
      </c>
      <c r="F159" t="s">
        <v>1984</v>
      </c>
      <c r="G159" t="s">
        <v>89</v>
      </c>
      <c r="H159" s="119">
        <f t="shared" si="13"/>
        <v>549.28288068355198</v>
      </c>
      <c r="I159" s="123">
        <v>44854</v>
      </c>
      <c r="J159">
        <v>13108</v>
      </c>
      <c r="K159" s="119"/>
      <c r="L159">
        <v>13108</v>
      </c>
      <c r="M159">
        <v>2022</v>
      </c>
      <c r="R159" t="s">
        <v>44</v>
      </c>
      <c r="S159">
        <v>57805</v>
      </c>
      <c r="T159" s="120">
        <f t="shared" si="14"/>
        <v>4.4099023497101006</v>
      </c>
      <c r="U159" t="s">
        <v>44</v>
      </c>
      <c r="V159" s="120"/>
      <c r="W159" s="120"/>
      <c r="X159" s="120"/>
      <c r="Y159" s="121">
        <v>7200000</v>
      </c>
      <c r="Z159" s="121"/>
      <c r="AA159" s="121">
        <v>7200000</v>
      </c>
      <c r="AB159" s="121"/>
      <c r="AC159" t="s">
        <v>2748</v>
      </c>
      <c r="AD159" t="s">
        <v>2749</v>
      </c>
      <c r="AE159" s="243" t="s">
        <v>2750</v>
      </c>
      <c r="AF159" s="243" t="s">
        <v>2751</v>
      </c>
      <c r="AI159" s="59" t="e">
        <f t="shared" si="10"/>
        <v>#N/A</v>
      </c>
      <c r="AJ159" t="e">
        <f t="shared" si="11"/>
        <v>#N/A</v>
      </c>
      <c r="AK159" t="str">
        <f t="shared" si="12"/>
        <v/>
      </c>
    </row>
    <row r="160" spans="1:37" ht="15" customHeight="1">
      <c r="A160" s="62">
        <v>7</v>
      </c>
      <c r="B160" s="59">
        <v>152</v>
      </c>
      <c r="C160" t="s">
        <v>2752</v>
      </c>
      <c r="D160" t="s">
        <v>2753</v>
      </c>
      <c r="E160">
        <v>353</v>
      </c>
      <c r="F160" t="s">
        <v>1896</v>
      </c>
      <c r="G160" t="s">
        <v>90</v>
      </c>
      <c r="H160" s="119">
        <f t="shared" si="13"/>
        <v>759.02462347597418</v>
      </c>
      <c r="I160" s="123">
        <v>45470</v>
      </c>
      <c r="J160">
        <v>4183</v>
      </c>
      <c r="K160" s="119"/>
      <c r="L160">
        <v>4183</v>
      </c>
      <c r="M160">
        <v>2023</v>
      </c>
      <c r="R160" t="s">
        <v>44</v>
      </c>
      <c r="S160">
        <v>25512</v>
      </c>
      <c r="T160" s="120">
        <f t="shared" si="14"/>
        <v>6.0989720296437966</v>
      </c>
      <c r="U160" t="s">
        <v>44</v>
      </c>
      <c r="V160" s="120"/>
      <c r="W160" s="120"/>
      <c r="X160" s="120"/>
      <c r="Y160" s="121">
        <v>3175000</v>
      </c>
      <c r="Z160" s="121"/>
      <c r="AA160" s="121">
        <v>3175000</v>
      </c>
      <c r="AB160" s="121"/>
      <c r="AC160" t="s">
        <v>2754</v>
      </c>
      <c r="AD160" t="s">
        <v>2755</v>
      </c>
      <c r="AE160" s="243" t="s">
        <v>2756</v>
      </c>
      <c r="AF160" s="243" t="s">
        <v>2757</v>
      </c>
      <c r="AI160" s="59" t="e">
        <f t="shared" si="10"/>
        <v>#N/A</v>
      </c>
      <c r="AJ160" t="e">
        <f t="shared" si="11"/>
        <v>#N/A</v>
      </c>
      <c r="AK160" t="str">
        <f t="shared" si="12"/>
        <v/>
      </c>
    </row>
    <row r="161" spans="1:37" ht="15" customHeight="1">
      <c r="A161" s="62">
        <v>7</v>
      </c>
      <c r="B161" s="59">
        <v>153</v>
      </c>
      <c r="C161" t="s">
        <v>2758</v>
      </c>
      <c r="D161" t="s">
        <v>2759</v>
      </c>
      <c r="E161">
        <v>328</v>
      </c>
      <c r="G161" t="s">
        <v>88</v>
      </c>
      <c r="H161" s="119">
        <f t="shared" si="13"/>
        <v>108.74095563139932</v>
      </c>
      <c r="I161" s="123">
        <v>45390</v>
      </c>
      <c r="J161">
        <v>2930</v>
      </c>
      <c r="K161" s="119"/>
      <c r="L161">
        <v>2930</v>
      </c>
      <c r="M161">
        <v>2024</v>
      </c>
      <c r="R161" t="s">
        <v>44</v>
      </c>
      <c r="T161" s="120">
        <f t="shared" si="14"/>
        <v>0</v>
      </c>
      <c r="U161" t="s">
        <v>44</v>
      </c>
      <c r="V161" s="120"/>
      <c r="W161" s="120"/>
      <c r="X161" s="120"/>
      <c r="Y161" s="121">
        <v>318611</v>
      </c>
      <c r="Z161" s="121"/>
      <c r="AA161" s="121">
        <v>318611</v>
      </c>
      <c r="AB161" s="121"/>
      <c r="AC161" t="s">
        <v>2760</v>
      </c>
      <c r="AD161" t="s">
        <v>2761</v>
      </c>
      <c r="AE161" s="243" t="s">
        <v>2575</v>
      </c>
      <c r="AF161" s="243" t="s">
        <v>2762</v>
      </c>
      <c r="AI161" s="59" t="e">
        <f t="shared" si="10"/>
        <v>#N/A</v>
      </c>
      <c r="AJ161" t="e">
        <f t="shared" si="11"/>
        <v>#N/A</v>
      </c>
      <c r="AK161" t="str">
        <f t="shared" si="12"/>
        <v/>
      </c>
    </row>
    <row r="162" spans="1:37" ht="15" customHeight="1">
      <c r="A162" s="62">
        <v>7</v>
      </c>
      <c r="B162" s="59">
        <v>154</v>
      </c>
      <c r="C162" t="s">
        <v>2763</v>
      </c>
      <c r="D162" t="s">
        <v>2764</v>
      </c>
      <c r="E162">
        <v>328</v>
      </c>
      <c r="G162" t="s">
        <v>88</v>
      </c>
      <c r="H162" s="119">
        <f t="shared" si="13"/>
        <v>104.18395904436861</v>
      </c>
      <c r="I162" s="123">
        <v>45390</v>
      </c>
      <c r="J162">
        <v>2930</v>
      </c>
      <c r="K162" s="119"/>
      <c r="L162">
        <v>2930</v>
      </c>
      <c r="M162">
        <v>2024</v>
      </c>
      <c r="R162" t="s">
        <v>44</v>
      </c>
      <c r="T162" s="120">
        <f t="shared" si="14"/>
        <v>0</v>
      </c>
      <c r="U162" t="s">
        <v>44</v>
      </c>
      <c r="V162" s="120"/>
      <c r="W162" s="120"/>
      <c r="X162" s="120"/>
      <c r="Y162" s="121">
        <v>305259</v>
      </c>
      <c r="Z162" s="121"/>
      <c r="AA162" s="121">
        <v>305259</v>
      </c>
      <c r="AB162" s="121"/>
      <c r="AC162" t="s">
        <v>2765</v>
      </c>
      <c r="AD162" t="s">
        <v>2766</v>
      </c>
      <c r="AE162" s="243" t="s">
        <v>2575</v>
      </c>
      <c r="AF162" s="243" t="s">
        <v>2767</v>
      </c>
      <c r="AI162" s="59" t="e">
        <f t="shared" si="10"/>
        <v>#N/A</v>
      </c>
      <c r="AJ162" t="e">
        <f t="shared" si="11"/>
        <v>#N/A</v>
      </c>
      <c r="AK162" t="str">
        <f t="shared" si="12"/>
        <v/>
      </c>
    </row>
    <row r="163" spans="1:37" ht="15" customHeight="1">
      <c r="A163" s="62">
        <v>7</v>
      </c>
      <c r="B163" s="59">
        <v>155</v>
      </c>
      <c r="C163" t="s">
        <v>2768</v>
      </c>
      <c r="D163" t="s">
        <v>2769</v>
      </c>
      <c r="E163">
        <v>328</v>
      </c>
      <c r="G163" t="s">
        <v>88</v>
      </c>
      <c r="H163" s="119">
        <f t="shared" si="13"/>
        <v>114.71638225255973</v>
      </c>
      <c r="I163" s="123">
        <v>45390</v>
      </c>
      <c r="J163">
        <v>2930</v>
      </c>
      <c r="K163" s="119"/>
      <c r="L163">
        <v>2930</v>
      </c>
      <c r="M163">
        <v>2024</v>
      </c>
      <c r="R163" t="s">
        <v>44</v>
      </c>
      <c r="T163" s="120">
        <f t="shared" si="14"/>
        <v>0</v>
      </c>
      <c r="U163" t="s">
        <v>44</v>
      </c>
      <c r="V163" s="120"/>
      <c r="W163" s="120"/>
      <c r="X163" s="120"/>
      <c r="Y163" s="121">
        <v>336119</v>
      </c>
      <c r="Z163" s="121"/>
      <c r="AA163" s="121">
        <v>336119</v>
      </c>
      <c r="AB163" s="121"/>
      <c r="AC163" t="s">
        <v>2770</v>
      </c>
      <c r="AD163" t="s">
        <v>2771</v>
      </c>
      <c r="AE163" s="243" t="s">
        <v>2575</v>
      </c>
      <c r="AF163" s="243" t="s">
        <v>2772</v>
      </c>
      <c r="AI163" s="59" t="e">
        <f t="shared" si="10"/>
        <v>#N/A</v>
      </c>
      <c r="AJ163" t="e">
        <f t="shared" si="11"/>
        <v>#N/A</v>
      </c>
      <c r="AK163" t="str">
        <f t="shared" si="12"/>
        <v/>
      </c>
    </row>
    <row r="164" spans="1:37" ht="15" customHeight="1">
      <c r="A164" s="62">
        <v>7</v>
      </c>
      <c r="B164" s="59">
        <v>156</v>
      </c>
      <c r="C164" t="s">
        <v>2773</v>
      </c>
      <c r="D164" t="s">
        <v>2774</v>
      </c>
      <c r="E164">
        <v>328</v>
      </c>
      <c r="G164" t="s">
        <v>88</v>
      </c>
      <c r="H164" s="119">
        <f t="shared" si="13"/>
        <v>100.40068259385666</v>
      </c>
      <c r="I164" s="123">
        <v>45390</v>
      </c>
      <c r="J164">
        <v>2930</v>
      </c>
      <c r="K164" s="119"/>
      <c r="L164">
        <v>2930</v>
      </c>
      <c r="M164">
        <v>2024</v>
      </c>
      <c r="R164" t="s">
        <v>44</v>
      </c>
      <c r="T164" s="120">
        <f t="shared" si="14"/>
        <v>0</v>
      </c>
      <c r="U164" t="s">
        <v>44</v>
      </c>
      <c r="V164" s="120"/>
      <c r="W164" s="120"/>
      <c r="X164" s="120"/>
      <c r="Y164" s="121">
        <v>294174</v>
      </c>
      <c r="Z164" s="121"/>
      <c r="AA164" s="121">
        <v>294174</v>
      </c>
      <c r="AB164" s="121"/>
      <c r="AC164" t="s">
        <v>2775</v>
      </c>
      <c r="AD164" t="s">
        <v>2776</v>
      </c>
      <c r="AE164" s="243" t="s">
        <v>2575</v>
      </c>
      <c r="AF164" s="243" t="s">
        <v>2777</v>
      </c>
      <c r="AI164" s="59" t="e">
        <f t="shared" si="10"/>
        <v>#N/A</v>
      </c>
      <c r="AJ164" t="e">
        <f t="shared" si="11"/>
        <v>#N/A</v>
      </c>
      <c r="AK164" t="str">
        <f t="shared" si="12"/>
        <v/>
      </c>
    </row>
    <row r="165" spans="1:37" ht="15" customHeight="1">
      <c r="A165" s="62">
        <v>7</v>
      </c>
      <c r="B165" s="59">
        <v>157</v>
      </c>
      <c r="C165" t="s">
        <v>2778</v>
      </c>
      <c r="D165" t="s">
        <v>2779</v>
      </c>
      <c r="E165">
        <v>425</v>
      </c>
      <c r="F165" t="s">
        <v>2141</v>
      </c>
      <c r="G165" t="s">
        <v>1910</v>
      </c>
      <c r="H165" s="119">
        <f t="shared" si="13"/>
        <v>16.785714285714285</v>
      </c>
      <c r="I165" s="123">
        <v>45377</v>
      </c>
      <c r="J165">
        <v>16800</v>
      </c>
      <c r="K165" s="119"/>
      <c r="L165">
        <v>16800</v>
      </c>
      <c r="M165">
        <v>2023</v>
      </c>
      <c r="R165" t="s">
        <v>44</v>
      </c>
      <c r="S165">
        <v>2674</v>
      </c>
      <c r="T165" s="120">
        <f t="shared" si="14"/>
        <v>0.15916666666666668</v>
      </c>
      <c r="U165" t="s">
        <v>44</v>
      </c>
      <c r="V165" s="120"/>
      <c r="W165" s="120"/>
      <c r="X165" s="120"/>
      <c r="Y165" s="121">
        <v>282000</v>
      </c>
      <c r="Z165" s="121"/>
      <c r="AA165" s="121">
        <v>282000</v>
      </c>
      <c r="AB165" s="121"/>
      <c r="AC165" t="s">
        <v>2780</v>
      </c>
      <c r="AD165" t="s">
        <v>2781</v>
      </c>
      <c r="AE165" s="243" t="s">
        <v>2392</v>
      </c>
      <c r="AF165" s="243" t="s">
        <v>2782</v>
      </c>
      <c r="AI165" s="59" t="e">
        <f t="shared" si="10"/>
        <v>#N/A</v>
      </c>
      <c r="AJ165" t="e">
        <f t="shared" si="11"/>
        <v>#N/A</v>
      </c>
      <c r="AK165" t="str">
        <f t="shared" si="12"/>
        <v/>
      </c>
    </row>
    <row r="166" spans="1:37" ht="15" customHeight="1">
      <c r="A166" s="62">
        <v>7</v>
      </c>
      <c r="B166" s="59">
        <v>158</v>
      </c>
      <c r="C166" t="s">
        <v>2783</v>
      </c>
      <c r="D166" t="s">
        <v>2784</v>
      </c>
      <c r="E166">
        <v>3441</v>
      </c>
      <c r="F166" t="s">
        <v>1984</v>
      </c>
      <c r="G166" t="s">
        <v>89</v>
      </c>
      <c r="H166" s="119">
        <f t="shared" si="13"/>
        <v>387.64044943820227</v>
      </c>
      <c r="I166" s="123">
        <v>45078</v>
      </c>
      <c r="J166">
        <v>890</v>
      </c>
      <c r="K166" s="119"/>
      <c r="L166">
        <v>890</v>
      </c>
      <c r="M166">
        <v>1949</v>
      </c>
      <c r="P166" t="s">
        <v>2722</v>
      </c>
      <c r="R166" t="s">
        <v>44</v>
      </c>
      <c r="S166">
        <v>6098</v>
      </c>
      <c r="T166" s="120">
        <f t="shared" si="14"/>
        <v>6.8516853932584274</v>
      </c>
      <c r="U166" t="s">
        <v>44</v>
      </c>
      <c r="V166" s="120"/>
      <c r="W166" s="120"/>
      <c r="X166" s="120"/>
      <c r="Y166" s="121">
        <v>345000</v>
      </c>
      <c r="Z166" s="121"/>
      <c r="AA166" s="121">
        <v>344000</v>
      </c>
      <c r="AB166" s="121"/>
      <c r="AC166" t="s">
        <v>2785</v>
      </c>
      <c r="AD166" t="s">
        <v>2786</v>
      </c>
      <c r="AE166" s="243" t="s">
        <v>2787</v>
      </c>
      <c r="AF166" s="243" t="s">
        <v>2788</v>
      </c>
      <c r="AI166" s="59" t="e">
        <f t="shared" si="10"/>
        <v>#N/A</v>
      </c>
      <c r="AJ166" t="e">
        <f t="shared" si="11"/>
        <v>#N/A</v>
      </c>
      <c r="AK166" t="str">
        <f t="shared" si="12"/>
        <v/>
      </c>
    </row>
    <row r="167" spans="1:37" ht="15" customHeight="1">
      <c r="A167" s="62">
        <v>7</v>
      </c>
      <c r="B167" s="59">
        <v>159</v>
      </c>
      <c r="C167" t="s">
        <v>2789</v>
      </c>
      <c r="D167" t="s">
        <v>2790</v>
      </c>
      <c r="E167">
        <v>1344</v>
      </c>
      <c r="F167" t="s">
        <v>1785</v>
      </c>
      <c r="G167" t="s">
        <v>1786</v>
      </c>
      <c r="H167" s="119">
        <f t="shared" si="13"/>
        <v>3.3777777777777778</v>
      </c>
      <c r="I167" s="123">
        <v>44816</v>
      </c>
      <c r="J167">
        <v>84375</v>
      </c>
      <c r="K167" s="119"/>
      <c r="L167">
        <v>84375</v>
      </c>
      <c r="M167">
        <v>1984</v>
      </c>
      <c r="P167" t="s">
        <v>2791</v>
      </c>
      <c r="R167" t="s">
        <v>44</v>
      </c>
      <c r="S167">
        <v>1108</v>
      </c>
      <c r="T167" s="120">
        <f t="shared" si="14"/>
        <v>1.3131851851851851E-2</v>
      </c>
      <c r="U167" t="s">
        <v>44</v>
      </c>
      <c r="V167" s="120"/>
      <c r="W167" s="120"/>
      <c r="X167" s="120"/>
      <c r="Y167" s="121">
        <v>285000</v>
      </c>
      <c r="Z167" s="121"/>
      <c r="AA167" s="121">
        <v>285000</v>
      </c>
      <c r="AB167" s="121"/>
      <c r="AC167" t="s">
        <v>2792</v>
      </c>
      <c r="AD167" t="s">
        <v>2793</v>
      </c>
      <c r="AE167" s="243" t="s">
        <v>2794</v>
      </c>
      <c r="AF167" s="243" t="s">
        <v>2795</v>
      </c>
      <c r="AI167" s="59" t="e">
        <f t="shared" si="10"/>
        <v>#N/A</v>
      </c>
      <c r="AJ167" t="e">
        <f t="shared" si="11"/>
        <v>#N/A</v>
      </c>
      <c r="AK167" t="str">
        <f t="shared" si="12"/>
        <v/>
      </c>
    </row>
    <row r="168" spans="1:37" ht="15" customHeight="1">
      <c r="A168" s="62">
        <v>7</v>
      </c>
      <c r="B168" s="59">
        <v>160</v>
      </c>
      <c r="C168" t="s">
        <v>2796</v>
      </c>
      <c r="D168" t="s">
        <v>2797</v>
      </c>
      <c r="E168">
        <v>344</v>
      </c>
      <c r="F168" t="s">
        <v>1896</v>
      </c>
      <c r="G168" t="s">
        <v>1786</v>
      </c>
      <c r="H168" s="119">
        <f t="shared" si="13"/>
        <v>206.66666666666666</v>
      </c>
      <c r="I168" s="123">
        <v>45415</v>
      </c>
      <c r="J168">
        <v>2250</v>
      </c>
      <c r="K168" s="119"/>
      <c r="L168">
        <v>2250</v>
      </c>
      <c r="M168">
        <v>1964</v>
      </c>
      <c r="P168" t="s">
        <v>2529</v>
      </c>
      <c r="R168" t="s">
        <v>44</v>
      </c>
      <c r="S168">
        <v>16335</v>
      </c>
      <c r="T168" s="120">
        <f t="shared" si="14"/>
        <v>7.26</v>
      </c>
      <c r="U168" t="s">
        <v>44</v>
      </c>
      <c r="V168" s="120"/>
      <c r="W168" s="120"/>
      <c r="X168" s="120"/>
      <c r="Y168" s="121">
        <v>465000</v>
      </c>
      <c r="Z168" s="121"/>
      <c r="AA168" s="121">
        <v>465000</v>
      </c>
      <c r="AB168" s="121"/>
      <c r="AC168" t="s">
        <v>2798</v>
      </c>
      <c r="AD168" t="s">
        <v>2799</v>
      </c>
      <c r="AE168" s="243" t="s">
        <v>2800</v>
      </c>
      <c r="AF168" s="243" t="s">
        <v>2801</v>
      </c>
      <c r="AI168" s="59" t="e">
        <f t="shared" si="10"/>
        <v>#N/A</v>
      </c>
      <c r="AJ168" t="e">
        <f t="shared" si="11"/>
        <v>#N/A</v>
      </c>
      <c r="AK168" t="str">
        <f t="shared" si="12"/>
        <v/>
      </c>
    </row>
    <row r="169" spans="1:37" ht="15" customHeight="1">
      <c r="A169" s="62">
        <v>7</v>
      </c>
      <c r="B169" s="59">
        <v>161</v>
      </c>
      <c r="C169" t="s">
        <v>2802</v>
      </c>
      <c r="D169" t="s">
        <v>2803</v>
      </c>
      <c r="E169">
        <v>328</v>
      </c>
      <c r="G169" t="s">
        <v>88</v>
      </c>
      <c r="H169" s="119">
        <f t="shared" si="13"/>
        <v>125</v>
      </c>
      <c r="I169" s="123">
        <v>45065</v>
      </c>
      <c r="J169">
        <v>2900</v>
      </c>
      <c r="K169" s="119"/>
      <c r="L169">
        <v>2900</v>
      </c>
      <c r="M169">
        <v>2001</v>
      </c>
      <c r="R169" t="s">
        <v>44</v>
      </c>
      <c r="T169" s="120">
        <f t="shared" si="14"/>
        <v>0</v>
      </c>
      <c r="U169" t="s">
        <v>44</v>
      </c>
      <c r="V169" s="120"/>
      <c r="W169" s="120"/>
      <c r="X169" s="120"/>
      <c r="Y169" s="121">
        <v>362500</v>
      </c>
      <c r="Z169" s="121"/>
      <c r="AA169" s="121">
        <v>362500</v>
      </c>
      <c r="AB169" s="121"/>
      <c r="AC169" t="s">
        <v>2804</v>
      </c>
      <c r="AD169" t="s">
        <v>2805</v>
      </c>
      <c r="AE169" s="243" t="s">
        <v>2806</v>
      </c>
      <c r="AF169" s="243" t="s">
        <v>2807</v>
      </c>
      <c r="AI169" s="59" t="e">
        <f t="shared" si="10"/>
        <v>#N/A</v>
      </c>
      <c r="AJ169" t="e">
        <f t="shared" si="11"/>
        <v>#N/A</v>
      </c>
      <c r="AK169" t="str">
        <f t="shared" si="12"/>
        <v/>
      </c>
    </row>
    <row r="170" spans="1:37" ht="15" customHeight="1">
      <c r="A170" s="62">
        <v>7</v>
      </c>
      <c r="B170" s="59">
        <v>162</v>
      </c>
      <c r="C170" t="s">
        <v>2808</v>
      </c>
      <c r="D170" t="s">
        <v>2809</v>
      </c>
      <c r="E170">
        <v>328</v>
      </c>
      <c r="G170" t="s">
        <v>88</v>
      </c>
      <c r="H170" s="119">
        <f t="shared" si="13"/>
        <v>107.82608695652173</v>
      </c>
      <c r="I170" s="123">
        <v>45176</v>
      </c>
      <c r="J170">
        <v>2875</v>
      </c>
      <c r="K170" s="119"/>
      <c r="L170">
        <v>2875</v>
      </c>
      <c r="M170">
        <v>2004</v>
      </c>
      <c r="R170" t="s">
        <v>44</v>
      </c>
      <c r="T170" s="120">
        <f t="shared" si="14"/>
        <v>0</v>
      </c>
      <c r="U170" t="s">
        <v>44</v>
      </c>
      <c r="V170" s="120"/>
      <c r="W170" s="120"/>
      <c r="X170" s="120"/>
      <c r="Y170" s="121">
        <v>310000</v>
      </c>
      <c r="Z170" s="121"/>
      <c r="AA170" s="121">
        <v>310000</v>
      </c>
      <c r="AB170" s="121"/>
      <c r="AC170" t="s">
        <v>2810</v>
      </c>
      <c r="AD170" t="s">
        <v>2811</v>
      </c>
      <c r="AE170" s="243" t="s">
        <v>2812</v>
      </c>
      <c r="AF170" s="243" t="s">
        <v>2813</v>
      </c>
      <c r="AI170" s="59" t="e">
        <f t="shared" si="10"/>
        <v>#N/A</v>
      </c>
      <c r="AJ170" t="e">
        <f t="shared" si="11"/>
        <v>#N/A</v>
      </c>
      <c r="AK170" t="str">
        <f t="shared" si="12"/>
        <v/>
      </c>
    </row>
    <row r="171" spans="1:37" ht="15" customHeight="1">
      <c r="A171" s="62">
        <v>7</v>
      </c>
      <c r="B171" s="59">
        <v>163</v>
      </c>
      <c r="C171" t="s">
        <v>2814</v>
      </c>
      <c r="D171" t="s">
        <v>2815</v>
      </c>
      <c r="E171">
        <v>353</v>
      </c>
      <c r="F171" t="s">
        <v>1896</v>
      </c>
      <c r="G171" t="s">
        <v>90</v>
      </c>
      <c r="H171" s="119">
        <f t="shared" si="13"/>
        <v>277.77777777777777</v>
      </c>
      <c r="I171" s="123">
        <v>45033</v>
      </c>
      <c r="J171">
        <v>4050</v>
      </c>
      <c r="K171" s="119"/>
      <c r="L171">
        <v>4050</v>
      </c>
      <c r="M171">
        <v>2000</v>
      </c>
      <c r="P171" t="s">
        <v>2529</v>
      </c>
      <c r="R171" t="s">
        <v>44</v>
      </c>
      <c r="S171">
        <v>19306</v>
      </c>
      <c r="T171" s="120">
        <f t="shared" si="14"/>
        <v>4.7669135802469134</v>
      </c>
      <c r="U171" t="s">
        <v>44</v>
      </c>
      <c r="V171" s="120"/>
      <c r="W171" s="120"/>
      <c r="X171" s="120"/>
      <c r="Y171" s="121">
        <v>1125000</v>
      </c>
      <c r="Z171" s="121"/>
      <c r="AA171" s="121">
        <v>1125000</v>
      </c>
      <c r="AB171" s="121"/>
      <c r="AC171" t="s">
        <v>2816</v>
      </c>
      <c r="AD171" t="s">
        <v>2817</v>
      </c>
      <c r="AE171" s="243" t="s">
        <v>2818</v>
      </c>
      <c r="AF171" s="243" t="s">
        <v>2819</v>
      </c>
      <c r="AI171" s="59" t="e">
        <f t="shared" si="10"/>
        <v>#N/A</v>
      </c>
      <c r="AJ171" t="e">
        <f t="shared" si="11"/>
        <v>#N/A</v>
      </c>
      <c r="AK171" t="str">
        <f t="shared" si="12"/>
        <v/>
      </c>
    </row>
    <row r="172" spans="1:37" ht="15" customHeight="1">
      <c r="A172" s="62">
        <v>7</v>
      </c>
      <c r="B172" s="59">
        <v>164</v>
      </c>
      <c r="C172" t="s">
        <v>2820</v>
      </c>
      <c r="D172" t="s">
        <v>2821</v>
      </c>
      <c r="E172">
        <v>350</v>
      </c>
      <c r="F172" t="s">
        <v>1785</v>
      </c>
      <c r="G172" t="s">
        <v>1786</v>
      </c>
      <c r="H172" s="119">
        <f t="shared" si="13"/>
        <v>314.5253526496378</v>
      </c>
      <c r="I172" s="123">
        <v>44797</v>
      </c>
      <c r="J172">
        <v>5246</v>
      </c>
      <c r="K172" s="119"/>
      <c r="L172">
        <v>5246</v>
      </c>
      <c r="M172">
        <v>2014</v>
      </c>
      <c r="P172" t="s">
        <v>2822</v>
      </c>
      <c r="R172" t="s">
        <v>229</v>
      </c>
      <c r="S172">
        <v>61903</v>
      </c>
      <c r="T172" s="120">
        <f t="shared" si="14"/>
        <v>11.80003812428517</v>
      </c>
      <c r="U172" t="s">
        <v>229</v>
      </c>
      <c r="V172" s="120"/>
      <c r="W172" s="120"/>
      <c r="X172" s="120"/>
      <c r="Y172" s="121">
        <v>1650000</v>
      </c>
      <c r="Z172" s="121"/>
      <c r="AA172" s="121">
        <v>1650000</v>
      </c>
      <c r="AB172" s="121"/>
      <c r="AC172" t="s">
        <v>2823</v>
      </c>
      <c r="AD172" t="s">
        <v>2824</v>
      </c>
      <c r="AE172" s="243" t="s">
        <v>2825</v>
      </c>
      <c r="AF172" s="243" t="s">
        <v>2826</v>
      </c>
      <c r="AI172" s="59" t="e">
        <f t="shared" si="10"/>
        <v>#N/A</v>
      </c>
      <c r="AJ172" t="e">
        <f t="shared" si="11"/>
        <v>#N/A</v>
      </c>
      <c r="AK172" t="str">
        <f t="shared" si="12"/>
        <v/>
      </c>
    </row>
    <row r="173" spans="1:37" ht="15" customHeight="1">
      <c r="A173" s="62">
        <v>7</v>
      </c>
      <c r="B173" s="59">
        <v>165</v>
      </c>
      <c r="C173" t="s">
        <v>2827</v>
      </c>
      <c r="D173" t="s">
        <v>2828</v>
      </c>
      <c r="E173">
        <v>325</v>
      </c>
      <c r="F173" t="s">
        <v>2141</v>
      </c>
      <c r="G173" t="s">
        <v>1910</v>
      </c>
      <c r="H173" s="119">
        <f t="shared" si="13"/>
        <v>220.78304386223138</v>
      </c>
      <c r="I173" s="123">
        <v>45107</v>
      </c>
      <c r="J173">
        <v>47558</v>
      </c>
      <c r="K173" s="119"/>
      <c r="L173">
        <v>47558</v>
      </c>
      <c r="M173">
        <v>2019</v>
      </c>
      <c r="R173" t="s">
        <v>44</v>
      </c>
      <c r="S173">
        <v>454723</v>
      </c>
      <c r="T173" s="120">
        <f t="shared" si="14"/>
        <v>9.5614407670633756</v>
      </c>
      <c r="U173" t="s">
        <v>44</v>
      </c>
      <c r="V173" s="120"/>
      <c r="W173" s="120"/>
      <c r="X173" s="120"/>
      <c r="Y173" s="121">
        <v>10500000</v>
      </c>
      <c r="Z173" s="121"/>
      <c r="AA173" s="121">
        <v>10500000</v>
      </c>
      <c r="AB173" s="121"/>
      <c r="AC173" t="s">
        <v>2829</v>
      </c>
      <c r="AD173" t="s">
        <v>2830</v>
      </c>
      <c r="AE173" s="243" t="s">
        <v>2831</v>
      </c>
      <c r="AF173" s="243" t="s">
        <v>2832</v>
      </c>
      <c r="AI173" s="59" t="e">
        <f t="shared" si="10"/>
        <v>#N/A</v>
      </c>
      <c r="AJ173" t="e">
        <f t="shared" si="11"/>
        <v>#N/A</v>
      </c>
      <c r="AK173" t="str">
        <f t="shared" si="12"/>
        <v/>
      </c>
    </row>
    <row r="174" spans="1:37" ht="15" customHeight="1">
      <c r="A174" s="62">
        <v>7</v>
      </c>
      <c r="B174" s="59">
        <v>166</v>
      </c>
      <c r="C174" t="s">
        <v>2833</v>
      </c>
      <c r="D174" t="s">
        <v>2834</v>
      </c>
      <c r="E174">
        <v>425</v>
      </c>
      <c r="F174" t="s">
        <v>2141</v>
      </c>
      <c r="G174" t="s">
        <v>1910</v>
      </c>
      <c r="H174" s="119">
        <f t="shared" si="13"/>
        <v>32.407407407407405</v>
      </c>
      <c r="I174" s="123">
        <v>45029</v>
      </c>
      <c r="J174">
        <v>7560</v>
      </c>
      <c r="K174" s="119"/>
      <c r="L174">
        <v>7560</v>
      </c>
      <c r="M174">
        <v>2022</v>
      </c>
      <c r="R174" t="s">
        <v>44</v>
      </c>
      <c r="S174">
        <v>5076</v>
      </c>
      <c r="T174" s="120">
        <f t="shared" si="14"/>
        <v>0.67142857142857137</v>
      </c>
      <c r="U174" t="s">
        <v>44</v>
      </c>
      <c r="V174" s="120"/>
      <c r="W174" s="120"/>
      <c r="X174" s="120"/>
      <c r="Y174" s="121">
        <v>245000</v>
      </c>
      <c r="Z174" s="121"/>
      <c r="AA174" s="121">
        <v>245000</v>
      </c>
      <c r="AB174" s="121"/>
      <c r="AC174" t="s">
        <v>2835</v>
      </c>
      <c r="AD174" t="s">
        <v>2836</v>
      </c>
      <c r="AE174" s="243" t="s">
        <v>2837</v>
      </c>
      <c r="AF174" s="243" t="s">
        <v>2838</v>
      </c>
      <c r="AI174" s="59" t="e">
        <f t="shared" si="10"/>
        <v>#N/A</v>
      </c>
      <c r="AJ174" t="e">
        <f t="shared" si="11"/>
        <v>#N/A</v>
      </c>
      <c r="AK174" t="str">
        <f t="shared" si="12"/>
        <v/>
      </c>
    </row>
    <row r="175" spans="1:37" ht="15" customHeight="1">
      <c r="A175" s="62">
        <v>7</v>
      </c>
      <c r="B175" s="59">
        <v>167</v>
      </c>
      <c r="C175" t="s">
        <v>2839</v>
      </c>
      <c r="D175" t="s">
        <v>2840</v>
      </c>
      <c r="E175">
        <v>425</v>
      </c>
      <c r="F175" t="s">
        <v>2141</v>
      </c>
      <c r="G175" t="s">
        <v>1910</v>
      </c>
      <c r="H175" s="119">
        <f t="shared" si="13"/>
        <v>35.714285714285715</v>
      </c>
      <c r="I175" s="123">
        <v>44760</v>
      </c>
      <c r="J175">
        <v>7560</v>
      </c>
      <c r="K175" s="119"/>
      <c r="L175">
        <v>7560</v>
      </c>
      <c r="M175">
        <v>2022</v>
      </c>
      <c r="R175" t="s">
        <v>44</v>
      </c>
      <c r="S175">
        <v>0</v>
      </c>
      <c r="T175" s="120">
        <f t="shared" si="14"/>
        <v>0</v>
      </c>
      <c r="U175" t="s">
        <v>44</v>
      </c>
      <c r="V175" s="120"/>
      <c r="W175" s="120"/>
      <c r="X175" s="120"/>
      <c r="Y175" s="121">
        <v>270000</v>
      </c>
      <c r="Z175" s="121"/>
      <c r="AA175" s="121">
        <v>270000</v>
      </c>
      <c r="AB175" s="121"/>
      <c r="AC175" t="s">
        <v>2841</v>
      </c>
      <c r="AD175" t="s">
        <v>2842</v>
      </c>
      <c r="AE175" s="243" t="s">
        <v>2392</v>
      </c>
      <c r="AF175" s="243" t="s">
        <v>2843</v>
      </c>
      <c r="AI175" s="59" t="e">
        <f t="shared" si="10"/>
        <v>#N/A</v>
      </c>
      <c r="AJ175" t="e">
        <f t="shared" si="11"/>
        <v>#N/A</v>
      </c>
      <c r="AK175" t="str">
        <f t="shared" si="12"/>
        <v/>
      </c>
    </row>
    <row r="176" spans="1:37" ht="15" customHeight="1">
      <c r="A176" s="62">
        <v>7</v>
      </c>
      <c r="B176" s="59">
        <v>168</v>
      </c>
      <c r="C176" t="s">
        <v>2844</v>
      </c>
      <c r="D176" t="s">
        <v>2845</v>
      </c>
      <c r="E176">
        <v>425</v>
      </c>
      <c r="F176" t="s">
        <v>2141</v>
      </c>
      <c r="G176" t="s">
        <v>1910</v>
      </c>
      <c r="H176" s="119">
        <f t="shared" si="13"/>
        <v>33.035714285714285</v>
      </c>
      <c r="I176" s="123">
        <v>44755</v>
      </c>
      <c r="J176">
        <v>7560</v>
      </c>
      <c r="K176" s="119"/>
      <c r="L176">
        <v>7560</v>
      </c>
      <c r="M176">
        <v>2022</v>
      </c>
      <c r="R176" t="s">
        <v>44</v>
      </c>
      <c r="S176">
        <v>0</v>
      </c>
      <c r="T176" s="120">
        <f t="shared" si="14"/>
        <v>0</v>
      </c>
      <c r="U176" t="s">
        <v>44</v>
      </c>
      <c r="V176" s="120"/>
      <c r="W176" s="120"/>
      <c r="X176" s="120"/>
      <c r="Y176" s="121">
        <v>249750</v>
      </c>
      <c r="Z176" s="121"/>
      <c r="AA176" s="121">
        <v>249750</v>
      </c>
      <c r="AB176" s="121"/>
      <c r="AC176" t="s">
        <v>2846</v>
      </c>
      <c r="AD176" t="s">
        <v>2847</v>
      </c>
      <c r="AE176" s="243" t="s">
        <v>2392</v>
      </c>
      <c r="AF176" s="243" t="s">
        <v>2848</v>
      </c>
      <c r="AI176" s="59" t="e">
        <f t="shared" si="10"/>
        <v>#N/A</v>
      </c>
      <c r="AJ176" t="e">
        <f t="shared" si="11"/>
        <v>#N/A</v>
      </c>
      <c r="AK176" t="str">
        <f t="shared" si="12"/>
        <v/>
      </c>
    </row>
    <row r="177" spans="1:37" ht="15" customHeight="1">
      <c r="A177" s="62">
        <v>7</v>
      </c>
      <c r="B177" s="59">
        <v>169</v>
      </c>
      <c r="C177" t="s">
        <v>2849</v>
      </c>
      <c r="D177" t="s">
        <v>2850</v>
      </c>
      <c r="E177">
        <v>328</v>
      </c>
      <c r="G177" t="s">
        <v>88</v>
      </c>
      <c r="H177" s="119">
        <f t="shared" si="13"/>
        <v>115.7825938566553</v>
      </c>
      <c r="I177" s="123">
        <v>45390</v>
      </c>
      <c r="J177">
        <v>2930</v>
      </c>
      <c r="K177" s="119"/>
      <c r="L177">
        <v>2930</v>
      </c>
      <c r="M177">
        <v>2024</v>
      </c>
      <c r="R177" t="s">
        <v>44</v>
      </c>
      <c r="T177" s="120">
        <f t="shared" si="14"/>
        <v>0</v>
      </c>
      <c r="U177" t="s">
        <v>44</v>
      </c>
      <c r="V177" s="120"/>
      <c r="W177" s="120"/>
      <c r="X177" s="120"/>
      <c r="Y177" s="121">
        <v>339243</v>
      </c>
      <c r="Z177" s="121"/>
      <c r="AA177" s="121">
        <v>339243</v>
      </c>
      <c r="AB177" s="121"/>
      <c r="AC177" t="s">
        <v>2851</v>
      </c>
      <c r="AD177" t="s">
        <v>2852</v>
      </c>
      <c r="AE177" s="243" t="s">
        <v>2575</v>
      </c>
      <c r="AF177" s="243" t="s">
        <v>2853</v>
      </c>
      <c r="AI177" s="59" t="e">
        <f t="shared" si="10"/>
        <v>#N/A</v>
      </c>
      <c r="AJ177" t="e">
        <f t="shared" si="11"/>
        <v>#N/A</v>
      </c>
      <c r="AK177" t="str">
        <f t="shared" si="12"/>
        <v/>
      </c>
    </row>
    <row r="178" spans="1:37" ht="15" customHeight="1">
      <c r="A178" s="62">
        <v>7</v>
      </c>
      <c r="B178" s="59">
        <v>170</v>
      </c>
      <c r="C178" t="s">
        <v>2854</v>
      </c>
      <c r="D178" t="s">
        <v>2855</v>
      </c>
      <c r="E178">
        <v>328</v>
      </c>
      <c r="G178" t="s">
        <v>88</v>
      </c>
      <c r="H178" s="119">
        <f t="shared" si="13"/>
        <v>102.47747440273038</v>
      </c>
      <c r="I178" s="123">
        <v>45390</v>
      </c>
      <c r="J178">
        <v>2930</v>
      </c>
      <c r="K178" s="119"/>
      <c r="L178">
        <v>2930</v>
      </c>
      <c r="M178">
        <v>2024</v>
      </c>
      <c r="R178" t="s">
        <v>44</v>
      </c>
      <c r="T178" s="120">
        <f t="shared" si="14"/>
        <v>0</v>
      </c>
      <c r="U178" t="s">
        <v>44</v>
      </c>
      <c r="V178" s="120"/>
      <c r="W178" s="120"/>
      <c r="X178" s="120"/>
      <c r="Y178" s="121">
        <v>300259</v>
      </c>
      <c r="Z178" s="121"/>
      <c r="AA178" s="121">
        <v>300259</v>
      </c>
      <c r="AB178" s="121"/>
      <c r="AC178" t="s">
        <v>2856</v>
      </c>
      <c r="AD178" t="s">
        <v>2857</v>
      </c>
      <c r="AE178" s="243" t="s">
        <v>2575</v>
      </c>
      <c r="AF178" s="243" t="s">
        <v>2858</v>
      </c>
      <c r="AI178" s="59" t="e">
        <f t="shared" si="10"/>
        <v>#N/A</v>
      </c>
      <c r="AJ178" t="e">
        <f t="shared" si="11"/>
        <v>#N/A</v>
      </c>
      <c r="AK178" t="str">
        <f t="shared" si="12"/>
        <v/>
      </c>
    </row>
    <row r="179" spans="1:37" ht="15" customHeight="1">
      <c r="A179" s="62">
        <v>7</v>
      </c>
      <c r="B179" s="59">
        <v>171</v>
      </c>
      <c r="C179" t="s">
        <v>2859</v>
      </c>
      <c r="D179" t="s">
        <v>2860</v>
      </c>
      <c r="E179">
        <v>328</v>
      </c>
      <c r="G179" t="s">
        <v>88</v>
      </c>
      <c r="H179" s="119">
        <f t="shared" si="13"/>
        <v>106.06757679180888</v>
      </c>
      <c r="I179" s="123">
        <v>45390</v>
      </c>
      <c r="J179">
        <v>2930</v>
      </c>
      <c r="K179" s="119"/>
      <c r="L179">
        <v>2930</v>
      </c>
      <c r="M179">
        <v>2024</v>
      </c>
      <c r="R179" t="s">
        <v>44</v>
      </c>
      <c r="T179" s="120">
        <f t="shared" si="14"/>
        <v>0</v>
      </c>
      <c r="U179" t="s">
        <v>44</v>
      </c>
      <c r="V179" s="120"/>
      <c r="W179" s="120"/>
      <c r="X179" s="120"/>
      <c r="Y179" s="121">
        <v>310778</v>
      </c>
      <c r="Z179" s="121"/>
      <c r="AA179" s="121">
        <v>310778</v>
      </c>
      <c r="AB179" s="121"/>
      <c r="AC179" t="s">
        <v>2861</v>
      </c>
      <c r="AD179" t="s">
        <v>2862</v>
      </c>
      <c r="AE179" s="243" t="s">
        <v>2575</v>
      </c>
      <c r="AF179" s="243" t="s">
        <v>2863</v>
      </c>
      <c r="AI179" s="59" t="e">
        <f t="shared" si="10"/>
        <v>#N/A</v>
      </c>
      <c r="AJ179" t="e">
        <f t="shared" si="11"/>
        <v>#N/A</v>
      </c>
      <c r="AK179" t="str">
        <f t="shared" si="12"/>
        <v/>
      </c>
    </row>
    <row r="180" spans="1:37" ht="15" customHeight="1">
      <c r="A180" s="62">
        <v>7</v>
      </c>
      <c r="B180" s="59">
        <v>172</v>
      </c>
      <c r="C180" t="s">
        <v>2864</v>
      </c>
      <c r="D180" t="s">
        <v>2865</v>
      </c>
      <c r="E180">
        <v>328</v>
      </c>
      <c r="G180" t="s">
        <v>88</v>
      </c>
      <c r="H180" s="119">
        <f t="shared" si="13"/>
        <v>106.06757679180888</v>
      </c>
      <c r="I180" s="123">
        <v>45390</v>
      </c>
      <c r="J180">
        <v>2930</v>
      </c>
      <c r="K180" s="119"/>
      <c r="L180">
        <v>2930</v>
      </c>
      <c r="M180">
        <v>2024</v>
      </c>
      <c r="R180" t="s">
        <v>44</v>
      </c>
      <c r="T180" s="120">
        <f t="shared" si="14"/>
        <v>0</v>
      </c>
      <c r="U180" t="s">
        <v>44</v>
      </c>
      <c r="V180" s="120"/>
      <c r="W180" s="120"/>
      <c r="X180" s="120"/>
      <c r="Y180" s="121">
        <v>310778</v>
      </c>
      <c r="Z180" s="121"/>
      <c r="AA180" s="121">
        <v>310778</v>
      </c>
      <c r="AB180" s="121"/>
      <c r="AC180" t="s">
        <v>2866</v>
      </c>
      <c r="AD180" t="s">
        <v>2867</v>
      </c>
      <c r="AE180" s="243" t="s">
        <v>2575</v>
      </c>
      <c r="AF180" s="243" t="s">
        <v>2863</v>
      </c>
      <c r="AI180" s="59" t="e">
        <f t="shared" si="10"/>
        <v>#N/A</v>
      </c>
      <c r="AJ180" t="e">
        <f t="shared" si="11"/>
        <v>#N/A</v>
      </c>
      <c r="AK180" t="str">
        <f t="shared" si="12"/>
        <v/>
      </c>
    </row>
    <row r="181" spans="1:37" ht="15" customHeight="1">
      <c r="A181" s="62">
        <v>7</v>
      </c>
      <c r="B181" s="59">
        <v>173</v>
      </c>
      <c r="C181" t="s">
        <v>2868</v>
      </c>
      <c r="D181" t="s">
        <v>2869</v>
      </c>
      <c r="E181">
        <v>425</v>
      </c>
      <c r="F181" t="s">
        <v>2141</v>
      </c>
      <c r="G181" t="s">
        <v>1910</v>
      </c>
      <c r="H181" s="119">
        <f t="shared" si="13"/>
        <v>17.415592965296717</v>
      </c>
      <c r="I181" s="123">
        <v>45377</v>
      </c>
      <c r="J181">
        <v>21266</v>
      </c>
      <c r="K181" s="119"/>
      <c r="L181">
        <v>21266</v>
      </c>
      <c r="M181">
        <v>2023</v>
      </c>
      <c r="R181" t="s">
        <v>44</v>
      </c>
      <c r="S181">
        <v>3398</v>
      </c>
      <c r="T181" s="120">
        <f t="shared" si="14"/>
        <v>0.1597855732154613</v>
      </c>
      <c r="U181" t="s">
        <v>44</v>
      </c>
      <c r="V181" s="120"/>
      <c r="W181" s="120"/>
      <c r="X181" s="120"/>
      <c r="Y181" s="121">
        <v>370360</v>
      </c>
      <c r="Z181" s="121"/>
      <c r="AA181" s="121">
        <v>370360</v>
      </c>
      <c r="AB181" s="121"/>
      <c r="AC181" t="s">
        <v>2870</v>
      </c>
      <c r="AD181" t="s">
        <v>2871</v>
      </c>
      <c r="AE181" s="243" t="s">
        <v>2392</v>
      </c>
      <c r="AF181" s="243" t="s">
        <v>2872</v>
      </c>
      <c r="AI181" s="59" t="e">
        <f t="shared" si="10"/>
        <v>#N/A</v>
      </c>
      <c r="AJ181" t="e">
        <f t="shared" si="11"/>
        <v>#N/A</v>
      </c>
      <c r="AK181" t="str">
        <f t="shared" si="12"/>
        <v/>
      </c>
    </row>
    <row r="182" spans="1:37" ht="15" customHeight="1">
      <c r="A182" s="62">
        <v>7</v>
      </c>
      <c r="B182" s="59">
        <v>174</v>
      </c>
      <c r="C182" t="s">
        <v>2873</v>
      </c>
      <c r="D182" t="s">
        <v>1889</v>
      </c>
      <c r="E182">
        <v>344</v>
      </c>
      <c r="F182" t="s">
        <v>2141</v>
      </c>
      <c r="G182" t="s">
        <v>90</v>
      </c>
      <c r="H182" s="119">
        <f t="shared" si="13"/>
        <v>19.60677242754447</v>
      </c>
      <c r="I182" s="123">
        <v>45405</v>
      </c>
      <c r="J182">
        <v>57173</v>
      </c>
      <c r="K182" s="119"/>
      <c r="L182">
        <v>57173</v>
      </c>
      <c r="M182">
        <v>2007</v>
      </c>
      <c r="R182" t="s">
        <v>44</v>
      </c>
      <c r="T182" s="120">
        <f t="shared" si="14"/>
        <v>0</v>
      </c>
      <c r="U182" t="s">
        <v>44</v>
      </c>
      <c r="V182" s="120"/>
      <c r="W182" s="120"/>
      <c r="X182" s="120"/>
      <c r="Y182" s="121">
        <v>1120978</v>
      </c>
      <c r="Z182" s="121"/>
      <c r="AA182" s="121">
        <v>1120978</v>
      </c>
      <c r="AB182" s="121"/>
      <c r="AC182" t="s">
        <v>2874</v>
      </c>
      <c r="AD182" t="s">
        <v>2875</v>
      </c>
      <c r="AE182" s="243" t="s">
        <v>2876</v>
      </c>
      <c r="AF182" s="243" t="s">
        <v>2877</v>
      </c>
      <c r="AI182" s="59" t="e">
        <f t="shared" si="10"/>
        <v>#N/A</v>
      </c>
      <c r="AJ182" t="e">
        <f t="shared" si="11"/>
        <v>#N/A</v>
      </c>
      <c r="AK182" t="str">
        <f t="shared" si="12"/>
        <v/>
      </c>
    </row>
    <row r="183" spans="1:37" ht="15" customHeight="1">
      <c r="A183" s="62">
        <v>7</v>
      </c>
      <c r="B183" s="59">
        <v>175</v>
      </c>
      <c r="C183" t="s">
        <v>2878</v>
      </c>
      <c r="D183" t="s">
        <v>2879</v>
      </c>
      <c r="E183">
        <v>344</v>
      </c>
      <c r="F183" t="s">
        <v>1984</v>
      </c>
      <c r="G183" t="s">
        <v>89</v>
      </c>
      <c r="H183" s="119">
        <f t="shared" si="13"/>
        <v>128.2557221783741</v>
      </c>
      <c r="I183" s="123">
        <v>44995</v>
      </c>
      <c r="J183">
        <v>5068</v>
      </c>
      <c r="K183" s="119"/>
      <c r="L183">
        <v>5068</v>
      </c>
      <c r="M183">
        <v>1917</v>
      </c>
      <c r="P183" t="s">
        <v>2487</v>
      </c>
      <c r="R183" t="s">
        <v>44</v>
      </c>
      <c r="S183">
        <v>3185</v>
      </c>
      <c r="T183" s="120">
        <f t="shared" si="14"/>
        <v>0.62845303867403313</v>
      </c>
      <c r="U183" t="s">
        <v>44</v>
      </c>
      <c r="V183" s="120"/>
      <c r="W183" s="120"/>
      <c r="X183" s="120"/>
      <c r="Y183" s="121">
        <v>650000</v>
      </c>
      <c r="Z183" s="121"/>
      <c r="AA183" s="121">
        <v>650000</v>
      </c>
      <c r="AB183" s="121"/>
      <c r="AC183" t="s">
        <v>2880</v>
      </c>
      <c r="AD183" t="s">
        <v>2881</v>
      </c>
      <c r="AE183" s="243" t="s">
        <v>2882</v>
      </c>
      <c r="AF183" s="243" t="s">
        <v>2883</v>
      </c>
      <c r="AI183" s="59" t="e">
        <f t="shared" si="10"/>
        <v>#N/A</v>
      </c>
      <c r="AJ183" t="e">
        <f t="shared" si="11"/>
        <v>#N/A</v>
      </c>
      <c r="AK183" t="str">
        <f t="shared" si="12"/>
        <v/>
      </c>
    </row>
    <row r="184" spans="1:37" ht="15" customHeight="1">
      <c r="A184" s="62">
        <v>7</v>
      </c>
      <c r="B184" s="59">
        <v>176</v>
      </c>
      <c r="C184" t="s">
        <v>2884</v>
      </c>
      <c r="D184" t="s">
        <v>2885</v>
      </c>
      <c r="E184">
        <v>1344</v>
      </c>
      <c r="F184" t="s">
        <v>1785</v>
      </c>
      <c r="G184" t="s">
        <v>1786</v>
      </c>
      <c r="H184" s="119">
        <f t="shared" si="13"/>
        <v>2.9629629629629628</v>
      </c>
      <c r="I184" s="123">
        <v>45104</v>
      </c>
      <c r="J184">
        <v>84375</v>
      </c>
      <c r="K184" s="119"/>
      <c r="L184">
        <v>84375</v>
      </c>
      <c r="M184">
        <v>1984</v>
      </c>
      <c r="P184" t="s">
        <v>2791</v>
      </c>
      <c r="R184" t="s">
        <v>44</v>
      </c>
      <c r="S184">
        <v>1108</v>
      </c>
      <c r="T184" s="120">
        <f t="shared" si="14"/>
        <v>1.3131851851851851E-2</v>
      </c>
      <c r="U184" t="s">
        <v>44</v>
      </c>
      <c r="V184" s="120"/>
      <c r="W184" s="120"/>
      <c r="X184" s="120"/>
      <c r="Y184" s="121">
        <v>250000</v>
      </c>
      <c r="Z184" s="121"/>
      <c r="AA184" s="121">
        <v>250000</v>
      </c>
      <c r="AB184" s="121"/>
      <c r="AC184" t="s">
        <v>2886</v>
      </c>
      <c r="AD184" t="s">
        <v>2887</v>
      </c>
      <c r="AE184" s="243" t="s">
        <v>2888</v>
      </c>
      <c r="AF184" s="243" t="s">
        <v>2889</v>
      </c>
      <c r="AI184" s="59" t="e">
        <f t="shared" si="10"/>
        <v>#N/A</v>
      </c>
      <c r="AJ184" t="e">
        <f t="shared" si="11"/>
        <v>#N/A</v>
      </c>
      <c r="AK184" t="str">
        <f t="shared" si="12"/>
        <v/>
      </c>
    </row>
    <row r="185" spans="1:37" ht="15" customHeight="1">
      <c r="A185" s="62">
        <v>7</v>
      </c>
      <c r="B185" s="59">
        <v>177</v>
      </c>
      <c r="C185" t="s">
        <v>2890</v>
      </c>
      <c r="D185" t="s">
        <v>2891</v>
      </c>
      <c r="E185">
        <v>1344</v>
      </c>
      <c r="F185" t="s">
        <v>1785</v>
      </c>
      <c r="G185" t="s">
        <v>1786</v>
      </c>
      <c r="H185" s="119">
        <f t="shared" si="13"/>
        <v>3.5555555555555554</v>
      </c>
      <c r="I185" s="123">
        <v>45044</v>
      </c>
      <c r="J185">
        <v>84375</v>
      </c>
      <c r="K185" s="119"/>
      <c r="L185">
        <v>84375</v>
      </c>
      <c r="M185">
        <v>1984</v>
      </c>
      <c r="P185" t="s">
        <v>2791</v>
      </c>
      <c r="R185" t="s">
        <v>44</v>
      </c>
      <c r="S185">
        <v>1108</v>
      </c>
      <c r="T185" s="120">
        <f t="shared" si="14"/>
        <v>1.3131851851851851E-2</v>
      </c>
      <c r="U185" t="s">
        <v>44</v>
      </c>
      <c r="V185" s="120"/>
      <c r="W185" s="120"/>
      <c r="X185" s="120"/>
      <c r="Y185" s="121">
        <v>300000</v>
      </c>
      <c r="Z185" s="121"/>
      <c r="AA185" s="121">
        <v>300000</v>
      </c>
      <c r="AB185" s="121"/>
      <c r="AC185" t="s">
        <v>2892</v>
      </c>
      <c r="AD185" t="s">
        <v>2893</v>
      </c>
      <c r="AE185" s="243" t="s">
        <v>2894</v>
      </c>
      <c r="AF185" s="243" t="s">
        <v>2895</v>
      </c>
      <c r="AI185" s="59" t="e">
        <f t="shared" si="10"/>
        <v>#N/A</v>
      </c>
      <c r="AJ185" t="e">
        <f t="shared" si="11"/>
        <v>#N/A</v>
      </c>
      <c r="AK185" t="str">
        <f t="shared" si="12"/>
        <v/>
      </c>
    </row>
    <row r="186" spans="1:37" ht="15" customHeight="1">
      <c r="A186" s="62">
        <v>7</v>
      </c>
      <c r="B186" s="59">
        <v>178</v>
      </c>
      <c r="C186" t="s">
        <v>2896</v>
      </c>
      <c r="D186" t="s">
        <v>2897</v>
      </c>
      <c r="E186">
        <v>425</v>
      </c>
      <c r="G186" t="s">
        <v>1910</v>
      </c>
      <c r="H186" s="119">
        <f t="shared" si="13"/>
        <v>9.9755267078101717</v>
      </c>
      <c r="I186" s="123">
        <v>45135</v>
      </c>
      <c r="J186">
        <v>37592</v>
      </c>
      <c r="K186" s="119"/>
      <c r="L186">
        <v>37592</v>
      </c>
      <c r="M186">
        <v>2006</v>
      </c>
      <c r="P186" t="s">
        <v>1911</v>
      </c>
      <c r="R186" t="s">
        <v>44</v>
      </c>
      <c r="S186">
        <v>5399</v>
      </c>
      <c r="T186" s="120">
        <f t="shared" si="14"/>
        <v>0.14362098318791233</v>
      </c>
      <c r="U186" t="s">
        <v>44</v>
      </c>
      <c r="V186" s="120"/>
      <c r="W186" s="120"/>
      <c r="X186" s="120"/>
      <c r="Y186" s="121">
        <v>375000</v>
      </c>
      <c r="Z186" s="121"/>
      <c r="AA186" s="121">
        <v>375000</v>
      </c>
      <c r="AB186" s="121"/>
      <c r="AC186" t="s">
        <v>2898</v>
      </c>
      <c r="AD186" t="s">
        <v>2899</v>
      </c>
      <c r="AE186" s="243" t="s">
        <v>2900</v>
      </c>
      <c r="AF186" s="243" t="s">
        <v>2901</v>
      </c>
      <c r="AI186" s="59" t="e">
        <f t="shared" si="10"/>
        <v>#N/A</v>
      </c>
      <c r="AJ186" t="e">
        <f t="shared" si="11"/>
        <v>#N/A</v>
      </c>
      <c r="AK186" t="str">
        <f t="shared" si="12"/>
        <v/>
      </c>
    </row>
    <row r="187" spans="1:37" ht="15" customHeight="1">
      <c r="A187" s="62">
        <v>7</v>
      </c>
      <c r="B187" s="59">
        <v>179</v>
      </c>
      <c r="C187" t="s">
        <v>2902</v>
      </c>
      <c r="D187" t="s">
        <v>2903</v>
      </c>
      <c r="E187">
        <v>426</v>
      </c>
      <c r="F187" t="s">
        <v>1896</v>
      </c>
      <c r="G187" t="s">
        <v>90</v>
      </c>
      <c r="H187" s="119">
        <f t="shared" si="13"/>
        <v>182.35565110565111</v>
      </c>
      <c r="I187" s="123">
        <v>45225</v>
      </c>
      <c r="J187">
        <v>26048</v>
      </c>
      <c r="K187" s="119"/>
      <c r="L187">
        <v>26048</v>
      </c>
      <c r="M187">
        <v>2015</v>
      </c>
      <c r="P187" t="s">
        <v>2635</v>
      </c>
      <c r="R187" t="s">
        <v>229</v>
      </c>
      <c r="S187">
        <v>89095</v>
      </c>
      <c r="T187" s="120">
        <f t="shared" si="14"/>
        <v>3.4204161547911549</v>
      </c>
      <c r="U187" t="s">
        <v>229</v>
      </c>
      <c r="V187" s="120"/>
      <c r="W187" s="120"/>
      <c r="X187" s="120"/>
      <c r="Y187" s="121">
        <v>4750000</v>
      </c>
      <c r="Z187" s="121"/>
      <c r="AA187" s="121">
        <v>4750000</v>
      </c>
      <c r="AB187" s="121"/>
      <c r="AC187" t="s">
        <v>2904</v>
      </c>
      <c r="AD187" t="s">
        <v>2905</v>
      </c>
      <c r="AE187" s="243" t="s">
        <v>2906</v>
      </c>
      <c r="AF187" s="243" t="s">
        <v>2907</v>
      </c>
      <c r="AI187" s="59" t="e">
        <f t="shared" si="10"/>
        <v>#N/A</v>
      </c>
      <c r="AJ187" t="e">
        <f t="shared" si="11"/>
        <v>#N/A</v>
      </c>
      <c r="AK187" t="str">
        <f t="shared" si="12"/>
        <v/>
      </c>
    </row>
    <row r="188" spans="1:37" ht="15" customHeight="1">
      <c r="A188" s="62">
        <v>7</v>
      </c>
      <c r="B188" s="59">
        <v>180</v>
      </c>
      <c r="C188" t="s">
        <v>2908</v>
      </c>
      <c r="D188" t="s">
        <v>2909</v>
      </c>
      <c r="E188">
        <v>406</v>
      </c>
      <c r="G188" t="s">
        <v>1910</v>
      </c>
      <c r="H188" s="119">
        <f t="shared" si="13"/>
        <v>177.08333333333334</v>
      </c>
      <c r="I188" s="123">
        <v>45317</v>
      </c>
      <c r="J188">
        <v>4800</v>
      </c>
      <c r="K188" s="119"/>
      <c r="L188">
        <v>4800</v>
      </c>
      <c r="M188">
        <v>2007</v>
      </c>
      <c r="P188" t="s">
        <v>1911</v>
      </c>
      <c r="R188" t="s">
        <v>44</v>
      </c>
      <c r="S188">
        <v>13316</v>
      </c>
      <c r="T188" s="120">
        <f t="shared" si="14"/>
        <v>2.7741666666666664</v>
      </c>
      <c r="U188" t="s">
        <v>44</v>
      </c>
      <c r="V188" s="120"/>
      <c r="W188" s="120"/>
      <c r="X188" s="120"/>
      <c r="Y188" s="121">
        <v>850000</v>
      </c>
      <c r="Z188" s="121"/>
      <c r="AA188" s="121">
        <v>850000</v>
      </c>
      <c r="AB188" s="121"/>
      <c r="AC188" t="s">
        <v>2910</v>
      </c>
      <c r="AD188" t="s">
        <v>2911</v>
      </c>
      <c r="AE188" s="243" t="s">
        <v>2912</v>
      </c>
      <c r="AF188" s="243" t="s">
        <v>2101</v>
      </c>
      <c r="AI188" s="59" t="e">
        <f t="shared" si="10"/>
        <v>#N/A</v>
      </c>
      <c r="AJ188" t="e">
        <f t="shared" si="11"/>
        <v>#N/A</v>
      </c>
      <c r="AK188" t="str">
        <f t="shared" si="12"/>
        <v/>
      </c>
    </row>
    <row r="189" spans="1:37" ht="15" customHeight="1">
      <c r="A189" s="62">
        <v>7</v>
      </c>
      <c r="B189" s="59">
        <v>181</v>
      </c>
      <c r="C189" t="s">
        <v>2913</v>
      </c>
      <c r="D189" t="s">
        <v>2914</v>
      </c>
      <c r="E189">
        <v>353</v>
      </c>
      <c r="F189" t="s">
        <v>2141</v>
      </c>
      <c r="G189" t="s">
        <v>1910</v>
      </c>
      <c r="H189" s="119">
        <f t="shared" si="13"/>
        <v>257.14285714285717</v>
      </c>
      <c r="I189" s="123">
        <v>44960</v>
      </c>
      <c r="J189">
        <v>7000</v>
      </c>
      <c r="K189" s="119"/>
      <c r="L189">
        <v>7000</v>
      </c>
      <c r="M189">
        <v>1999</v>
      </c>
      <c r="P189" t="s">
        <v>2610</v>
      </c>
      <c r="R189" t="s">
        <v>44</v>
      </c>
      <c r="S189">
        <v>37592.28</v>
      </c>
      <c r="T189" s="120">
        <f t="shared" si="14"/>
        <v>5.3703257142857144</v>
      </c>
      <c r="U189" t="s">
        <v>44</v>
      </c>
      <c r="V189" s="120"/>
      <c r="W189" s="120"/>
      <c r="X189" s="120"/>
      <c r="Y189" s="121">
        <v>1800000</v>
      </c>
      <c r="Z189" s="121"/>
      <c r="AA189" s="121">
        <v>1800000</v>
      </c>
      <c r="AB189" s="121"/>
      <c r="AC189" t="s">
        <v>2915</v>
      </c>
      <c r="AD189" t="s">
        <v>2916</v>
      </c>
      <c r="AE189" s="243" t="s">
        <v>2917</v>
      </c>
      <c r="AF189" s="243" t="s">
        <v>2918</v>
      </c>
      <c r="AI189" s="59" t="e">
        <f t="shared" si="10"/>
        <v>#N/A</v>
      </c>
      <c r="AJ189" t="e">
        <f t="shared" si="11"/>
        <v>#N/A</v>
      </c>
      <c r="AK189" t="str">
        <f t="shared" si="12"/>
        <v/>
      </c>
    </row>
    <row r="190" spans="1:37" ht="15" customHeight="1">
      <c r="A190" s="62">
        <v>7</v>
      </c>
      <c r="B190" s="59">
        <v>182</v>
      </c>
      <c r="C190" t="s">
        <v>2919</v>
      </c>
      <c r="D190" t="s">
        <v>2920</v>
      </c>
      <c r="E190">
        <v>425</v>
      </c>
      <c r="F190" t="s">
        <v>2141</v>
      </c>
      <c r="G190" t="s">
        <v>1910</v>
      </c>
      <c r="H190" s="119">
        <f t="shared" si="13"/>
        <v>16</v>
      </c>
      <c r="I190" s="123">
        <v>45159</v>
      </c>
      <c r="J190">
        <v>30000</v>
      </c>
      <c r="K190" s="119"/>
      <c r="L190">
        <v>30000</v>
      </c>
      <c r="M190">
        <v>2000</v>
      </c>
      <c r="P190" t="s">
        <v>2402</v>
      </c>
      <c r="R190" t="s">
        <v>44</v>
      </c>
      <c r="S190">
        <v>7949</v>
      </c>
      <c r="T190" s="120">
        <f t="shared" si="14"/>
        <v>0.26496666666666668</v>
      </c>
      <c r="U190" t="s">
        <v>44</v>
      </c>
      <c r="V190" s="120"/>
      <c r="W190" s="120"/>
      <c r="X190" s="120"/>
      <c r="Y190" s="121">
        <v>480000</v>
      </c>
      <c r="Z190" s="121"/>
      <c r="AA190" s="121">
        <v>480000</v>
      </c>
      <c r="AB190" s="121"/>
      <c r="AC190" t="s">
        <v>2921</v>
      </c>
      <c r="AD190" t="s">
        <v>2922</v>
      </c>
      <c r="AE190" s="243" t="s">
        <v>2923</v>
      </c>
      <c r="AF190" s="243" t="s">
        <v>2924</v>
      </c>
      <c r="AI190" s="59" t="e">
        <f t="shared" si="10"/>
        <v>#N/A</v>
      </c>
      <c r="AJ190" t="e">
        <f t="shared" si="11"/>
        <v>#N/A</v>
      </c>
      <c r="AK190" t="str">
        <f t="shared" si="12"/>
        <v/>
      </c>
    </row>
    <row r="191" spans="1:37" ht="15" customHeight="1">
      <c r="A191" s="62">
        <v>7</v>
      </c>
      <c r="B191" s="59">
        <v>183</v>
      </c>
      <c r="C191" t="s">
        <v>2925</v>
      </c>
      <c r="D191" t="s">
        <v>2926</v>
      </c>
      <c r="E191">
        <v>407</v>
      </c>
      <c r="F191" t="s">
        <v>2141</v>
      </c>
      <c r="G191" t="s">
        <v>1910</v>
      </c>
      <c r="H191" s="119">
        <f t="shared" si="13"/>
        <v>152.23739050138511</v>
      </c>
      <c r="I191" s="123">
        <v>45301</v>
      </c>
      <c r="J191">
        <v>80138</v>
      </c>
      <c r="K191" s="119"/>
      <c r="L191">
        <v>80138</v>
      </c>
      <c r="M191">
        <v>1994</v>
      </c>
      <c r="P191" t="s">
        <v>2402</v>
      </c>
      <c r="R191" t="s">
        <v>44</v>
      </c>
      <c r="S191">
        <v>136035</v>
      </c>
      <c r="T191" s="120">
        <f t="shared" si="14"/>
        <v>1.6975092964636003</v>
      </c>
      <c r="U191" t="s">
        <v>44</v>
      </c>
      <c r="V191" s="120"/>
      <c r="W191" s="120"/>
      <c r="X191" s="120"/>
      <c r="Y191" s="121">
        <v>12200000</v>
      </c>
      <c r="Z191" s="121"/>
      <c r="AA191" s="121">
        <v>12200000</v>
      </c>
      <c r="AB191" s="121"/>
      <c r="AC191" t="s">
        <v>2927</v>
      </c>
      <c r="AD191" t="s">
        <v>2928</v>
      </c>
      <c r="AE191" s="243" t="s">
        <v>2929</v>
      </c>
      <c r="AF191" s="243" t="s">
        <v>2930</v>
      </c>
      <c r="AI191" s="59" t="e">
        <f t="shared" si="10"/>
        <v>#N/A</v>
      </c>
      <c r="AJ191" t="e">
        <f t="shared" si="11"/>
        <v>#N/A</v>
      </c>
      <c r="AK191" t="str">
        <f t="shared" si="12"/>
        <v/>
      </c>
    </row>
    <row r="192" spans="1:37" ht="15" customHeight="1">
      <c r="A192" s="62">
        <v>7</v>
      </c>
      <c r="B192" s="59">
        <v>184</v>
      </c>
      <c r="C192" t="s">
        <v>2931</v>
      </c>
      <c r="D192" t="s">
        <v>2932</v>
      </c>
      <c r="E192">
        <v>353</v>
      </c>
      <c r="F192" t="s">
        <v>1896</v>
      </c>
      <c r="G192" t="s">
        <v>90</v>
      </c>
      <c r="H192" s="119">
        <f t="shared" si="13"/>
        <v>403.30354107648725</v>
      </c>
      <c r="I192" s="123">
        <v>45280</v>
      </c>
      <c r="J192">
        <v>7060</v>
      </c>
      <c r="K192" s="119"/>
      <c r="L192">
        <v>7060</v>
      </c>
      <c r="M192">
        <v>2007</v>
      </c>
      <c r="P192" t="s">
        <v>2635</v>
      </c>
      <c r="R192" t="s">
        <v>44</v>
      </c>
      <c r="S192">
        <v>33043</v>
      </c>
      <c r="T192" s="120">
        <f t="shared" si="14"/>
        <v>4.6803116147308783</v>
      </c>
      <c r="U192" t="s">
        <v>44</v>
      </c>
      <c r="V192" s="120"/>
      <c r="W192" s="120"/>
      <c r="X192" s="120"/>
      <c r="Y192" s="121">
        <v>2847323</v>
      </c>
      <c r="Z192" s="121"/>
      <c r="AA192" s="121">
        <v>2847323</v>
      </c>
      <c r="AB192" s="121"/>
      <c r="AC192" t="s">
        <v>2933</v>
      </c>
      <c r="AD192" t="s">
        <v>2934</v>
      </c>
      <c r="AE192" s="243" t="s">
        <v>2935</v>
      </c>
      <c r="AF192" s="243" t="s">
        <v>2936</v>
      </c>
      <c r="AI192" s="59" t="e">
        <f t="shared" si="10"/>
        <v>#N/A</v>
      </c>
      <c r="AJ192" t="e">
        <f t="shared" si="11"/>
        <v>#N/A</v>
      </c>
      <c r="AK192" t="str">
        <f t="shared" si="12"/>
        <v/>
      </c>
    </row>
    <row r="193" spans="1:37" ht="15" customHeight="1">
      <c r="A193" s="62">
        <v>7</v>
      </c>
      <c r="B193" s="59">
        <v>185</v>
      </c>
      <c r="C193" t="s">
        <v>2937</v>
      </c>
      <c r="D193" t="s">
        <v>2938</v>
      </c>
      <c r="E193">
        <v>325</v>
      </c>
      <c r="F193" t="s">
        <v>2141</v>
      </c>
      <c r="G193" t="s">
        <v>1910</v>
      </c>
      <c r="H193" s="119">
        <f t="shared" si="13"/>
        <v>256.59824046920824</v>
      </c>
      <c r="I193" s="123">
        <v>44887</v>
      </c>
      <c r="J193">
        <v>27280</v>
      </c>
      <c r="K193" s="119"/>
      <c r="L193">
        <v>27280</v>
      </c>
      <c r="M193">
        <v>1981</v>
      </c>
      <c r="P193" t="s">
        <v>2230</v>
      </c>
      <c r="R193" t="s">
        <v>44</v>
      </c>
      <c r="S193">
        <v>236242</v>
      </c>
      <c r="T193" s="120">
        <f t="shared" si="14"/>
        <v>8.6598973607038126</v>
      </c>
      <c r="U193" t="s">
        <v>44</v>
      </c>
      <c r="V193" s="120"/>
      <c r="W193" s="120"/>
      <c r="X193" s="120"/>
      <c r="Y193" s="121">
        <v>7000000</v>
      </c>
      <c r="Z193" s="121"/>
      <c r="AA193" s="121">
        <v>7000000</v>
      </c>
      <c r="AB193" s="121"/>
      <c r="AC193" t="s">
        <v>2939</v>
      </c>
      <c r="AD193" t="s">
        <v>2940</v>
      </c>
      <c r="AE193" s="243" t="s">
        <v>2941</v>
      </c>
      <c r="AF193" s="243" t="s">
        <v>2942</v>
      </c>
      <c r="AI193" s="59" t="e">
        <f t="shared" si="10"/>
        <v>#N/A</v>
      </c>
      <c r="AJ193" t="e">
        <f t="shared" si="11"/>
        <v>#N/A</v>
      </c>
      <c r="AK193" t="str">
        <f t="shared" si="12"/>
        <v/>
      </c>
    </row>
    <row r="194" spans="1:37" ht="15" customHeight="1">
      <c r="A194" s="62">
        <v>7</v>
      </c>
      <c r="B194" s="59">
        <v>186</v>
      </c>
      <c r="C194" t="s">
        <v>2943</v>
      </c>
      <c r="D194" t="s">
        <v>2944</v>
      </c>
      <c r="E194">
        <v>412</v>
      </c>
      <c r="F194" t="s">
        <v>1984</v>
      </c>
      <c r="G194" t="s">
        <v>89</v>
      </c>
      <c r="H194" s="119">
        <f t="shared" si="13"/>
        <v>189.0934490844684</v>
      </c>
      <c r="I194" s="123">
        <v>45001</v>
      </c>
      <c r="J194">
        <v>20043</v>
      </c>
      <c r="K194" s="119"/>
      <c r="L194">
        <v>20043</v>
      </c>
      <c r="M194">
        <v>1973</v>
      </c>
      <c r="P194" t="s">
        <v>2427</v>
      </c>
      <c r="R194" t="s">
        <v>229</v>
      </c>
      <c r="S194">
        <v>124760</v>
      </c>
      <c r="T194" s="120">
        <f t="shared" si="14"/>
        <v>6.2246170732924213</v>
      </c>
      <c r="U194" t="s">
        <v>229</v>
      </c>
      <c r="V194" s="120"/>
      <c r="W194" s="120"/>
      <c r="X194" s="120"/>
      <c r="Y194" s="121">
        <v>3790000</v>
      </c>
      <c r="Z194" s="121"/>
      <c r="AA194" s="121">
        <v>3790000</v>
      </c>
      <c r="AB194" s="121"/>
      <c r="AC194" t="s">
        <v>2945</v>
      </c>
      <c r="AD194" t="s">
        <v>2946</v>
      </c>
      <c r="AE194" s="243" t="s">
        <v>2947</v>
      </c>
      <c r="AF194" s="243" t="s">
        <v>2948</v>
      </c>
      <c r="AI194" s="59" t="e">
        <f t="shared" ref="AI194:AI257" si="15">IF(AND($E194=Subj_OccCode,Subj_BldgSF&gt;0,ABS($L194-Subj_BldgSF)&lt;=Subj_BldgSF*Subj_SizeTol),ABS($L194-Subj_BldgSF),NA())</f>
        <v>#N/A</v>
      </c>
      <c r="AJ194" t="e">
        <f t="shared" ref="AJ194:AJ257" si="16">IF(ISNA(AI194),NA(),AI194+ROW()/10000000)</f>
        <v>#N/A</v>
      </c>
      <c r="AK194" t="str">
        <f t="shared" ref="AK194:AK257" si="17">IF(AND(ISNUMBER($N194),$N194&gt;0,ISNUMBER($Y194)),$Y194/$N194,"")</f>
        <v/>
      </c>
    </row>
    <row r="195" spans="1:37" ht="15" customHeight="1">
      <c r="A195" s="62">
        <v>7</v>
      </c>
      <c r="B195" s="59">
        <v>187</v>
      </c>
      <c r="C195" t="s">
        <v>2949</v>
      </c>
      <c r="D195" t="s">
        <v>2950</v>
      </c>
      <c r="E195">
        <v>325</v>
      </c>
      <c r="F195" t="s">
        <v>2494</v>
      </c>
      <c r="G195" t="s">
        <v>1786</v>
      </c>
      <c r="H195" s="119">
        <f t="shared" si="13"/>
        <v>261.90476190476193</v>
      </c>
      <c r="I195" s="123">
        <v>45299</v>
      </c>
      <c r="J195">
        <v>4200</v>
      </c>
      <c r="K195" s="119"/>
      <c r="L195">
        <v>4200</v>
      </c>
      <c r="M195">
        <v>1985</v>
      </c>
      <c r="P195" t="s">
        <v>2495</v>
      </c>
      <c r="R195" t="s">
        <v>44</v>
      </c>
      <c r="S195">
        <v>35719</v>
      </c>
      <c r="T195" s="120">
        <f t="shared" si="14"/>
        <v>8.5045238095238087</v>
      </c>
      <c r="U195" t="s">
        <v>44</v>
      </c>
      <c r="V195" s="120"/>
      <c r="W195" s="120"/>
      <c r="X195" s="120"/>
      <c r="Y195" s="121">
        <v>1100000</v>
      </c>
      <c r="Z195" s="121"/>
      <c r="AA195" s="121">
        <v>1100000</v>
      </c>
      <c r="AB195" s="121"/>
      <c r="AC195" t="s">
        <v>2951</v>
      </c>
      <c r="AD195" t="s">
        <v>2952</v>
      </c>
      <c r="AE195" s="243" t="s">
        <v>2953</v>
      </c>
      <c r="AF195" s="243" t="s">
        <v>2954</v>
      </c>
      <c r="AI195" s="59" t="e">
        <f t="shared" si="15"/>
        <v>#N/A</v>
      </c>
      <c r="AJ195" t="e">
        <f t="shared" si="16"/>
        <v>#N/A</v>
      </c>
      <c r="AK195" t="str">
        <f t="shared" si="17"/>
        <v/>
      </c>
    </row>
    <row r="196" spans="1:37" ht="15" customHeight="1">
      <c r="A196" s="62">
        <v>7</v>
      </c>
      <c r="B196" s="59">
        <v>188</v>
      </c>
      <c r="C196" t="s">
        <v>2955</v>
      </c>
      <c r="D196" t="s">
        <v>2956</v>
      </c>
      <c r="E196">
        <v>325</v>
      </c>
      <c r="F196" t="s">
        <v>1814</v>
      </c>
      <c r="G196" t="s">
        <v>1815</v>
      </c>
      <c r="H196" s="119">
        <f t="shared" si="13"/>
        <v>143.12267657992564</v>
      </c>
      <c r="I196" s="123">
        <v>45054</v>
      </c>
      <c r="J196">
        <v>3766</v>
      </c>
      <c r="K196" s="119"/>
      <c r="L196">
        <v>3766</v>
      </c>
      <c r="M196">
        <v>1964</v>
      </c>
      <c r="P196" t="s">
        <v>2715</v>
      </c>
      <c r="R196" t="s">
        <v>44</v>
      </c>
      <c r="S196">
        <v>9375</v>
      </c>
      <c r="T196" s="120">
        <f t="shared" si="14"/>
        <v>2.4893786510886882</v>
      </c>
      <c r="U196" t="s">
        <v>44</v>
      </c>
      <c r="V196" s="120"/>
      <c r="W196" s="120"/>
      <c r="X196" s="120"/>
      <c r="Y196" s="121">
        <v>539000</v>
      </c>
      <c r="Z196" s="121"/>
      <c r="AA196" s="121">
        <v>539000</v>
      </c>
      <c r="AB196" s="121"/>
      <c r="AC196" t="s">
        <v>2957</v>
      </c>
      <c r="AD196" t="s">
        <v>2958</v>
      </c>
      <c r="AE196" s="243" t="s">
        <v>2959</v>
      </c>
      <c r="AF196" s="243" t="s">
        <v>2960</v>
      </c>
      <c r="AI196" s="59" t="e">
        <f t="shared" si="15"/>
        <v>#N/A</v>
      </c>
      <c r="AJ196" t="e">
        <f t="shared" si="16"/>
        <v>#N/A</v>
      </c>
      <c r="AK196" t="str">
        <f t="shared" si="17"/>
        <v/>
      </c>
    </row>
    <row r="197" spans="1:37" ht="15" customHeight="1">
      <c r="A197" s="62">
        <v>7</v>
      </c>
      <c r="B197" s="59">
        <v>189</v>
      </c>
      <c r="C197" t="s">
        <v>2961</v>
      </c>
      <c r="D197" t="s">
        <v>2962</v>
      </c>
      <c r="E197">
        <v>344</v>
      </c>
      <c r="F197" t="s">
        <v>1814</v>
      </c>
      <c r="G197" t="s">
        <v>1815</v>
      </c>
      <c r="H197" s="119">
        <f t="shared" si="13"/>
        <v>337.65609990393853</v>
      </c>
      <c r="I197" s="123">
        <v>44778</v>
      </c>
      <c r="J197">
        <v>1041</v>
      </c>
      <c r="K197" s="119"/>
      <c r="L197">
        <v>1041</v>
      </c>
      <c r="M197">
        <v>1918</v>
      </c>
      <c r="P197" t="s">
        <v>2715</v>
      </c>
      <c r="R197" t="s">
        <v>44</v>
      </c>
      <c r="S197">
        <v>6350</v>
      </c>
      <c r="T197" s="120">
        <f t="shared" si="14"/>
        <v>6.0999039385206535</v>
      </c>
      <c r="U197" t="s">
        <v>44</v>
      </c>
      <c r="V197" s="120"/>
      <c r="W197" s="120"/>
      <c r="X197" s="120"/>
      <c r="Y197" s="121">
        <v>351500</v>
      </c>
      <c r="Z197" s="121"/>
      <c r="AA197" s="121">
        <v>351500</v>
      </c>
      <c r="AB197" s="121"/>
      <c r="AC197" t="s">
        <v>2963</v>
      </c>
      <c r="AD197" t="s">
        <v>2964</v>
      </c>
      <c r="AE197" s="243" t="s">
        <v>2965</v>
      </c>
      <c r="AF197" s="243" t="s">
        <v>2966</v>
      </c>
      <c r="AI197" s="59" t="e">
        <f t="shared" si="15"/>
        <v>#N/A</v>
      </c>
      <c r="AJ197" t="e">
        <f t="shared" si="16"/>
        <v>#N/A</v>
      </c>
      <c r="AK197" t="str">
        <f t="shared" si="17"/>
        <v/>
      </c>
    </row>
    <row r="198" spans="1:37" ht="15" customHeight="1">
      <c r="A198" s="62">
        <v>7</v>
      </c>
      <c r="B198" s="59">
        <v>190</v>
      </c>
      <c r="C198" t="s">
        <v>2967</v>
      </c>
      <c r="D198" t="s">
        <v>2968</v>
      </c>
      <c r="E198">
        <v>406</v>
      </c>
      <c r="F198" t="s">
        <v>1896</v>
      </c>
      <c r="G198" t="s">
        <v>1786</v>
      </c>
      <c r="H198" s="119">
        <f t="shared" ref="H198:H261" si="18">Y198/J198</f>
        <v>192.36460491269605</v>
      </c>
      <c r="I198" s="123">
        <v>44981</v>
      </c>
      <c r="J198">
        <v>13516</v>
      </c>
      <c r="K198" s="119"/>
      <c r="L198">
        <v>13516</v>
      </c>
      <c r="M198">
        <v>1997</v>
      </c>
      <c r="P198" t="s">
        <v>2529</v>
      </c>
      <c r="R198" t="s">
        <v>44</v>
      </c>
      <c r="S198">
        <v>50790.960899999998</v>
      </c>
      <c r="T198" s="120">
        <f t="shared" si="14"/>
        <v>3.7578396641018053</v>
      </c>
      <c r="U198" t="s">
        <v>44</v>
      </c>
      <c r="V198" s="120"/>
      <c r="W198" s="120"/>
      <c r="X198" s="120"/>
      <c r="Y198" s="121">
        <v>2600000</v>
      </c>
      <c r="Z198" s="121"/>
      <c r="AA198" s="121">
        <v>2600000</v>
      </c>
      <c r="AB198" s="121"/>
      <c r="AC198" t="s">
        <v>2969</v>
      </c>
      <c r="AD198" t="s">
        <v>2970</v>
      </c>
      <c r="AE198" s="243" t="s">
        <v>2971</v>
      </c>
      <c r="AF198" s="243" t="s">
        <v>2972</v>
      </c>
      <c r="AI198" s="59">
        <f t="shared" si="15"/>
        <v>884</v>
      </c>
      <c r="AJ198">
        <f t="shared" si="16"/>
        <v>884.00001980000002</v>
      </c>
      <c r="AK198" t="str">
        <f t="shared" si="17"/>
        <v/>
      </c>
    </row>
    <row r="199" spans="1:37" ht="15" customHeight="1">
      <c r="A199" s="62">
        <v>7</v>
      </c>
      <c r="B199" s="59">
        <v>191</v>
      </c>
      <c r="C199" t="s">
        <v>2973</v>
      </c>
      <c r="D199" t="s">
        <v>2974</v>
      </c>
      <c r="E199">
        <v>328</v>
      </c>
      <c r="G199" t="s">
        <v>88</v>
      </c>
      <c r="H199" s="119">
        <f t="shared" si="18"/>
        <v>181.0344827586207</v>
      </c>
      <c r="I199" s="123">
        <v>45191</v>
      </c>
      <c r="J199">
        <v>2900</v>
      </c>
      <c r="K199" s="119"/>
      <c r="L199">
        <v>2900</v>
      </c>
      <c r="M199">
        <v>2000</v>
      </c>
      <c r="R199" t="s">
        <v>44</v>
      </c>
      <c r="T199" s="120">
        <f t="shared" si="14"/>
        <v>0</v>
      </c>
      <c r="U199" t="s">
        <v>44</v>
      </c>
      <c r="V199" s="120"/>
      <c r="W199" s="120"/>
      <c r="X199" s="120"/>
      <c r="Y199" s="121">
        <v>525000</v>
      </c>
      <c r="Z199" s="121"/>
      <c r="AA199" s="121">
        <v>525000</v>
      </c>
      <c r="AB199" s="121"/>
      <c r="AC199" t="s">
        <v>2975</v>
      </c>
      <c r="AD199" t="s">
        <v>2976</v>
      </c>
      <c r="AE199" s="243" t="s">
        <v>2977</v>
      </c>
      <c r="AF199" s="243" t="s">
        <v>2978</v>
      </c>
      <c r="AI199" s="59" t="e">
        <f t="shared" si="15"/>
        <v>#N/A</v>
      </c>
      <c r="AJ199" t="e">
        <f t="shared" si="16"/>
        <v>#N/A</v>
      </c>
      <c r="AK199" t="str">
        <f t="shared" si="17"/>
        <v/>
      </c>
    </row>
    <row r="200" spans="1:37" ht="15" customHeight="1">
      <c r="A200" s="62">
        <v>7</v>
      </c>
      <c r="B200" s="59">
        <v>192</v>
      </c>
      <c r="C200" t="s">
        <v>2979</v>
      </c>
      <c r="D200" t="s">
        <v>2980</v>
      </c>
      <c r="E200">
        <v>328</v>
      </c>
      <c r="G200" t="s">
        <v>88</v>
      </c>
      <c r="H200" s="119">
        <f t="shared" si="18"/>
        <v>108.77551020408163</v>
      </c>
      <c r="I200" s="123">
        <v>44854</v>
      </c>
      <c r="J200">
        <v>4900</v>
      </c>
      <c r="K200" s="119"/>
      <c r="L200">
        <v>4900</v>
      </c>
      <c r="M200">
        <v>1997</v>
      </c>
      <c r="R200" t="s">
        <v>44</v>
      </c>
      <c r="T200" s="120">
        <f t="shared" si="14"/>
        <v>0</v>
      </c>
      <c r="U200" t="s">
        <v>44</v>
      </c>
      <c r="V200" s="120"/>
      <c r="W200" s="120"/>
      <c r="X200" s="120"/>
      <c r="Y200" s="121">
        <v>533000</v>
      </c>
      <c r="Z200" s="121"/>
      <c r="AA200" s="121">
        <v>533000</v>
      </c>
      <c r="AB200" s="121"/>
      <c r="AC200" t="s">
        <v>2981</v>
      </c>
      <c r="AD200" t="s">
        <v>2982</v>
      </c>
      <c r="AE200" s="243" t="s">
        <v>2983</v>
      </c>
      <c r="AF200" s="243" t="s">
        <v>2984</v>
      </c>
      <c r="AI200" s="59" t="e">
        <f t="shared" si="15"/>
        <v>#N/A</v>
      </c>
      <c r="AJ200" t="e">
        <f t="shared" si="16"/>
        <v>#N/A</v>
      </c>
      <c r="AK200" t="str">
        <f t="shared" si="17"/>
        <v/>
      </c>
    </row>
    <row r="201" spans="1:37" ht="15" customHeight="1">
      <c r="A201" s="62">
        <v>7</v>
      </c>
      <c r="B201" s="59">
        <v>193</v>
      </c>
      <c r="C201" t="s">
        <v>2985</v>
      </c>
      <c r="D201" t="s">
        <v>2986</v>
      </c>
      <c r="E201">
        <v>408</v>
      </c>
      <c r="F201" t="s">
        <v>1896</v>
      </c>
      <c r="G201" t="s">
        <v>1786</v>
      </c>
      <c r="H201" s="119">
        <f t="shared" si="18"/>
        <v>410.87968749999999</v>
      </c>
      <c r="I201" s="123">
        <v>45218</v>
      </c>
      <c r="J201">
        <v>1920</v>
      </c>
      <c r="K201" s="119"/>
      <c r="L201">
        <v>1920</v>
      </c>
      <c r="M201">
        <v>1963</v>
      </c>
      <c r="P201" t="s">
        <v>2529</v>
      </c>
      <c r="R201" t="s">
        <v>44</v>
      </c>
      <c r="S201">
        <v>16563</v>
      </c>
      <c r="T201" s="120">
        <f t="shared" ref="T201:T264" si="19">S201/L201</f>
        <v>8.6265625000000004</v>
      </c>
      <c r="U201" t="s">
        <v>44</v>
      </c>
      <c r="V201" s="120"/>
      <c r="W201" s="120"/>
      <c r="X201" s="120"/>
      <c r="Y201" s="121">
        <v>788889</v>
      </c>
      <c r="Z201" s="121"/>
      <c r="AA201" s="121">
        <v>788889</v>
      </c>
      <c r="AB201" s="121"/>
      <c r="AC201" t="s">
        <v>2987</v>
      </c>
      <c r="AD201" t="s">
        <v>2988</v>
      </c>
      <c r="AE201" s="243" t="s">
        <v>2989</v>
      </c>
      <c r="AF201" s="243" t="s">
        <v>2990</v>
      </c>
      <c r="AI201" s="59" t="e">
        <f t="shared" si="15"/>
        <v>#N/A</v>
      </c>
      <c r="AJ201" t="e">
        <f t="shared" si="16"/>
        <v>#N/A</v>
      </c>
      <c r="AK201" t="str">
        <f t="shared" si="17"/>
        <v/>
      </c>
    </row>
    <row r="202" spans="1:37" ht="15" customHeight="1">
      <c r="A202" s="62">
        <v>7</v>
      </c>
      <c r="B202" s="59">
        <v>194</v>
      </c>
      <c r="C202" t="s">
        <v>2991</v>
      </c>
      <c r="D202" t="s">
        <v>2992</v>
      </c>
      <c r="E202">
        <v>419</v>
      </c>
      <c r="F202" t="s">
        <v>1785</v>
      </c>
      <c r="G202" t="s">
        <v>1786</v>
      </c>
      <c r="H202" s="119">
        <f t="shared" si="18"/>
        <v>1930.1523426271917</v>
      </c>
      <c r="I202" s="123">
        <v>44924</v>
      </c>
      <c r="J202">
        <v>3479</v>
      </c>
      <c r="K202" s="119"/>
      <c r="L202">
        <v>3479</v>
      </c>
      <c r="M202">
        <v>2022</v>
      </c>
      <c r="R202" t="s">
        <v>44</v>
      </c>
      <c r="S202">
        <v>42879</v>
      </c>
      <c r="T202" s="120">
        <f t="shared" si="19"/>
        <v>12.32509341764875</v>
      </c>
      <c r="U202" t="s">
        <v>44</v>
      </c>
      <c r="V202" s="120"/>
      <c r="W202" s="120"/>
      <c r="X202" s="120"/>
      <c r="Y202" s="121">
        <v>6715000</v>
      </c>
      <c r="Z202" s="121"/>
      <c r="AA202" s="121">
        <v>6715000</v>
      </c>
      <c r="AB202" s="121"/>
      <c r="AC202" t="s">
        <v>2993</v>
      </c>
      <c r="AD202" t="s">
        <v>2994</v>
      </c>
      <c r="AE202" s="243" t="s">
        <v>2995</v>
      </c>
      <c r="AF202" s="243" t="s">
        <v>2996</v>
      </c>
      <c r="AI202" s="59" t="e">
        <f t="shared" si="15"/>
        <v>#N/A</v>
      </c>
      <c r="AJ202" t="e">
        <f t="shared" si="16"/>
        <v>#N/A</v>
      </c>
      <c r="AK202" t="str">
        <f t="shared" si="17"/>
        <v/>
      </c>
    </row>
    <row r="203" spans="1:37" ht="15" customHeight="1">
      <c r="A203" s="62">
        <v>7</v>
      </c>
      <c r="B203" s="59">
        <v>195</v>
      </c>
      <c r="C203" t="s">
        <v>2997</v>
      </c>
      <c r="D203" t="s">
        <v>2998</v>
      </c>
      <c r="E203">
        <v>341</v>
      </c>
      <c r="F203" t="s">
        <v>1800</v>
      </c>
      <c r="G203" t="s">
        <v>90</v>
      </c>
      <c r="H203" s="119">
        <f t="shared" si="18"/>
        <v>409.4625385337086</v>
      </c>
      <c r="I203" s="123">
        <v>45401</v>
      </c>
      <c r="J203">
        <v>74610</v>
      </c>
      <c r="K203" s="119"/>
      <c r="L203">
        <v>74610</v>
      </c>
      <c r="M203">
        <v>2021</v>
      </c>
      <c r="R203" t="s">
        <v>229</v>
      </c>
      <c r="S203">
        <v>67984</v>
      </c>
      <c r="T203" s="120">
        <f t="shared" si="19"/>
        <v>0.91119152928561853</v>
      </c>
      <c r="U203" t="s">
        <v>229</v>
      </c>
      <c r="V203" s="120"/>
      <c r="W203" s="120"/>
      <c r="X203" s="120"/>
      <c r="Y203" s="121">
        <v>30550000</v>
      </c>
      <c r="Z203" s="121"/>
      <c r="AA203" s="121">
        <v>30550000</v>
      </c>
      <c r="AB203" s="121"/>
      <c r="AC203" t="s">
        <v>2999</v>
      </c>
      <c r="AD203" t="s">
        <v>3000</v>
      </c>
      <c r="AE203" s="243" t="s">
        <v>3001</v>
      </c>
      <c r="AF203" s="243" t="s">
        <v>3002</v>
      </c>
      <c r="AI203" s="59" t="e">
        <f t="shared" si="15"/>
        <v>#N/A</v>
      </c>
      <c r="AJ203" t="e">
        <f t="shared" si="16"/>
        <v>#N/A</v>
      </c>
      <c r="AK203" t="str">
        <f t="shared" si="17"/>
        <v/>
      </c>
    </row>
    <row r="204" spans="1:37" ht="15" customHeight="1">
      <c r="A204" s="62">
        <v>7</v>
      </c>
      <c r="B204" s="59">
        <v>196</v>
      </c>
      <c r="C204" t="s">
        <v>3003</v>
      </c>
      <c r="D204" t="s">
        <v>3004</v>
      </c>
      <c r="E204">
        <v>328</v>
      </c>
      <c r="G204" t="s">
        <v>88</v>
      </c>
      <c r="H204" s="119">
        <f t="shared" si="18"/>
        <v>97.363083164300207</v>
      </c>
      <c r="I204" s="123">
        <v>45107</v>
      </c>
      <c r="J204">
        <v>2465</v>
      </c>
      <c r="K204" s="119"/>
      <c r="L204">
        <v>2465</v>
      </c>
      <c r="R204" t="s">
        <v>44</v>
      </c>
      <c r="T204" s="120">
        <f t="shared" si="19"/>
        <v>0</v>
      </c>
      <c r="U204" t="s">
        <v>44</v>
      </c>
      <c r="V204" s="120"/>
      <c r="W204" s="120"/>
      <c r="X204" s="120"/>
      <c r="Y204" s="121">
        <v>240000</v>
      </c>
      <c r="Z204" s="121"/>
      <c r="AA204" s="121">
        <v>240000</v>
      </c>
      <c r="AB204" s="121"/>
      <c r="AC204" t="s">
        <v>3005</v>
      </c>
      <c r="AD204" t="s">
        <v>3006</v>
      </c>
      <c r="AE204" s="243" t="s">
        <v>3007</v>
      </c>
      <c r="AF204" s="243" t="s">
        <v>3008</v>
      </c>
      <c r="AI204" s="59" t="e">
        <f t="shared" si="15"/>
        <v>#N/A</v>
      </c>
      <c r="AJ204" t="e">
        <f t="shared" si="16"/>
        <v>#N/A</v>
      </c>
      <c r="AK204" t="str">
        <f t="shared" si="17"/>
        <v/>
      </c>
    </row>
    <row r="205" spans="1:37" ht="15" customHeight="1">
      <c r="A205" s="62">
        <v>7</v>
      </c>
      <c r="B205" s="59">
        <v>197</v>
      </c>
      <c r="C205" t="s">
        <v>3009</v>
      </c>
      <c r="D205" t="s">
        <v>3010</v>
      </c>
      <c r="E205">
        <v>425</v>
      </c>
      <c r="F205" t="s">
        <v>2141</v>
      </c>
      <c r="G205" t="s">
        <v>1910</v>
      </c>
      <c r="H205" s="119">
        <f t="shared" si="18"/>
        <v>33.035714285714285</v>
      </c>
      <c r="I205" s="123">
        <v>44762</v>
      </c>
      <c r="J205">
        <v>7560</v>
      </c>
      <c r="K205" s="119"/>
      <c r="L205">
        <v>7560</v>
      </c>
      <c r="M205">
        <v>2022</v>
      </c>
      <c r="R205" t="s">
        <v>44</v>
      </c>
      <c r="S205">
        <v>0</v>
      </c>
      <c r="T205" s="120">
        <f t="shared" si="19"/>
        <v>0</v>
      </c>
      <c r="U205" t="s">
        <v>44</v>
      </c>
      <c r="V205" s="120"/>
      <c r="W205" s="120"/>
      <c r="X205" s="120"/>
      <c r="Y205" s="121">
        <v>249750</v>
      </c>
      <c r="Z205" s="121"/>
      <c r="AA205" s="121">
        <v>249750</v>
      </c>
      <c r="AB205" s="121"/>
      <c r="AC205" t="s">
        <v>3011</v>
      </c>
      <c r="AD205" t="s">
        <v>3012</v>
      </c>
      <c r="AE205" s="243" t="s">
        <v>2392</v>
      </c>
      <c r="AF205" s="243" t="s">
        <v>3013</v>
      </c>
      <c r="AI205" s="59" t="e">
        <f t="shared" si="15"/>
        <v>#N/A</v>
      </c>
      <c r="AJ205" t="e">
        <f t="shared" si="16"/>
        <v>#N/A</v>
      </c>
      <c r="AK205" t="str">
        <f t="shared" si="17"/>
        <v/>
      </c>
    </row>
    <row r="206" spans="1:37" ht="15" customHeight="1">
      <c r="A206" s="62">
        <v>7</v>
      </c>
      <c r="B206" s="59">
        <v>198</v>
      </c>
      <c r="C206" t="s">
        <v>3014</v>
      </c>
      <c r="D206" t="s">
        <v>3015</v>
      </c>
      <c r="E206">
        <v>328</v>
      </c>
      <c r="G206" t="s">
        <v>88</v>
      </c>
      <c r="H206" s="119">
        <f t="shared" si="18"/>
        <v>107.06860068259385</v>
      </c>
      <c r="I206" s="123">
        <v>45390</v>
      </c>
      <c r="J206">
        <v>2930</v>
      </c>
      <c r="K206" s="119"/>
      <c r="L206">
        <v>2930</v>
      </c>
      <c r="M206">
        <v>2024</v>
      </c>
      <c r="R206" t="s">
        <v>44</v>
      </c>
      <c r="T206" s="120">
        <f t="shared" si="19"/>
        <v>0</v>
      </c>
      <c r="U206" t="s">
        <v>44</v>
      </c>
      <c r="V206" s="120"/>
      <c r="W206" s="120"/>
      <c r="X206" s="120"/>
      <c r="Y206" s="121">
        <v>313711</v>
      </c>
      <c r="Z206" s="121"/>
      <c r="AA206" s="121">
        <v>313711</v>
      </c>
      <c r="AB206" s="121"/>
      <c r="AC206" t="s">
        <v>3016</v>
      </c>
      <c r="AD206" t="s">
        <v>3017</v>
      </c>
      <c r="AE206" s="243" t="s">
        <v>2575</v>
      </c>
      <c r="AF206" s="243" t="s">
        <v>3018</v>
      </c>
      <c r="AI206" s="59" t="e">
        <f t="shared" si="15"/>
        <v>#N/A</v>
      </c>
      <c r="AJ206" t="e">
        <f t="shared" si="16"/>
        <v>#N/A</v>
      </c>
      <c r="AK206" t="str">
        <f t="shared" si="17"/>
        <v/>
      </c>
    </row>
    <row r="207" spans="1:37" ht="15" customHeight="1">
      <c r="A207" s="62">
        <v>7</v>
      </c>
      <c r="B207" s="59">
        <v>199</v>
      </c>
      <c r="C207" t="s">
        <v>3019</v>
      </c>
      <c r="D207" t="s">
        <v>3020</v>
      </c>
      <c r="E207">
        <v>328</v>
      </c>
      <c r="G207" t="s">
        <v>88</v>
      </c>
      <c r="H207" s="119">
        <f t="shared" si="18"/>
        <v>106.34368600682593</v>
      </c>
      <c r="I207" s="123">
        <v>45390</v>
      </c>
      <c r="J207">
        <v>2930</v>
      </c>
      <c r="K207" s="119"/>
      <c r="L207">
        <v>2930</v>
      </c>
      <c r="M207">
        <v>2024</v>
      </c>
      <c r="R207" t="s">
        <v>44</v>
      </c>
      <c r="T207" s="120">
        <f t="shared" si="19"/>
        <v>0</v>
      </c>
      <c r="U207" t="s">
        <v>44</v>
      </c>
      <c r="V207" s="120"/>
      <c r="W207" s="120"/>
      <c r="X207" s="120"/>
      <c r="Y207" s="121">
        <v>311587</v>
      </c>
      <c r="Z207" s="121"/>
      <c r="AA207" s="121">
        <v>311587</v>
      </c>
      <c r="AB207" s="121"/>
      <c r="AC207" t="s">
        <v>3021</v>
      </c>
      <c r="AD207" t="s">
        <v>3022</v>
      </c>
      <c r="AE207" s="243" t="s">
        <v>2575</v>
      </c>
      <c r="AF207" s="243" t="s">
        <v>2807</v>
      </c>
      <c r="AI207" s="59" t="e">
        <f t="shared" si="15"/>
        <v>#N/A</v>
      </c>
      <c r="AJ207" t="e">
        <f t="shared" si="16"/>
        <v>#N/A</v>
      </c>
      <c r="AK207" t="str">
        <f t="shared" si="17"/>
        <v/>
      </c>
    </row>
    <row r="208" spans="1:37" ht="15" customHeight="1">
      <c r="A208" s="62">
        <v>7</v>
      </c>
      <c r="B208" s="59">
        <v>200</v>
      </c>
      <c r="C208" t="s">
        <v>3023</v>
      </c>
      <c r="D208" t="s">
        <v>3024</v>
      </c>
      <c r="E208">
        <v>408</v>
      </c>
      <c r="F208" t="s">
        <v>1976</v>
      </c>
      <c r="G208" t="s">
        <v>1910</v>
      </c>
      <c r="H208" s="119">
        <f t="shared" si="18"/>
        <v>340.90909090909093</v>
      </c>
      <c r="I208" s="123">
        <v>44762</v>
      </c>
      <c r="J208">
        <v>1584</v>
      </c>
      <c r="L208">
        <v>1584</v>
      </c>
      <c r="M208">
        <v>1969</v>
      </c>
      <c r="P208" t="s">
        <v>3025</v>
      </c>
      <c r="R208" t="s">
        <v>44</v>
      </c>
      <c r="S208">
        <v>21875</v>
      </c>
      <c r="T208" s="120">
        <f t="shared" si="19"/>
        <v>13.809974747474747</v>
      </c>
      <c r="U208" t="s">
        <v>44</v>
      </c>
      <c r="Y208" s="121">
        <v>540000</v>
      </c>
      <c r="AA208" s="121">
        <v>540000</v>
      </c>
      <c r="AC208" t="s">
        <v>3026</v>
      </c>
      <c r="AD208" t="s">
        <v>3027</v>
      </c>
      <c r="AE208" s="243" t="s">
        <v>3028</v>
      </c>
      <c r="AF208" s="243" t="s">
        <v>3029</v>
      </c>
      <c r="AI208" s="59" t="e">
        <f t="shared" si="15"/>
        <v>#N/A</v>
      </c>
      <c r="AJ208" t="e">
        <f t="shared" si="16"/>
        <v>#N/A</v>
      </c>
      <c r="AK208" t="str">
        <f t="shared" si="17"/>
        <v/>
      </c>
    </row>
    <row r="209" spans="1:37" ht="15" customHeight="1">
      <c r="A209" s="62">
        <v>7</v>
      </c>
      <c r="B209" s="59">
        <v>201</v>
      </c>
      <c r="C209" t="s">
        <v>2540</v>
      </c>
      <c r="D209" t="s">
        <v>3030</v>
      </c>
      <c r="E209">
        <v>325</v>
      </c>
      <c r="F209" t="s">
        <v>2542</v>
      </c>
      <c r="G209" t="s">
        <v>88</v>
      </c>
      <c r="H209" s="119">
        <f t="shared" si="18"/>
        <v>104.26737744329466</v>
      </c>
      <c r="I209" s="123">
        <v>44769</v>
      </c>
      <c r="J209">
        <v>9567</v>
      </c>
      <c r="L209">
        <v>9567</v>
      </c>
      <c r="M209">
        <v>2023</v>
      </c>
      <c r="R209" t="s">
        <v>44</v>
      </c>
      <c r="S209">
        <v>58678</v>
      </c>
      <c r="T209" s="120">
        <f t="shared" si="19"/>
        <v>6.1333751437232156</v>
      </c>
      <c r="U209" t="s">
        <v>44</v>
      </c>
      <c r="Y209" s="121">
        <v>997526</v>
      </c>
      <c r="AA209" s="121">
        <v>997526</v>
      </c>
      <c r="AC209" t="s">
        <v>2543</v>
      </c>
      <c r="AD209" t="s">
        <v>3031</v>
      </c>
      <c r="AE209" s="243" t="s">
        <v>3032</v>
      </c>
      <c r="AF209" s="243" t="s">
        <v>2545</v>
      </c>
      <c r="AI209" s="59" t="e">
        <f t="shared" si="15"/>
        <v>#N/A</v>
      </c>
      <c r="AJ209" t="e">
        <f t="shared" si="16"/>
        <v>#N/A</v>
      </c>
      <c r="AK209" t="str">
        <f t="shared" si="17"/>
        <v/>
      </c>
    </row>
    <row r="210" spans="1:37" ht="15" customHeight="1">
      <c r="A210" s="62">
        <v>7</v>
      </c>
      <c r="B210" s="59">
        <v>202</v>
      </c>
      <c r="C210" t="s">
        <v>2925</v>
      </c>
      <c r="D210" t="s">
        <v>3033</v>
      </c>
      <c r="E210">
        <v>407</v>
      </c>
      <c r="F210" t="s">
        <v>2141</v>
      </c>
      <c r="G210" t="s">
        <v>1910</v>
      </c>
      <c r="H210" s="119">
        <f t="shared" si="18"/>
        <v>107.53949437220794</v>
      </c>
      <c r="I210" s="123">
        <v>44775</v>
      </c>
      <c r="J210">
        <v>80138</v>
      </c>
      <c r="L210">
        <v>80138</v>
      </c>
      <c r="M210">
        <v>1994</v>
      </c>
      <c r="P210" t="s">
        <v>2402</v>
      </c>
      <c r="R210" t="s">
        <v>44</v>
      </c>
      <c r="S210">
        <v>136035</v>
      </c>
      <c r="T210" s="120">
        <f t="shared" si="19"/>
        <v>1.6975092964636003</v>
      </c>
      <c r="U210" t="s">
        <v>44</v>
      </c>
      <c r="Y210" s="121">
        <v>8618000</v>
      </c>
      <c r="AA210" s="121">
        <v>8618000</v>
      </c>
      <c r="AC210" t="s">
        <v>2927</v>
      </c>
      <c r="AD210" t="s">
        <v>3034</v>
      </c>
      <c r="AE210" s="243" t="s">
        <v>3035</v>
      </c>
      <c r="AF210" s="243" t="s">
        <v>2929</v>
      </c>
      <c r="AI210" s="59" t="e">
        <f t="shared" si="15"/>
        <v>#N/A</v>
      </c>
      <c r="AJ210" t="e">
        <f t="shared" si="16"/>
        <v>#N/A</v>
      </c>
      <c r="AK210" t="str">
        <f t="shared" si="17"/>
        <v/>
      </c>
    </row>
    <row r="211" spans="1:37" ht="15" customHeight="1">
      <c r="A211" s="62">
        <v>7</v>
      </c>
      <c r="B211" s="59">
        <v>203</v>
      </c>
      <c r="C211" t="s">
        <v>3036</v>
      </c>
      <c r="D211" t="s">
        <v>3037</v>
      </c>
      <c r="E211">
        <v>100</v>
      </c>
      <c r="F211" t="s">
        <v>1984</v>
      </c>
      <c r="G211" t="s">
        <v>89</v>
      </c>
      <c r="H211" s="119">
        <f t="shared" si="18"/>
        <v>424.88619119878604</v>
      </c>
      <c r="I211" s="123">
        <v>44804</v>
      </c>
      <c r="J211">
        <v>1318</v>
      </c>
      <c r="L211">
        <v>1318</v>
      </c>
      <c r="M211">
        <v>1956</v>
      </c>
      <c r="P211" t="s">
        <v>2287</v>
      </c>
      <c r="R211" t="s">
        <v>44</v>
      </c>
      <c r="S211">
        <v>7500</v>
      </c>
      <c r="T211" s="120">
        <f t="shared" si="19"/>
        <v>5.6904400606980277</v>
      </c>
      <c r="U211" t="s">
        <v>44</v>
      </c>
      <c r="Y211" s="121">
        <v>560000</v>
      </c>
      <c r="AA211" s="121">
        <v>560000</v>
      </c>
      <c r="AC211" t="s">
        <v>3038</v>
      </c>
      <c r="AD211" t="s">
        <v>3039</v>
      </c>
      <c r="AE211" s="243" t="s">
        <v>3040</v>
      </c>
      <c r="AF211" s="243" t="s">
        <v>3041</v>
      </c>
      <c r="AI211" s="59" t="e">
        <f t="shared" si="15"/>
        <v>#N/A</v>
      </c>
      <c r="AJ211" t="e">
        <f t="shared" si="16"/>
        <v>#N/A</v>
      </c>
      <c r="AK211" t="str">
        <f t="shared" si="17"/>
        <v/>
      </c>
    </row>
    <row r="212" spans="1:37" ht="15" customHeight="1">
      <c r="A212" s="62">
        <v>7</v>
      </c>
      <c r="B212" s="59">
        <v>204</v>
      </c>
      <c r="C212" t="s">
        <v>3042</v>
      </c>
      <c r="D212" t="s">
        <v>3043</v>
      </c>
      <c r="E212">
        <v>353</v>
      </c>
      <c r="F212" t="s">
        <v>1984</v>
      </c>
      <c r="G212" t="s">
        <v>89</v>
      </c>
      <c r="H212" s="119">
        <f t="shared" si="18"/>
        <v>438.07976140934943</v>
      </c>
      <c r="I212" s="123">
        <v>44799</v>
      </c>
      <c r="J212">
        <v>14418</v>
      </c>
      <c r="L212">
        <v>14418</v>
      </c>
      <c r="M212">
        <v>2001</v>
      </c>
      <c r="P212" t="s">
        <v>2722</v>
      </c>
      <c r="R212" t="s">
        <v>44</v>
      </c>
      <c r="S212">
        <v>94394.52</v>
      </c>
      <c r="T212" s="120">
        <f t="shared" si="19"/>
        <v>6.5469912609238454</v>
      </c>
      <c r="U212" t="s">
        <v>229</v>
      </c>
      <c r="Y212" s="121">
        <v>6316234</v>
      </c>
      <c r="AA212" s="121">
        <v>6316234</v>
      </c>
      <c r="AC212" t="s">
        <v>3044</v>
      </c>
      <c r="AD212" t="s">
        <v>3045</v>
      </c>
      <c r="AE212" s="243" t="s">
        <v>3046</v>
      </c>
      <c r="AF212" s="243" t="s">
        <v>3047</v>
      </c>
      <c r="AI212" s="59" t="e">
        <f t="shared" si="15"/>
        <v>#N/A</v>
      </c>
      <c r="AJ212" t="e">
        <f t="shared" si="16"/>
        <v>#N/A</v>
      </c>
      <c r="AK212" t="str">
        <f t="shared" si="17"/>
        <v/>
      </c>
    </row>
    <row r="213" spans="1:37" ht="15" customHeight="1">
      <c r="A213" s="62">
        <v>7</v>
      </c>
      <c r="B213" s="59">
        <v>205</v>
      </c>
      <c r="C213" t="s">
        <v>2633</v>
      </c>
      <c r="D213" t="s">
        <v>3048</v>
      </c>
      <c r="E213">
        <v>325</v>
      </c>
      <c r="F213" t="s">
        <v>1896</v>
      </c>
      <c r="G213" t="s">
        <v>1786</v>
      </c>
      <c r="H213" s="119">
        <f t="shared" si="18"/>
        <v>299.68944099378882</v>
      </c>
      <c r="I213" s="123">
        <v>44830</v>
      </c>
      <c r="J213">
        <v>6440</v>
      </c>
      <c r="L213">
        <v>6440</v>
      </c>
      <c r="M213">
        <v>2002</v>
      </c>
      <c r="P213" t="s">
        <v>2635</v>
      </c>
      <c r="R213" t="s">
        <v>44</v>
      </c>
      <c r="S213">
        <v>52276</v>
      </c>
      <c r="T213" s="120">
        <f t="shared" si="19"/>
        <v>8.1173913043478265</v>
      </c>
      <c r="U213" t="s">
        <v>44</v>
      </c>
      <c r="Y213" s="121">
        <v>1930000</v>
      </c>
      <c r="AA213" s="121">
        <v>1930000</v>
      </c>
      <c r="AC213" t="s">
        <v>2636</v>
      </c>
      <c r="AD213" t="s">
        <v>3049</v>
      </c>
      <c r="AE213" s="243" t="s">
        <v>3050</v>
      </c>
      <c r="AF213" s="243" t="s">
        <v>2638</v>
      </c>
      <c r="AI213" s="59" t="e">
        <f t="shared" si="15"/>
        <v>#N/A</v>
      </c>
      <c r="AJ213" t="e">
        <f t="shared" si="16"/>
        <v>#N/A</v>
      </c>
      <c r="AK213" t="str">
        <f t="shared" si="17"/>
        <v/>
      </c>
    </row>
    <row r="214" spans="1:37" ht="15" customHeight="1">
      <c r="A214" s="62">
        <v>7</v>
      </c>
      <c r="B214" s="59">
        <v>206</v>
      </c>
      <c r="C214" t="s">
        <v>3051</v>
      </c>
      <c r="D214" t="s">
        <v>3052</v>
      </c>
      <c r="E214">
        <v>350</v>
      </c>
      <c r="F214" t="s">
        <v>1800</v>
      </c>
      <c r="G214" t="s">
        <v>90</v>
      </c>
      <c r="H214" s="119">
        <f t="shared" si="18"/>
        <v>255.29865125240849</v>
      </c>
      <c r="I214" s="123">
        <v>44838</v>
      </c>
      <c r="J214">
        <v>10380</v>
      </c>
      <c r="L214">
        <v>10380</v>
      </c>
      <c r="M214">
        <v>1997</v>
      </c>
      <c r="P214" t="s">
        <v>1807</v>
      </c>
      <c r="R214" t="s">
        <v>44</v>
      </c>
      <c r="S214">
        <v>98968.320000000007</v>
      </c>
      <c r="T214" s="120">
        <f t="shared" si="19"/>
        <v>9.5345202312138735</v>
      </c>
      <c r="U214" t="s">
        <v>44</v>
      </c>
      <c r="Y214" s="121">
        <v>2650000</v>
      </c>
      <c r="AA214" s="121">
        <v>2650000</v>
      </c>
      <c r="AC214" t="s">
        <v>3053</v>
      </c>
      <c r="AD214" t="s">
        <v>3054</v>
      </c>
      <c r="AE214" s="243" t="s">
        <v>3055</v>
      </c>
      <c r="AF214" s="243" t="s">
        <v>3056</v>
      </c>
      <c r="AI214" s="59" t="e">
        <f t="shared" si="15"/>
        <v>#N/A</v>
      </c>
      <c r="AJ214" t="e">
        <f t="shared" si="16"/>
        <v>#N/A</v>
      </c>
      <c r="AK214" t="str">
        <f t="shared" si="17"/>
        <v/>
      </c>
    </row>
    <row r="215" spans="1:37" ht="15" customHeight="1">
      <c r="A215" s="62">
        <v>7</v>
      </c>
      <c r="B215" s="59">
        <v>207</v>
      </c>
      <c r="C215" t="s">
        <v>3057</v>
      </c>
      <c r="D215" t="s">
        <v>3058</v>
      </c>
      <c r="E215">
        <v>1111</v>
      </c>
      <c r="F215" t="s">
        <v>1800</v>
      </c>
      <c r="G215" t="s">
        <v>90</v>
      </c>
      <c r="H215" s="119">
        <f t="shared" si="18"/>
        <v>2650000</v>
      </c>
      <c r="I215" s="123">
        <v>44838</v>
      </c>
      <c r="J215">
        <v>1</v>
      </c>
      <c r="L215">
        <v>1</v>
      </c>
      <c r="M215">
        <v>2000</v>
      </c>
      <c r="P215" t="s">
        <v>1807</v>
      </c>
      <c r="R215" t="s">
        <v>44</v>
      </c>
      <c r="S215">
        <v>17859.599600000001</v>
      </c>
      <c r="T215" s="120">
        <f t="shared" si="19"/>
        <v>17859.599600000001</v>
      </c>
      <c r="U215" t="s">
        <v>44</v>
      </c>
      <c r="Y215" s="121">
        <v>2650000</v>
      </c>
      <c r="AA215" s="121">
        <v>2650000</v>
      </c>
      <c r="AC215" t="s">
        <v>3059</v>
      </c>
      <c r="AD215" t="s">
        <v>3054</v>
      </c>
      <c r="AE215" s="243" t="s">
        <v>3055</v>
      </c>
      <c r="AF215" s="243" t="s">
        <v>3056</v>
      </c>
      <c r="AI215" s="59" t="e">
        <f t="shared" si="15"/>
        <v>#N/A</v>
      </c>
      <c r="AJ215" t="e">
        <f t="shared" si="16"/>
        <v>#N/A</v>
      </c>
      <c r="AK215" t="str">
        <f t="shared" si="17"/>
        <v/>
      </c>
    </row>
    <row r="216" spans="1:37" ht="15" customHeight="1">
      <c r="A216" s="62">
        <v>7</v>
      </c>
      <c r="B216" s="59">
        <v>208</v>
      </c>
      <c r="C216" t="s">
        <v>3060</v>
      </c>
      <c r="D216" t="s">
        <v>3061</v>
      </c>
      <c r="E216">
        <v>425</v>
      </c>
      <c r="F216" t="s">
        <v>2141</v>
      </c>
      <c r="G216" t="s">
        <v>1910</v>
      </c>
      <c r="H216" s="119">
        <f t="shared" si="18"/>
        <v>36.111111111111114</v>
      </c>
      <c r="I216" s="123">
        <v>44855</v>
      </c>
      <c r="J216">
        <v>9000</v>
      </c>
      <c r="L216">
        <v>9000</v>
      </c>
      <c r="M216">
        <v>2002</v>
      </c>
      <c r="P216" t="s">
        <v>2515</v>
      </c>
      <c r="R216" t="s">
        <v>44</v>
      </c>
      <c r="S216">
        <v>6448</v>
      </c>
      <c r="T216" s="120">
        <f t="shared" si="19"/>
        <v>0.71644444444444444</v>
      </c>
      <c r="U216" t="s">
        <v>44</v>
      </c>
      <c r="Y216" s="121">
        <v>325000</v>
      </c>
      <c r="AA216" s="121">
        <v>325000</v>
      </c>
      <c r="AC216" t="s">
        <v>3062</v>
      </c>
      <c r="AD216" t="s">
        <v>3063</v>
      </c>
      <c r="AE216" s="243" t="s">
        <v>3064</v>
      </c>
      <c r="AF216" s="243" t="s">
        <v>3065</v>
      </c>
      <c r="AI216" s="59" t="e">
        <f t="shared" si="15"/>
        <v>#N/A</v>
      </c>
      <c r="AJ216" t="e">
        <f t="shared" si="16"/>
        <v>#N/A</v>
      </c>
      <c r="AK216" t="str">
        <f t="shared" si="17"/>
        <v/>
      </c>
    </row>
    <row r="217" spans="1:37" ht="15" customHeight="1">
      <c r="A217" s="62">
        <v>7</v>
      </c>
      <c r="B217" s="59">
        <v>209</v>
      </c>
      <c r="C217" t="s">
        <v>3066</v>
      </c>
      <c r="D217" t="s">
        <v>3067</v>
      </c>
      <c r="E217">
        <v>350</v>
      </c>
      <c r="F217" t="s">
        <v>1984</v>
      </c>
      <c r="G217" t="s">
        <v>89</v>
      </c>
      <c r="H217" s="119">
        <f t="shared" si="18"/>
        <v>192.54278728606357</v>
      </c>
      <c r="I217" s="123">
        <v>44860</v>
      </c>
      <c r="J217">
        <v>3272</v>
      </c>
      <c r="L217">
        <v>3272</v>
      </c>
      <c r="M217">
        <v>1912</v>
      </c>
      <c r="P217" t="s">
        <v>2287</v>
      </c>
      <c r="R217" t="s">
        <v>44</v>
      </c>
      <c r="S217">
        <v>7500</v>
      </c>
      <c r="T217" s="120">
        <f t="shared" si="19"/>
        <v>2.2921760391198043</v>
      </c>
      <c r="U217" t="s">
        <v>44</v>
      </c>
      <c r="Y217" s="121">
        <v>630000</v>
      </c>
      <c r="AA217" s="121">
        <v>630000</v>
      </c>
      <c r="AC217" t="s">
        <v>3068</v>
      </c>
      <c r="AD217" t="s">
        <v>3069</v>
      </c>
      <c r="AE217" s="243" t="s">
        <v>3070</v>
      </c>
      <c r="AF217" s="243" t="s">
        <v>3071</v>
      </c>
      <c r="AI217" s="59" t="e">
        <f t="shared" si="15"/>
        <v>#N/A</v>
      </c>
      <c r="AJ217" t="e">
        <f t="shared" si="16"/>
        <v>#N/A</v>
      </c>
      <c r="AK217" t="str">
        <f t="shared" si="17"/>
        <v/>
      </c>
    </row>
    <row r="218" spans="1:37" ht="15" customHeight="1">
      <c r="A218" s="62">
        <v>7</v>
      </c>
      <c r="B218" s="59">
        <v>210</v>
      </c>
      <c r="C218" t="s">
        <v>3072</v>
      </c>
      <c r="D218" t="s">
        <v>3073</v>
      </c>
      <c r="E218">
        <v>353</v>
      </c>
      <c r="F218" t="s">
        <v>1814</v>
      </c>
      <c r="G218" t="s">
        <v>1815</v>
      </c>
      <c r="H218" s="119">
        <f t="shared" si="18"/>
        <v>355.97745476119843</v>
      </c>
      <c r="I218" s="123">
        <v>44872</v>
      </c>
      <c r="J218">
        <v>6742</v>
      </c>
      <c r="L218">
        <v>6742</v>
      </c>
      <c r="M218">
        <v>2004</v>
      </c>
      <c r="P218" t="s">
        <v>2603</v>
      </c>
      <c r="R218" t="s">
        <v>44</v>
      </c>
      <c r="S218">
        <v>41537</v>
      </c>
      <c r="T218" s="120">
        <f t="shared" si="19"/>
        <v>6.1609314743399581</v>
      </c>
      <c r="U218" t="s">
        <v>44</v>
      </c>
      <c r="Y218" s="121">
        <v>2400000</v>
      </c>
      <c r="AA218" s="121">
        <v>2400000</v>
      </c>
      <c r="AC218" t="s">
        <v>3074</v>
      </c>
      <c r="AD218" t="s">
        <v>3075</v>
      </c>
      <c r="AE218" s="243" t="s">
        <v>3076</v>
      </c>
      <c r="AF218" s="243" t="s">
        <v>3077</v>
      </c>
      <c r="AI218" s="59" t="e">
        <f t="shared" si="15"/>
        <v>#N/A</v>
      </c>
      <c r="AJ218" t="e">
        <f t="shared" si="16"/>
        <v>#N/A</v>
      </c>
      <c r="AK218" t="str">
        <f t="shared" si="17"/>
        <v/>
      </c>
    </row>
    <row r="219" spans="1:37" ht="15" customHeight="1">
      <c r="A219" s="62">
        <v>7</v>
      </c>
      <c r="B219" s="59">
        <v>211</v>
      </c>
      <c r="C219" t="s">
        <v>3078</v>
      </c>
      <c r="D219" t="s">
        <v>3079</v>
      </c>
      <c r="E219">
        <v>340</v>
      </c>
      <c r="F219" t="s">
        <v>1800</v>
      </c>
      <c r="G219" t="s">
        <v>90</v>
      </c>
      <c r="H219" s="119">
        <f t="shared" si="18"/>
        <v>195.16918704418705</v>
      </c>
      <c r="I219" s="123">
        <v>44872</v>
      </c>
      <c r="J219">
        <v>55944</v>
      </c>
      <c r="L219">
        <v>55944</v>
      </c>
      <c r="M219">
        <v>2000</v>
      </c>
      <c r="P219" t="s">
        <v>1807</v>
      </c>
      <c r="R219" t="s">
        <v>44</v>
      </c>
      <c r="S219">
        <v>419391.32</v>
      </c>
      <c r="T219" s="120">
        <f t="shared" si="19"/>
        <v>7.4966273416273417</v>
      </c>
      <c r="U219" t="s">
        <v>229</v>
      </c>
      <c r="Y219" s="121">
        <v>10918545</v>
      </c>
      <c r="AA219" s="121">
        <v>10918545</v>
      </c>
      <c r="AC219" t="s">
        <v>3080</v>
      </c>
      <c r="AD219" t="s">
        <v>3081</v>
      </c>
      <c r="AE219" s="243" t="s">
        <v>3082</v>
      </c>
      <c r="AF219" s="243" t="s">
        <v>3083</v>
      </c>
      <c r="AI219" s="59" t="e">
        <f t="shared" si="15"/>
        <v>#N/A</v>
      </c>
      <c r="AJ219" t="e">
        <f t="shared" si="16"/>
        <v>#N/A</v>
      </c>
      <c r="AK219" t="str">
        <f t="shared" si="17"/>
        <v/>
      </c>
    </row>
    <row r="220" spans="1:37" ht="15" customHeight="1">
      <c r="A220" s="62">
        <v>7</v>
      </c>
      <c r="B220" s="59">
        <v>212</v>
      </c>
      <c r="C220" t="s">
        <v>3084</v>
      </c>
      <c r="D220" t="s">
        <v>3085</v>
      </c>
      <c r="E220">
        <v>407</v>
      </c>
      <c r="F220" t="s">
        <v>2141</v>
      </c>
      <c r="G220" t="s">
        <v>1910</v>
      </c>
      <c r="H220" s="119">
        <f t="shared" si="18"/>
        <v>237.24302469135802</v>
      </c>
      <c r="I220" s="123">
        <v>44875</v>
      </c>
      <c r="J220">
        <v>16200</v>
      </c>
      <c r="L220">
        <v>16200</v>
      </c>
      <c r="M220">
        <v>1970</v>
      </c>
      <c r="P220" t="s">
        <v>2142</v>
      </c>
      <c r="R220" t="s">
        <v>44</v>
      </c>
      <c r="S220">
        <v>59734</v>
      </c>
      <c r="T220" s="120">
        <f t="shared" si="19"/>
        <v>3.6872839506172839</v>
      </c>
      <c r="U220" t="s">
        <v>44</v>
      </c>
      <c r="Y220" s="121">
        <v>3843337</v>
      </c>
      <c r="AA220" s="121">
        <v>3843337</v>
      </c>
      <c r="AC220" t="s">
        <v>3086</v>
      </c>
      <c r="AD220" t="s">
        <v>3087</v>
      </c>
      <c r="AE220" s="243" t="s">
        <v>3088</v>
      </c>
      <c r="AF220" s="243" t="s">
        <v>3089</v>
      </c>
      <c r="AI220" s="59" t="e">
        <f t="shared" si="15"/>
        <v>#N/A</v>
      </c>
      <c r="AJ220" t="e">
        <f t="shared" si="16"/>
        <v>#N/A</v>
      </c>
      <c r="AK220" t="str">
        <f t="shared" si="17"/>
        <v/>
      </c>
    </row>
    <row r="221" spans="1:37" ht="15" customHeight="1">
      <c r="A221" s="62">
        <v>7</v>
      </c>
      <c r="B221" s="59">
        <v>213</v>
      </c>
      <c r="C221" t="s">
        <v>3090</v>
      </c>
      <c r="D221" t="s">
        <v>3091</v>
      </c>
      <c r="E221">
        <v>309</v>
      </c>
      <c r="F221" t="s">
        <v>1896</v>
      </c>
      <c r="G221" t="s">
        <v>90</v>
      </c>
      <c r="H221" s="119">
        <f t="shared" si="18"/>
        <v>267.12255582861417</v>
      </c>
      <c r="I221" s="123">
        <v>44897</v>
      </c>
      <c r="J221">
        <v>18718</v>
      </c>
      <c r="L221">
        <v>18718</v>
      </c>
      <c r="M221">
        <v>2003</v>
      </c>
      <c r="P221" t="s">
        <v>2197</v>
      </c>
      <c r="R221" t="s">
        <v>229</v>
      </c>
      <c r="S221">
        <v>268983</v>
      </c>
      <c r="T221" s="120">
        <f t="shared" si="19"/>
        <v>14.370285286889626</v>
      </c>
      <c r="U221" t="s">
        <v>44</v>
      </c>
      <c r="Y221" s="121">
        <v>5000000</v>
      </c>
      <c r="AA221" s="121">
        <v>5000000</v>
      </c>
      <c r="AC221" t="s">
        <v>3092</v>
      </c>
      <c r="AD221" t="s">
        <v>3093</v>
      </c>
      <c r="AE221" s="243" t="s">
        <v>3094</v>
      </c>
      <c r="AF221" s="243" t="s">
        <v>3095</v>
      </c>
      <c r="AI221" s="59" t="e">
        <f t="shared" si="15"/>
        <v>#N/A</v>
      </c>
      <c r="AJ221" t="e">
        <f t="shared" si="16"/>
        <v>#N/A</v>
      </c>
      <c r="AK221" t="str">
        <f t="shared" si="17"/>
        <v/>
      </c>
    </row>
    <row r="222" spans="1:37" ht="15" customHeight="1">
      <c r="A222" s="62">
        <v>7</v>
      </c>
      <c r="B222" s="59">
        <v>214</v>
      </c>
      <c r="C222" t="s">
        <v>3096</v>
      </c>
      <c r="D222" t="s">
        <v>3097</v>
      </c>
      <c r="E222">
        <v>325</v>
      </c>
      <c r="G222" t="s">
        <v>1910</v>
      </c>
      <c r="H222" s="119">
        <f t="shared" si="18"/>
        <v>5625</v>
      </c>
      <c r="I222" s="123">
        <v>44903</v>
      </c>
      <c r="J222">
        <v>1600</v>
      </c>
      <c r="L222">
        <v>1600</v>
      </c>
      <c r="M222">
        <v>1988</v>
      </c>
      <c r="P222" t="s">
        <v>1911</v>
      </c>
      <c r="R222" t="s">
        <v>44</v>
      </c>
      <c r="S222">
        <v>378972</v>
      </c>
      <c r="T222" s="120">
        <f t="shared" si="19"/>
        <v>236.85749999999999</v>
      </c>
      <c r="U222" t="s">
        <v>44</v>
      </c>
      <c r="Y222" s="121">
        <v>9000000</v>
      </c>
      <c r="AA222" s="121">
        <v>9000000</v>
      </c>
      <c r="AC222" t="s">
        <v>3098</v>
      </c>
      <c r="AD222" t="s">
        <v>3099</v>
      </c>
      <c r="AE222" s="243" t="s">
        <v>3100</v>
      </c>
      <c r="AF222" s="243" t="s">
        <v>3101</v>
      </c>
      <c r="AI222" s="59" t="e">
        <f t="shared" si="15"/>
        <v>#N/A</v>
      </c>
      <c r="AJ222" t="e">
        <f t="shared" si="16"/>
        <v>#N/A</v>
      </c>
      <c r="AK222" t="str">
        <f t="shared" si="17"/>
        <v/>
      </c>
    </row>
    <row r="223" spans="1:37" ht="15" customHeight="1">
      <c r="A223" s="62">
        <v>7</v>
      </c>
      <c r="B223" s="59">
        <v>215</v>
      </c>
      <c r="C223" t="s">
        <v>3102</v>
      </c>
      <c r="D223" t="s">
        <v>3103</v>
      </c>
      <c r="E223">
        <v>304</v>
      </c>
      <c r="F223" t="s">
        <v>1896</v>
      </c>
      <c r="G223" t="s">
        <v>90</v>
      </c>
      <c r="H223" s="119">
        <f t="shared" si="18"/>
        <v>452.05805377111585</v>
      </c>
      <c r="I223" s="123">
        <v>44904</v>
      </c>
      <c r="J223">
        <v>4203</v>
      </c>
      <c r="L223">
        <v>4203</v>
      </c>
      <c r="S223">
        <v>58375</v>
      </c>
      <c r="T223" s="120">
        <f t="shared" si="19"/>
        <v>13.888888888888889</v>
      </c>
      <c r="Y223" s="121">
        <v>1900000</v>
      </c>
      <c r="AA223" s="121">
        <v>1900000</v>
      </c>
      <c r="AC223" t="s">
        <v>3104</v>
      </c>
      <c r="AD223" t="s">
        <v>3105</v>
      </c>
      <c r="AE223" s="243" t="s">
        <v>3106</v>
      </c>
      <c r="AF223" s="243" t="s">
        <v>3107</v>
      </c>
      <c r="AI223" s="59" t="e">
        <f t="shared" si="15"/>
        <v>#N/A</v>
      </c>
      <c r="AJ223" t="e">
        <f t="shared" si="16"/>
        <v>#N/A</v>
      </c>
      <c r="AK223" t="str">
        <f t="shared" si="17"/>
        <v/>
      </c>
    </row>
    <row r="224" spans="1:37" ht="15" customHeight="1">
      <c r="A224" s="62">
        <v>7</v>
      </c>
      <c r="B224" s="59">
        <v>216</v>
      </c>
      <c r="C224" t="s">
        <v>3108</v>
      </c>
      <c r="D224" t="s">
        <v>3109</v>
      </c>
      <c r="E224">
        <v>118</v>
      </c>
      <c r="F224" t="s">
        <v>1814</v>
      </c>
      <c r="G224" t="s">
        <v>1815</v>
      </c>
      <c r="H224" s="119">
        <f t="shared" si="18"/>
        <v>33.776005531316308</v>
      </c>
      <c r="I224" s="123">
        <v>44907</v>
      </c>
      <c r="J224">
        <v>41943</v>
      </c>
      <c r="L224">
        <v>41943</v>
      </c>
      <c r="S224">
        <v>482743</v>
      </c>
      <c r="T224" s="120">
        <f t="shared" si="19"/>
        <v>11.509500989438047</v>
      </c>
      <c r="Y224" s="121">
        <v>1416667</v>
      </c>
      <c r="AA224" s="121">
        <v>1416667</v>
      </c>
      <c r="AC224" t="s">
        <v>3110</v>
      </c>
      <c r="AD224" t="s">
        <v>3111</v>
      </c>
      <c r="AE224" s="243" t="s">
        <v>3112</v>
      </c>
      <c r="AF224" s="243" t="s">
        <v>3113</v>
      </c>
      <c r="AI224" s="59" t="e">
        <f t="shared" si="15"/>
        <v>#N/A</v>
      </c>
      <c r="AJ224" t="e">
        <f t="shared" si="16"/>
        <v>#N/A</v>
      </c>
      <c r="AK224" t="str">
        <f t="shared" si="17"/>
        <v/>
      </c>
    </row>
    <row r="225" spans="1:37" ht="15" customHeight="1">
      <c r="A225" s="62">
        <v>7</v>
      </c>
      <c r="B225" s="59">
        <v>217</v>
      </c>
      <c r="C225" t="s">
        <v>3114</v>
      </c>
      <c r="D225" t="s">
        <v>3115</v>
      </c>
      <c r="E225">
        <v>3441</v>
      </c>
      <c r="F225" t="s">
        <v>2141</v>
      </c>
      <c r="G225" t="s">
        <v>1910</v>
      </c>
      <c r="H225" s="119">
        <f t="shared" si="18"/>
        <v>695</v>
      </c>
      <c r="I225" s="123">
        <v>44930</v>
      </c>
      <c r="J225">
        <v>1000</v>
      </c>
      <c r="L225">
        <v>1000</v>
      </c>
      <c r="M225">
        <v>1986</v>
      </c>
      <c r="P225" t="s">
        <v>2515</v>
      </c>
      <c r="R225" t="s">
        <v>44</v>
      </c>
      <c r="S225">
        <v>8347.5</v>
      </c>
      <c r="T225" s="120">
        <f t="shared" si="19"/>
        <v>8.3475000000000001</v>
      </c>
      <c r="U225" t="s">
        <v>44</v>
      </c>
      <c r="Y225" s="121">
        <v>695000</v>
      </c>
      <c r="AA225" s="121">
        <v>695000</v>
      </c>
      <c r="AC225" t="s">
        <v>3116</v>
      </c>
      <c r="AD225" t="s">
        <v>3117</v>
      </c>
      <c r="AE225" s="243" t="s">
        <v>3118</v>
      </c>
      <c r="AF225" s="243" t="s">
        <v>3119</v>
      </c>
      <c r="AI225" s="59" t="e">
        <f t="shared" si="15"/>
        <v>#N/A</v>
      </c>
      <c r="AJ225" t="e">
        <f t="shared" si="16"/>
        <v>#N/A</v>
      </c>
      <c r="AK225" t="str">
        <f t="shared" si="17"/>
        <v/>
      </c>
    </row>
    <row r="226" spans="1:37" ht="15" customHeight="1">
      <c r="A226" s="62">
        <v>7</v>
      </c>
      <c r="B226" s="59">
        <v>218</v>
      </c>
      <c r="C226" t="s">
        <v>3120</v>
      </c>
      <c r="D226" t="s">
        <v>3121</v>
      </c>
      <c r="E226">
        <v>425</v>
      </c>
      <c r="F226" t="s">
        <v>1785</v>
      </c>
      <c r="G226" t="s">
        <v>1786</v>
      </c>
      <c r="H226" s="119">
        <f t="shared" si="18"/>
        <v>21.411764705882351</v>
      </c>
      <c r="I226" s="123">
        <v>44932</v>
      </c>
      <c r="J226">
        <v>25500</v>
      </c>
      <c r="L226">
        <v>25500</v>
      </c>
      <c r="M226">
        <v>1984</v>
      </c>
      <c r="P226" t="s">
        <v>2204</v>
      </c>
      <c r="R226" t="s">
        <v>44</v>
      </c>
      <c r="S226">
        <v>4655</v>
      </c>
      <c r="T226" s="120">
        <f t="shared" si="19"/>
        <v>0.18254901960784314</v>
      </c>
      <c r="U226" t="s">
        <v>44</v>
      </c>
      <c r="Y226" s="121">
        <v>546000</v>
      </c>
      <c r="AA226" s="121">
        <v>546000</v>
      </c>
      <c r="AC226" t="s">
        <v>3122</v>
      </c>
      <c r="AD226" t="s">
        <v>3123</v>
      </c>
      <c r="AE226" s="243" t="s">
        <v>3124</v>
      </c>
      <c r="AF226" s="243" t="s">
        <v>3125</v>
      </c>
      <c r="AI226" s="59" t="e">
        <f t="shared" si="15"/>
        <v>#N/A</v>
      </c>
      <c r="AJ226" t="e">
        <f t="shared" si="16"/>
        <v>#N/A</v>
      </c>
      <c r="AK226" t="str">
        <f t="shared" si="17"/>
        <v/>
      </c>
    </row>
    <row r="227" spans="1:37" ht="15" customHeight="1">
      <c r="A227" s="62">
        <v>7</v>
      </c>
      <c r="B227" s="59">
        <v>219</v>
      </c>
      <c r="C227" t="s">
        <v>3126</v>
      </c>
      <c r="D227" t="s">
        <v>3127</v>
      </c>
      <c r="E227">
        <v>425</v>
      </c>
      <c r="F227" t="s">
        <v>1785</v>
      </c>
      <c r="G227" t="s">
        <v>1786</v>
      </c>
      <c r="H227" s="119">
        <f t="shared" si="18"/>
        <v>21.411764705882351</v>
      </c>
      <c r="I227" s="123">
        <v>44932</v>
      </c>
      <c r="J227">
        <v>25500</v>
      </c>
      <c r="L227">
        <v>25500</v>
      </c>
      <c r="M227">
        <v>1984</v>
      </c>
      <c r="P227" t="s">
        <v>2204</v>
      </c>
      <c r="R227" t="s">
        <v>44</v>
      </c>
      <c r="S227">
        <v>4655</v>
      </c>
      <c r="T227" s="120">
        <f t="shared" si="19"/>
        <v>0.18254901960784314</v>
      </c>
      <c r="U227" t="s">
        <v>44</v>
      </c>
      <c r="Y227" s="121">
        <v>546000</v>
      </c>
      <c r="AA227" s="121">
        <v>546000</v>
      </c>
      <c r="AC227" t="s">
        <v>3128</v>
      </c>
      <c r="AD227" t="s">
        <v>3123</v>
      </c>
      <c r="AE227" s="243" t="s">
        <v>3124</v>
      </c>
      <c r="AF227" s="243" t="s">
        <v>3125</v>
      </c>
      <c r="AI227" s="59" t="e">
        <f t="shared" si="15"/>
        <v>#N/A</v>
      </c>
      <c r="AJ227" t="e">
        <f t="shared" si="16"/>
        <v>#N/A</v>
      </c>
      <c r="AK227" t="str">
        <f t="shared" si="17"/>
        <v/>
      </c>
    </row>
    <row r="228" spans="1:37" ht="15" customHeight="1">
      <c r="A228" s="62">
        <v>7</v>
      </c>
      <c r="B228" s="59">
        <v>220</v>
      </c>
      <c r="C228" t="s">
        <v>3129</v>
      </c>
      <c r="D228" t="s">
        <v>3130</v>
      </c>
      <c r="E228">
        <v>334</v>
      </c>
      <c r="F228" t="s">
        <v>1976</v>
      </c>
      <c r="G228" t="s">
        <v>1910</v>
      </c>
      <c r="H228" s="119">
        <f t="shared" si="18"/>
        <v>746.26865671641792</v>
      </c>
      <c r="I228" s="123">
        <v>44931</v>
      </c>
      <c r="J228">
        <v>13400</v>
      </c>
      <c r="L228">
        <v>13400</v>
      </c>
      <c r="M228">
        <v>1979</v>
      </c>
      <c r="P228" t="s">
        <v>1977</v>
      </c>
      <c r="R228" t="s">
        <v>44</v>
      </c>
      <c r="S228">
        <v>150608</v>
      </c>
      <c r="T228" s="120">
        <f t="shared" si="19"/>
        <v>11.239402985074626</v>
      </c>
      <c r="U228" t="s">
        <v>44</v>
      </c>
      <c r="Y228" s="121">
        <v>10000000</v>
      </c>
      <c r="AA228" s="121">
        <v>10000000</v>
      </c>
      <c r="AC228" t="s">
        <v>3131</v>
      </c>
      <c r="AD228" t="s">
        <v>3132</v>
      </c>
      <c r="AE228" s="243" t="s">
        <v>3133</v>
      </c>
      <c r="AF228" s="243" t="s">
        <v>3134</v>
      </c>
      <c r="AI228" s="59" t="e">
        <f t="shared" si="15"/>
        <v>#N/A</v>
      </c>
      <c r="AJ228" t="e">
        <f t="shared" si="16"/>
        <v>#N/A</v>
      </c>
      <c r="AK228" t="str">
        <f t="shared" si="17"/>
        <v/>
      </c>
    </row>
    <row r="229" spans="1:37" ht="15" customHeight="1">
      <c r="A229" s="62">
        <v>7</v>
      </c>
      <c r="B229" s="59">
        <v>221</v>
      </c>
      <c r="C229" t="s">
        <v>3135</v>
      </c>
      <c r="D229" t="s">
        <v>3136</v>
      </c>
      <c r="E229">
        <v>407</v>
      </c>
      <c r="F229" t="s">
        <v>1976</v>
      </c>
      <c r="G229" t="s">
        <v>1910</v>
      </c>
      <c r="H229" s="119">
        <f t="shared" si="18"/>
        <v>136.171139888612</v>
      </c>
      <c r="I229" s="123">
        <v>44931</v>
      </c>
      <c r="J229">
        <v>73437</v>
      </c>
      <c r="L229">
        <v>73437</v>
      </c>
      <c r="M229">
        <v>1974</v>
      </c>
      <c r="P229" t="s">
        <v>1977</v>
      </c>
      <c r="R229" t="s">
        <v>44</v>
      </c>
      <c r="S229">
        <v>162880</v>
      </c>
      <c r="T229" s="120">
        <f t="shared" si="19"/>
        <v>2.2179555265057123</v>
      </c>
      <c r="U229" t="s">
        <v>44</v>
      </c>
      <c r="Y229" s="121">
        <v>10000000</v>
      </c>
      <c r="AA229" s="121">
        <v>10000000</v>
      </c>
      <c r="AC229" t="s">
        <v>3137</v>
      </c>
      <c r="AD229" t="s">
        <v>3132</v>
      </c>
      <c r="AE229" s="243" t="s">
        <v>3133</v>
      </c>
      <c r="AF229" s="243" t="s">
        <v>3134</v>
      </c>
      <c r="AI229" s="59" t="e">
        <f t="shared" si="15"/>
        <v>#N/A</v>
      </c>
      <c r="AJ229" t="e">
        <f t="shared" si="16"/>
        <v>#N/A</v>
      </c>
      <c r="AK229" t="str">
        <f t="shared" si="17"/>
        <v/>
      </c>
    </row>
    <row r="230" spans="1:37" ht="15" customHeight="1">
      <c r="A230" s="62">
        <v>7</v>
      </c>
      <c r="B230" s="59">
        <v>222</v>
      </c>
      <c r="C230" t="s">
        <v>3138</v>
      </c>
      <c r="D230" t="s">
        <v>3139</v>
      </c>
      <c r="E230">
        <v>325</v>
      </c>
      <c r="F230" t="s">
        <v>1785</v>
      </c>
      <c r="G230" t="s">
        <v>1786</v>
      </c>
      <c r="H230" s="119">
        <f t="shared" si="18"/>
        <v>651.04166666666663</v>
      </c>
      <c r="I230" s="123">
        <v>44943</v>
      </c>
      <c r="J230">
        <v>1152</v>
      </c>
      <c r="L230">
        <v>1152</v>
      </c>
      <c r="M230">
        <v>1963</v>
      </c>
      <c r="P230" t="s">
        <v>2522</v>
      </c>
      <c r="R230" t="s">
        <v>44</v>
      </c>
      <c r="S230">
        <v>18750</v>
      </c>
      <c r="T230" s="120">
        <f t="shared" si="19"/>
        <v>16.276041666666668</v>
      </c>
      <c r="U230" t="s">
        <v>44</v>
      </c>
      <c r="Y230" s="121">
        <v>750000</v>
      </c>
      <c r="AA230" s="121">
        <v>750000</v>
      </c>
      <c r="AC230" t="s">
        <v>3140</v>
      </c>
      <c r="AD230" t="s">
        <v>3141</v>
      </c>
      <c r="AE230" s="243" t="s">
        <v>3142</v>
      </c>
      <c r="AF230" s="243" t="s">
        <v>3143</v>
      </c>
      <c r="AI230" s="59" t="e">
        <f t="shared" si="15"/>
        <v>#N/A</v>
      </c>
      <c r="AJ230" t="e">
        <f t="shared" si="16"/>
        <v>#N/A</v>
      </c>
      <c r="AK230" t="str">
        <f t="shared" si="17"/>
        <v/>
      </c>
    </row>
    <row r="231" spans="1:37" ht="15" customHeight="1">
      <c r="A231" s="62">
        <v>7</v>
      </c>
      <c r="B231" s="59">
        <v>223</v>
      </c>
      <c r="C231" t="s">
        <v>3144</v>
      </c>
      <c r="D231" t="s">
        <v>3145</v>
      </c>
      <c r="E231">
        <v>353</v>
      </c>
      <c r="F231" t="s">
        <v>1785</v>
      </c>
      <c r="G231" t="s">
        <v>1786</v>
      </c>
      <c r="H231" s="119">
        <f t="shared" si="18"/>
        <v>312.5</v>
      </c>
      <c r="I231" s="123">
        <v>44943</v>
      </c>
      <c r="J231">
        <v>2400</v>
      </c>
      <c r="L231">
        <v>2400</v>
      </c>
      <c r="M231">
        <v>1964</v>
      </c>
      <c r="P231" t="s">
        <v>3146</v>
      </c>
      <c r="R231" t="s">
        <v>44</v>
      </c>
      <c r="S231">
        <v>15000</v>
      </c>
      <c r="T231" s="120">
        <f t="shared" si="19"/>
        <v>6.25</v>
      </c>
      <c r="U231" t="s">
        <v>44</v>
      </c>
      <c r="Y231" s="121">
        <v>750000</v>
      </c>
      <c r="AA231" s="121">
        <v>750000</v>
      </c>
      <c r="AC231" t="s">
        <v>3147</v>
      </c>
      <c r="AD231" t="s">
        <v>3141</v>
      </c>
      <c r="AE231" s="243" t="s">
        <v>3142</v>
      </c>
      <c r="AF231" s="243" t="s">
        <v>3143</v>
      </c>
      <c r="AI231" s="59" t="e">
        <f t="shared" si="15"/>
        <v>#N/A</v>
      </c>
      <c r="AJ231" t="e">
        <f t="shared" si="16"/>
        <v>#N/A</v>
      </c>
      <c r="AK231" t="str">
        <f t="shared" si="17"/>
        <v/>
      </c>
    </row>
    <row r="232" spans="1:37" ht="15" customHeight="1">
      <c r="A232" s="62">
        <v>7</v>
      </c>
      <c r="B232" s="59">
        <v>224</v>
      </c>
      <c r="C232" t="s">
        <v>3148</v>
      </c>
      <c r="D232" t="s">
        <v>3149</v>
      </c>
      <c r="E232">
        <v>407</v>
      </c>
      <c r="F232" t="s">
        <v>2141</v>
      </c>
      <c r="G232" t="s">
        <v>1910</v>
      </c>
      <c r="H232" s="119">
        <f t="shared" si="18"/>
        <v>281.25</v>
      </c>
      <c r="I232" s="123">
        <v>44944</v>
      </c>
      <c r="J232">
        <v>14400</v>
      </c>
      <c r="L232">
        <v>14400</v>
      </c>
      <c r="M232">
        <v>1981</v>
      </c>
      <c r="P232" t="s">
        <v>2142</v>
      </c>
      <c r="R232" t="s">
        <v>44</v>
      </c>
      <c r="S232">
        <v>62126</v>
      </c>
      <c r="T232" s="120">
        <f t="shared" si="19"/>
        <v>4.3143055555555554</v>
      </c>
      <c r="U232" t="s">
        <v>44</v>
      </c>
      <c r="Y232" s="121">
        <v>4050000</v>
      </c>
      <c r="AA232" s="121">
        <v>4050000</v>
      </c>
      <c r="AC232" t="s">
        <v>3150</v>
      </c>
      <c r="AD232" t="s">
        <v>3151</v>
      </c>
      <c r="AE232" s="243" t="s">
        <v>3152</v>
      </c>
      <c r="AF232" s="243" t="s">
        <v>3153</v>
      </c>
      <c r="AI232" s="59" t="e">
        <f t="shared" si="15"/>
        <v>#N/A</v>
      </c>
      <c r="AJ232" t="e">
        <f t="shared" si="16"/>
        <v>#N/A</v>
      </c>
      <c r="AK232" t="str">
        <f t="shared" si="17"/>
        <v/>
      </c>
    </row>
    <row r="233" spans="1:37" ht="15" customHeight="1">
      <c r="A233" s="62">
        <v>7</v>
      </c>
      <c r="B233" s="59">
        <v>225</v>
      </c>
      <c r="C233" t="s">
        <v>3154</v>
      </c>
      <c r="D233" t="s">
        <v>3155</v>
      </c>
      <c r="E233">
        <v>325</v>
      </c>
      <c r="F233" t="s">
        <v>1814</v>
      </c>
      <c r="G233" t="s">
        <v>1815</v>
      </c>
      <c r="H233" s="119">
        <f t="shared" si="18"/>
        <v>7136.353754940711</v>
      </c>
      <c r="I233" s="123">
        <v>44946</v>
      </c>
      <c r="J233">
        <v>10120</v>
      </c>
      <c r="L233">
        <v>10120</v>
      </c>
      <c r="M233">
        <v>2021</v>
      </c>
      <c r="R233" t="s">
        <v>44</v>
      </c>
      <c r="S233">
        <v>2854518</v>
      </c>
      <c r="T233" s="120">
        <f t="shared" si="19"/>
        <v>282.06699604743085</v>
      </c>
      <c r="U233" t="s">
        <v>44</v>
      </c>
      <c r="Y233" s="121">
        <v>72219900</v>
      </c>
      <c r="AA233" s="121">
        <v>72219900</v>
      </c>
      <c r="AC233" t="s">
        <v>3156</v>
      </c>
      <c r="AD233" t="s">
        <v>3157</v>
      </c>
      <c r="AE233" s="243" t="s">
        <v>3158</v>
      </c>
      <c r="AF233" s="243" t="s">
        <v>3159</v>
      </c>
      <c r="AI233" s="59" t="e">
        <f t="shared" si="15"/>
        <v>#N/A</v>
      </c>
      <c r="AJ233" t="e">
        <f t="shared" si="16"/>
        <v>#N/A</v>
      </c>
      <c r="AK233" t="str">
        <f t="shared" si="17"/>
        <v/>
      </c>
    </row>
    <row r="234" spans="1:37" ht="15" customHeight="1">
      <c r="A234" s="62">
        <v>7</v>
      </c>
      <c r="B234" s="59">
        <v>226</v>
      </c>
      <c r="C234" t="s">
        <v>3160</v>
      </c>
      <c r="D234" t="s">
        <v>3161</v>
      </c>
      <c r="E234">
        <v>325</v>
      </c>
      <c r="F234" t="s">
        <v>2141</v>
      </c>
      <c r="G234" t="s">
        <v>1910</v>
      </c>
      <c r="H234" s="119">
        <f t="shared" si="18"/>
        <v>500</v>
      </c>
      <c r="I234" s="123">
        <v>44972</v>
      </c>
      <c r="J234">
        <v>42000</v>
      </c>
      <c r="L234">
        <v>42000</v>
      </c>
      <c r="S234">
        <v>377460</v>
      </c>
      <c r="T234" s="120">
        <f t="shared" si="19"/>
        <v>8.9871428571428567</v>
      </c>
      <c r="Y234" s="121">
        <v>21000000</v>
      </c>
      <c r="AA234" s="121">
        <v>21000000</v>
      </c>
      <c r="AC234" t="s">
        <v>3162</v>
      </c>
      <c r="AD234" t="s">
        <v>3163</v>
      </c>
      <c r="AE234" s="243" t="s">
        <v>3164</v>
      </c>
      <c r="AF234" s="243" t="s">
        <v>3165</v>
      </c>
      <c r="AI234" s="59" t="e">
        <f t="shared" si="15"/>
        <v>#N/A</v>
      </c>
      <c r="AJ234" t="e">
        <f t="shared" si="16"/>
        <v>#N/A</v>
      </c>
      <c r="AK234" t="str">
        <f t="shared" si="17"/>
        <v/>
      </c>
    </row>
    <row r="235" spans="1:37" ht="15" customHeight="1">
      <c r="A235" s="62">
        <v>7</v>
      </c>
      <c r="B235" s="59">
        <v>227</v>
      </c>
      <c r="C235" t="s">
        <v>2752</v>
      </c>
      <c r="D235" t="s">
        <v>3166</v>
      </c>
      <c r="E235">
        <v>353</v>
      </c>
      <c r="F235" t="s">
        <v>1896</v>
      </c>
      <c r="G235" t="s">
        <v>90</v>
      </c>
      <c r="H235" s="119">
        <f t="shared" si="18"/>
        <v>420.47430074109491</v>
      </c>
      <c r="I235" s="123">
        <v>44985</v>
      </c>
      <c r="J235">
        <v>4183</v>
      </c>
      <c r="L235">
        <v>4183</v>
      </c>
      <c r="S235">
        <v>25512</v>
      </c>
      <c r="T235" s="120">
        <f t="shared" si="19"/>
        <v>6.0989720296437966</v>
      </c>
      <c r="Y235" s="121">
        <v>1758844</v>
      </c>
      <c r="AA235" s="121">
        <v>1758844</v>
      </c>
      <c r="AC235" t="s">
        <v>2754</v>
      </c>
      <c r="AD235" t="s">
        <v>3167</v>
      </c>
      <c r="AE235" s="243" t="s">
        <v>3106</v>
      </c>
      <c r="AF235" s="243" t="s">
        <v>2756</v>
      </c>
      <c r="AI235" s="59" t="e">
        <f t="shared" si="15"/>
        <v>#N/A</v>
      </c>
      <c r="AJ235" t="e">
        <f t="shared" si="16"/>
        <v>#N/A</v>
      </c>
      <c r="AK235" t="str">
        <f t="shared" si="17"/>
        <v/>
      </c>
    </row>
    <row r="236" spans="1:37" ht="15" customHeight="1">
      <c r="A236" s="62">
        <v>7</v>
      </c>
      <c r="B236" s="59">
        <v>228</v>
      </c>
      <c r="C236" t="s">
        <v>3168</v>
      </c>
      <c r="D236" t="s">
        <v>3169</v>
      </c>
      <c r="E236">
        <v>105</v>
      </c>
      <c r="F236" t="s">
        <v>1984</v>
      </c>
      <c r="G236" t="s">
        <v>89</v>
      </c>
      <c r="H236" s="119">
        <f t="shared" si="18"/>
        <v>1433.1770833333333</v>
      </c>
      <c r="I236" s="123">
        <v>44986</v>
      </c>
      <c r="J236">
        <v>9600</v>
      </c>
      <c r="L236">
        <v>9600</v>
      </c>
      <c r="M236">
        <v>2003</v>
      </c>
      <c r="P236" t="s">
        <v>2427</v>
      </c>
      <c r="R236" t="s">
        <v>44</v>
      </c>
      <c r="S236">
        <v>309450.23999999999</v>
      </c>
      <c r="T236" s="120">
        <f t="shared" si="19"/>
        <v>32.234400000000001</v>
      </c>
      <c r="U236" t="s">
        <v>44</v>
      </c>
      <c r="Y236" s="121">
        <v>13758500</v>
      </c>
      <c r="AA236" s="121">
        <v>13758500</v>
      </c>
      <c r="AC236" t="s">
        <v>3170</v>
      </c>
      <c r="AD236" t="s">
        <v>3171</v>
      </c>
      <c r="AE236" s="243" t="s">
        <v>3172</v>
      </c>
      <c r="AF236" s="243" t="s">
        <v>3173</v>
      </c>
      <c r="AI236" s="59" t="e">
        <f t="shared" si="15"/>
        <v>#N/A</v>
      </c>
      <c r="AJ236" t="e">
        <f t="shared" si="16"/>
        <v>#N/A</v>
      </c>
      <c r="AK236" t="str">
        <f t="shared" si="17"/>
        <v/>
      </c>
    </row>
    <row r="237" spans="1:37" ht="15" customHeight="1">
      <c r="A237" s="62">
        <v>7</v>
      </c>
      <c r="B237" s="59">
        <v>229</v>
      </c>
      <c r="C237" t="s">
        <v>3174</v>
      </c>
      <c r="D237" t="s">
        <v>3175</v>
      </c>
      <c r="E237">
        <v>353</v>
      </c>
      <c r="F237" t="s">
        <v>1984</v>
      </c>
      <c r="G237" t="s">
        <v>89</v>
      </c>
      <c r="H237" s="119">
        <f t="shared" si="18"/>
        <v>253</v>
      </c>
      <c r="I237" s="123">
        <v>45009</v>
      </c>
      <c r="J237">
        <v>4000</v>
      </c>
      <c r="L237">
        <v>4000</v>
      </c>
      <c r="M237">
        <v>1917</v>
      </c>
      <c r="P237" t="s">
        <v>2487</v>
      </c>
      <c r="R237" t="s">
        <v>44</v>
      </c>
      <c r="S237">
        <v>10150</v>
      </c>
      <c r="T237" s="120">
        <f t="shared" si="19"/>
        <v>2.5375000000000001</v>
      </c>
      <c r="U237" t="s">
        <v>44</v>
      </c>
      <c r="Y237" s="121">
        <v>1012000</v>
      </c>
      <c r="AA237" s="121">
        <v>1012000</v>
      </c>
      <c r="AC237" t="s">
        <v>3176</v>
      </c>
      <c r="AD237" t="s">
        <v>3177</v>
      </c>
      <c r="AE237" s="243" t="s">
        <v>3178</v>
      </c>
      <c r="AF237" s="243" t="s">
        <v>2883</v>
      </c>
      <c r="AI237" s="59" t="e">
        <f t="shared" si="15"/>
        <v>#N/A</v>
      </c>
      <c r="AJ237" t="e">
        <f t="shared" si="16"/>
        <v>#N/A</v>
      </c>
      <c r="AK237" t="str">
        <f t="shared" si="17"/>
        <v/>
      </c>
    </row>
    <row r="238" spans="1:37" ht="15" customHeight="1">
      <c r="A238" s="62">
        <v>7</v>
      </c>
      <c r="B238" s="59">
        <v>230</v>
      </c>
      <c r="C238" t="s">
        <v>3179</v>
      </c>
      <c r="D238" t="s">
        <v>3180</v>
      </c>
      <c r="E238">
        <v>349</v>
      </c>
      <c r="F238" t="s">
        <v>1800</v>
      </c>
      <c r="G238" t="s">
        <v>90</v>
      </c>
      <c r="H238" s="119">
        <f t="shared" si="18"/>
        <v>910.06768189509307</v>
      </c>
      <c r="I238" s="123">
        <v>44999</v>
      </c>
      <c r="J238">
        <v>2364</v>
      </c>
      <c r="L238">
        <v>2364</v>
      </c>
      <c r="M238">
        <v>1986</v>
      </c>
      <c r="P238" t="s">
        <v>1807</v>
      </c>
      <c r="R238" t="s">
        <v>44</v>
      </c>
      <c r="S238">
        <v>36462</v>
      </c>
      <c r="T238" s="120">
        <f t="shared" si="19"/>
        <v>15.423857868020304</v>
      </c>
      <c r="U238" t="s">
        <v>44</v>
      </c>
      <c r="Y238" s="121">
        <v>2151400</v>
      </c>
      <c r="AA238" s="121">
        <v>2151400</v>
      </c>
      <c r="AC238" t="s">
        <v>3181</v>
      </c>
      <c r="AD238" t="s">
        <v>3182</v>
      </c>
      <c r="AE238" s="243" t="s">
        <v>3183</v>
      </c>
      <c r="AF238" s="243" t="s">
        <v>3184</v>
      </c>
      <c r="AI238" s="59" t="e">
        <f t="shared" si="15"/>
        <v>#N/A</v>
      </c>
      <c r="AJ238" t="e">
        <f t="shared" si="16"/>
        <v>#N/A</v>
      </c>
      <c r="AK238" t="str">
        <f t="shared" si="17"/>
        <v/>
      </c>
    </row>
    <row r="239" spans="1:37" ht="15" customHeight="1">
      <c r="A239" s="62">
        <v>7</v>
      </c>
      <c r="B239" s="59">
        <v>231</v>
      </c>
      <c r="C239" t="s">
        <v>3185</v>
      </c>
      <c r="D239" t="s">
        <v>3186</v>
      </c>
      <c r="E239">
        <v>1332</v>
      </c>
      <c r="F239" t="s">
        <v>1984</v>
      </c>
      <c r="G239" t="s">
        <v>90</v>
      </c>
      <c r="H239" s="119">
        <f t="shared" si="18"/>
        <v>55128.205128205125</v>
      </c>
      <c r="I239" s="123">
        <v>45023</v>
      </c>
      <c r="J239">
        <v>39</v>
      </c>
      <c r="L239">
        <v>39</v>
      </c>
      <c r="M239">
        <v>1983</v>
      </c>
      <c r="P239" t="s">
        <v>2427</v>
      </c>
      <c r="R239" t="s">
        <v>44</v>
      </c>
      <c r="S239">
        <v>59459</v>
      </c>
      <c r="T239" s="120">
        <f t="shared" si="19"/>
        <v>1524.5897435897436</v>
      </c>
      <c r="U239" t="s">
        <v>44</v>
      </c>
      <c r="Y239" s="121">
        <v>2150000</v>
      </c>
      <c r="AA239" s="121">
        <v>2150000</v>
      </c>
      <c r="AC239" t="s">
        <v>3187</v>
      </c>
      <c r="AD239" t="s">
        <v>3188</v>
      </c>
      <c r="AE239" s="243" t="s">
        <v>3189</v>
      </c>
      <c r="AF239" s="243" t="s">
        <v>3190</v>
      </c>
      <c r="AI239" s="59" t="e">
        <f t="shared" si="15"/>
        <v>#N/A</v>
      </c>
      <c r="AJ239" t="e">
        <f t="shared" si="16"/>
        <v>#N/A</v>
      </c>
      <c r="AK239" t="str">
        <f t="shared" si="17"/>
        <v/>
      </c>
    </row>
    <row r="240" spans="1:37" ht="15" customHeight="1">
      <c r="A240" s="62">
        <v>7</v>
      </c>
      <c r="B240" s="59">
        <v>232</v>
      </c>
      <c r="C240" t="s">
        <v>3191</v>
      </c>
      <c r="D240" t="s">
        <v>3192</v>
      </c>
      <c r="E240">
        <v>353</v>
      </c>
      <c r="F240" t="s">
        <v>2542</v>
      </c>
      <c r="G240" t="s">
        <v>88</v>
      </c>
      <c r="H240" s="119">
        <f t="shared" si="18"/>
        <v>270.74154852780805</v>
      </c>
      <c r="I240" s="123">
        <v>45021</v>
      </c>
      <c r="J240">
        <v>9170</v>
      </c>
      <c r="L240">
        <v>9170</v>
      </c>
      <c r="M240">
        <v>2022</v>
      </c>
      <c r="R240" t="s">
        <v>44</v>
      </c>
      <c r="S240">
        <v>43050</v>
      </c>
      <c r="T240" s="120">
        <f t="shared" si="19"/>
        <v>4.6946564885496187</v>
      </c>
      <c r="U240" t="s">
        <v>44</v>
      </c>
      <c r="Y240" s="121">
        <v>2482700</v>
      </c>
      <c r="AA240" s="121">
        <v>2482700</v>
      </c>
      <c r="AC240" t="s">
        <v>3193</v>
      </c>
      <c r="AD240" t="s">
        <v>3194</v>
      </c>
      <c r="AE240" s="243" t="s">
        <v>3195</v>
      </c>
      <c r="AF240" s="243" t="s">
        <v>3196</v>
      </c>
      <c r="AI240" s="59" t="e">
        <f t="shared" si="15"/>
        <v>#N/A</v>
      </c>
      <c r="AJ240" t="e">
        <f t="shared" si="16"/>
        <v>#N/A</v>
      </c>
      <c r="AK240" t="str">
        <f t="shared" si="17"/>
        <v/>
      </c>
    </row>
    <row r="241" spans="1:37" ht="15" customHeight="1">
      <c r="A241" s="62">
        <v>7</v>
      </c>
      <c r="B241" s="59">
        <v>233</v>
      </c>
      <c r="C241" t="s">
        <v>3197</v>
      </c>
      <c r="D241" t="s">
        <v>3198</v>
      </c>
      <c r="E241">
        <v>309</v>
      </c>
      <c r="F241" t="s">
        <v>2141</v>
      </c>
      <c r="G241" t="s">
        <v>1910</v>
      </c>
      <c r="H241" s="119">
        <f t="shared" si="18"/>
        <v>134.81126423007788</v>
      </c>
      <c r="I241" s="123">
        <v>45051</v>
      </c>
      <c r="J241">
        <v>3338</v>
      </c>
      <c r="L241">
        <v>3338</v>
      </c>
      <c r="M241">
        <v>1942</v>
      </c>
      <c r="P241" t="s">
        <v>3199</v>
      </c>
      <c r="R241" t="s">
        <v>44</v>
      </c>
      <c r="S241">
        <v>21150</v>
      </c>
      <c r="T241" s="120">
        <f t="shared" si="19"/>
        <v>6.3361294188136608</v>
      </c>
      <c r="U241" t="s">
        <v>44</v>
      </c>
      <c r="Y241" s="121">
        <v>450000</v>
      </c>
      <c r="AA241" s="121">
        <v>450000</v>
      </c>
      <c r="AC241" t="s">
        <v>3200</v>
      </c>
      <c r="AD241" t="s">
        <v>3201</v>
      </c>
      <c r="AE241" s="243" t="s">
        <v>3202</v>
      </c>
      <c r="AF241" s="243" t="s">
        <v>3203</v>
      </c>
      <c r="AI241" s="59" t="e">
        <f t="shared" si="15"/>
        <v>#N/A</v>
      </c>
      <c r="AJ241" t="e">
        <f t="shared" si="16"/>
        <v>#N/A</v>
      </c>
      <c r="AK241" t="str">
        <f t="shared" si="17"/>
        <v/>
      </c>
    </row>
    <row r="242" spans="1:37" ht="15" customHeight="1">
      <c r="A242" s="62">
        <v>7</v>
      </c>
      <c r="B242" s="59">
        <v>234</v>
      </c>
      <c r="C242" t="s">
        <v>3204</v>
      </c>
      <c r="D242" t="s">
        <v>3205</v>
      </c>
      <c r="E242">
        <v>425</v>
      </c>
      <c r="F242" t="s">
        <v>1976</v>
      </c>
      <c r="G242" t="s">
        <v>1910</v>
      </c>
      <c r="H242" s="119">
        <f t="shared" si="18"/>
        <v>95.04132231404958</v>
      </c>
      <c r="I242" s="123">
        <v>45051</v>
      </c>
      <c r="J242">
        <v>12100</v>
      </c>
      <c r="L242">
        <v>12100</v>
      </c>
      <c r="M242">
        <v>2005</v>
      </c>
      <c r="P242" t="s">
        <v>1977</v>
      </c>
      <c r="R242" t="s">
        <v>44</v>
      </c>
      <c r="S242">
        <v>8395</v>
      </c>
      <c r="T242" s="120">
        <f t="shared" si="19"/>
        <v>0.69380165289256202</v>
      </c>
      <c r="U242" t="s">
        <v>44</v>
      </c>
      <c r="Y242" s="121">
        <v>1150000</v>
      </c>
      <c r="AA242" s="121">
        <v>1150000</v>
      </c>
      <c r="AC242" t="s">
        <v>3206</v>
      </c>
      <c r="AD242" t="s">
        <v>3207</v>
      </c>
      <c r="AE242" s="243" t="s">
        <v>3208</v>
      </c>
      <c r="AF242" s="243" t="s">
        <v>3209</v>
      </c>
      <c r="AI242" s="59" t="e">
        <f t="shared" si="15"/>
        <v>#N/A</v>
      </c>
      <c r="AJ242" t="e">
        <f t="shared" si="16"/>
        <v>#N/A</v>
      </c>
      <c r="AK242" t="str">
        <f t="shared" si="17"/>
        <v/>
      </c>
    </row>
    <row r="243" spans="1:37" ht="15" customHeight="1">
      <c r="A243" s="62">
        <v>7</v>
      </c>
      <c r="B243" s="59">
        <v>235</v>
      </c>
      <c r="C243" t="s">
        <v>3210</v>
      </c>
      <c r="D243" t="s">
        <v>3211</v>
      </c>
      <c r="E243">
        <v>425</v>
      </c>
      <c r="F243" t="s">
        <v>1976</v>
      </c>
      <c r="G243" t="s">
        <v>1910</v>
      </c>
      <c r="H243" s="119">
        <f t="shared" si="18"/>
        <v>95.04132231404958</v>
      </c>
      <c r="I243" s="123">
        <v>45051</v>
      </c>
      <c r="J243">
        <v>12100</v>
      </c>
      <c r="L243">
        <v>12100</v>
      </c>
      <c r="M243">
        <v>2005</v>
      </c>
      <c r="P243" t="s">
        <v>1977</v>
      </c>
      <c r="R243" t="s">
        <v>44</v>
      </c>
      <c r="S243">
        <v>8395</v>
      </c>
      <c r="T243" s="120">
        <f t="shared" si="19"/>
        <v>0.69380165289256202</v>
      </c>
      <c r="U243" t="s">
        <v>44</v>
      </c>
      <c r="Y243" s="121">
        <v>1150000</v>
      </c>
      <c r="AA243" s="121">
        <v>1150000</v>
      </c>
      <c r="AC243" t="s">
        <v>3212</v>
      </c>
      <c r="AD243" t="s">
        <v>3207</v>
      </c>
      <c r="AE243" s="243" t="s">
        <v>3208</v>
      </c>
      <c r="AF243" s="243" t="s">
        <v>3209</v>
      </c>
      <c r="AI243" s="59" t="e">
        <f t="shared" si="15"/>
        <v>#N/A</v>
      </c>
      <c r="AJ243" t="e">
        <f t="shared" si="16"/>
        <v>#N/A</v>
      </c>
      <c r="AK243" t="str">
        <f t="shared" si="17"/>
        <v/>
      </c>
    </row>
    <row r="244" spans="1:37" ht="15" customHeight="1">
      <c r="A244" s="62">
        <v>7</v>
      </c>
      <c r="B244" s="59">
        <v>236</v>
      </c>
      <c r="C244" t="s">
        <v>3213</v>
      </c>
      <c r="D244" t="s">
        <v>3214</v>
      </c>
      <c r="E244">
        <v>407</v>
      </c>
      <c r="G244" t="s">
        <v>1910</v>
      </c>
      <c r="H244" s="119">
        <f t="shared" si="18"/>
        <v>958.3091085271318</v>
      </c>
      <c r="I244" s="123">
        <v>45055</v>
      </c>
      <c r="J244">
        <v>41280</v>
      </c>
      <c r="L244">
        <v>41280</v>
      </c>
      <c r="M244">
        <v>2020</v>
      </c>
      <c r="R244" t="s">
        <v>44</v>
      </c>
      <c r="S244">
        <v>130185</v>
      </c>
      <c r="T244" s="120">
        <f t="shared" si="19"/>
        <v>3.1537063953488373</v>
      </c>
      <c r="U244" t="s">
        <v>44</v>
      </c>
      <c r="Y244" s="121">
        <v>39559000</v>
      </c>
      <c r="AA244" s="121">
        <v>39559000</v>
      </c>
      <c r="AC244" t="s">
        <v>3215</v>
      </c>
      <c r="AD244" t="s">
        <v>3216</v>
      </c>
      <c r="AE244" s="243" t="s">
        <v>3217</v>
      </c>
      <c r="AF244" s="243" t="s">
        <v>3218</v>
      </c>
      <c r="AI244" s="59" t="e">
        <f t="shared" si="15"/>
        <v>#N/A</v>
      </c>
      <c r="AJ244" t="e">
        <f t="shared" si="16"/>
        <v>#N/A</v>
      </c>
      <c r="AK244" t="str">
        <f t="shared" si="17"/>
        <v/>
      </c>
    </row>
    <row r="245" spans="1:37" ht="15" customHeight="1">
      <c r="A245" s="62">
        <v>7</v>
      </c>
      <c r="B245" s="59">
        <v>237</v>
      </c>
      <c r="C245" t="s">
        <v>3219</v>
      </c>
      <c r="D245" t="s">
        <v>3220</v>
      </c>
      <c r="E245">
        <v>407</v>
      </c>
      <c r="G245" t="s">
        <v>1910</v>
      </c>
      <c r="H245" s="119">
        <f t="shared" si="18"/>
        <v>258.04957599478149</v>
      </c>
      <c r="I245" s="123">
        <v>45055</v>
      </c>
      <c r="J245">
        <v>153300</v>
      </c>
      <c r="L245">
        <v>153300</v>
      </c>
      <c r="M245">
        <v>2020</v>
      </c>
      <c r="R245" t="s">
        <v>44</v>
      </c>
      <c r="S245">
        <v>491862</v>
      </c>
      <c r="T245" s="120">
        <f t="shared" si="19"/>
        <v>3.2084931506849315</v>
      </c>
      <c r="U245" t="s">
        <v>44</v>
      </c>
      <c r="Y245" s="121">
        <v>39559000</v>
      </c>
      <c r="AA245" s="121">
        <v>39559000</v>
      </c>
      <c r="AC245" t="s">
        <v>3221</v>
      </c>
      <c r="AD245" t="s">
        <v>3216</v>
      </c>
      <c r="AE245" s="243" t="s">
        <v>3217</v>
      </c>
      <c r="AF245" s="243" t="s">
        <v>3218</v>
      </c>
      <c r="AI245" s="59" t="e">
        <f t="shared" si="15"/>
        <v>#N/A</v>
      </c>
      <c r="AJ245" t="e">
        <f t="shared" si="16"/>
        <v>#N/A</v>
      </c>
      <c r="AK245" t="str">
        <f t="shared" si="17"/>
        <v/>
      </c>
    </row>
    <row r="246" spans="1:37" ht="15" customHeight="1">
      <c r="A246" s="62">
        <v>7</v>
      </c>
      <c r="B246" s="59">
        <v>238</v>
      </c>
      <c r="C246" t="s">
        <v>3222</v>
      </c>
      <c r="D246" t="s">
        <v>3223</v>
      </c>
      <c r="E246">
        <v>353</v>
      </c>
      <c r="G246" t="s">
        <v>1910</v>
      </c>
      <c r="H246" s="119">
        <f t="shared" si="18"/>
        <v>678.97331786542918</v>
      </c>
      <c r="I246" s="123">
        <v>45061</v>
      </c>
      <c r="J246">
        <v>1724</v>
      </c>
      <c r="L246">
        <v>1724</v>
      </c>
      <c r="M246">
        <v>1967</v>
      </c>
      <c r="P246" t="s">
        <v>1911</v>
      </c>
      <c r="R246" t="s">
        <v>44</v>
      </c>
      <c r="S246">
        <v>43004</v>
      </c>
      <c r="T246" s="120">
        <f t="shared" si="19"/>
        <v>24.944315545243619</v>
      </c>
      <c r="U246" t="s">
        <v>44</v>
      </c>
      <c r="Y246" s="121">
        <v>1170550</v>
      </c>
      <c r="AA246" s="121">
        <v>1170550</v>
      </c>
      <c r="AC246" t="s">
        <v>3224</v>
      </c>
      <c r="AD246" t="s">
        <v>3225</v>
      </c>
      <c r="AE246" s="243" t="s">
        <v>3226</v>
      </c>
      <c r="AF246" s="243" t="s">
        <v>3227</v>
      </c>
      <c r="AI246" s="59" t="e">
        <f t="shared" si="15"/>
        <v>#N/A</v>
      </c>
      <c r="AJ246" t="e">
        <f t="shared" si="16"/>
        <v>#N/A</v>
      </c>
      <c r="AK246" t="str">
        <f t="shared" si="17"/>
        <v/>
      </c>
    </row>
    <row r="247" spans="1:37" ht="15" customHeight="1">
      <c r="A247" s="62">
        <v>7</v>
      </c>
      <c r="B247" s="59">
        <v>239</v>
      </c>
      <c r="C247" t="s">
        <v>3228</v>
      </c>
      <c r="D247" t="s">
        <v>3229</v>
      </c>
      <c r="E247">
        <v>434</v>
      </c>
      <c r="F247" t="s">
        <v>1785</v>
      </c>
      <c r="G247" t="s">
        <v>1786</v>
      </c>
      <c r="H247" s="119">
        <f t="shared" si="18"/>
        <v>253.78787878787878</v>
      </c>
      <c r="I247" s="123">
        <v>45098</v>
      </c>
      <c r="J247">
        <v>2640</v>
      </c>
      <c r="L247">
        <v>2640</v>
      </c>
      <c r="M247">
        <v>1970</v>
      </c>
      <c r="P247" t="s">
        <v>3146</v>
      </c>
      <c r="R247" t="s">
        <v>44</v>
      </c>
      <c r="S247">
        <v>26550</v>
      </c>
      <c r="T247" s="120">
        <f t="shared" si="19"/>
        <v>10.056818181818182</v>
      </c>
      <c r="U247" t="s">
        <v>44</v>
      </c>
      <c r="Y247" s="121">
        <v>670000</v>
      </c>
      <c r="AA247" s="121">
        <v>670000</v>
      </c>
      <c r="AC247" t="s">
        <v>3230</v>
      </c>
      <c r="AD247" t="s">
        <v>3231</v>
      </c>
      <c r="AE247" s="243" t="s">
        <v>3232</v>
      </c>
      <c r="AF247" s="243" t="s">
        <v>3233</v>
      </c>
      <c r="AI247" s="59" t="e">
        <f t="shared" si="15"/>
        <v>#N/A</v>
      </c>
      <c r="AJ247" t="e">
        <f t="shared" si="16"/>
        <v>#N/A</v>
      </c>
      <c r="AK247" t="str">
        <f t="shared" si="17"/>
        <v/>
      </c>
    </row>
    <row r="248" spans="1:37" ht="15" customHeight="1">
      <c r="A248" s="62">
        <v>7</v>
      </c>
      <c r="B248" s="59">
        <v>240</v>
      </c>
      <c r="C248" t="s">
        <v>3234</v>
      </c>
      <c r="D248" t="s">
        <v>3235</v>
      </c>
      <c r="E248">
        <v>319</v>
      </c>
      <c r="F248" t="s">
        <v>1896</v>
      </c>
      <c r="G248" t="s">
        <v>1786</v>
      </c>
      <c r="H248" s="119">
        <f t="shared" si="18"/>
        <v>85.700039473957574</v>
      </c>
      <c r="I248" s="123">
        <v>45107</v>
      </c>
      <c r="J248">
        <v>192532</v>
      </c>
      <c r="L248">
        <v>192532</v>
      </c>
      <c r="M248">
        <v>1994</v>
      </c>
      <c r="P248" t="s">
        <v>2529</v>
      </c>
      <c r="R248" t="s">
        <v>44</v>
      </c>
      <c r="S248">
        <v>1009721</v>
      </c>
      <c r="T248" s="120">
        <f t="shared" si="19"/>
        <v>5.2444320944050862</v>
      </c>
      <c r="U248" t="s">
        <v>44</v>
      </c>
      <c r="Y248" s="121">
        <v>16500000</v>
      </c>
      <c r="AA248" s="121">
        <v>16500000</v>
      </c>
      <c r="AC248" t="s">
        <v>3236</v>
      </c>
      <c r="AD248" t="s">
        <v>3237</v>
      </c>
      <c r="AE248" s="243" t="s">
        <v>3238</v>
      </c>
      <c r="AF248" s="243" t="s">
        <v>3239</v>
      </c>
      <c r="AI248" s="59" t="e">
        <f t="shared" si="15"/>
        <v>#N/A</v>
      </c>
      <c r="AJ248" t="e">
        <f t="shared" si="16"/>
        <v>#N/A</v>
      </c>
      <c r="AK248" t="str">
        <f t="shared" si="17"/>
        <v/>
      </c>
    </row>
    <row r="249" spans="1:37" ht="15" customHeight="1">
      <c r="A249" s="62">
        <v>7</v>
      </c>
      <c r="B249" s="59">
        <v>241</v>
      </c>
      <c r="C249" t="s">
        <v>3240</v>
      </c>
      <c r="D249" t="s">
        <v>3241</v>
      </c>
      <c r="E249">
        <v>419</v>
      </c>
      <c r="F249" t="s">
        <v>1800</v>
      </c>
      <c r="G249" t="s">
        <v>1786</v>
      </c>
      <c r="H249" s="119">
        <f t="shared" si="18"/>
        <v>378.78787878787881</v>
      </c>
      <c r="I249" s="123">
        <v>45106</v>
      </c>
      <c r="J249">
        <v>2640</v>
      </c>
      <c r="L249">
        <v>2640</v>
      </c>
      <c r="M249">
        <v>1984</v>
      </c>
      <c r="R249" t="s">
        <v>44</v>
      </c>
      <c r="T249" s="120">
        <f t="shared" si="19"/>
        <v>0</v>
      </c>
      <c r="U249" t="s">
        <v>44</v>
      </c>
      <c r="Y249" s="121">
        <v>1000000</v>
      </c>
      <c r="AA249" s="121">
        <v>1000000</v>
      </c>
      <c r="AC249" t="s">
        <v>3242</v>
      </c>
      <c r="AD249" t="s">
        <v>3243</v>
      </c>
      <c r="AE249" s="243" t="s">
        <v>3244</v>
      </c>
      <c r="AF249" s="243" t="s">
        <v>3245</v>
      </c>
      <c r="AI249" s="59" t="e">
        <f t="shared" si="15"/>
        <v>#N/A</v>
      </c>
      <c r="AJ249" t="e">
        <f t="shared" si="16"/>
        <v>#N/A</v>
      </c>
      <c r="AK249" t="str">
        <f t="shared" si="17"/>
        <v/>
      </c>
    </row>
    <row r="250" spans="1:37" ht="15" customHeight="1">
      <c r="A250" s="62">
        <v>7</v>
      </c>
      <c r="B250" s="59">
        <v>242</v>
      </c>
      <c r="C250" t="s">
        <v>3246</v>
      </c>
      <c r="D250" t="s">
        <v>3247</v>
      </c>
      <c r="E250">
        <v>387</v>
      </c>
      <c r="F250" t="s">
        <v>2141</v>
      </c>
      <c r="G250" t="s">
        <v>1910</v>
      </c>
      <c r="H250" s="119">
        <f t="shared" si="18"/>
        <v>6624.3194192377496</v>
      </c>
      <c r="I250" s="123">
        <v>45114</v>
      </c>
      <c r="J250">
        <v>1102</v>
      </c>
      <c r="L250">
        <v>1102</v>
      </c>
      <c r="M250">
        <v>1974</v>
      </c>
      <c r="P250" t="s">
        <v>2515</v>
      </c>
      <c r="R250" t="s">
        <v>44</v>
      </c>
      <c r="S250">
        <v>449287</v>
      </c>
      <c r="T250" s="120">
        <f t="shared" si="19"/>
        <v>407.70145190562613</v>
      </c>
      <c r="U250" t="s">
        <v>44</v>
      </c>
      <c r="Y250" s="121">
        <v>7300000</v>
      </c>
      <c r="AA250" s="121">
        <v>7300000</v>
      </c>
      <c r="AC250" t="s">
        <v>3248</v>
      </c>
      <c r="AD250" t="s">
        <v>3249</v>
      </c>
      <c r="AE250" s="243" t="s">
        <v>3250</v>
      </c>
      <c r="AF250" s="243" t="s">
        <v>3251</v>
      </c>
      <c r="AI250" s="59" t="e">
        <f t="shared" si="15"/>
        <v>#N/A</v>
      </c>
      <c r="AJ250" t="e">
        <f t="shared" si="16"/>
        <v>#N/A</v>
      </c>
      <c r="AK250" t="str">
        <f t="shared" si="17"/>
        <v/>
      </c>
    </row>
    <row r="251" spans="1:37" ht="15" customHeight="1">
      <c r="A251" s="62">
        <v>7</v>
      </c>
      <c r="B251" s="59">
        <v>243</v>
      </c>
      <c r="C251" t="s">
        <v>3252</v>
      </c>
      <c r="D251" t="s">
        <v>3253</v>
      </c>
      <c r="E251">
        <v>425</v>
      </c>
      <c r="F251" t="s">
        <v>1814</v>
      </c>
      <c r="G251" t="s">
        <v>1815</v>
      </c>
      <c r="H251" s="119">
        <f t="shared" si="18"/>
        <v>55.583003952569172</v>
      </c>
      <c r="I251" s="123">
        <v>45138</v>
      </c>
      <c r="J251">
        <v>16192</v>
      </c>
      <c r="L251">
        <v>16192</v>
      </c>
      <c r="M251">
        <v>1984</v>
      </c>
      <c r="P251" t="s">
        <v>2329</v>
      </c>
      <c r="R251" t="s">
        <v>44</v>
      </c>
      <c r="S251">
        <v>5095</v>
      </c>
      <c r="T251" s="120">
        <f t="shared" si="19"/>
        <v>0.31466156126482214</v>
      </c>
      <c r="U251" t="s">
        <v>44</v>
      </c>
      <c r="Y251" s="121">
        <v>900000</v>
      </c>
      <c r="AA251" s="121">
        <v>900000</v>
      </c>
      <c r="AC251" t="s">
        <v>3254</v>
      </c>
      <c r="AD251" t="s">
        <v>3255</v>
      </c>
      <c r="AE251" s="243" t="s">
        <v>3256</v>
      </c>
      <c r="AF251" s="243" t="s">
        <v>3257</v>
      </c>
      <c r="AI251" s="59" t="e">
        <f t="shared" si="15"/>
        <v>#N/A</v>
      </c>
      <c r="AJ251" t="e">
        <f t="shared" si="16"/>
        <v>#N/A</v>
      </c>
      <c r="AK251" t="str">
        <f t="shared" si="17"/>
        <v/>
      </c>
    </row>
    <row r="252" spans="1:37" ht="15" customHeight="1">
      <c r="A252" s="62">
        <v>7</v>
      </c>
      <c r="B252" s="59">
        <v>244</v>
      </c>
      <c r="C252" t="s">
        <v>3258</v>
      </c>
      <c r="D252" t="s">
        <v>3259</v>
      </c>
      <c r="E252">
        <v>425</v>
      </c>
      <c r="F252" t="s">
        <v>1814</v>
      </c>
      <c r="G252" t="s">
        <v>1815</v>
      </c>
      <c r="H252" s="119">
        <f t="shared" si="18"/>
        <v>55.583003952569172</v>
      </c>
      <c r="I252" s="123">
        <v>45138</v>
      </c>
      <c r="J252">
        <v>16192</v>
      </c>
      <c r="L252">
        <v>16192</v>
      </c>
      <c r="M252">
        <v>1984</v>
      </c>
      <c r="P252" t="s">
        <v>2329</v>
      </c>
      <c r="R252" t="s">
        <v>44</v>
      </c>
      <c r="S252">
        <v>5095</v>
      </c>
      <c r="T252" s="120">
        <f t="shared" si="19"/>
        <v>0.31466156126482214</v>
      </c>
      <c r="U252" t="s">
        <v>44</v>
      </c>
      <c r="Y252" s="121">
        <v>900000</v>
      </c>
      <c r="AA252" s="121">
        <v>900000</v>
      </c>
      <c r="AC252" t="s">
        <v>3260</v>
      </c>
      <c r="AD252" t="s">
        <v>3255</v>
      </c>
      <c r="AE252" s="243" t="s">
        <v>3256</v>
      </c>
      <c r="AF252" s="243" t="s">
        <v>3257</v>
      </c>
      <c r="AI252" s="59" t="e">
        <f t="shared" si="15"/>
        <v>#N/A</v>
      </c>
      <c r="AJ252" t="e">
        <f t="shared" si="16"/>
        <v>#N/A</v>
      </c>
      <c r="AK252" t="str">
        <f t="shared" si="17"/>
        <v/>
      </c>
    </row>
    <row r="253" spans="1:37" ht="15" customHeight="1">
      <c r="A253" s="62">
        <v>7</v>
      </c>
      <c r="B253" s="59">
        <v>245</v>
      </c>
      <c r="C253" t="s">
        <v>3261</v>
      </c>
      <c r="D253" t="s">
        <v>3262</v>
      </c>
      <c r="E253">
        <v>331</v>
      </c>
      <c r="F253" t="s">
        <v>1800</v>
      </c>
      <c r="G253" t="s">
        <v>1786</v>
      </c>
      <c r="H253" s="119">
        <f t="shared" si="18"/>
        <v>27.541533915595444</v>
      </c>
      <c r="I253" s="123">
        <v>45155</v>
      </c>
      <c r="J253">
        <v>99497</v>
      </c>
      <c r="L253">
        <v>99497</v>
      </c>
      <c r="S253">
        <v>479913</v>
      </c>
      <c r="T253" s="120">
        <f t="shared" si="19"/>
        <v>4.8233916600500519</v>
      </c>
      <c r="Y253" s="121">
        <v>2740300</v>
      </c>
      <c r="AA253" s="121">
        <v>2740300</v>
      </c>
      <c r="AC253" t="s">
        <v>3263</v>
      </c>
      <c r="AD253" t="s">
        <v>3264</v>
      </c>
      <c r="AE253" s="243" t="s">
        <v>3265</v>
      </c>
      <c r="AF253" s="243" t="s">
        <v>3266</v>
      </c>
      <c r="AI253" s="59" t="e">
        <f t="shared" si="15"/>
        <v>#N/A</v>
      </c>
      <c r="AJ253" t="e">
        <f t="shared" si="16"/>
        <v>#N/A</v>
      </c>
      <c r="AK253" t="str">
        <f t="shared" si="17"/>
        <v/>
      </c>
    </row>
    <row r="254" spans="1:37" ht="15" customHeight="1">
      <c r="A254" s="62">
        <v>7</v>
      </c>
      <c r="B254" s="59">
        <v>246</v>
      </c>
      <c r="C254" t="s">
        <v>3267</v>
      </c>
      <c r="D254" t="s">
        <v>3268</v>
      </c>
      <c r="E254">
        <v>442</v>
      </c>
      <c r="F254" t="s">
        <v>2141</v>
      </c>
      <c r="G254" t="s">
        <v>1910</v>
      </c>
      <c r="H254" s="119">
        <f t="shared" si="18"/>
        <v>229.88505747126436</v>
      </c>
      <c r="I254" s="123">
        <v>45159</v>
      </c>
      <c r="J254">
        <v>1740</v>
      </c>
      <c r="L254">
        <v>1740</v>
      </c>
      <c r="M254">
        <v>1933</v>
      </c>
      <c r="P254" t="s">
        <v>3269</v>
      </c>
      <c r="R254" t="s">
        <v>44</v>
      </c>
      <c r="S254">
        <v>10500</v>
      </c>
      <c r="T254" s="120">
        <f t="shared" si="19"/>
        <v>6.0344827586206895</v>
      </c>
      <c r="U254" t="s">
        <v>302</v>
      </c>
      <c r="Y254" s="121">
        <v>400000</v>
      </c>
      <c r="AA254" s="121">
        <v>400000</v>
      </c>
      <c r="AC254" t="s">
        <v>3270</v>
      </c>
      <c r="AD254" t="s">
        <v>3271</v>
      </c>
      <c r="AE254" s="243" t="s">
        <v>3272</v>
      </c>
      <c r="AF254" s="243" t="s">
        <v>3273</v>
      </c>
      <c r="AI254" s="59" t="e">
        <f t="shared" si="15"/>
        <v>#N/A</v>
      </c>
      <c r="AJ254" t="e">
        <f t="shared" si="16"/>
        <v>#N/A</v>
      </c>
      <c r="AK254" t="str">
        <f t="shared" si="17"/>
        <v/>
      </c>
    </row>
    <row r="255" spans="1:37" ht="15" customHeight="1">
      <c r="A255" s="62">
        <v>7</v>
      </c>
      <c r="B255" s="59">
        <v>247</v>
      </c>
      <c r="C255" t="s">
        <v>3274</v>
      </c>
      <c r="D255" t="s">
        <v>3275</v>
      </c>
      <c r="E255">
        <v>718</v>
      </c>
      <c r="F255" t="s">
        <v>1800</v>
      </c>
      <c r="G255" t="s">
        <v>90</v>
      </c>
      <c r="H255" s="119">
        <f t="shared" si="18"/>
        <v>259.66936993137864</v>
      </c>
      <c r="I255" s="123">
        <v>45184</v>
      </c>
      <c r="J255">
        <v>12824</v>
      </c>
      <c r="L255">
        <v>12824</v>
      </c>
      <c r="M255">
        <v>2012</v>
      </c>
      <c r="P255" t="s">
        <v>1807</v>
      </c>
      <c r="R255" t="s">
        <v>44</v>
      </c>
      <c r="S255">
        <v>96632</v>
      </c>
      <c r="T255" s="120">
        <f t="shared" si="19"/>
        <v>7.5352464129756704</v>
      </c>
      <c r="U255" t="s">
        <v>44</v>
      </c>
      <c r="Y255" s="121">
        <v>3330000</v>
      </c>
      <c r="AA255" s="121">
        <v>3330000</v>
      </c>
      <c r="AC255" t="s">
        <v>3276</v>
      </c>
      <c r="AD255" t="s">
        <v>3277</v>
      </c>
      <c r="AE255" s="243" t="s">
        <v>3278</v>
      </c>
      <c r="AF255" s="243" t="s">
        <v>3279</v>
      </c>
      <c r="AI255" s="59" t="e">
        <f t="shared" si="15"/>
        <v>#N/A</v>
      </c>
      <c r="AJ255" t="e">
        <f t="shared" si="16"/>
        <v>#N/A</v>
      </c>
      <c r="AK255" t="str">
        <f t="shared" si="17"/>
        <v/>
      </c>
    </row>
    <row r="256" spans="1:37" ht="15" customHeight="1">
      <c r="A256" s="62">
        <v>7</v>
      </c>
      <c r="B256" s="59">
        <v>248</v>
      </c>
      <c r="C256" t="s">
        <v>3280</v>
      </c>
      <c r="D256" t="s">
        <v>3281</v>
      </c>
      <c r="E256">
        <v>344</v>
      </c>
      <c r="F256" t="s">
        <v>1984</v>
      </c>
      <c r="G256" t="s">
        <v>89</v>
      </c>
      <c r="H256" s="119">
        <f t="shared" si="18"/>
        <v>238.46153846153845</v>
      </c>
      <c r="I256" s="123">
        <v>45184</v>
      </c>
      <c r="J256">
        <v>2600</v>
      </c>
      <c r="L256">
        <v>2600</v>
      </c>
      <c r="M256">
        <v>1985</v>
      </c>
      <c r="P256" t="s">
        <v>2722</v>
      </c>
      <c r="R256" t="s">
        <v>44</v>
      </c>
      <c r="S256">
        <v>9000</v>
      </c>
      <c r="T256" s="120">
        <f t="shared" si="19"/>
        <v>3.4615384615384617</v>
      </c>
      <c r="U256" t="s">
        <v>44</v>
      </c>
      <c r="Y256" s="121">
        <v>620000</v>
      </c>
      <c r="AA256" s="121">
        <v>620000</v>
      </c>
      <c r="AC256" t="s">
        <v>3282</v>
      </c>
      <c r="AD256" t="s">
        <v>3283</v>
      </c>
      <c r="AE256" s="243" t="s">
        <v>3284</v>
      </c>
      <c r="AF256" s="243" t="s">
        <v>3285</v>
      </c>
      <c r="AI256" s="59" t="e">
        <f t="shared" si="15"/>
        <v>#N/A</v>
      </c>
      <c r="AJ256" t="e">
        <f t="shared" si="16"/>
        <v>#N/A</v>
      </c>
      <c r="AK256" t="str">
        <f t="shared" si="17"/>
        <v/>
      </c>
    </row>
    <row r="257" spans="1:37" ht="15" customHeight="1">
      <c r="A257" s="62">
        <v>7</v>
      </c>
      <c r="B257" s="59">
        <v>249</v>
      </c>
      <c r="C257" t="s">
        <v>3286</v>
      </c>
      <c r="D257" t="s">
        <v>3287</v>
      </c>
      <c r="E257">
        <v>434</v>
      </c>
      <c r="F257" t="s">
        <v>1814</v>
      </c>
      <c r="G257" t="s">
        <v>1815</v>
      </c>
      <c r="H257" s="119">
        <f t="shared" si="18"/>
        <v>521.42857142857144</v>
      </c>
      <c r="I257" s="123">
        <v>45187</v>
      </c>
      <c r="J257">
        <v>1400</v>
      </c>
      <c r="L257">
        <v>1400</v>
      </c>
      <c r="M257">
        <v>1960</v>
      </c>
      <c r="P257" t="s">
        <v>3288</v>
      </c>
      <c r="R257" t="s">
        <v>44</v>
      </c>
      <c r="S257">
        <v>3690</v>
      </c>
      <c r="T257" s="120">
        <f t="shared" si="19"/>
        <v>2.6357142857142857</v>
      </c>
      <c r="U257" t="s">
        <v>44</v>
      </c>
      <c r="Y257" s="121">
        <v>730000</v>
      </c>
      <c r="AA257" s="121">
        <v>730000</v>
      </c>
      <c r="AC257" t="s">
        <v>3289</v>
      </c>
      <c r="AD257" t="s">
        <v>3290</v>
      </c>
      <c r="AE257" s="243" t="s">
        <v>3291</v>
      </c>
      <c r="AF257" s="243" t="s">
        <v>3292</v>
      </c>
      <c r="AI257" s="59" t="e">
        <f t="shared" si="15"/>
        <v>#N/A</v>
      </c>
      <c r="AJ257" t="e">
        <f t="shared" si="16"/>
        <v>#N/A</v>
      </c>
      <c r="AK257" t="str">
        <f t="shared" si="17"/>
        <v/>
      </c>
    </row>
    <row r="258" spans="1:37" ht="15" customHeight="1">
      <c r="A258" s="62">
        <v>7</v>
      </c>
      <c r="B258" s="59">
        <v>250</v>
      </c>
      <c r="C258" t="s">
        <v>3293</v>
      </c>
      <c r="D258" t="s">
        <v>3294</v>
      </c>
      <c r="E258">
        <v>349</v>
      </c>
      <c r="F258" t="s">
        <v>2141</v>
      </c>
      <c r="G258" t="s">
        <v>89</v>
      </c>
      <c r="H258" s="119">
        <f t="shared" si="18"/>
        <v>1524.1254523522316</v>
      </c>
      <c r="I258" s="123">
        <v>45182</v>
      </c>
      <c r="J258">
        <v>1658</v>
      </c>
      <c r="L258">
        <v>1658</v>
      </c>
      <c r="M258">
        <v>2006</v>
      </c>
      <c r="P258" t="s">
        <v>3269</v>
      </c>
      <c r="R258" t="s">
        <v>44</v>
      </c>
      <c r="S258">
        <v>43786</v>
      </c>
      <c r="T258" s="120">
        <f t="shared" si="19"/>
        <v>26.408926417370324</v>
      </c>
      <c r="U258" t="s">
        <v>44</v>
      </c>
      <c r="Y258" s="121">
        <v>2527000</v>
      </c>
      <c r="AA258" s="121">
        <v>2527000</v>
      </c>
      <c r="AC258" t="s">
        <v>3295</v>
      </c>
      <c r="AD258" t="s">
        <v>3296</v>
      </c>
      <c r="AE258" s="243" t="s">
        <v>3297</v>
      </c>
      <c r="AF258" s="243" t="s">
        <v>3298</v>
      </c>
      <c r="AI258" s="59" t="e">
        <f t="shared" ref="AI258:AI321" si="20">IF(AND($E258=Subj_OccCode,Subj_BldgSF&gt;0,ABS($L258-Subj_BldgSF)&lt;=Subj_BldgSF*Subj_SizeTol),ABS($L258-Subj_BldgSF),NA())</f>
        <v>#N/A</v>
      </c>
      <c r="AJ258" t="e">
        <f t="shared" ref="AJ258:AJ321" si="21">IF(ISNA(AI258),NA(),AI258+ROW()/10000000)</f>
        <v>#N/A</v>
      </c>
      <c r="AK258" t="str">
        <f t="shared" ref="AK258:AK289" si="22">IF(AND(ISNUMBER($N258),$N258&gt;0,ISNUMBER($Y258)),$Y258/$N258,"")</f>
        <v/>
      </c>
    </row>
    <row r="259" spans="1:37" ht="15" customHeight="1">
      <c r="A259" s="62">
        <v>7</v>
      </c>
      <c r="B259" s="59">
        <v>251</v>
      </c>
      <c r="C259" t="s">
        <v>3299</v>
      </c>
      <c r="D259" t="s">
        <v>3300</v>
      </c>
      <c r="E259">
        <v>325</v>
      </c>
      <c r="F259" t="s">
        <v>2141</v>
      </c>
      <c r="G259" t="s">
        <v>1910</v>
      </c>
      <c r="H259" s="119">
        <f t="shared" si="18"/>
        <v>845.23809523809518</v>
      </c>
      <c r="I259" s="123">
        <v>45212</v>
      </c>
      <c r="J259">
        <v>2100</v>
      </c>
      <c r="L259">
        <v>2100</v>
      </c>
      <c r="M259">
        <v>1985</v>
      </c>
      <c r="P259" t="s">
        <v>2230</v>
      </c>
      <c r="R259" t="s">
        <v>44</v>
      </c>
      <c r="S259">
        <v>23000</v>
      </c>
      <c r="T259" s="120">
        <f t="shared" si="19"/>
        <v>10.952380952380953</v>
      </c>
      <c r="U259" t="s">
        <v>44</v>
      </c>
      <c r="Y259" s="121">
        <v>1775000</v>
      </c>
      <c r="AA259" s="121">
        <v>1775000</v>
      </c>
      <c r="AC259" t="s">
        <v>3301</v>
      </c>
      <c r="AD259" t="s">
        <v>3302</v>
      </c>
      <c r="AE259" s="243" t="s">
        <v>3303</v>
      </c>
      <c r="AF259" s="243" t="s">
        <v>3304</v>
      </c>
      <c r="AI259" s="59" t="e">
        <f t="shared" si="20"/>
        <v>#N/A</v>
      </c>
      <c r="AJ259" t="e">
        <f t="shared" si="21"/>
        <v>#N/A</v>
      </c>
      <c r="AK259" t="str">
        <f t="shared" si="22"/>
        <v/>
      </c>
    </row>
    <row r="260" spans="1:37" ht="15" customHeight="1">
      <c r="A260" s="62">
        <v>7</v>
      </c>
      <c r="B260" s="59">
        <v>252</v>
      </c>
      <c r="C260" t="s">
        <v>3305</v>
      </c>
      <c r="D260" t="s">
        <v>3306</v>
      </c>
      <c r="E260">
        <v>3441</v>
      </c>
      <c r="F260" t="s">
        <v>2141</v>
      </c>
      <c r="G260" t="s">
        <v>1910</v>
      </c>
      <c r="H260" s="119">
        <f t="shared" si="18"/>
        <v>1328.5928143712574</v>
      </c>
      <c r="I260" s="123">
        <v>45212</v>
      </c>
      <c r="J260">
        <v>1336</v>
      </c>
      <c r="L260">
        <v>1336</v>
      </c>
      <c r="M260">
        <v>1984</v>
      </c>
      <c r="P260" t="s">
        <v>2230</v>
      </c>
      <c r="R260" t="s">
        <v>44</v>
      </c>
      <c r="S260">
        <v>21850</v>
      </c>
      <c r="T260" s="120">
        <f t="shared" si="19"/>
        <v>16.354790419161677</v>
      </c>
      <c r="U260" t="s">
        <v>44</v>
      </c>
      <c r="Y260" s="121">
        <v>1775000</v>
      </c>
      <c r="AA260" s="121">
        <v>1775000</v>
      </c>
      <c r="AC260" t="s">
        <v>3307</v>
      </c>
      <c r="AD260" t="s">
        <v>3302</v>
      </c>
      <c r="AE260" s="243" t="s">
        <v>3303</v>
      </c>
      <c r="AF260" s="243" t="s">
        <v>3304</v>
      </c>
      <c r="AI260" s="59" t="e">
        <f t="shared" si="20"/>
        <v>#N/A</v>
      </c>
      <c r="AJ260" t="e">
        <f t="shared" si="21"/>
        <v>#N/A</v>
      </c>
      <c r="AK260" t="str">
        <f t="shared" si="22"/>
        <v/>
      </c>
    </row>
    <row r="261" spans="1:37" ht="15" customHeight="1">
      <c r="A261" s="62">
        <v>7</v>
      </c>
      <c r="B261" s="59">
        <v>253</v>
      </c>
      <c r="C261" t="s">
        <v>3308</v>
      </c>
      <c r="D261" t="s">
        <v>3309</v>
      </c>
      <c r="E261">
        <v>344</v>
      </c>
      <c r="F261" t="s">
        <v>1800</v>
      </c>
      <c r="G261" t="s">
        <v>90</v>
      </c>
      <c r="H261" s="119">
        <f t="shared" si="18"/>
        <v>414.93775933609959</v>
      </c>
      <c r="I261" s="123">
        <v>45226</v>
      </c>
      <c r="J261">
        <v>2410</v>
      </c>
      <c r="L261">
        <v>2410</v>
      </c>
      <c r="M261">
        <v>1945</v>
      </c>
      <c r="P261" t="s">
        <v>1807</v>
      </c>
      <c r="R261" t="s">
        <v>229</v>
      </c>
      <c r="S261">
        <v>22330</v>
      </c>
      <c r="T261" s="120">
        <f t="shared" si="19"/>
        <v>9.2655601659751046</v>
      </c>
      <c r="U261" t="s">
        <v>229</v>
      </c>
      <c r="Y261" s="121">
        <v>1000000</v>
      </c>
      <c r="AA261" s="121">
        <v>1000000</v>
      </c>
      <c r="AC261" t="s">
        <v>3310</v>
      </c>
      <c r="AD261" t="s">
        <v>3311</v>
      </c>
      <c r="AE261" s="243" t="s">
        <v>3312</v>
      </c>
      <c r="AF261" s="243" t="s">
        <v>3313</v>
      </c>
      <c r="AI261" s="59" t="e">
        <f t="shared" si="20"/>
        <v>#N/A</v>
      </c>
      <c r="AJ261" t="e">
        <f t="shared" si="21"/>
        <v>#N/A</v>
      </c>
      <c r="AK261" t="str">
        <f t="shared" si="22"/>
        <v/>
      </c>
    </row>
    <row r="262" spans="1:37" ht="15" customHeight="1">
      <c r="A262" s="62">
        <v>7</v>
      </c>
      <c r="B262" s="59">
        <v>254</v>
      </c>
      <c r="C262" t="s">
        <v>3314</v>
      </c>
      <c r="D262" t="s">
        <v>3315</v>
      </c>
      <c r="E262">
        <v>346</v>
      </c>
      <c r="F262" t="s">
        <v>2141</v>
      </c>
      <c r="G262" t="s">
        <v>1910</v>
      </c>
      <c r="H262" s="119">
        <f t="shared" ref="H262:H325" si="23">Y262/J262</f>
        <v>805.86080586080584</v>
      </c>
      <c r="I262" s="123">
        <v>45233</v>
      </c>
      <c r="J262">
        <v>1092</v>
      </c>
      <c r="L262">
        <v>1092</v>
      </c>
      <c r="M262">
        <v>1969</v>
      </c>
      <c r="P262" t="s">
        <v>2243</v>
      </c>
      <c r="R262" t="s">
        <v>44</v>
      </c>
      <c r="S262">
        <v>6000</v>
      </c>
      <c r="T262" s="120">
        <f t="shared" si="19"/>
        <v>5.4945054945054945</v>
      </c>
      <c r="U262" t="s">
        <v>44</v>
      </c>
      <c r="Y262" s="121">
        <v>880000</v>
      </c>
      <c r="AA262" s="121">
        <v>880000</v>
      </c>
      <c r="AC262" t="s">
        <v>3316</v>
      </c>
      <c r="AD262" t="s">
        <v>3317</v>
      </c>
      <c r="AE262" s="243" t="s">
        <v>3318</v>
      </c>
      <c r="AF262" s="243" t="s">
        <v>3319</v>
      </c>
      <c r="AI262" s="59" t="e">
        <f t="shared" si="20"/>
        <v>#N/A</v>
      </c>
      <c r="AJ262" t="e">
        <f t="shared" si="21"/>
        <v>#N/A</v>
      </c>
      <c r="AK262" t="str">
        <f t="shared" si="22"/>
        <v/>
      </c>
    </row>
    <row r="263" spans="1:37" ht="15" customHeight="1">
      <c r="A263" s="62">
        <v>7</v>
      </c>
      <c r="B263" s="59">
        <v>255</v>
      </c>
      <c r="C263" t="s">
        <v>3320</v>
      </c>
      <c r="D263" t="s">
        <v>3321</v>
      </c>
      <c r="E263">
        <v>353</v>
      </c>
      <c r="F263" t="s">
        <v>2141</v>
      </c>
      <c r="G263" t="s">
        <v>1910</v>
      </c>
      <c r="H263" s="119">
        <f t="shared" si="23"/>
        <v>132.13213213213214</v>
      </c>
      <c r="I263" s="123">
        <v>45233</v>
      </c>
      <c r="J263">
        <v>6660</v>
      </c>
      <c r="L263">
        <v>6660</v>
      </c>
      <c r="M263">
        <v>1955</v>
      </c>
      <c r="P263" t="s">
        <v>2243</v>
      </c>
      <c r="R263" t="s">
        <v>44</v>
      </c>
      <c r="S263">
        <v>54172</v>
      </c>
      <c r="T263" s="120">
        <f t="shared" si="19"/>
        <v>8.1339339339339336</v>
      </c>
      <c r="U263" t="s">
        <v>44</v>
      </c>
      <c r="Y263" s="121">
        <v>880000</v>
      </c>
      <c r="AA263" s="121">
        <v>880000</v>
      </c>
      <c r="AC263" t="s">
        <v>3322</v>
      </c>
      <c r="AD263" t="s">
        <v>3317</v>
      </c>
      <c r="AE263" s="243" t="s">
        <v>3318</v>
      </c>
      <c r="AF263" s="243" t="s">
        <v>3319</v>
      </c>
      <c r="AI263" s="59" t="e">
        <f t="shared" si="20"/>
        <v>#N/A</v>
      </c>
      <c r="AJ263" t="e">
        <f t="shared" si="21"/>
        <v>#N/A</v>
      </c>
      <c r="AK263" t="str">
        <f t="shared" si="22"/>
        <v/>
      </c>
    </row>
    <row r="264" spans="1:37" ht="15" customHeight="1">
      <c r="A264" s="62">
        <v>7</v>
      </c>
      <c r="B264" s="59">
        <v>256</v>
      </c>
      <c r="C264" t="s">
        <v>3323</v>
      </c>
      <c r="D264" t="s">
        <v>3324</v>
      </c>
      <c r="E264">
        <v>406</v>
      </c>
      <c r="G264" t="s">
        <v>1910</v>
      </c>
      <c r="H264" s="119">
        <f t="shared" si="23"/>
        <v>1111.1111111111111</v>
      </c>
      <c r="I264" s="123">
        <v>45251</v>
      </c>
      <c r="J264">
        <v>2925</v>
      </c>
      <c r="L264">
        <v>2925</v>
      </c>
      <c r="M264">
        <v>2006</v>
      </c>
      <c r="P264" t="s">
        <v>1911</v>
      </c>
      <c r="R264" t="s">
        <v>44</v>
      </c>
      <c r="S264">
        <v>100410</v>
      </c>
      <c r="T264" s="120">
        <f t="shared" si="19"/>
        <v>34.328205128205127</v>
      </c>
      <c r="U264" t="s">
        <v>44</v>
      </c>
      <c r="Y264" s="121">
        <v>3250000</v>
      </c>
      <c r="AA264" s="121">
        <v>3250000</v>
      </c>
      <c r="AC264" t="s">
        <v>3325</v>
      </c>
      <c r="AD264" t="s">
        <v>3326</v>
      </c>
      <c r="AE264" s="243" t="s">
        <v>3327</v>
      </c>
      <c r="AF264" s="243" t="s">
        <v>3328</v>
      </c>
      <c r="AI264" s="59" t="e">
        <f t="shared" si="20"/>
        <v>#N/A</v>
      </c>
      <c r="AJ264" t="e">
        <f t="shared" si="21"/>
        <v>#N/A</v>
      </c>
      <c r="AK264" t="str">
        <f t="shared" si="22"/>
        <v/>
      </c>
    </row>
    <row r="265" spans="1:37" ht="15" customHeight="1">
      <c r="A265" s="62">
        <v>7</v>
      </c>
      <c r="B265" s="59">
        <v>257</v>
      </c>
      <c r="C265" t="s">
        <v>3329</v>
      </c>
      <c r="D265" t="s">
        <v>3330</v>
      </c>
      <c r="E265">
        <v>406</v>
      </c>
      <c r="F265" t="s">
        <v>2141</v>
      </c>
      <c r="G265" t="s">
        <v>1910</v>
      </c>
      <c r="H265" s="119">
        <f t="shared" si="23"/>
        <v>362.90322580645159</v>
      </c>
      <c r="I265" s="123">
        <v>45260</v>
      </c>
      <c r="J265">
        <v>4960</v>
      </c>
      <c r="L265">
        <v>4960</v>
      </c>
      <c r="M265">
        <v>1994</v>
      </c>
      <c r="P265" t="s">
        <v>2230</v>
      </c>
      <c r="R265" t="s">
        <v>44</v>
      </c>
      <c r="S265">
        <v>41790</v>
      </c>
      <c r="T265" s="120">
        <f t="shared" ref="T265:T292" si="24">S265/L265</f>
        <v>8.425403225806452</v>
      </c>
      <c r="U265" t="s">
        <v>44</v>
      </c>
      <c r="Y265" s="121">
        <v>1800000</v>
      </c>
      <c r="AA265" s="121">
        <v>1800000</v>
      </c>
      <c r="AC265" t="s">
        <v>3331</v>
      </c>
      <c r="AD265" t="s">
        <v>3332</v>
      </c>
      <c r="AE265" s="243" t="s">
        <v>3333</v>
      </c>
      <c r="AF265" s="243" t="s">
        <v>3334</v>
      </c>
      <c r="AI265" s="59" t="e">
        <f t="shared" si="20"/>
        <v>#N/A</v>
      </c>
      <c r="AJ265" t="e">
        <f t="shared" si="21"/>
        <v>#N/A</v>
      </c>
      <c r="AK265" t="str">
        <f t="shared" si="22"/>
        <v/>
      </c>
    </row>
    <row r="266" spans="1:37" ht="15" customHeight="1">
      <c r="A266" s="62">
        <v>7</v>
      </c>
      <c r="B266" s="59">
        <v>258</v>
      </c>
      <c r="C266" t="s">
        <v>3335</v>
      </c>
      <c r="D266" t="s">
        <v>3336</v>
      </c>
      <c r="E266">
        <v>425</v>
      </c>
      <c r="G266" t="s">
        <v>1910</v>
      </c>
      <c r="H266" s="119">
        <f t="shared" si="23"/>
        <v>29.873377314322195</v>
      </c>
      <c r="I266" s="123">
        <v>45286</v>
      </c>
      <c r="J266">
        <v>37592</v>
      </c>
      <c r="L266">
        <v>37592</v>
      </c>
      <c r="M266">
        <v>2006</v>
      </c>
      <c r="P266" t="s">
        <v>1911</v>
      </c>
      <c r="R266" t="s">
        <v>44</v>
      </c>
      <c r="S266">
        <v>2919</v>
      </c>
      <c r="T266" s="120">
        <f t="shared" si="24"/>
        <v>7.7649499893594376E-2</v>
      </c>
      <c r="U266" t="s">
        <v>44</v>
      </c>
      <c r="Y266" s="121">
        <v>1123000</v>
      </c>
      <c r="AA266" s="121">
        <v>1123000</v>
      </c>
      <c r="AC266" t="s">
        <v>3337</v>
      </c>
      <c r="AD266" t="s">
        <v>3338</v>
      </c>
      <c r="AE266" s="243" t="s">
        <v>3339</v>
      </c>
      <c r="AF266" s="243" t="s">
        <v>3340</v>
      </c>
      <c r="AI266" s="59" t="e">
        <f t="shared" si="20"/>
        <v>#N/A</v>
      </c>
      <c r="AJ266" t="e">
        <f t="shared" si="21"/>
        <v>#N/A</v>
      </c>
      <c r="AK266" t="str">
        <f t="shared" si="22"/>
        <v/>
      </c>
    </row>
    <row r="267" spans="1:37" ht="15" customHeight="1">
      <c r="A267" s="62">
        <v>7</v>
      </c>
      <c r="B267" s="59">
        <v>259</v>
      </c>
      <c r="C267" t="s">
        <v>3341</v>
      </c>
      <c r="D267" t="s">
        <v>3342</v>
      </c>
      <c r="E267">
        <v>425</v>
      </c>
      <c r="G267" t="s">
        <v>1910</v>
      </c>
      <c r="H267" s="119">
        <f t="shared" si="23"/>
        <v>29.873377314322195</v>
      </c>
      <c r="I267" s="123">
        <v>45286</v>
      </c>
      <c r="J267">
        <v>37592</v>
      </c>
      <c r="L267">
        <v>37592</v>
      </c>
      <c r="M267">
        <v>2006</v>
      </c>
      <c r="P267" t="s">
        <v>1911</v>
      </c>
      <c r="R267" t="s">
        <v>44</v>
      </c>
      <c r="S267">
        <v>7296</v>
      </c>
      <c r="T267" s="120">
        <f t="shared" si="24"/>
        <v>0.19408384762715472</v>
      </c>
      <c r="U267" t="s">
        <v>44</v>
      </c>
      <c r="Y267" s="121">
        <v>1123000</v>
      </c>
      <c r="AA267" s="121">
        <v>1123000</v>
      </c>
      <c r="AC267" t="s">
        <v>3343</v>
      </c>
      <c r="AD267" t="s">
        <v>3338</v>
      </c>
      <c r="AE267" s="243" t="s">
        <v>3339</v>
      </c>
      <c r="AF267" s="243" t="s">
        <v>3340</v>
      </c>
      <c r="AI267" s="59" t="e">
        <f t="shared" si="20"/>
        <v>#N/A</v>
      </c>
      <c r="AJ267" t="e">
        <f t="shared" si="21"/>
        <v>#N/A</v>
      </c>
      <c r="AK267" t="str">
        <f t="shared" si="22"/>
        <v/>
      </c>
    </row>
    <row r="268" spans="1:37" ht="15" customHeight="1">
      <c r="A268" s="62">
        <v>7</v>
      </c>
      <c r="B268" s="59">
        <v>260</v>
      </c>
      <c r="C268" t="s">
        <v>3344</v>
      </c>
      <c r="D268" t="s">
        <v>3345</v>
      </c>
      <c r="E268">
        <v>425</v>
      </c>
      <c r="G268" t="s">
        <v>1910</v>
      </c>
      <c r="H268" s="119">
        <f t="shared" si="23"/>
        <v>29.873377314322195</v>
      </c>
      <c r="I268" s="123">
        <v>45286</v>
      </c>
      <c r="J268">
        <v>37592</v>
      </c>
      <c r="L268">
        <v>37592</v>
      </c>
      <c r="M268">
        <v>2006</v>
      </c>
      <c r="P268" t="s">
        <v>1911</v>
      </c>
      <c r="R268" t="s">
        <v>44</v>
      </c>
      <c r="S268">
        <v>11382</v>
      </c>
      <c r="T268" s="120">
        <f t="shared" si="24"/>
        <v>0.30277718663545433</v>
      </c>
      <c r="U268" t="s">
        <v>44</v>
      </c>
      <c r="Y268" s="121">
        <v>1123000</v>
      </c>
      <c r="AA268" s="121">
        <v>1123000</v>
      </c>
      <c r="AC268" t="s">
        <v>3346</v>
      </c>
      <c r="AD268" t="s">
        <v>3338</v>
      </c>
      <c r="AE268" s="243" t="s">
        <v>3339</v>
      </c>
      <c r="AF268" s="243" t="s">
        <v>3340</v>
      </c>
      <c r="AI268" s="59" t="e">
        <f t="shared" si="20"/>
        <v>#N/A</v>
      </c>
      <c r="AJ268" t="e">
        <f t="shared" si="21"/>
        <v>#N/A</v>
      </c>
      <c r="AK268" t="str">
        <f t="shared" si="22"/>
        <v/>
      </c>
    </row>
    <row r="269" spans="1:37" ht="15" customHeight="1">
      <c r="A269" s="62">
        <v>7</v>
      </c>
      <c r="B269" s="59">
        <v>261</v>
      </c>
      <c r="C269" t="s">
        <v>3347</v>
      </c>
      <c r="D269" t="s">
        <v>3348</v>
      </c>
      <c r="E269">
        <v>425</v>
      </c>
      <c r="G269" t="s">
        <v>1910</v>
      </c>
      <c r="H269" s="119">
        <f t="shared" si="23"/>
        <v>54.205438612340771</v>
      </c>
      <c r="I269" s="123">
        <v>45307</v>
      </c>
      <c r="J269">
        <v>22138</v>
      </c>
      <c r="L269">
        <v>22138</v>
      </c>
      <c r="M269">
        <v>2005</v>
      </c>
      <c r="P269" t="s">
        <v>1969</v>
      </c>
      <c r="R269" t="s">
        <v>44</v>
      </c>
      <c r="S269">
        <v>11727</v>
      </c>
      <c r="T269" s="120">
        <f t="shared" si="24"/>
        <v>0.52972264883910014</v>
      </c>
      <c r="U269" t="s">
        <v>44</v>
      </c>
      <c r="Y269" s="121">
        <v>1200000</v>
      </c>
      <c r="AA269" s="121">
        <v>1200000</v>
      </c>
      <c r="AC269" t="s">
        <v>3349</v>
      </c>
      <c r="AD269" t="s">
        <v>3350</v>
      </c>
      <c r="AE269" s="243" t="s">
        <v>3351</v>
      </c>
      <c r="AF269" s="243" t="s">
        <v>3352</v>
      </c>
      <c r="AI269" s="59" t="e">
        <f t="shared" si="20"/>
        <v>#N/A</v>
      </c>
      <c r="AJ269" t="e">
        <f t="shared" si="21"/>
        <v>#N/A</v>
      </c>
      <c r="AK269" t="str">
        <f t="shared" si="22"/>
        <v/>
      </c>
    </row>
    <row r="270" spans="1:37" ht="15" customHeight="1">
      <c r="A270" s="62">
        <v>7</v>
      </c>
      <c r="B270" s="59">
        <v>262</v>
      </c>
      <c r="C270" t="s">
        <v>3353</v>
      </c>
      <c r="D270" t="s">
        <v>3354</v>
      </c>
      <c r="E270">
        <v>425</v>
      </c>
      <c r="G270" t="s">
        <v>1910</v>
      </c>
      <c r="H270" s="119">
        <f t="shared" si="23"/>
        <v>54.205438612340771</v>
      </c>
      <c r="I270" s="123">
        <v>45307</v>
      </c>
      <c r="J270">
        <v>22138</v>
      </c>
      <c r="L270">
        <v>22138</v>
      </c>
      <c r="M270">
        <v>2005</v>
      </c>
      <c r="P270" t="s">
        <v>1969</v>
      </c>
      <c r="R270" t="s">
        <v>44</v>
      </c>
      <c r="S270">
        <v>11727</v>
      </c>
      <c r="T270" s="120">
        <f t="shared" si="24"/>
        <v>0.52972264883910014</v>
      </c>
      <c r="U270" t="s">
        <v>44</v>
      </c>
      <c r="Y270" s="121">
        <v>1200000</v>
      </c>
      <c r="AA270" s="121">
        <v>1200000</v>
      </c>
      <c r="AC270" t="s">
        <v>3355</v>
      </c>
      <c r="AD270" t="s">
        <v>3350</v>
      </c>
      <c r="AE270" s="243" t="s">
        <v>3351</v>
      </c>
      <c r="AF270" s="243" t="s">
        <v>3352</v>
      </c>
      <c r="AI270" s="59" t="e">
        <f t="shared" si="20"/>
        <v>#N/A</v>
      </c>
      <c r="AJ270" t="e">
        <f t="shared" si="21"/>
        <v>#N/A</v>
      </c>
      <c r="AK270" t="str">
        <f t="shared" si="22"/>
        <v/>
      </c>
    </row>
    <row r="271" spans="1:37" ht="15" customHeight="1">
      <c r="A271" s="62">
        <v>7</v>
      </c>
      <c r="B271" s="59">
        <v>263</v>
      </c>
      <c r="C271" t="s">
        <v>3356</v>
      </c>
      <c r="D271" t="s">
        <v>3357</v>
      </c>
      <c r="E271">
        <v>406</v>
      </c>
      <c r="F271" t="s">
        <v>1814</v>
      </c>
      <c r="G271" t="s">
        <v>1815</v>
      </c>
      <c r="H271" s="119">
        <f t="shared" si="23"/>
        <v>226.41509433962264</v>
      </c>
      <c r="I271" s="123">
        <v>45310</v>
      </c>
      <c r="J271">
        <v>5300</v>
      </c>
      <c r="L271">
        <v>5300</v>
      </c>
      <c r="M271">
        <v>1983</v>
      </c>
      <c r="P271" t="s">
        <v>1932</v>
      </c>
      <c r="R271" t="s">
        <v>44</v>
      </c>
      <c r="S271">
        <v>19301</v>
      </c>
      <c r="T271" s="120">
        <f t="shared" si="24"/>
        <v>3.6416981132075472</v>
      </c>
      <c r="U271" t="s">
        <v>44</v>
      </c>
      <c r="Y271" s="121">
        <v>1200000</v>
      </c>
      <c r="AA271" s="121">
        <v>1200000</v>
      </c>
      <c r="AC271" t="s">
        <v>3358</v>
      </c>
      <c r="AD271" t="s">
        <v>3359</v>
      </c>
      <c r="AE271" s="243" t="s">
        <v>3360</v>
      </c>
      <c r="AF271" s="243" t="s">
        <v>3361</v>
      </c>
      <c r="AI271" s="59" t="e">
        <f t="shared" si="20"/>
        <v>#N/A</v>
      </c>
      <c r="AJ271" t="e">
        <f t="shared" si="21"/>
        <v>#N/A</v>
      </c>
      <c r="AK271" t="str">
        <f t="shared" si="22"/>
        <v/>
      </c>
    </row>
    <row r="272" spans="1:37" ht="15" customHeight="1">
      <c r="A272" s="62">
        <v>7</v>
      </c>
      <c r="B272" s="59">
        <v>264</v>
      </c>
      <c r="C272" t="s">
        <v>3362</v>
      </c>
      <c r="D272" t="s">
        <v>3363</v>
      </c>
      <c r="E272">
        <v>407</v>
      </c>
      <c r="G272" t="s">
        <v>1910</v>
      </c>
      <c r="H272" s="119">
        <f t="shared" si="23"/>
        <v>171.80094786729859</v>
      </c>
      <c r="I272" s="123">
        <v>45322</v>
      </c>
      <c r="J272">
        <v>55704</v>
      </c>
      <c r="L272">
        <v>55704</v>
      </c>
      <c r="M272">
        <v>1972</v>
      </c>
      <c r="P272" t="s">
        <v>1911</v>
      </c>
      <c r="R272" t="s">
        <v>44</v>
      </c>
      <c r="S272">
        <v>137294</v>
      </c>
      <c r="T272" s="120">
        <f t="shared" si="24"/>
        <v>2.4647063047536983</v>
      </c>
      <c r="U272" t="s">
        <v>44</v>
      </c>
      <c r="Y272" s="121">
        <v>9570000</v>
      </c>
      <c r="AA272" s="121">
        <v>9570000</v>
      </c>
      <c r="AC272" t="s">
        <v>3364</v>
      </c>
      <c r="AD272" t="s">
        <v>3365</v>
      </c>
      <c r="AE272" s="243" t="s">
        <v>3366</v>
      </c>
      <c r="AF272" s="243" t="s">
        <v>3367</v>
      </c>
      <c r="AI272" s="59" t="e">
        <f t="shared" si="20"/>
        <v>#N/A</v>
      </c>
      <c r="AJ272" t="e">
        <f t="shared" si="21"/>
        <v>#N/A</v>
      </c>
      <c r="AK272" t="str">
        <f t="shared" si="22"/>
        <v/>
      </c>
    </row>
    <row r="273" spans="1:37" ht="15" customHeight="1">
      <c r="A273" s="62">
        <v>7</v>
      </c>
      <c r="B273" s="59">
        <v>265</v>
      </c>
      <c r="C273" t="s">
        <v>3368</v>
      </c>
      <c r="D273" t="s">
        <v>3369</v>
      </c>
      <c r="E273">
        <v>425</v>
      </c>
      <c r="F273" t="s">
        <v>1814</v>
      </c>
      <c r="G273" t="s">
        <v>1815</v>
      </c>
      <c r="H273" s="119">
        <f t="shared" si="23"/>
        <v>35.384615384615387</v>
      </c>
      <c r="I273" s="123">
        <v>45327</v>
      </c>
      <c r="J273">
        <v>32500</v>
      </c>
      <c r="L273">
        <v>32500</v>
      </c>
      <c r="M273">
        <v>2004</v>
      </c>
      <c r="P273" t="s">
        <v>2027</v>
      </c>
      <c r="R273" t="s">
        <v>44</v>
      </c>
      <c r="S273">
        <v>4740</v>
      </c>
      <c r="T273" s="120">
        <f t="shared" si="24"/>
        <v>0.14584615384615385</v>
      </c>
      <c r="U273" t="s">
        <v>44</v>
      </c>
      <c r="Y273" s="121">
        <v>1150000</v>
      </c>
      <c r="AA273" s="121">
        <v>1150000</v>
      </c>
      <c r="AC273" t="s">
        <v>3370</v>
      </c>
      <c r="AD273" t="s">
        <v>3371</v>
      </c>
      <c r="AE273" s="243" t="s">
        <v>2030</v>
      </c>
      <c r="AF273" s="243" t="s">
        <v>3372</v>
      </c>
      <c r="AI273" s="59" t="e">
        <f t="shared" si="20"/>
        <v>#N/A</v>
      </c>
      <c r="AJ273" t="e">
        <f t="shared" si="21"/>
        <v>#N/A</v>
      </c>
      <c r="AK273" t="str">
        <f t="shared" si="22"/>
        <v/>
      </c>
    </row>
    <row r="274" spans="1:37" ht="15" customHeight="1">
      <c r="A274" s="62">
        <v>7</v>
      </c>
      <c r="B274" s="59">
        <v>266</v>
      </c>
      <c r="C274" t="s">
        <v>3373</v>
      </c>
      <c r="D274" t="s">
        <v>3374</v>
      </c>
      <c r="E274">
        <v>425</v>
      </c>
      <c r="F274" t="s">
        <v>1814</v>
      </c>
      <c r="G274" t="s">
        <v>1815</v>
      </c>
      <c r="H274" s="119">
        <f t="shared" si="23"/>
        <v>35.384615384615387</v>
      </c>
      <c r="I274" s="123">
        <v>45327</v>
      </c>
      <c r="J274">
        <v>32500</v>
      </c>
      <c r="L274">
        <v>32500</v>
      </c>
      <c r="M274">
        <v>2004</v>
      </c>
      <c r="P274" t="s">
        <v>2027</v>
      </c>
      <c r="R274" t="s">
        <v>44</v>
      </c>
      <c r="S274">
        <v>4740</v>
      </c>
      <c r="T274" s="120">
        <f t="shared" si="24"/>
        <v>0.14584615384615385</v>
      </c>
      <c r="U274" t="s">
        <v>44</v>
      </c>
      <c r="Y274" s="121">
        <v>1150000</v>
      </c>
      <c r="AA274" s="121">
        <v>1150000</v>
      </c>
      <c r="AC274" t="s">
        <v>3375</v>
      </c>
      <c r="AD274" t="s">
        <v>3371</v>
      </c>
      <c r="AE274" s="243" t="s">
        <v>2030</v>
      </c>
      <c r="AF274" s="243" t="s">
        <v>3372</v>
      </c>
      <c r="AI274" s="59" t="e">
        <f t="shared" si="20"/>
        <v>#N/A</v>
      </c>
      <c r="AJ274" t="e">
        <f t="shared" si="21"/>
        <v>#N/A</v>
      </c>
      <c r="AK274" t="str">
        <f t="shared" si="22"/>
        <v/>
      </c>
    </row>
    <row r="275" spans="1:37" ht="15" customHeight="1">
      <c r="A275" s="62">
        <v>7</v>
      </c>
      <c r="B275" s="59">
        <v>267</v>
      </c>
      <c r="C275" t="s">
        <v>3376</v>
      </c>
      <c r="D275" t="s">
        <v>3377</v>
      </c>
      <c r="E275">
        <v>353</v>
      </c>
      <c r="F275" t="s">
        <v>1984</v>
      </c>
      <c r="G275" t="s">
        <v>89</v>
      </c>
      <c r="H275" s="119">
        <f t="shared" si="23"/>
        <v>188.49315068493149</v>
      </c>
      <c r="I275" s="123">
        <v>45328</v>
      </c>
      <c r="J275">
        <v>3650</v>
      </c>
      <c r="L275">
        <v>3650</v>
      </c>
      <c r="M275">
        <v>1961</v>
      </c>
      <c r="P275" t="s">
        <v>2722</v>
      </c>
      <c r="R275" t="s">
        <v>44</v>
      </c>
      <c r="S275">
        <v>13504</v>
      </c>
      <c r="T275" s="120">
        <f t="shared" si="24"/>
        <v>3.6997260273972601</v>
      </c>
      <c r="U275" t="s">
        <v>44</v>
      </c>
      <c r="Y275" s="121">
        <v>688000</v>
      </c>
      <c r="AA275" s="121">
        <v>688000</v>
      </c>
      <c r="AC275" t="s">
        <v>3378</v>
      </c>
      <c r="AD275" t="s">
        <v>3379</v>
      </c>
      <c r="AE275" s="243" t="s">
        <v>3380</v>
      </c>
      <c r="AF275" s="243" t="s">
        <v>3381</v>
      </c>
      <c r="AI275" s="59" t="e">
        <f t="shared" si="20"/>
        <v>#N/A</v>
      </c>
      <c r="AJ275" t="e">
        <f t="shared" si="21"/>
        <v>#N/A</v>
      </c>
      <c r="AK275" t="str">
        <f t="shared" si="22"/>
        <v/>
      </c>
    </row>
    <row r="276" spans="1:37" ht="15" customHeight="1">
      <c r="A276" s="62">
        <v>7</v>
      </c>
      <c r="B276" s="59">
        <v>268</v>
      </c>
      <c r="C276" t="s">
        <v>3382</v>
      </c>
      <c r="D276" t="s">
        <v>3383</v>
      </c>
      <c r="E276">
        <v>325</v>
      </c>
      <c r="F276" t="s">
        <v>2141</v>
      </c>
      <c r="G276" t="s">
        <v>1910</v>
      </c>
      <c r="H276" s="119">
        <f t="shared" si="23"/>
        <v>326.10321615557217</v>
      </c>
      <c r="I276" s="123">
        <v>45338</v>
      </c>
      <c r="J276">
        <v>33425</v>
      </c>
      <c r="L276">
        <v>33425</v>
      </c>
      <c r="M276">
        <v>1970</v>
      </c>
      <c r="P276" t="s">
        <v>2230</v>
      </c>
      <c r="R276" t="s">
        <v>44</v>
      </c>
      <c r="S276">
        <v>270508</v>
      </c>
      <c r="T276" s="120">
        <f t="shared" si="24"/>
        <v>8.0929842931937177</v>
      </c>
      <c r="U276" t="s">
        <v>44</v>
      </c>
      <c r="Y276" s="121">
        <v>10900000</v>
      </c>
      <c r="AA276" s="121">
        <v>10900000</v>
      </c>
      <c r="AC276" t="s">
        <v>3384</v>
      </c>
      <c r="AD276" t="s">
        <v>3385</v>
      </c>
      <c r="AE276" s="243" t="s">
        <v>2398</v>
      </c>
      <c r="AF276" s="243" t="s">
        <v>3386</v>
      </c>
      <c r="AI276" s="59" t="e">
        <f t="shared" si="20"/>
        <v>#N/A</v>
      </c>
      <c r="AJ276" t="e">
        <f t="shared" si="21"/>
        <v>#N/A</v>
      </c>
      <c r="AK276" t="str">
        <f t="shared" si="22"/>
        <v/>
      </c>
    </row>
    <row r="277" spans="1:37" ht="15" customHeight="1">
      <c r="A277" s="62">
        <v>7</v>
      </c>
      <c r="B277" s="59">
        <v>269</v>
      </c>
      <c r="C277" t="s">
        <v>3387</v>
      </c>
      <c r="D277" t="s">
        <v>3388</v>
      </c>
      <c r="E277">
        <v>425</v>
      </c>
      <c r="G277" t="s">
        <v>1910</v>
      </c>
      <c r="H277" s="119">
        <f t="shared" si="23"/>
        <v>57.971014492753625</v>
      </c>
      <c r="I277" s="123">
        <v>45345</v>
      </c>
      <c r="J277">
        <v>13800</v>
      </c>
      <c r="L277">
        <v>13800</v>
      </c>
      <c r="M277">
        <v>2002</v>
      </c>
      <c r="P277" t="s">
        <v>1969</v>
      </c>
      <c r="R277" t="s">
        <v>250</v>
      </c>
      <c r="S277">
        <v>4402</v>
      </c>
      <c r="T277" s="120">
        <f t="shared" si="24"/>
        <v>0.31898550724637681</v>
      </c>
      <c r="U277" t="s">
        <v>44</v>
      </c>
      <c r="Y277" s="121">
        <v>800000</v>
      </c>
      <c r="AA277" s="121">
        <v>800000</v>
      </c>
      <c r="AC277" t="s">
        <v>3389</v>
      </c>
      <c r="AD277" t="s">
        <v>3390</v>
      </c>
      <c r="AE277" s="243" t="s">
        <v>3391</v>
      </c>
      <c r="AF277" s="243" t="s">
        <v>3392</v>
      </c>
      <c r="AI277" s="59" t="e">
        <f t="shared" si="20"/>
        <v>#N/A</v>
      </c>
      <c r="AJ277" t="e">
        <f t="shared" si="21"/>
        <v>#N/A</v>
      </c>
      <c r="AK277" t="str">
        <f t="shared" si="22"/>
        <v/>
      </c>
    </row>
    <row r="278" spans="1:37" ht="15" customHeight="1">
      <c r="A278" s="62">
        <v>7</v>
      </c>
      <c r="B278" s="59">
        <v>270</v>
      </c>
      <c r="C278" t="s">
        <v>3393</v>
      </c>
      <c r="D278" t="s">
        <v>3394</v>
      </c>
      <c r="E278">
        <v>425</v>
      </c>
      <c r="G278" t="s">
        <v>1910</v>
      </c>
      <c r="H278" s="119">
        <f t="shared" si="23"/>
        <v>57.971014492753625</v>
      </c>
      <c r="I278" s="123">
        <v>45345</v>
      </c>
      <c r="J278">
        <v>13800</v>
      </c>
      <c r="L278">
        <v>13800</v>
      </c>
      <c r="M278">
        <v>2002</v>
      </c>
      <c r="P278" t="s">
        <v>1969</v>
      </c>
      <c r="R278" t="s">
        <v>250</v>
      </c>
      <c r="S278">
        <v>4402</v>
      </c>
      <c r="T278" s="120">
        <f t="shared" si="24"/>
        <v>0.31898550724637681</v>
      </c>
      <c r="U278" t="s">
        <v>44</v>
      </c>
      <c r="Y278" s="121">
        <v>800000</v>
      </c>
      <c r="AA278" s="121">
        <v>800000</v>
      </c>
      <c r="AC278" t="s">
        <v>3395</v>
      </c>
      <c r="AD278" t="s">
        <v>3390</v>
      </c>
      <c r="AE278" s="243" t="s">
        <v>3391</v>
      </c>
      <c r="AF278" s="243" t="s">
        <v>3392</v>
      </c>
      <c r="AI278" s="59" t="e">
        <f t="shared" si="20"/>
        <v>#N/A</v>
      </c>
      <c r="AJ278" t="e">
        <f t="shared" si="21"/>
        <v>#N/A</v>
      </c>
      <c r="AK278" t="str">
        <f t="shared" si="22"/>
        <v/>
      </c>
    </row>
    <row r="279" spans="1:37" ht="15" customHeight="1">
      <c r="A279" s="62">
        <v>7</v>
      </c>
      <c r="B279" s="59">
        <v>271</v>
      </c>
      <c r="C279" t="s">
        <v>3396</v>
      </c>
      <c r="D279" t="s">
        <v>3397</v>
      </c>
      <c r="E279">
        <v>1344</v>
      </c>
      <c r="F279" t="s">
        <v>1785</v>
      </c>
      <c r="G279" t="s">
        <v>1786</v>
      </c>
      <c r="H279" s="119">
        <f t="shared" si="23"/>
        <v>7.1703703703703701</v>
      </c>
      <c r="I279" s="123">
        <v>45394</v>
      </c>
      <c r="J279">
        <v>84375</v>
      </c>
      <c r="L279">
        <v>84375</v>
      </c>
      <c r="M279">
        <v>1984</v>
      </c>
      <c r="P279" t="s">
        <v>2791</v>
      </c>
      <c r="R279" t="s">
        <v>44</v>
      </c>
      <c r="S279">
        <v>1108</v>
      </c>
      <c r="T279" s="120">
        <f t="shared" si="24"/>
        <v>1.3131851851851851E-2</v>
      </c>
      <c r="U279" t="s">
        <v>44</v>
      </c>
      <c r="Y279" s="121">
        <v>605000</v>
      </c>
      <c r="AA279" s="121">
        <v>605000</v>
      </c>
      <c r="AC279" t="s">
        <v>3398</v>
      </c>
      <c r="AD279" t="s">
        <v>3399</v>
      </c>
      <c r="AE279" s="243" t="s">
        <v>3400</v>
      </c>
      <c r="AF279" s="243" t="s">
        <v>2895</v>
      </c>
      <c r="AI279" s="59" t="e">
        <f t="shared" si="20"/>
        <v>#N/A</v>
      </c>
      <c r="AJ279" t="e">
        <f t="shared" si="21"/>
        <v>#N/A</v>
      </c>
      <c r="AK279" t="str">
        <f t="shared" si="22"/>
        <v/>
      </c>
    </row>
    <row r="280" spans="1:37" ht="15" customHeight="1">
      <c r="A280" s="62">
        <v>7</v>
      </c>
      <c r="B280" s="59">
        <v>272</v>
      </c>
      <c r="C280" t="s">
        <v>3401</v>
      </c>
      <c r="D280" t="s">
        <v>3402</v>
      </c>
      <c r="E280">
        <v>1344</v>
      </c>
      <c r="F280" t="s">
        <v>1785</v>
      </c>
      <c r="G280" t="s">
        <v>1786</v>
      </c>
      <c r="H280" s="119">
        <f t="shared" si="23"/>
        <v>7.1703703703703701</v>
      </c>
      <c r="I280" s="123">
        <v>45394</v>
      </c>
      <c r="J280">
        <v>84375</v>
      </c>
      <c r="L280">
        <v>84375</v>
      </c>
      <c r="M280">
        <v>1984</v>
      </c>
      <c r="P280" t="s">
        <v>2791</v>
      </c>
      <c r="R280" t="s">
        <v>44</v>
      </c>
      <c r="S280">
        <v>1108</v>
      </c>
      <c r="T280" s="120">
        <f t="shared" si="24"/>
        <v>1.3131851851851851E-2</v>
      </c>
      <c r="U280" t="s">
        <v>44</v>
      </c>
      <c r="Y280" s="121">
        <v>605000</v>
      </c>
      <c r="AA280" s="121">
        <v>605000</v>
      </c>
      <c r="AC280" t="s">
        <v>3403</v>
      </c>
      <c r="AD280" t="s">
        <v>3399</v>
      </c>
      <c r="AE280" s="243" t="s">
        <v>3400</v>
      </c>
      <c r="AF280" s="243" t="s">
        <v>2895</v>
      </c>
      <c r="AI280" s="59" t="e">
        <f t="shared" si="20"/>
        <v>#N/A</v>
      </c>
      <c r="AJ280" t="e">
        <f t="shared" si="21"/>
        <v>#N/A</v>
      </c>
      <c r="AK280" t="str">
        <f t="shared" si="22"/>
        <v/>
      </c>
    </row>
    <row r="281" spans="1:37" ht="15" customHeight="1">
      <c r="A281" s="62">
        <v>7</v>
      </c>
      <c r="B281" s="59">
        <v>273</v>
      </c>
      <c r="C281" t="s">
        <v>3404</v>
      </c>
      <c r="D281" t="s">
        <v>3405</v>
      </c>
      <c r="E281">
        <v>344</v>
      </c>
      <c r="F281" t="s">
        <v>1896</v>
      </c>
      <c r="G281" t="s">
        <v>1786</v>
      </c>
      <c r="H281" s="119">
        <f t="shared" si="23"/>
        <v>264.13921690490986</v>
      </c>
      <c r="I281" s="123">
        <v>45412</v>
      </c>
      <c r="J281">
        <v>6436</v>
      </c>
      <c r="L281">
        <v>6436</v>
      </c>
      <c r="M281">
        <v>1971</v>
      </c>
      <c r="P281" t="s">
        <v>1897</v>
      </c>
      <c r="R281" t="s">
        <v>44</v>
      </c>
      <c r="S281">
        <v>37800</v>
      </c>
      <c r="T281" s="120">
        <f t="shared" si="24"/>
        <v>5.8732131758856436</v>
      </c>
      <c r="U281" t="s">
        <v>44</v>
      </c>
      <c r="Y281" s="121">
        <v>1700000</v>
      </c>
      <c r="AA281" s="121">
        <v>1700000</v>
      </c>
      <c r="AC281" t="s">
        <v>3406</v>
      </c>
      <c r="AD281" t="s">
        <v>3407</v>
      </c>
      <c r="AE281" s="243" t="s">
        <v>3408</v>
      </c>
      <c r="AF281" s="243" t="s">
        <v>3409</v>
      </c>
      <c r="AI281" s="59" t="e">
        <f t="shared" si="20"/>
        <v>#N/A</v>
      </c>
      <c r="AJ281" t="e">
        <f t="shared" si="21"/>
        <v>#N/A</v>
      </c>
      <c r="AK281" t="str">
        <f t="shared" si="22"/>
        <v/>
      </c>
    </row>
    <row r="282" spans="1:37" ht="15" customHeight="1">
      <c r="A282" s="62">
        <v>7</v>
      </c>
      <c r="B282" s="59">
        <v>274</v>
      </c>
      <c r="C282" t="s">
        <v>3410</v>
      </c>
      <c r="D282" t="s">
        <v>3411</v>
      </c>
      <c r="E282">
        <v>333</v>
      </c>
      <c r="G282" t="s">
        <v>1910</v>
      </c>
      <c r="H282" s="119">
        <f t="shared" si="23"/>
        <v>205.83190394511149</v>
      </c>
      <c r="I282" s="123">
        <v>45408</v>
      </c>
      <c r="J282">
        <v>5830</v>
      </c>
      <c r="L282">
        <v>5830</v>
      </c>
      <c r="M282">
        <v>2007</v>
      </c>
      <c r="P282" t="s">
        <v>1911</v>
      </c>
      <c r="R282" t="s">
        <v>44</v>
      </c>
      <c r="S282">
        <v>117612</v>
      </c>
      <c r="T282" s="120">
        <f t="shared" si="24"/>
        <v>20.173584905660377</v>
      </c>
      <c r="U282" t="s">
        <v>44</v>
      </c>
      <c r="Y282" s="121">
        <v>1200000</v>
      </c>
      <c r="AA282" s="121">
        <v>1200000</v>
      </c>
      <c r="AC282" t="s">
        <v>3412</v>
      </c>
      <c r="AD282" t="s">
        <v>3413</v>
      </c>
      <c r="AE282" s="243" t="s">
        <v>3414</v>
      </c>
      <c r="AF282" s="243" t="s">
        <v>3415</v>
      </c>
      <c r="AI282" s="59" t="e">
        <f t="shared" si="20"/>
        <v>#N/A</v>
      </c>
      <c r="AJ282" t="e">
        <f t="shared" si="21"/>
        <v>#N/A</v>
      </c>
      <c r="AK282" t="str">
        <f t="shared" si="22"/>
        <v/>
      </c>
    </row>
    <row r="283" spans="1:37" ht="15" customHeight="1">
      <c r="A283" s="62">
        <v>7</v>
      </c>
      <c r="B283" s="59">
        <v>275</v>
      </c>
      <c r="C283" t="s">
        <v>3416</v>
      </c>
      <c r="D283" t="s">
        <v>3417</v>
      </c>
      <c r="E283">
        <v>353</v>
      </c>
      <c r="F283" t="s">
        <v>2141</v>
      </c>
      <c r="G283" t="s">
        <v>1910</v>
      </c>
      <c r="H283" s="119">
        <f t="shared" si="23"/>
        <v>257.23076923076923</v>
      </c>
      <c r="I283" s="123">
        <v>45415</v>
      </c>
      <c r="J283">
        <v>6500</v>
      </c>
      <c r="L283">
        <v>6500</v>
      </c>
      <c r="M283">
        <v>1954</v>
      </c>
      <c r="P283" t="s">
        <v>2243</v>
      </c>
      <c r="R283" t="s">
        <v>44</v>
      </c>
      <c r="S283">
        <v>43750</v>
      </c>
      <c r="T283" s="120">
        <f t="shared" si="24"/>
        <v>6.7307692307692308</v>
      </c>
      <c r="U283" t="s">
        <v>44</v>
      </c>
      <c r="Y283" s="121">
        <v>1672000</v>
      </c>
      <c r="AA283" s="121">
        <v>1672000</v>
      </c>
      <c r="AC283" t="s">
        <v>3418</v>
      </c>
      <c r="AD283" t="s">
        <v>3419</v>
      </c>
      <c r="AE283" s="243" t="s">
        <v>3420</v>
      </c>
      <c r="AF283" s="243" t="s">
        <v>3421</v>
      </c>
      <c r="AI283" s="59" t="e">
        <f t="shared" si="20"/>
        <v>#N/A</v>
      </c>
      <c r="AJ283" t="e">
        <f t="shared" si="21"/>
        <v>#N/A</v>
      </c>
      <c r="AK283" t="str">
        <f t="shared" si="22"/>
        <v/>
      </c>
    </row>
    <row r="284" spans="1:37" ht="15" customHeight="1">
      <c r="A284" s="62">
        <v>7</v>
      </c>
      <c r="B284" s="59">
        <v>276</v>
      </c>
      <c r="C284" t="s">
        <v>3422</v>
      </c>
      <c r="D284" t="s">
        <v>3423</v>
      </c>
      <c r="E284">
        <v>407</v>
      </c>
      <c r="F284" t="s">
        <v>1814</v>
      </c>
      <c r="G284" t="s">
        <v>1815</v>
      </c>
      <c r="H284" s="119">
        <f t="shared" si="23"/>
        <v>102.61935914210216</v>
      </c>
      <c r="I284" s="123">
        <v>45429</v>
      </c>
      <c r="J284">
        <v>155916</v>
      </c>
      <c r="L284">
        <v>155916</v>
      </c>
      <c r="M284">
        <v>2005</v>
      </c>
      <c r="P284" t="s">
        <v>2027</v>
      </c>
      <c r="R284" t="s">
        <v>44</v>
      </c>
      <c r="S284">
        <v>408696</v>
      </c>
      <c r="T284" s="120">
        <f t="shared" si="24"/>
        <v>2.6212576002462864</v>
      </c>
      <c r="U284" t="s">
        <v>44</v>
      </c>
      <c r="Y284" s="121">
        <v>16000000</v>
      </c>
      <c r="AA284" s="121">
        <v>16000000</v>
      </c>
      <c r="AC284" t="s">
        <v>3424</v>
      </c>
      <c r="AD284" t="s">
        <v>3425</v>
      </c>
      <c r="AE284" s="243" t="s">
        <v>3426</v>
      </c>
      <c r="AF284" s="243" t="s">
        <v>3427</v>
      </c>
      <c r="AI284" s="59" t="e">
        <f t="shared" si="20"/>
        <v>#N/A</v>
      </c>
      <c r="AJ284" t="e">
        <f t="shared" si="21"/>
        <v>#N/A</v>
      </c>
      <c r="AK284" t="str">
        <f t="shared" si="22"/>
        <v/>
      </c>
    </row>
    <row r="285" spans="1:37" ht="15" customHeight="1">
      <c r="A285" s="62">
        <v>7</v>
      </c>
      <c r="B285" s="59">
        <v>277</v>
      </c>
      <c r="C285" t="s">
        <v>3428</v>
      </c>
      <c r="D285" t="s">
        <v>3429</v>
      </c>
      <c r="E285">
        <v>349</v>
      </c>
      <c r="F285" t="s">
        <v>1896</v>
      </c>
      <c r="G285" t="s">
        <v>1786</v>
      </c>
      <c r="H285" s="119">
        <f t="shared" si="23"/>
        <v>833.68599238256456</v>
      </c>
      <c r="I285" s="123">
        <v>45435</v>
      </c>
      <c r="J285">
        <v>4726</v>
      </c>
      <c r="L285">
        <v>4726</v>
      </c>
      <c r="M285">
        <v>2006</v>
      </c>
      <c r="P285" t="s">
        <v>2635</v>
      </c>
      <c r="R285" t="s">
        <v>229</v>
      </c>
      <c r="S285">
        <v>55253</v>
      </c>
      <c r="T285" s="120">
        <f t="shared" si="24"/>
        <v>11.691282268303004</v>
      </c>
      <c r="U285" t="s">
        <v>229</v>
      </c>
      <c r="Y285" s="121">
        <v>3940000</v>
      </c>
      <c r="AA285" s="121">
        <v>3940000</v>
      </c>
      <c r="AC285" t="s">
        <v>3430</v>
      </c>
      <c r="AD285" t="s">
        <v>3431</v>
      </c>
      <c r="AE285" s="243" t="s">
        <v>3432</v>
      </c>
      <c r="AF285" s="243" t="s">
        <v>3433</v>
      </c>
      <c r="AI285" s="59" t="e">
        <f t="shared" si="20"/>
        <v>#N/A</v>
      </c>
      <c r="AJ285" t="e">
        <f t="shared" si="21"/>
        <v>#N/A</v>
      </c>
      <c r="AK285" t="str">
        <f t="shared" si="22"/>
        <v/>
      </c>
    </row>
    <row r="286" spans="1:37" ht="15" customHeight="1">
      <c r="A286" s="62">
        <v>7</v>
      </c>
      <c r="B286" s="59">
        <v>278</v>
      </c>
      <c r="C286" t="s">
        <v>3434</v>
      </c>
      <c r="D286" t="s">
        <v>3435</v>
      </c>
      <c r="E286">
        <v>325</v>
      </c>
      <c r="F286" t="s">
        <v>2141</v>
      </c>
      <c r="G286" t="s">
        <v>1910</v>
      </c>
      <c r="H286" s="119">
        <f t="shared" si="23"/>
        <v>6382.7531365965715</v>
      </c>
      <c r="I286" s="123">
        <v>45436</v>
      </c>
      <c r="J286">
        <v>11318</v>
      </c>
      <c r="L286">
        <v>11318</v>
      </c>
      <c r="M286">
        <v>2023</v>
      </c>
      <c r="R286" t="s">
        <v>44</v>
      </c>
      <c r="S286">
        <v>1151289</v>
      </c>
      <c r="T286" s="120">
        <f t="shared" si="24"/>
        <v>101.72194734051952</v>
      </c>
      <c r="U286" t="s">
        <v>44</v>
      </c>
      <c r="Y286" s="121">
        <v>72240000</v>
      </c>
      <c r="AA286" s="121">
        <v>72240000</v>
      </c>
      <c r="AC286" t="s">
        <v>3436</v>
      </c>
      <c r="AD286" t="s">
        <v>3437</v>
      </c>
      <c r="AE286" s="243" t="s">
        <v>3438</v>
      </c>
      <c r="AF286" s="243" t="s">
        <v>3439</v>
      </c>
      <c r="AI286" s="59" t="e">
        <f t="shared" si="20"/>
        <v>#N/A</v>
      </c>
      <c r="AJ286" t="e">
        <f t="shared" si="21"/>
        <v>#N/A</v>
      </c>
      <c r="AK286" t="str">
        <f t="shared" si="22"/>
        <v/>
      </c>
    </row>
    <row r="287" spans="1:37" ht="15" customHeight="1">
      <c r="A287" s="62">
        <v>7</v>
      </c>
      <c r="B287" s="59">
        <v>279</v>
      </c>
      <c r="C287" t="s">
        <v>3440</v>
      </c>
      <c r="D287" t="s">
        <v>3441</v>
      </c>
      <c r="E287">
        <v>3441</v>
      </c>
      <c r="G287" t="s">
        <v>1786</v>
      </c>
      <c r="H287" s="119">
        <f t="shared" si="23"/>
        <v>356.75381263616561</v>
      </c>
      <c r="I287" s="123">
        <v>45450</v>
      </c>
      <c r="J287">
        <v>1836</v>
      </c>
      <c r="L287">
        <v>1836</v>
      </c>
      <c r="M287">
        <v>1957</v>
      </c>
      <c r="P287" t="s">
        <v>1925</v>
      </c>
      <c r="R287" t="s">
        <v>44</v>
      </c>
      <c r="S287">
        <v>22416</v>
      </c>
      <c r="T287" s="120">
        <f t="shared" si="24"/>
        <v>12.209150326797385</v>
      </c>
      <c r="U287" t="s">
        <v>44</v>
      </c>
      <c r="Y287" s="121">
        <v>655000</v>
      </c>
      <c r="AA287" s="121">
        <v>655000</v>
      </c>
      <c r="AC287" t="s">
        <v>3442</v>
      </c>
      <c r="AD287" t="s">
        <v>3443</v>
      </c>
      <c r="AE287" s="243" t="s">
        <v>3444</v>
      </c>
      <c r="AF287" s="243" t="s">
        <v>3445</v>
      </c>
      <c r="AI287" s="59" t="e">
        <f t="shared" si="20"/>
        <v>#N/A</v>
      </c>
      <c r="AJ287" t="e">
        <f t="shared" si="21"/>
        <v>#N/A</v>
      </c>
      <c r="AK287" t="str">
        <f t="shared" si="22"/>
        <v/>
      </c>
    </row>
    <row r="288" spans="1:37" ht="15" customHeight="1">
      <c r="A288" s="62">
        <v>7</v>
      </c>
      <c r="B288" s="59">
        <v>280</v>
      </c>
      <c r="C288" t="s">
        <v>3446</v>
      </c>
      <c r="D288" t="s">
        <v>3447</v>
      </c>
      <c r="E288">
        <v>303</v>
      </c>
      <c r="F288" t="s">
        <v>2494</v>
      </c>
      <c r="G288" t="s">
        <v>1786</v>
      </c>
      <c r="H288" s="119">
        <f t="shared" si="23"/>
        <v>633.68055555555554</v>
      </c>
      <c r="I288" s="123">
        <v>45453</v>
      </c>
      <c r="J288">
        <v>11520</v>
      </c>
      <c r="L288">
        <v>11520</v>
      </c>
      <c r="M288">
        <v>1974</v>
      </c>
      <c r="P288" t="s">
        <v>2495</v>
      </c>
      <c r="R288" t="s">
        <v>44</v>
      </c>
      <c r="S288">
        <v>199500</v>
      </c>
      <c r="T288" s="120">
        <f t="shared" si="24"/>
        <v>17.317708333333332</v>
      </c>
      <c r="U288" t="s">
        <v>44</v>
      </c>
      <c r="Y288" s="121">
        <v>7300000</v>
      </c>
      <c r="AA288" s="121">
        <v>7300000</v>
      </c>
      <c r="AC288" t="s">
        <v>3448</v>
      </c>
      <c r="AD288" t="s">
        <v>3449</v>
      </c>
      <c r="AE288" s="243" t="s">
        <v>3450</v>
      </c>
      <c r="AF288" s="243" t="s">
        <v>3451</v>
      </c>
      <c r="AI288" s="59" t="e">
        <f t="shared" si="20"/>
        <v>#N/A</v>
      </c>
      <c r="AJ288" t="e">
        <f t="shared" si="21"/>
        <v>#N/A</v>
      </c>
      <c r="AK288" t="str">
        <f t="shared" si="22"/>
        <v/>
      </c>
    </row>
    <row r="289" spans="1:40" ht="15" customHeight="1">
      <c r="A289" s="62">
        <v>7</v>
      </c>
      <c r="B289" s="59">
        <v>281</v>
      </c>
      <c r="C289" t="s">
        <v>3452</v>
      </c>
      <c r="D289" t="s">
        <v>3453</v>
      </c>
      <c r="E289">
        <v>1332</v>
      </c>
      <c r="G289" t="s">
        <v>1910</v>
      </c>
      <c r="H289" s="119">
        <f t="shared" si="23"/>
        <v>83333.333333333328</v>
      </c>
      <c r="I289" s="123">
        <v>45447</v>
      </c>
      <c r="J289">
        <v>60</v>
      </c>
      <c r="L289">
        <v>60</v>
      </c>
      <c r="M289">
        <v>1993</v>
      </c>
      <c r="P289" t="s">
        <v>1925</v>
      </c>
      <c r="R289" t="s">
        <v>44</v>
      </c>
      <c r="S289">
        <v>136935</v>
      </c>
      <c r="T289" s="120">
        <f t="shared" si="24"/>
        <v>2282.25</v>
      </c>
      <c r="U289" t="s">
        <v>44</v>
      </c>
      <c r="Y289" s="121">
        <v>5000000</v>
      </c>
      <c r="AA289" s="121">
        <v>5000000</v>
      </c>
      <c r="AC289" t="s">
        <v>3454</v>
      </c>
      <c r="AD289" t="s">
        <v>3455</v>
      </c>
      <c r="AE289" s="243" t="s">
        <v>3456</v>
      </c>
      <c r="AF289" s="243" t="s">
        <v>3457</v>
      </c>
      <c r="AI289" s="59" t="e">
        <f t="shared" si="20"/>
        <v>#N/A</v>
      </c>
      <c r="AJ289" t="e">
        <f t="shared" si="21"/>
        <v>#N/A</v>
      </c>
      <c r="AK289" t="str">
        <f t="shared" si="22"/>
        <v/>
      </c>
    </row>
    <row r="290" spans="1:40" ht="15.75" customHeight="1">
      <c r="A290" s="62">
        <v>7</v>
      </c>
      <c r="B290" s="59">
        <v>282</v>
      </c>
      <c r="C290" t="s">
        <v>3458</v>
      </c>
      <c r="D290" t="s">
        <v>3459</v>
      </c>
      <c r="E290">
        <v>406</v>
      </c>
      <c r="F290" t="s">
        <v>1976</v>
      </c>
      <c r="G290" t="s">
        <v>1910</v>
      </c>
      <c r="H290" s="119">
        <f t="shared" si="23"/>
        <v>359.0078328981723</v>
      </c>
      <c r="I290" s="123">
        <v>45469</v>
      </c>
      <c r="J290">
        <v>18384</v>
      </c>
      <c r="L290">
        <v>18384</v>
      </c>
      <c r="M290">
        <v>1979</v>
      </c>
      <c r="P290" t="s">
        <v>3460</v>
      </c>
      <c r="R290" t="s">
        <v>44</v>
      </c>
      <c r="S290">
        <v>180823</v>
      </c>
      <c r="T290" s="120">
        <f t="shared" si="24"/>
        <v>9.8358899042645778</v>
      </c>
      <c r="U290" t="s">
        <v>44</v>
      </c>
      <c r="Y290" s="121">
        <v>6600000</v>
      </c>
      <c r="AA290" s="121">
        <v>6600000</v>
      </c>
      <c r="AC290" t="s">
        <v>3461</v>
      </c>
      <c r="AD290" t="s">
        <v>3462</v>
      </c>
      <c r="AE290" s="243" t="s">
        <v>3463</v>
      </c>
      <c r="AF290" s="243" t="s">
        <v>3464</v>
      </c>
      <c r="AI290" s="59" t="e">
        <f t="shared" si="20"/>
        <v>#N/A</v>
      </c>
      <c r="AJ290" s="93" t="e">
        <f t="shared" si="21"/>
        <v>#N/A</v>
      </c>
      <c r="AK290" s="93"/>
      <c r="AL290" s="93"/>
      <c r="AM290" s="93"/>
      <c r="AN290" s="93"/>
    </row>
    <row r="291" spans="1:40" ht="15" customHeight="1">
      <c r="A291" s="62">
        <v>7</v>
      </c>
      <c r="B291" s="59">
        <v>283</v>
      </c>
      <c r="C291" t="s">
        <v>3465</v>
      </c>
      <c r="D291" t="s">
        <v>3466</v>
      </c>
      <c r="E291">
        <v>407</v>
      </c>
      <c r="F291" t="s">
        <v>1976</v>
      </c>
      <c r="G291" t="s">
        <v>1910</v>
      </c>
      <c r="H291" s="119">
        <f t="shared" si="23"/>
        <v>300.48076923076923</v>
      </c>
      <c r="I291" s="123">
        <v>45469</v>
      </c>
      <c r="J291">
        <v>24960</v>
      </c>
      <c r="L291">
        <v>24960</v>
      </c>
      <c r="M291">
        <v>2004</v>
      </c>
      <c r="P291" t="s">
        <v>3460</v>
      </c>
      <c r="R291" t="s">
        <v>44</v>
      </c>
      <c r="S291">
        <v>140026</v>
      </c>
      <c r="T291" s="120">
        <f t="shared" si="24"/>
        <v>5.6100160256410261</v>
      </c>
      <c r="U291" t="s">
        <v>44</v>
      </c>
      <c r="Y291" s="121">
        <v>7500000</v>
      </c>
      <c r="AA291" s="121">
        <v>7500000</v>
      </c>
      <c r="AC291" t="s">
        <v>3467</v>
      </c>
      <c r="AD291" t="s">
        <v>3468</v>
      </c>
      <c r="AE291" s="243" t="s">
        <v>3469</v>
      </c>
      <c r="AF291" s="243" t="s">
        <v>3464</v>
      </c>
      <c r="AI291" s="59" t="e">
        <f t="shared" si="20"/>
        <v>#N/A</v>
      </c>
      <c r="AJ291" s="93" t="e">
        <f t="shared" si="21"/>
        <v>#N/A</v>
      </c>
      <c r="AK291" s="93"/>
      <c r="AL291" s="93"/>
      <c r="AM291" s="93"/>
      <c r="AN291" s="93"/>
    </row>
    <row r="292" spans="1:40" ht="15" customHeight="1">
      <c r="A292" s="62">
        <v>7</v>
      </c>
      <c r="B292" s="59">
        <v>285</v>
      </c>
      <c r="C292" t="s">
        <v>3470</v>
      </c>
      <c r="D292" t="s">
        <v>3471</v>
      </c>
      <c r="E292">
        <v>328</v>
      </c>
      <c r="G292" t="s">
        <v>88</v>
      </c>
      <c r="H292" s="119">
        <f t="shared" si="23"/>
        <v>107.75017064846416</v>
      </c>
      <c r="I292" s="123">
        <v>45390</v>
      </c>
      <c r="J292">
        <v>2930</v>
      </c>
      <c r="K292" s="119"/>
      <c r="L292">
        <v>2930</v>
      </c>
      <c r="M292">
        <v>2024</v>
      </c>
      <c r="R292" t="s">
        <v>44</v>
      </c>
      <c r="T292" s="120">
        <f t="shared" si="24"/>
        <v>0</v>
      </c>
      <c r="U292" t="s">
        <v>44</v>
      </c>
      <c r="V292" s="120"/>
      <c r="W292" s="120"/>
      <c r="X292" s="120"/>
      <c r="Y292" s="121">
        <v>315708</v>
      </c>
      <c r="Z292" s="121"/>
      <c r="AA292" s="121">
        <v>315708</v>
      </c>
      <c r="AB292" s="121"/>
      <c r="AC292" t="s">
        <v>3472</v>
      </c>
      <c r="AD292" t="s">
        <v>3473</v>
      </c>
      <c r="AE292" s="243" t="s">
        <v>2575</v>
      </c>
      <c r="AF292" s="243" t="s">
        <v>3474</v>
      </c>
      <c r="AI292" s="59" t="e">
        <f t="shared" si="20"/>
        <v>#N/A</v>
      </c>
      <c r="AJ292" s="93" t="e">
        <f t="shared" si="21"/>
        <v>#N/A</v>
      </c>
      <c r="AK292" s="93"/>
      <c r="AL292" s="93"/>
      <c r="AM292" s="93"/>
      <c r="AN292" s="93"/>
    </row>
    <row r="293" spans="1:40" ht="15" customHeight="1">
      <c r="A293" s="122">
        <v>8</v>
      </c>
      <c r="B293" s="59">
        <v>286</v>
      </c>
      <c r="C293" t="s">
        <v>3475</v>
      </c>
      <c r="D293" t="s">
        <v>3476</v>
      </c>
      <c r="E293">
        <v>353</v>
      </c>
      <c r="F293" t="s">
        <v>2141</v>
      </c>
      <c r="G293" t="s">
        <v>89</v>
      </c>
      <c r="H293" s="119">
        <f t="shared" si="23"/>
        <v>156.25</v>
      </c>
      <c r="I293" s="117">
        <v>43405</v>
      </c>
      <c r="J293">
        <v>2592</v>
      </c>
      <c r="L293">
        <v>2592</v>
      </c>
      <c r="M293">
        <v>1953</v>
      </c>
      <c r="P293" t="s">
        <v>3269</v>
      </c>
      <c r="R293" t="s">
        <v>44</v>
      </c>
      <c r="S293">
        <v>7075</v>
      </c>
      <c r="T293" s="118">
        <f t="shared" ref="T293:T356" si="25">S293/J293</f>
        <v>2.7295524691358026</v>
      </c>
      <c r="U293" t="s">
        <v>44</v>
      </c>
      <c r="Y293">
        <v>405000</v>
      </c>
      <c r="AA293">
        <v>405000</v>
      </c>
      <c r="AC293" t="s">
        <v>3477</v>
      </c>
      <c r="AD293" t="s">
        <v>3478</v>
      </c>
      <c r="AE293" s="243" t="s">
        <v>3479</v>
      </c>
      <c r="AF293" s="243" t="s">
        <v>3480</v>
      </c>
      <c r="AI293" s="59" t="e">
        <f t="shared" si="20"/>
        <v>#N/A</v>
      </c>
      <c r="AJ293" s="93" t="e">
        <f t="shared" si="21"/>
        <v>#N/A</v>
      </c>
      <c r="AK293" s="93"/>
      <c r="AL293" s="93"/>
      <c r="AM293" s="93"/>
      <c r="AN293" s="93"/>
    </row>
    <row r="294" spans="1:40" ht="15" customHeight="1">
      <c r="A294" s="122">
        <v>8</v>
      </c>
      <c r="B294" s="59">
        <v>287</v>
      </c>
      <c r="C294" t="s">
        <v>3481</v>
      </c>
      <c r="D294" t="s">
        <v>3482</v>
      </c>
      <c r="E294">
        <v>406</v>
      </c>
      <c r="F294" t="s">
        <v>2141</v>
      </c>
      <c r="G294" t="s">
        <v>89</v>
      </c>
      <c r="H294" s="119">
        <f t="shared" si="23"/>
        <v>101.44927536231884</v>
      </c>
      <c r="I294" s="117">
        <v>43343</v>
      </c>
      <c r="J294">
        <v>27600</v>
      </c>
      <c r="L294">
        <v>27600</v>
      </c>
      <c r="M294">
        <v>1980</v>
      </c>
      <c r="P294" t="s">
        <v>2402</v>
      </c>
      <c r="R294" t="s">
        <v>44</v>
      </c>
      <c r="S294">
        <v>176418</v>
      </c>
      <c r="T294" s="118">
        <f t="shared" si="25"/>
        <v>6.3919565217391305</v>
      </c>
      <c r="U294" t="s">
        <v>44</v>
      </c>
      <c r="Y294">
        <v>2800000</v>
      </c>
      <c r="AA294">
        <v>2800000</v>
      </c>
      <c r="AC294" t="s">
        <v>3483</v>
      </c>
      <c r="AD294" t="s">
        <v>3484</v>
      </c>
      <c r="AE294" s="243" t="s">
        <v>3485</v>
      </c>
      <c r="AF294" s="243" t="s">
        <v>3486</v>
      </c>
      <c r="AI294" s="59" t="e">
        <f t="shared" si="20"/>
        <v>#N/A</v>
      </c>
      <c r="AJ294" s="93" t="e">
        <f t="shared" si="21"/>
        <v>#N/A</v>
      </c>
      <c r="AK294" s="93"/>
      <c r="AL294" s="93"/>
      <c r="AM294" s="93"/>
      <c r="AN294" s="93"/>
    </row>
    <row r="295" spans="1:40" ht="15" customHeight="1">
      <c r="A295" s="122">
        <v>8</v>
      </c>
      <c r="B295" s="59">
        <v>288</v>
      </c>
      <c r="C295" t="s">
        <v>3487</v>
      </c>
      <c r="D295" t="s">
        <v>3488</v>
      </c>
      <c r="E295">
        <v>407</v>
      </c>
      <c r="F295" t="s">
        <v>2141</v>
      </c>
      <c r="G295" t="s">
        <v>1910</v>
      </c>
      <c r="H295" s="119">
        <f t="shared" si="23"/>
        <v>90.754746102793646</v>
      </c>
      <c r="I295" s="117">
        <v>43684</v>
      </c>
      <c r="J295">
        <v>32395</v>
      </c>
      <c r="L295">
        <v>32395</v>
      </c>
      <c r="M295">
        <v>1984</v>
      </c>
      <c r="P295" t="s">
        <v>2230</v>
      </c>
      <c r="R295" t="s">
        <v>44</v>
      </c>
      <c r="S295">
        <v>111949</v>
      </c>
      <c r="T295" s="118">
        <f t="shared" si="25"/>
        <v>3.4557493440345732</v>
      </c>
      <c r="U295" t="s">
        <v>44</v>
      </c>
      <c r="Y295">
        <v>2940000</v>
      </c>
      <c r="AA295">
        <v>2940000</v>
      </c>
      <c r="AC295" t="s">
        <v>3489</v>
      </c>
      <c r="AD295" t="s">
        <v>3490</v>
      </c>
      <c r="AE295" s="243" t="s">
        <v>3491</v>
      </c>
      <c r="AF295" s="243" t="s">
        <v>3492</v>
      </c>
      <c r="AI295" s="59" t="e">
        <f t="shared" si="20"/>
        <v>#N/A</v>
      </c>
      <c r="AJ295" s="93" t="e">
        <f t="shared" si="21"/>
        <v>#N/A</v>
      </c>
      <c r="AK295" s="93"/>
      <c r="AL295" s="93"/>
      <c r="AM295" s="93"/>
      <c r="AN295" s="93"/>
    </row>
    <row r="296" spans="1:40" ht="15" customHeight="1">
      <c r="A296" s="122">
        <v>8</v>
      </c>
      <c r="B296" s="59">
        <v>289</v>
      </c>
      <c r="C296" t="s">
        <v>3493</v>
      </c>
      <c r="D296" t="s">
        <v>3494</v>
      </c>
      <c r="E296">
        <v>353</v>
      </c>
      <c r="F296" t="s">
        <v>1800</v>
      </c>
      <c r="G296" t="s">
        <v>1786</v>
      </c>
      <c r="H296" s="119">
        <f t="shared" si="23"/>
        <v>130.20833333333334</v>
      </c>
      <c r="I296" s="117">
        <v>44439</v>
      </c>
      <c r="J296">
        <v>7680</v>
      </c>
      <c r="L296">
        <v>7680</v>
      </c>
      <c r="M296">
        <v>1966</v>
      </c>
      <c r="P296" t="s">
        <v>2268</v>
      </c>
      <c r="R296" t="s">
        <v>44</v>
      </c>
      <c r="S296">
        <v>35600</v>
      </c>
      <c r="T296" s="118">
        <f t="shared" si="25"/>
        <v>4.635416666666667</v>
      </c>
      <c r="U296" t="s">
        <v>44</v>
      </c>
      <c r="Y296">
        <v>1000000</v>
      </c>
      <c r="AA296">
        <v>1000000</v>
      </c>
      <c r="AC296" t="s">
        <v>3495</v>
      </c>
      <c r="AD296" t="s">
        <v>3496</v>
      </c>
      <c r="AE296" s="243" t="s">
        <v>3497</v>
      </c>
      <c r="AF296" s="243" t="s">
        <v>3498</v>
      </c>
      <c r="AI296" s="59" t="e">
        <f t="shared" si="20"/>
        <v>#N/A</v>
      </c>
      <c r="AJ296" s="93" t="e">
        <f t="shared" si="21"/>
        <v>#N/A</v>
      </c>
      <c r="AK296" s="93"/>
      <c r="AL296" s="93"/>
      <c r="AM296" s="93"/>
      <c r="AN296" s="93"/>
    </row>
    <row r="297" spans="1:40" ht="15" customHeight="1">
      <c r="A297" s="122">
        <v>8</v>
      </c>
      <c r="B297" s="59">
        <v>290</v>
      </c>
      <c r="C297" t="s">
        <v>3499</v>
      </c>
      <c r="D297" t="s">
        <v>3500</v>
      </c>
      <c r="E297">
        <v>341</v>
      </c>
      <c r="F297" t="s">
        <v>1984</v>
      </c>
      <c r="G297" t="s">
        <v>89</v>
      </c>
      <c r="H297" s="119">
        <f t="shared" si="23"/>
        <v>240.37878787878788</v>
      </c>
      <c r="I297" s="117">
        <v>44665</v>
      </c>
      <c r="J297">
        <v>2640</v>
      </c>
      <c r="L297">
        <v>2640</v>
      </c>
      <c r="M297">
        <v>1984</v>
      </c>
      <c r="P297" t="s">
        <v>2427</v>
      </c>
      <c r="R297" t="s">
        <v>44</v>
      </c>
      <c r="S297">
        <v>16500</v>
      </c>
      <c r="T297" s="118">
        <f t="shared" si="25"/>
        <v>6.25</v>
      </c>
      <c r="U297" t="s">
        <v>44</v>
      </c>
      <c r="Y297">
        <v>634600</v>
      </c>
      <c r="AA297">
        <v>634600</v>
      </c>
      <c r="AC297" t="s">
        <v>3501</v>
      </c>
      <c r="AD297" t="s">
        <v>3502</v>
      </c>
      <c r="AE297" s="243" t="s">
        <v>3503</v>
      </c>
      <c r="AF297" s="243" t="s">
        <v>3504</v>
      </c>
      <c r="AI297" s="59" t="e">
        <f t="shared" si="20"/>
        <v>#N/A</v>
      </c>
      <c r="AJ297" s="93" t="e">
        <f t="shared" si="21"/>
        <v>#N/A</v>
      </c>
      <c r="AK297" s="93"/>
      <c r="AL297" s="93"/>
      <c r="AM297" s="93"/>
      <c r="AN297" s="93"/>
    </row>
    <row r="298" spans="1:40" ht="15" customHeight="1">
      <c r="A298" s="122">
        <v>8</v>
      </c>
      <c r="B298" s="59">
        <v>291</v>
      </c>
      <c r="C298" t="s">
        <v>3505</v>
      </c>
      <c r="D298" t="s">
        <v>3506</v>
      </c>
      <c r="E298">
        <v>344</v>
      </c>
      <c r="G298" t="s">
        <v>1786</v>
      </c>
      <c r="H298" s="119">
        <f t="shared" si="23"/>
        <v>126.13932291666667</v>
      </c>
      <c r="I298" s="117">
        <v>43966</v>
      </c>
      <c r="J298">
        <v>12288</v>
      </c>
      <c r="L298">
        <v>12288</v>
      </c>
      <c r="M298">
        <v>1983</v>
      </c>
      <c r="P298" t="s">
        <v>1925</v>
      </c>
      <c r="R298" t="s">
        <v>44</v>
      </c>
      <c r="S298">
        <v>42000</v>
      </c>
      <c r="T298" s="118">
        <f t="shared" si="25"/>
        <v>3.41796875</v>
      </c>
      <c r="U298" t="s">
        <v>44</v>
      </c>
      <c r="Y298">
        <v>1550000</v>
      </c>
      <c r="AA298">
        <v>1550000</v>
      </c>
      <c r="AC298" t="s">
        <v>3507</v>
      </c>
      <c r="AD298" t="s">
        <v>3508</v>
      </c>
      <c r="AE298" s="243" t="s">
        <v>3509</v>
      </c>
      <c r="AF298" s="243" t="s">
        <v>3510</v>
      </c>
      <c r="AI298" s="59" t="e">
        <f t="shared" si="20"/>
        <v>#N/A</v>
      </c>
      <c r="AJ298" s="93" t="e">
        <f t="shared" si="21"/>
        <v>#N/A</v>
      </c>
      <c r="AK298" s="93"/>
      <c r="AL298" s="93"/>
      <c r="AM298" s="93"/>
      <c r="AN298" s="93"/>
    </row>
    <row r="299" spans="1:40" ht="15" customHeight="1">
      <c r="A299" s="122">
        <v>8</v>
      </c>
      <c r="B299" s="59">
        <v>292</v>
      </c>
      <c r="C299" t="s">
        <v>2658</v>
      </c>
      <c r="D299" t="s">
        <v>3511</v>
      </c>
      <c r="E299">
        <v>344</v>
      </c>
      <c r="F299" t="s">
        <v>1800</v>
      </c>
      <c r="G299" t="s">
        <v>1786</v>
      </c>
      <c r="H299" s="119">
        <f t="shared" si="23"/>
        <v>151.59574468085106</v>
      </c>
      <c r="I299" s="117">
        <v>43746</v>
      </c>
      <c r="J299">
        <v>1880</v>
      </c>
      <c r="L299">
        <v>1880</v>
      </c>
      <c r="M299">
        <v>1952</v>
      </c>
      <c r="P299" t="s">
        <v>2211</v>
      </c>
      <c r="R299" t="s">
        <v>44</v>
      </c>
      <c r="S299">
        <v>4800</v>
      </c>
      <c r="T299" s="118">
        <f t="shared" si="25"/>
        <v>2.5531914893617023</v>
      </c>
      <c r="U299" t="s">
        <v>44</v>
      </c>
      <c r="Y299">
        <v>285000</v>
      </c>
      <c r="AA299">
        <v>285000</v>
      </c>
      <c r="AC299" t="s">
        <v>2660</v>
      </c>
      <c r="AD299" t="s">
        <v>3512</v>
      </c>
      <c r="AE299" s="243" t="s">
        <v>3513</v>
      </c>
      <c r="AF299" s="243" t="s">
        <v>2662</v>
      </c>
      <c r="AI299" s="59" t="e">
        <f t="shared" si="20"/>
        <v>#N/A</v>
      </c>
      <c r="AJ299" s="93" t="e">
        <f t="shared" si="21"/>
        <v>#N/A</v>
      </c>
      <c r="AK299" s="93"/>
      <c r="AL299" s="93"/>
      <c r="AM299" s="93"/>
      <c r="AN299" s="93"/>
    </row>
    <row r="300" spans="1:40" ht="15" customHeight="1">
      <c r="A300" s="122">
        <v>8</v>
      </c>
      <c r="B300" s="59">
        <v>293</v>
      </c>
      <c r="C300" t="s">
        <v>3514</v>
      </c>
      <c r="D300" t="s">
        <v>3515</v>
      </c>
      <c r="E300">
        <v>406</v>
      </c>
      <c r="G300" t="s">
        <v>1910</v>
      </c>
      <c r="H300" s="119">
        <f t="shared" si="23"/>
        <v>324.22417786012045</v>
      </c>
      <c r="I300" s="117">
        <v>43118</v>
      </c>
      <c r="J300">
        <v>2159</v>
      </c>
      <c r="L300">
        <v>2159</v>
      </c>
      <c r="M300">
        <v>1962</v>
      </c>
      <c r="P300" t="s">
        <v>1911</v>
      </c>
      <c r="R300" t="s">
        <v>44</v>
      </c>
      <c r="S300">
        <v>28183</v>
      </c>
      <c r="T300" s="118">
        <f t="shared" si="25"/>
        <v>13.053728578045391</v>
      </c>
      <c r="U300" t="s">
        <v>44</v>
      </c>
      <c r="Y300">
        <v>700000</v>
      </c>
      <c r="AA300">
        <v>700000</v>
      </c>
      <c r="AC300" t="s">
        <v>3516</v>
      </c>
      <c r="AD300" t="s">
        <v>3517</v>
      </c>
      <c r="AE300" s="243" t="s">
        <v>3518</v>
      </c>
      <c r="AF300" s="243" t="s">
        <v>3519</v>
      </c>
      <c r="AI300" s="59" t="e">
        <f t="shared" si="20"/>
        <v>#N/A</v>
      </c>
      <c r="AJ300" s="93" t="e">
        <f t="shared" si="21"/>
        <v>#N/A</v>
      </c>
      <c r="AK300" s="93"/>
      <c r="AL300" s="93"/>
      <c r="AM300" s="93"/>
      <c r="AN300" s="93"/>
    </row>
    <row r="301" spans="1:40" ht="15" customHeight="1">
      <c r="A301" s="122">
        <v>8</v>
      </c>
      <c r="B301" s="59">
        <v>294</v>
      </c>
      <c r="C301" t="s">
        <v>3416</v>
      </c>
      <c r="D301" t="s">
        <v>3520</v>
      </c>
      <c r="E301">
        <v>353</v>
      </c>
      <c r="F301" t="s">
        <v>2141</v>
      </c>
      <c r="G301" t="s">
        <v>1910</v>
      </c>
      <c r="H301" s="119">
        <f t="shared" si="23"/>
        <v>146.15384615384616</v>
      </c>
      <c r="I301" s="117">
        <v>44610</v>
      </c>
      <c r="J301">
        <v>6500</v>
      </c>
      <c r="L301">
        <v>6500</v>
      </c>
      <c r="M301">
        <v>1954</v>
      </c>
      <c r="P301" t="s">
        <v>2243</v>
      </c>
      <c r="R301" t="s">
        <v>44</v>
      </c>
      <c r="S301">
        <v>43750</v>
      </c>
      <c r="T301" s="118">
        <f t="shared" si="25"/>
        <v>6.7307692307692308</v>
      </c>
      <c r="U301" t="s">
        <v>44</v>
      </c>
      <c r="Y301">
        <v>950000</v>
      </c>
      <c r="AA301">
        <v>950000</v>
      </c>
      <c r="AC301" t="s">
        <v>3418</v>
      </c>
      <c r="AD301" t="s">
        <v>3521</v>
      </c>
      <c r="AE301" s="243" t="s">
        <v>3522</v>
      </c>
      <c r="AF301" s="243" t="s">
        <v>3420</v>
      </c>
      <c r="AI301" s="59" t="e">
        <f t="shared" si="20"/>
        <v>#N/A</v>
      </c>
      <c r="AJ301" s="93" t="e">
        <f t="shared" si="21"/>
        <v>#N/A</v>
      </c>
      <c r="AK301" s="93"/>
      <c r="AL301" s="93"/>
      <c r="AM301" s="93"/>
      <c r="AN301" s="93"/>
    </row>
    <row r="302" spans="1:40" ht="15" customHeight="1">
      <c r="A302" s="122">
        <v>8</v>
      </c>
      <c r="B302" s="59">
        <v>295</v>
      </c>
      <c r="C302" t="s">
        <v>3523</v>
      </c>
      <c r="D302" t="s">
        <v>3524</v>
      </c>
      <c r="E302">
        <v>344</v>
      </c>
      <c r="F302" t="s">
        <v>2141</v>
      </c>
      <c r="G302" t="s">
        <v>1910</v>
      </c>
      <c r="H302" s="119">
        <f t="shared" si="23"/>
        <v>240.38461538461539</v>
      </c>
      <c r="I302" s="117">
        <v>44596</v>
      </c>
      <c r="J302">
        <v>1664</v>
      </c>
      <c r="L302">
        <v>1664</v>
      </c>
      <c r="M302">
        <v>1942</v>
      </c>
      <c r="P302" t="s">
        <v>3269</v>
      </c>
      <c r="R302" t="s">
        <v>44</v>
      </c>
      <c r="S302">
        <v>7500</v>
      </c>
      <c r="T302" s="118">
        <f t="shared" si="25"/>
        <v>4.5072115384615383</v>
      </c>
      <c r="U302" t="s">
        <v>44</v>
      </c>
      <c r="Y302">
        <v>400000</v>
      </c>
      <c r="AA302">
        <v>400000</v>
      </c>
      <c r="AC302" t="s">
        <v>3525</v>
      </c>
      <c r="AD302" t="s">
        <v>3526</v>
      </c>
      <c r="AE302" s="243" t="s">
        <v>3522</v>
      </c>
      <c r="AF302" s="243" t="s">
        <v>3527</v>
      </c>
      <c r="AI302" s="59" t="e">
        <f t="shared" si="20"/>
        <v>#N/A</v>
      </c>
      <c r="AJ302" s="93" t="e">
        <f t="shared" si="21"/>
        <v>#N/A</v>
      </c>
      <c r="AK302" s="93"/>
      <c r="AL302" s="93"/>
      <c r="AM302" s="93"/>
      <c r="AN302" s="93"/>
    </row>
    <row r="303" spans="1:40" ht="15" customHeight="1">
      <c r="A303" s="122">
        <v>8</v>
      </c>
      <c r="B303" s="59">
        <v>296</v>
      </c>
      <c r="C303" t="s">
        <v>3528</v>
      </c>
      <c r="D303" t="s">
        <v>3529</v>
      </c>
      <c r="E303">
        <v>444</v>
      </c>
      <c r="F303" t="s">
        <v>1896</v>
      </c>
      <c r="G303" t="s">
        <v>1786</v>
      </c>
      <c r="H303" s="119">
        <f t="shared" si="23"/>
        <v>190.67429363841219</v>
      </c>
      <c r="I303" s="117">
        <v>44075</v>
      </c>
      <c r="J303">
        <v>5769</v>
      </c>
      <c r="L303">
        <v>5769</v>
      </c>
      <c r="M303">
        <v>1986</v>
      </c>
      <c r="P303" t="s">
        <v>2635</v>
      </c>
      <c r="R303" t="s">
        <v>229</v>
      </c>
      <c r="S303">
        <v>42194</v>
      </c>
      <c r="T303" s="118">
        <f t="shared" si="25"/>
        <v>7.3139192234356045</v>
      </c>
      <c r="U303" t="s">
        <v>229</v>
      </c>
      <c r="Y303">
        <v>1100000</v>
      </c>
      <c r="AA303">
        <v>1100000</v>
      </c>
      <c r="AC303" t="s">
        <v>3530</v>
      </c>
      <c r="AD303" t="s">
        <v>3531</v>
      </c>
      <c r="AE303" s="243" t="s">
        <v>3532</v>
      </c>
      <c r="AF303" s="243" t="s">
        <v>3533</v>
      </c>
      <c r="AI303" s="59" t="e">
        <f t="shared" si="20"/>
        <v>#N/A</v>
      </c>
      <c r="AJ303" s="93" t="e">
        <f t="shared" si="21"/>
        <v>#N/A</v>
      </c>
      <c r="AK303" s="93"/>
      <c r="AL303" s="93"/>
      <c r="AM303" s="93"/>
      <c r="AN303" s="93"/>
    </row>
    <row r="304" spans="1:40" ht="15" customHeight="1">
      <c r="A304" s="122">
        <v>8</v>
      </c>
      <c r="B304" s="59">
        <v>297</v>
      </c>
      <c r="C304" t="s">
        <v>3534</v>
      </c>
      <c r="D304" t="s">
        <v>3535</v>
      </c>
      <c r="E304">
        <v>334</v>
      </c>
      <c r="G304" t="s">
        <v>1910</v>
      </c>
      <c r="H304" s="119">
        <f t="shared" si="23"/>
        <v>192.37837837837839</v>
      </c>
      <c r="I304" s="117">
        <v>43544</v>
      </c>
      <c r="J304">
        <v>9250</v>
      </c>
      <c r="L304">
        <v>9250</v>
      </c>
      <c r="M304">
        <v>1976</v>
      </c>
      <c r="P304" t="s">
        <v>1911</v>
      </c>
      <c r="R304" t="s">
        <v>44</v>
      </c>
      <c r="S304">
        <v>46384</v>
      </c>
      <c r="T304" s="118">
        <f t="shared" si="25"/>
        <v>5.0144864864864864</v>
      </c>
      <c r="U304" t="s">
        <v>44</v>
      </c>
      <c r="Y304">
        <v>1779500</v>
      </c>
      <c r="AA304">
        <v>1779500</v>
      </c>
      <c r="AC304" t="s">
        <v>3536</v>
      </c>
      <c r="AD304" t="s">
        <v>3537</v>
      </c>
      <c r="AE304" s="243" t="s">
        <v>3538</v>
      </c>
      <c r="AF304" s="243" t="s">
        <v>3539</v>
      </c>
      <c r="AI304" s="59" t="e">
        <f t="shared" si="20"/>
        <v>#N/A</v>
      </c>
      <c r="AJ304" s="93" t="e">
        <f t="shared" si="21"/>
        <v>#N/A</v>
      </c>
      <c r="AK304" s="93"/>
      <c r="AL304" s="93"/>
      <c r="AM304" s="93"/>
      <c r="AN304" s="93"/>
    </row>
    <row r="305" spans="1:40" ht="15" customHeight="1">
      <c r="A305" s="122">
        <v>8</v>
      </c>
      <c r="B305" s="59">
        <v>298</v>
      </c>
      <c r="C305" t="s">
        <v>3540</v>
      </c>
      <c r="D305" t="s">
        <v>3541</v>
      </c>
      <c r="E305">
        <v>407</v>
      </c>
      <c r="G305" t="s">
        <v>1910</v>
      </c>
      <c r="H305" s="119">
        <f t="shared" si="23"/>
        <v>208.33333333333334</v>
      </c>
      <c r="I305" s="117">
        <v>44456</v>
      </c>
      <c r="J305">
        <v>12000</v>
      </c>
      <c r="L305">
        <v>12000</v>
      </c>
      <c r="M305">
        <v>1977</v>
      </c>
      <c r="P305" t="s">
        <v>1911</v>
      </c>
      <c r="R305" t="s">
        <v>44</v>
      </c>
      <c r="S305">
        <v>34848</v>
      </c>
      <c r="T305" s="118">
        <f t="shared" si="25"/>
        <v>2.9039999999999999</v>
      </c>
      <c r="U305" t="s">
        <v>44</v>
      </c>
      <c r="Y305">
        <v>2500000</v>
      </c>
      <c r="AA305">
        <v>2500000</v>
      </c>
      <c r="AC305" t="s">
        <v>3542</v>
      </c>
      <c r="AD305" t="s">
        <v>3543</v>
      </c>
      <c r="AE305" s="243" t="s">
        <v>3544</v>
      </c>
      <c r="AF305" s="243" t="s">
        <v>3545</v>
      </c>
      <c r="AI305" s="59" t="e">
        <f t="shared" si="20"/>
        <v>#N/A</v>
      </c>
      <c r="AJ305" s="93" t="e">
        <f t="shared" si="21"/>
        <v>#N/A</v>
      </c>
      <c r="AK305" s="93"/>
      <c r="AL305" s="93"/>
      <c r="AM305" s="93"/>
      <c r="AN305" s="93"/>
    </row>
    <row r="306" spans="1:40" ht="15" customHeight="1">
      <c r="A306" s="122">
        <v>8</v>
      </c>
      <c r="B306" s="59">
        <v>299</v>
      </c>
      <c r="C306" t="s">
        <v>3228</v>
      </c>
      <c r="D306" t="s">
        <v>3546</v>
      </c>
      <c r="E306">
        <v>434</v>
      </c>
      <c r="F306" t="s">
        <v>1785</v>
      </c>
      <c r="G306" t="s">
        <v>1786</v>
      </c>
      <c r="H306" s="119">
        <f t="shared" si="23"/>
        <v>130.83333333333334</v>
      </c>
      <c r="I306" s="117">
        <v>43189</v>
      </c>
      <c r="J306">
        <v>2640</v>
      </c>
      <c r="L306">
        <v>2640</v>
      </c>
      <c r="M306">
        <v>1970</v>
      </c>
      <c r="P306" t="s">
        <v>3547</v>
      </c>
      <c r="R306" t="s">
        <v>44</v>
      </c>
      <c r="S306">
        <v>26550</v>
      </c>
      <c r="T306" s="118">
        <f t="shared" si="25"/>
        <v>10.056818181818182</v>
      </c>
      <c r="U306" t="s">
        <v>44</v>
      </c>
      <c r="Y306">
        <v>345400</v>
      </c>
      <c r="AA306">
        <v>345400</v>
      </c>
      <c r="AC306" t="s">
        <v>3230</v>
      </c>
      <c r="AD306" t="s">
        <v>3548</v>
      </c>
      <c r="AE306" s="243" t="s">
        <v>3549</v>
      </c>
      <c r="AF306" s="243" t="s">
        <v>3232</v>
      </c>
      <c r="AI306" s="59" t="e">
        <f t="shared" si="20"/>
        <v>#N/A</v>
      </c>
      <c r="AJ306" s="93" t="e">
        <f t="shared" si="21"/>
        <v>#N/A</v>
      </c>
      <c r="AK306" s="93"/>
      <c r="AL306" s="93"/>
      <c r="AM306" s="93"/>
      <c r="AN306" s="93"/>
    </row>
    <row r="307" spans="1:40" ht="15" customHeight="1">
      <c r="A307" s="122">
        <v>8</v>
      </c>
      <c r="B307" s="59">
        <v>300</v>
      </c>
      <c r="C307" t="s">
        <v>3550</v>
      </c>
      <c r="D307" t="s">
        <v>3551</v>
      </c>
      <c r="E307">
        <v>210</v>
      </c>
      <c r="F307" t="s">
        <v>1896</v>
      </c>
      <c r="G307" t="s">
        <v>90</v>
      </c>
      <c r="H307" s="119">
        <f t="shared" si="23"/>
        <v>258.5149863760218</v>
      </c>
      <c r="I307" s="117">
        <v>44706</v>
      </c>
      <c r="J307">
        <v>14680</v>
      </c>
      <c r="L307">
        <v>14680</v>
      </c>
      <c r="M307">
        <v>1998</v>
      </c>
      <c r="P307" t="s">
        <v>2197</v>
      </c>
      <c r="R307" t="s">
        <v>44</v>
      </c>
      <c r="S307">
        <v>86945</v>
      </c>
      <c r="T307" s="118">
        <f t="shared" si="25"/>
        <v>5.9226839237057218</v>
      </c>
      <c r="U307" t="s">
        <v>44</v>
      </c>
      <c r="Y307">
        <v>3795000</v>
      </c>
      <c r="AA307">
        <v>3795000</v>
      </c>
      <c r="AC307" t="s">
        <v>3552</v>
      </c>
      <c r="AD307" t="s">
        <v>3553</v>
      </c>
      <c r="AE307" s="243" t="s">
        <v>3554</v>
      </c>
      <c r="AF307" s="243" t="s">
        <v>3555</v>
      </c>
      <c r="AI307" s="59" t="e">
        <f t="shared" si="20"/>
        <v>#N/A</v>
      </c>
      <c r="AJ307" s="93" t="e">
        <f t="shared" si="21"/>
        <v>#N/A</v>
      </c>
      <c r="AK307" s="93"/>
      <c r="AL307" s="93"/>
      <c r="AM307" s="93"/>
      <c r="AN307" s="93"/>
    </row>
    <row r="308" spans="1:40" ht="15" customHeight="1">
      <c r="A308" s="122">
        <v>8</v>
      </c>
      <c r="B308" s="59">
        <v>301</v>
      </c>
      <c r="C308" t="s">
        <v>2682</v>
      </c>
      <c r="D308" t="s">
        <v>3556</v>
      </c>
      <c r="E308">
        <v>425</v>
      </c>
      <c r="G308" t="s">
        <v>1910</v>
      </c>
      <c r="H308" s="119">
        <f t="shared" si="23"/>
        <v>143.33333333333334</v>
      </c>
      <c r="I308" s="117">
        <v>43144</v>
      </c>
      <c r="J308">
        <v>1500</v>
      </c>
      <c r="L308">
        <v>1500</v>
      </c>
      <c r="M308">
        <v>1984</v>
      </c>
      <c r="P308" t="s">
        <v>1911</v>
      </c>
      <c r="R308" t="s">
        <v>44</v>
      </c>
      <c r="S308">
        <v>4340</v>
      </c>
      <c r="T308" s="118">
        <f t="shared" si="25"/>
        <v>2.8933333333333335</v>
      </c>
      <c r="U308" t="s">
        <v>44</v>
      </c>
      <c r="Y308">
        <v>215000</v>
      </c>
      <c r="AA308">
        <v>215000</v>
      </c>
      <c r="AC308" t="s">
        <v>2684</v>
      </c>
      <c r="AD308" t="s">
        <v>3557</v>
      </c>
      <c r="AE308" s="243" t="s">
        <v>3558</v>
      </c>
      <c r="AF308" s="243" t="s">
        <v>3559</v>
      </c>
      <c r="AI308" s="59" t="e">
        <f t="shared" si="20"/>
        <v>#N/A</v>
      </c>
      <c r="AJ308" s="93" t="e">
        <f t="shared" si="21"/>
        <v>#N/A</v>
      </c>
      <c r="AK308" s="93"/>
      <c r="AL308" s="93"/>
      <c r="AM308" s="93"/>
      <c r="AN308" s="93"/>
    </row>
    <row r="309" spans="1:40" ht="15" customHeight="1">
      <c r="A309" s="122">
        <v>8</v>
      </c>
      <c r="B309" s="59">
        <v>302</v>
      </c>
      <c r="C309" t="s">
        <v>2682</v>
      </c>
      <c r="D309" t="s">
        <v>3560</v>
      </c>
      <c r="E309">
        <v>425</v>
      </c>
      <c r="G309" t="s">
        <v>1910</v>
      </c>
      <c r="H309" s="119">
        <f t="shared" si="23"/>
        <v>193.33333333333334</v>
      </c>
      <c r="I309" s="117">
        <v>44270</v>
      </c>
      <c r="J309">
        <v>1500</v>
      </c>
      <c r="L309">
        <v>1500</v>
      </c>
      <c r="M309">
        <v>1984</v>
      </c>
      <c r="P309" t="s">
        <v>1911</v>
      </c>
      <c r="R309" t="s">
        <v>44</v>
      </c>
      <c r="S309">
        <v>4340</v>
      </c>
      <c r="T309" s="118">
        <f t="shared" si="25"/>
        <v>2.8933333333333335</v>
      </c>
      <c r="U309" t="s">
        <v>44</v>
      </c>
      <c r="Y309">
        <v>290000</v>
      </c>
      <c r="AA309">
        <v>290000</v>
      </c>
      <c r="AC309" t="s">
        <v>2684</v>
      </c>
      <c r="AD309" t="s">
        <v>3561</v>
      </c>
      <c r="AE309" s="243" t="s">
        <v>3562</v>
      </c>
      <c r="AF309" s="243" t="s">
        <v>2686</v>
      </c>
      <c r="AI309" s="59" t="e">
        <f t="shared" si="20"/>
        <v>#N/A</v>
      </c>
      <c r="AJ309" s="93" t="e">
        <f t="shared" si="21"/>
        <v>#N/A</v>
      </c>
      <c r="AK309" s="93"/>
      <c r="AL309" s="93"/>
      <c r="AM309" s="93"/>
      <c r="AN309" s="93"/>
    </row>
    <row r="310" spans="1:40" ht="15" customHeight="1">
      <c r="A310" s="122">
        <v>8</v>
      </c>
      <c r="B310" s="59">
        <v>303</v>
      </c>
      <c r="C310" t="s">
        <v>3563</v>
      </c>
      <c r="D310" t="s">
        <v>3564</v>
      </c>
      <c r="E310">
        <v>353</v>
      </c>
      <c r="F310" t="s">
        <v>1984</v>
      </c>
      <c r="G310" t="s">
        <v>89</v>
      </c>
      <c r="H310" s="119">
        <f t="shared" si="23"/>
        <v>308.03571428571428</v>
      </c>
      <c r="I310" s="117">
        <v>44648</v>
      </c>
      <c r="J310">
        <v>1120</v>
      </c>
      <c r="L310">
        <v>1120</v>
      </c>
      <c r="M310">
        <v>1913</v>
      </c>
      <c r="P310" t="s">
        <v>2487</v>
      </c>
      <c r="R310" t="s">
        <v>44</v>
      </c>
      <c r="S310">
        <v>8100</v>
      </c>
      <c r="T310" s="118">
        <f t="shared" si="25"/>
        <v>7.2321428571428568</v>
      </c>
      <c r="U310" t="s">
        <v>44</v>
      </c>
      <c r="Y310">
        <v>345000</v>
      </c>
      <c r="AA310">
        <v>345000</v>
      </c>
      <c r="AC310" t="s">
        <v>3565</v>
      </c>
      <c r="AD310" t="s">
        <v>3566</v>
      </c>
      <c r="AE310" s="243" t="s">
        <v>3567</v>
      </c>
      <c r="AF310" s="243" t="s">
        <v>3568</v>
      </c>
      <c r="AI310" s="59" t="e">
        <f t="shared" si="20"/>
        <v>#N/A</v>
      </c>
      <c r="AJ310" s="93" t="e">
        <f t="shared" si="21"/>
        <v>#N/A</v>
      </c>
      <c r="AK310" s="93"/>
      <c r="AL310" s="93"/>
      <c r="AM310" s="93"/>
      <c r="AN310" s="93"/>
    </row>
    <row r="311" spans="1:40" ht="15" customHeight="1">
      <c r="A311" s="122">
        <v>8</v>
      </c>
      <c r="B311" s="59">
        <v>304</v>
      </c>
      <c r="C311" t="s">
        <v>3569</v>
      </c>
      <c r="D311" t="s">
        <v>3570</v>
      </c>
      <c r="E311">
        <v>353</v>
      </c>
      <c r="G311" t="s">
        <v>1786</v>
      </c>
      <c r="H311" s="119">
        <f t="shared" si="23"/>
        <v>132.23140495867767</v>
      </c>
      <c r="I311" s="117">
        <v>43705</v>
      </c>
      <c r="J311">
        <v>3025</v>
      </c>
      <c r="L311">
        <v>3025</v>
      </c>
      <c r="M311">
        <v>1974</v>
      </c>
      <c r="P311" t="s">
        <v>3571</v>
      </c>
      <c r="R311" t="s">
        <v>44</v>
      </c>
      <c r="S311">
        <v>12100</v>
      </c>
      <c r="T311" s="118">
        <f t="shared" si="25"/>
        <v>4</v>
      </c>
      <c r="U311" t="s">
        <v>44</v>
      </c>
      <c r="Y311">
        <v>400000</v>
      </c>
      <c r="AA311">
        <v>400000</v>
      </c>
      <c r="AC311" t="s">
        <v>3572</v>
      </c>
      <c r="AD311" t="s">
        <v>3573</v>
      </c>
      <c r="AE311" s="243" t="s">
        <v>3574</v>
      </c>
      <c r="AF311" s="243" t="s">
        <v>3575</v>
      </c>
      <c r="AI311" s="59" t="e">
        <f t="shared" si="20"/>
        <v>#N/A</v>
      </c>
      <c r="AJ311" s="93" t="e">
        <f t="shared" si="21"/>
        <v>#N/A</v>
      </c>
      <c r="AK311" s="93"/>
      <c r="AL311" s="93"/>
      <c r="AM311" s="93"/>
      <c r="AN311" s="93"/>
    </row>
    <row r="312" spans="1:40" ht="15" customHeight="1">
      <c r="A312" s="122">
        <v>8</v>
      </c>
      <c r="B312" s="59">
        <v>305</v>
      </c>
      <c r="C312" t="s">
        <v>3576</v>
      </c>
      <c r="D312" t="s">
        <v>3577</v>
      </c>
      <c r="E312">
        <v>325</v>
      </c>
      <c r="G312" t="s">
        <v>1910</v>
      </c>
      <c r="H312" s="119">
        <f t="shared" si="23"/>
        <v>122.22222222222223</v>
      </c>
      <c r="I312" s="117">
        <v>43587</v>
      </c>
      <c r="J312">
        <v>9000</v>
      </c>
      <c r="L312">
        <v>9000</v>
      </c>
      <c r="M312">
        <v>1981</v>
      </c>
      <c r="R312" t="s">
        <v>44</v>
      </c>
      <c r="S312">
        <v>30099.96</v>
      </c>
      <c r="T312" s="118">
        <f t="shared" si="25"/>
        <v>3.3444400000000001</v>
      </c>
      <c r="U312" t="s">
        <v>44</v>
      </c>
      <c r="Y312">
        <v>1100000</v>
      </c>
      <c r="AA312">
        <v>1100000</v>
      </c>
      <c r="AC312" t="s">
        <v>3578</v>
      </c>
      <c r="AD312" t="s">
        <v>3579</v>
      </c>
      <c r="AE312" s="243" t="s">
        <v>3580</v>
      </c>
      <c r="AF312" s="243" t="s">
        <v>3581</v>
      </c>
      <c r="AI312" s="59" t="e">
        <f t="shared" si="20"/>
        <v>#N/A</v>
      </c>
      <c r="AJ312" s="93" t="e">
        <f t="shared" si="21"/>
        <v>#N/A</v>
      </c>
      <c r="AK312" s="93"/>
      <c r="AL312" s="93"/>
      <c r="AM312" s="93"/>
      <c r="AN312" s="93"/>
    </row>
    <row r="313" spans="1:40" ht="15" customHeight="1">
      <c r="A313" s="122">
        <v>8</v>
      </c>
      <c r="B313" s="59">
        <v>306</v>
      </c>
      <c r="C313" t="s">
        <v>3582</v>
      </c>
      <c r="D313" t="s">
        <v>3583</v>
      </c>
      <c r="E313">
        <v>353</v>
      </c>
      <c r="F313" t="s">
        <v>1984</v>
      </c>
      <c r="G313" t="s">
        <v>89</v>
      </c>
      <c r="H313" s="119">
        <f t="shared" si="23"/>
        <v>183.84615384615384</v>
      </c>
      <c r="I313" s="117">
        <v>44176</v>
      </c>
      <c r="J313">
        <v>3900</v>
      </c>
      <c r="L313">
        <v>3900</v>
      </c>
      <c r="M313">
        <v>1897</v>
      </c>
      <c r="P313" t="s">
        <v>2487</v>
      </c>
      <c r="R313" t="s">
        <v>44</v>
      </c>
      <c r="S313">
        <v>10000</v>
      </c>
      <c r="T313" s="118">
        <f t="shared" si="25"/>
        <v>2.5641025641025643</v>
      </c>
      <c r="U313" t="s">
        <v>229</v>
      </c>
      <c r="Y313">
        <v>717000</v>
      </c>
      <c r="AA313">
        <v>717000</v>
      </c>
      <c r="AC313" t="s">
        <v>3584</v>
      </c>
      <c r="AD313" t="s">
        <v>3585</v>
      </c>
      <c r="AE313" s="243" t="s">
        <v>3586</v>
      </c>
      <c r="AF313" s="243" t="s">
        <v>3587</v>
      </c>
      <c r="AI313" s="59" t="e">
        <f t="shared" si="20"/>
        <v>#N/A</v>
      </c>
      <c r="AJ313" s="93" t="e">
        <f t="shared" si="21"/>
        <v>#N/A</v>
      </c>
      <c r="AK313" s="93"/>
      <c r="AL313" s="93"/>
      <c r="AM313" s="93"/>
      <c r="AN313" s="93"/>
    </row>
    <row r="314" spans="1:40" ht="15" customHeight="1">
      <c r="A314" s="122">
        <v>8</v>
      </c>
      <c r="B314" s="59">
        <v>307</v>
      </c>
      <c r="C314" t="s">
        <v>3588</v>
      </c>
      <c r="D314" t="s">
        <v>3589</v>
      </c>
      <c r="E314">
        <v>344</v>
      </c>
      <c r="F314" t="s">
        <v>1896</v>
      </c>
      <c r="G314" t="s">
        <v>1786</v>
      </c>
      <c r="H314" s="119">
        <f t="shared" si="23"/>
        <v>94.344526458051774</v>
      </c>
      <c r="I314" s="117">
        <v>43199</v>
      </c>
      <c r="J314">
        <v>96190</v>
      </c>
      <c r="L314">
        <v>96190</v>
      </c>
      <c r="M314">
        <v>1985</v>
      </c>
      <c r="P314" t="s">
        <v>3590</v>
      </c>
      <c r="R314" t="s">
        <v>229</v>
      </c>
      <c r="S314">
        <v>49833</v>
      </c>
      <c r="T314" s="118">
        <f t="shared" si="25"/>
        <v>0.518068406279239</v>
      </c>
      <c r="U314" t="s">
        <v>44</v>
      </c>
      <c r="Y314">
        <v>9075000</v>
      </c>
      <c r="AA314">
        <v>9075000</v>
      </c>
      <c r="AC314" t="s">
        <v>3591</v>
      </c>
      <c r="AD314" t="s">
        <v>3592</v>
      </c>
      <c r="AE314" s="243" t="s">
        <v>3593</v>
      </c>
      <c r="AF314" s="243" t="s">
        <v>3594</v>
      </c>
      <c r="AI314" s="59" t="e">
        <f t="shared" si="20"/>
        <v>#N/A</v>
      </c>
      <c r="AJ314" s="93" t="e">
        <f t="shared" si="21"/>
        <v>#N/A</v>
      </c>
      <c r="AK314" s="93"/>
      <c r="AL314" s="93"/>
      <c r="AM314" s="93"/>
      <c r="AN314" s="93"/>
    </row>
    <row r="315" spans="1:40" ht="15" customHeight="1">
      <c r="A315" s="122">
        <v>8</v>
      </c>
      <c r="B315" s="59">
        <v>308</v>
      </c>
      <c r="C315" t="s">
        <v>3595</v>
      </c>
      <c r="D315" t="s">
        <v>3596</v>
      </c>
      <c r="E315">
        <v>353</v>
      </c>
      <c r="F315" t="s">
        <v>1984</v>
      </c>
      <c r="G315" t="s">
        <v>89</v>
      </c>
      <c r="H315" s="119">
        <f t="shared" si="23"/>
        <v>185.18518518518519</v>
      </c>
      <c r="I315" s="117">
        <v>43892</v>
      </c>
      <c r="J315">
        <v>2160</v>
      </c>
      <c r="L315">
        <v>2160</v>
      </c>
      <c r="M315">
        <v>1926</v>
      </c>
      <c r="P315" t="s">
        <v>2487</v>
      </c>
      <c r="R315" t="s">
        <v>44</v>
      </c>
      <c r="S315">
        <v>5125</v>
      </c>
      <c r="T315" s="118">
        <f t="shared" si="25"/>
        <v>2.3726851851851851</v>
      </c>
      <c r="U315" t="s">
        <v>44</v>
      </c>
      <c r="Y315">
        <v>400000</v>
      </c>
      <c r="AA315">
        <v>400000</v>
      </c>
      <c r="AC315" t="s">
        <v>3597</v>
      </c>
      <c r="AD315" t="s">
        <v>3598</v>
      </c>
      <c r="AE315" s="243" t="s">
        <v>3599</v>
      </c>
      <c r="AF315" s="243" t="s">
        <v>3600</v>
      </c>
      <c r="AI315" s="59" t="e">
        <f t="shared" si="20"/>
        <v>#N/A</v>
      </c>
      <c r="AJ315" s="93" t="e">
        <f t="shared" si="21"/>
        <v>#N/A</v>
      </c>
      <c r="AK315" s="93"/>
      <c r="AL315" s="93"/>
      <c r="AM315" s="93"/>
      <c r="AN315" s="93"/>
    </row>
    <row r="316" spans="1:40" ht="15" customHeight="1">
      <c r="A316" s="122">
        <v>8</v>
      </c>
      <c r="B316" s="59">
        <v>309</v>
      </c>
      <c r="C316" t="s">
        <v>2783</v>
      </c>
      <c r="D316" t="s">
        <v>3601</v>
      </c>
      <c r="E316">
        <v>100</v>
      </c>
      <c r="F316" t="s">
        <v>1984</v>
      </c>
      <c r="G316" t="s">
        <v>789</v>
      </c>
      <c r="H316" s="119">
        <f t="shared" si="23"/>
        <v>371.64179104477614</v>
      </c>
      <c r="I316" s="117">
        <v>43637</v>
      </c>
      <c r="J316">
        <v>670</v>
      </c>
      <c r="L316">
        <v>670</v>
      </c>
      <c r="M316">
        <v>1949</v>
      </c>
      <c r="P316" t="s">
        <v>2722</v>
      </c>
      <c r="R316" t="s">
        <v>44</v>
      </c>
      <c r="S316">
        <v>6098</v>
      </c>
      <c r="T316" s="118">
        <f t="shared" si="25"/>
        <v>9.1014925373134332</v>
      </c>
      <c r="U316" t="s">
        <v>44</v>
      </c>
      <c r="Y316">
        <v>249000</v>
      </c>
      <c r="AA316">
        <v>249000</v>
      </c>
      <c r="AC316" t="s">
        <v>2785</v>
      </c>
      <c r="AD316" t="s">
        <v>3602</v>
      </c>
      <c r="AE316" s="243" t="s">
        <v>3603</v>
      </c>
      <c r="AF316" s="243" t="s">
        <v>2787</v>
      </c>
      <c r="AI316" s="59" t="e">
        <f t="shared" si="20"/>
        <v>#N/A</v>
      </c>
      <c r="AJ316" s="93" t="e">
        <f t="shared" si="21"/>
        <v>#N/A</v>
      </c>
      <c r="AK316" s="93"/>
      <c r="AL316" s="93"/>
      <c r="AM316" s="93"/>
      <c r="AN316" s="93"/>
    </row>
    <row r="317" spans="1:40" ht="15" customHeight="1">
      <c r="A317" s="122">
        <v>8</v>
      </c>
      <c r="B317" s="59">
        <v>310</v>
      </c>
      <c r="C317" t="s">
        <v>3604</v>
      </c>
      <c r="D317" t="s">
        <v>3605</v>
      </c>
      <c r="E317">
        <v>344</v>
      </c>
      <c r="F317" t="s">
        <v>1785</v>
      </c>
      <c r="G317" t="s">
        <v>1786</v>
      </c>
      <c r="H317" s="119">
        <f t="shared" si="23"/>
        <v>162.95491580662684</v>
      </c>
      <c r="I317" s="117">
        <v>43693</v>
      </c>
      <c r="J317">
        <v>1841</v>
      </c>
      <c r="L317">
        <v>1841</v>
      </c>
      <c r="M317">
        <v>1984</v>
      </c>
      <c r="P317" t="s">
        <v>2791</v>
      </c>
      <c r="R317" t="s">
        <v>44</v>
      </c>
      <c r="S317">
        <v>1118.78</v>
      </c>
      <c r="T317" s="118">
        <f t="shared" si="25"/>
        <v>0.6077023356871265</v>
      </c>
      <c r="U317" t="s">
        <v>44</v>
      </c>
      <c r="Y317">
        <v>300000</v>
      </c>
      <c r="AA317">
        <v>300000</v>
      </c>
      <c r="AC317" t="s">
        <v>3606</v>
      </c>
      <c r="AD317" t="s">
        <v>3607</v>
      </c>
      <c r="AE317" s="243" t="s">
        <v>3608</v>
      </c>
      <c r="AF317" s="243" t="s">
        <v>3609</v>
      </c>
      <c r="AI317" s="59" t="e">
        <f t="shared" si="20"/>
        <v>#N/A</v>
      </c>
      <c r="AJ317" s="93" t="e">
        <f t="shared" si="21"/>
        <v>#N/A</v>
      </c>
      <c r="AK317" s="93"/>
      <c r="AL317" s="93"/>
      <c r="AM317" s="93"/>
      <c r="AN317" s="93"/>
    </row>
    <row r="318" spans="1:40" ht="15" customHeight="1">
      <c r="A318" s="122">
        <v>8</v>
      </c>
      <c r="B318" s="59">
        <v>311</v>
      </c>
      <c r="C318" t="s">
        <v>3610</v>
      </c>
      <c r="D318" t="s">
        <v>3611</v>
      </c>
      <c r="E318">
        <v>344</v>
      </c>
      <c r="F318" t="s">
        <v>1785</v>
      </c>
      <c r="G318" t="s">
        <v>1786</v>
      </c>
      <c r="H318" s="119">
        <f t="shared" si="23"/>
        <v>162.95491580662684</v>
      </c>
      <c r="I318" s="117">
        <v>44540</v>
      </c>
      <c r="J318">
        <v>1841</v>
      </c>
      <c r="L318">
        <v>1841</v>
      </c>
      <c r="M318">
        <v>1984</v>
      </c>
      <c r="P318" t="s">
        <v>2791</v>
      </c>
      <c r="R318" t="s">
        <v>44</v>
      </c>
      <c r="S318">
        <v>1118.78</v>
      </c>
      <c r="T318" s="118">
        <f t="shared" si="25"/>
        <v>0.6077023356871265</v>
      </c>
      <c r="U318" t="s">
        <v>1512</v>
      </c>
      <c r="Y318">
        <v>300000</v>
      </c>
      <c r="AA318">
        <v>300000</v>
      </c>
      <c r="AC318" t="s">
        <v>3612</v>
      </c>
      <c r="AD318" t="s">
        <v>3613</v>
      </c>
      <c r="AE318" s="243" t="s">
        <v>2042</v>
      </c>
      <c r="AF318" s="243" t="s">
        <v>3614</v>
      </c>
      <c r="AI318" s="59" t="e">
        <f t="shared" si="20"/>
        <v>#N/A</v>
      </c>
      <c r="AJ318" s="93" t="e">
        <f t="shared" si="21"/>
        <v>#N/A</v>
      </c>
      <c r="AK318" s="93"/>
      <c r="AL318" s="93"/>
      <c r="AM318" s="93"/>
      <c r="AN318" s="93"/>
    </row>
    <row r="319" spans="1:40" ht="15" customHeight="1">
      <c r="A319" s="122">
        <v>8</v>
      </c>
      <c r="B319" s="59">
        <v>312</v>
      </c>
      <c r="C319" t="s">
        <v>3615</v>
      </c>
      <c r="D319" t="s">
        <v>3616</v>
      </c>
      <c r="E319">
        <v>344</v>
      </c>
      <c r="F319" t="s">
        <v>1814</v>
      </c>
      <c r="G319" t="s">
        <v>1815</v>
      </c>
      <c r="H319" s="119">
        <f t="shared" si="23"/>
        <v>545.25627044711018</v>
      </c>
      <c r="I319" s="117">
        <v>44740</v>
      </c>
      <c r="J319">
        <v>3668</v>
      </c>
      <c r="L319">
        <v>3668</v>
      </c>
      <c r="M319">
        <v>1962</v>
      </c>
      <c r="P319" t="s">
        <v>2715</v>
      </c>
      <c r="R319" t="s">
        <v>44</v>
      </c>
      <c r="S319">
        <v>15868</v>
      </c>
      <c r="T319" s="118">
        <f t="shared" si="25"/>
        <v>4.3260632497273717</v>
      </c>
      <c r="U319" t="s">
        <v>44</v>
      </c>
      <c r="Y319">
        <v>2000000</v>
      </c>
      <c r="AA319">
        <v>2000000</v>
      </c>
      <c r="AC319" t="s">
        <v>3617</v>
      </c>
      <c r="AD319" t="s">
        <v>3618</v>
      </c>
      <c r="AE319" s="243" t="s">
        <v>3619</v>
      </c>
      <c r="AF319" s="243" t="s">
        <v>3620</v>
      </c>
      <c r="AI319" s="59" t="e">
        <f t="shared" si="20"/>
        <v>#N/A</v>
      </c>
      <c r="AJ319" s="93" t="e">
        <f t="shared" si="21"/>
        <v>#N/A</v>
      </c>
      <c r="AK319" s="93"/>
      <c r="AL319" s="93"/>
      <c r="AM319" s="93"/>
      <c r="AN319" s="93"/>
    </row>
    <row r="320" spans="1:40" ht="15" customHeight="1">
      <c r="A320" s="122">
        <v>8</v>
      </c>
      <c r="B320" s="59">
        <v>313</v>
      </c>
      <c r="C320" t="s">
        <v>3621</v>
      </c>
      <c r="D320" t="s">
        <v>3622</v>
      </c>
      <c r="E320">
        <v>325</v>
      </c>
      <c r="F320" t="s">
        <v>1800</v>
      </c>
      <c r="G320" t="s">
        <v>1786</v>
      </c>
      <c r="H320" s="119">
        <f t="shared" si="23"/>
        <v>105.30472554955904</v>
      </c>
      <c r="I320" s="117">
        <v>44355</v>
      </c>
      <c r="J320">
        <v>7597</v>
      </c>
      <c r="L320">
        <v>7597</v>
      </c>
      <c r="M320">
        <v>1926</v>
      </c>
      <c r="P320" t="s">
        <v>2708</v>
      </c>
      <c r="R320" t="s">
        <v>44</v>
      </c>
      <c r="S320">
        <v>21780</v>
      </c>
      <c r="T320" s="118">
        <f t="shared" si="25"/>
        <v>2.8669211530867447</v>
      </c>
      <c r="U320" t="s">
        <v>44</v>
      </c>
      <c r="Y320">
        <v>800000</v>
      </c>
      <c r="AA320">
        <v>800000</v>
      </c>
      <c r="AC320" t="s">
        <v>3623</v>
      </c>
      <c r="AD320" t="s">
        <v>3624</v>
      </c>
      <c r="AE320" s="243" t="s">
        <v>3625</v>
      </c>
      <c r="AF320" s="243" t="s">
        <v>3626</v>
      </c>
      <c r="AI320" s="59" t="e">
        <f t="shared" si="20"/>
        <v>#N/A</v>
      </c>
      <c r="AJ320" s="93" t="e">
        <f t="shared" si="21"/>
        <v>#N/A</v>
      </c>
      <c r="AK320" s="93"/>
      <c r="AL320" s="93"/>
      <c r="AM320" s="93"/>
      <c r="AN320" s="93"/>
    </row>
    <row r="321" spans="1:40" ht="15" customHeight="1">
      <c r="A321" s="122">
        <v>8</v>
      </c>
      <c r="B321" s="59">
        <v>314</v>
      </c>
      <c r="C321" t="s">
        <v>3627</v>
      </c>
      <c r="D321" t="s">
        <v>3628</v>
      </c>
      <c r="E321">
        <v>406</v>
      </c>
      <c r="F321" t="s">
        <v>1800</v>
      </c>
      <c r="G321" t="s">
        <v>1786</v>
      </c>
      <c r="H321" s="119">
        <f t="shared" si="23"/>
        <v>123.05699481865285</v>
      </c>
      <c r="I321" s="117">
        <v>43238</v>
      </c>
      <c r="J321">
        <v>7720</v>
      </c>
      <c r="L321">
        <v>7720</v>
      </c>
      <c r="M321">
        <v>1972</v>
      </c>
      <c r="P321" t="s">
        <v>3629</v>
      </c>
      <c r="R321" t="s">
        <v>44</v>
      </c>
      <c r="S321">
        <v>15500</v>
      </c>
      <c r="T321" s="118">
        <f t="shared" si="25"/>
        <v>2.0077720207253886</v>
      </c>
      <c r="U321" t="s">
        <v>44</v>
      </c>
      <c r="Y321">
        <v>950000</v>
      </c>
      <c r="AA321">
        <v>950000</v>
      </c>
      <c r="AC321" t="s">
        <v>3630</v>
      </c>
      <c r="AD321" t="s">
        <v>3631</v>
      </c>
      <c r="AE321" s="243" t="s">
        <v>3632</v>
      </c>
      <c r="AF321" s="243" t="s">
        <v>3633</v>
      </c>
      <c r="AI321" s="59" t="e">
        <f t="shared" si="20"/>
        <v>#N/A</v>
      </c>
      <c r="AJ321" s="93" t="e">
        <f t="shared" si="21"/>
        <v>#N/A</v>
      </c>
      <c r="AK321" s="93"/>
      <c r="AL321" s="93"/>
      <c r="AM321" s="93"/>
      <c r="AN321" s="93"/>
    </row>
    <row r="322" spans="1:40" ht="15" customHeight="1">
      <c r="A322" s="122">
        <v>8</v>
      </c>
      <c r="B322" s="59">
        <v>315</v>
      </c>
      <c r="C322" t="s">
        <v>3634</v>
      </c>
      <c r="D322" t="s">
        <v>3635</v>
      </c>
      <c r="E322">
        <v>341</v>
      </c>
      <c r="F322" t="s">
        <v>1984</v>
      </c>
      <c r="G322" t="s">
        <v>89</v>
      </c>
      <c r="H322" s="119">
        <f t="shared" si="23"/>
        <v>225.06925207756234</v>
      </c>
      <c r="I322" s="117">
        <v>44602</v>
      </c>
      <c r="J322">
        <v>5776</v>
      </c>
      <c r="L322">
        <v>5776</v>
      </c>
      <c r="M322">
        <v>1986</v>
      </c>
      <c r="P322" t="s">
        <v>2722</v>
      </c>
      <c r="R322" t="s">
        <v>44</v>
      </c>
      <c r="S322">
        <v>23314</v>
      </c>
      <c r="T322" s="118">
        <f t="shared" si="25"/>
        <v>4.0363573407202216</v>
      </c>
      <c r="U322" t="s">
        <v>44</v>
      </c>
      <c r="Y322">
        <v>1300000</v>
      </c>
      <c r="AA322">
        <v>1300000</v>
      </c>
      <c r="AC322" t="s">
        <v>3636</v>
      </c>
      <c r="AD322" t="s">
        <v>3637</v>
      </c>
      <c r="AE322" s="243" t="s">
        <v>3638</v>
      </c>
      <c r="AF322" s="243" t="s">
        <v>3639</v>
      </c>
      <c r="AI322" s="59" t="e">
        <f t="shared" ref="AI322:AI385" si="26">IF(AND($E322=Subj_OccCode,Subj_BldgSF&gt;0,ABS($L322-Subj_BldgSF)&lt;=Subj_BldgSF*Subj_SizeTol),ABS($L322-Subj_BldgSF),NA())</f>
        <v>#N/A</v>
      </c>
      <c r="AJ322" s="93" t="e">
        <f t="shared" ref="AJ322:AJ385" si="27">IF(ISNA(AI322),NA(),AI322+ROW()/10000000)</f>
        <v>#N/A</v>
      </c>
      <c r="AK322" s="93"/>
      <c r="AL322" s="93"/>
      <c r="AM322" s="93"/>
      <c r="AN322" s="93"/>
    </row>
    <row r="323" spans="1:40" ht="15" customHeight="1">
      <c r="A323" s="122">
        <v>8</v>
      </c>
      <c r="B323" s="59">
        <v>316</v>
      </c>
      <c r="C323" t="s">
        <v>3640</v>
      </c>
      <c r="D323" t="s">
        <v>3641</v>
      </c>
      <c r="E323">
        <v>325</v>
      </c>
      <c r="F323" t="s">
        <v>2141</v>
      </c>
      <c r="G323" t="s">
        <v>1910</v>
      </c>
      <c r="H323" s="119">
        <f t="shared" si="23"/>
        <v>270</v>
      </c>
      <c r="I323" s="117">
        <v>43655</v>
      </c>
      <c r="J323">
        <v>5000</v>
      </c>
      <c r="L323">
        <v>5000</v>
      </c>
      <c r="M323">
        <v>2006</v>
      </c>
      <c r="P323" t="s">
        <v>3642</v>
      </c>
      <c r="R323" t="s">
        <v>44</v>
      </c>
      <c r="S323">
        <v>36111.24</v>
      </c>
      <c r="T323" s="118">
        <f t="shared" si="25"/>
        <v>7.2222479999999996</v>
      </c>
      <c r="U323" t="s">
        <v>44</v>
      </c>
      <c r="Y323">
        <v>1350000</v>
      </c>
      <c r="AA323">
        <v>1350000</v>
      </c>
      <c r="AC323" t="s">
        <v>3643</v>
      </c>
      <c r="AD323" t="s">
        <v>3644</v>
      </c>
      <c r="AE323" s="243" t="s">
        <v>3645</v>
      </c>
      <c r="AF323" s="243" t="s">
        <v>3646</v>
      </c>
      <c r="AI323" s="59" t="e">
        <f t="shared" si="26"/>
        <v>#N/A</v>
      </c>
      <c r="AJ323" s="93" t="e">
        <f t="shared" si="27"/>
        <v>#N/A</v>
      </c>
      <c r="AK323" s="93"/>
      <c r="AL323" s="93"/>
      <c r="AM323" s="93"/>
      <c r="AN323" s="93"/>
    </row>
    <row r="324" spans="1:40" ht="15" customHeight="1">
      <c r="A324" s="122">
        <v>8</v>
      </c>
      <c r="B324" s="59">
        <v>317</v>
      </c>
      <c r="C324" t="s">
        <v>3647</v>
      </c>
      <c r="D324" t="s">
        <v>3648</v>
      </c>
      <c r="E324">
        <v>325</v>
      </c>
      <c r="F324" t="s">
        <v>1896</v>
      </c>
      <c r="G324" t="s">
        <v>90</v>
      </c>
      <c r="H324" s="119">
        <f t="shared" si="23"/>
        <v>498.4375</v>
      </c>
      <c r="I324" s="117">
        <v>44742</v>
      </c>
      <c r="J324">
        <v>3200</v>
      </c>
      <c r="L324">
        <v>3200</v>
      </c>
      <c r="M324">
        <v>1973</v>
      </c>
      <c r="P324" t="s">
        <v>3649</v>
      </c>
      <c r="R324" t="s">
        <v>44</v>
      </c>
      <c r="S324">
        <v>15625</v>
      </c>
      <c r="T324" s="118">
        <f t="shared" si="25"/>
        <v>4.8828125</v>
      </c>
      <c r="U324" t="s">
        <v>44</v>
      </c>
      <c r="Y324">
        <v>1595000</v>
      </c>
      <c r="AA324">
        <v>1595000</v>
      </c>
      <c r="AC324" t="s">
        <v>3650</v>
      </c>
      <c r="AD324" t="s">
        <v>3651</v>
      </c>
      <c r="AE324" s="243" t="s">
        <v>3652</v>
      </c>
      <c r="AF324" s="243" t="s">
        <v>3653</v>
      </c>
      <c r="AI324" s="59" t="e">
        <f t="shared" si="26"/>
        <v>#N/A</v>
      </c>
      <c r="AJ324" s="93" t="e">
        <f t="shared" si="27"/>
        <v>#N/A</v>
      </c>
      <c r="AK324" s="93"/>
      <c r="AL324" s="93"/>
      <c r="AM324" s="93"/>
      <c r="AN324" s="93"/>
    </row>
    <row r="325" spans="1:40" ht="15" customHeight="1">
      <c r="A325" s="122">
        <v>8</v>
      </c>
      <c r="B325" s="59">
        <v>318</v>
      </c>
      <c r="C325" t="s">
        <v>3654</v>
      </c>
      <c r="D325" t="s">
        <v>3655</v>
      </c>
      <c r="E325">
        <v>419</v>
      </c>
      <c r="F325" t="s">
        <v>1896</v>
      </c>
      <c r="G325" t="s">
        <v>1786</v>
      </c>
      <c r="H325" s="119">
        <f t="shared" si="23"/>
        <v>1297.9989183342348</v>
      </c>
      <c r="I325" s="117">
        <v>44586</v>
      </c>
      <c r="J325">
        <v>1849</v>
      </c>
      <c r="L325">
        <v>1849</v>
      </c>
      <c r="M325">
        <v>1990</v>
      </c>
      <c r="P325" t="s">
        <v>1897</v>
      </c>
      <c r="R325" t="s">
        <v>44</v>
      </c>
      <c r="S325">
        <v>29962</v>
      </c>
      <c r="T325" s="118">
        <f t="shared" si="25"/>
        <v>16.204434829637641</v>
      </c>
      <c r="U325" t="s">
        <v>44</v>
      </c>
      <c r="Y325">
        <v>2400000</v>
      </c>
      <c r="AA325">
        <v>2400000</v>
      </c>
      <c r="AC325" t="s">
        <v>3656</v>
      </c>
      <c r="AD325" t="s">
        <v>3657</v>
      </c>
      <c r="AE325" s="243" t="s">
        <v>3658</v>
      </c>
      <c r="AF325" s="243" t="s">
        <v>3659</v>
      </c>
      <c r="AI325" s="59" t="e">
        <f t="shared" si="26"/>
        <v>#N/A</v>
      </c>
      <c r="AJ325" s="93" t="e">
        <f t="shared" si="27"/>
        <v>#N/A</v>
      </c>
      <c r="AK325" s="93"/>
      <c r="AL325" s="93"/>
      <c r="AM325" s="93"/>
      <c r="AN325" s="93"/>
    </row>
    <row r="326" spans="1:40" ht="15" customHeight="1">
      <c r="A326" s="122">
        <v>8</v>
      </c>
      <c r="B326" s="59">
        <v>319</v>
      </c>
      <c r="C326" t="s">
        <v>3660</v>
      </c>
      <c r="D326" t="s">
        <v>3661</v>
      </c>
      <c r="E326">
        <v>350</v>
      </c>
      <c r="F326" t="s">
        <v>2494</v>
      </c>
      <c r="G326" t="s">
        <v>1786</v>
      </c>
      <c r="H326" s="119">
        <f t="shared" ref="H326:H389" si="28">Y326/J326</f>
        <v>512.5</v>
      </c>
      <c r="I326" s="117">
        <v>43558</v>
      </c>
      <c r="J326">
        <v>720</v>
      </c>
      <c r="L326">
        <v>720</v>
      </c>
      <c r="M326">
        <v>1968</v>
      </c>
      <c r="P326" t="s">
        <v>3662</v>
      </c>
      <c r="R326" t="s">
        <v>44</v>
      </c>
      <c r="S326">
        <v>7565</v>
      </c>
      <c r="T326" s="118">
        <f t="shared" si="25"/>
        <v>10.506944444444445</v>
      </c>
      <c r="U326" t="s">
        <v>44</v>
      </c>
      <c r="Y326">
        <v>369000</v>
      </c>
      <c r="AA326">
        <v>369000</v>
      </c>
      <c r="AC326" t="s">
        <v>3663</v>
      </c>
      <c r="AD326" t="s">
        <v>3664</v>
      </c>
      <c r="AE326" s="243" t="s">
        <v>3665</v>
      </c>
      <c r="AF326" s="243" t="s">
        <v>3666</v>
      </c>
      <c r="AI326" s="59" t="e">
        <f t="shared" si="26"/>
        <v>#N/A</v>
      </c>
      <c r="AJ326" s="93" t="e">
        <f t="shared" si="27"/>
        <v>#N/A</v>
      </c>
      <c r="AK326" s="93"/>
      <c r="AL326" s="93"/>
      <c r="AM326" s="93"/>
      <c r="AN326" s="93"/>
    </row>
    <row r="327" spans="1:40" ht="15" customHeight="1">
      <c r="A327" s="122">
        <v>8</v>
      </c>
      <c r="B327" s="59">
        <v>320</v>
      </c>
      <c r="C327" t="s">
        <v>3667</v>
      </c>
      <c r="D327" t="s">
        <v>3668</v>
      </c>
      <c r="E327">
        <v>344</v>
      </c>
      <c r="F327" t="s">
        <v>1984</v>
      </c>
      <c r="G327" t="s">
        <v>89</v>
      </c>
      <c r="H327" s="119">
        <f t="shared" si="28"/>
        <v>198.27247742442088</v>
      </c>
      <c r="I327" s="117">
        <v>44438</v>
      </c>
      <c r="J327">
        <v>2547</v>
      </c>
      <c r="L327">
        <v>2547</v>
      </c>
      <c r="M327">
        <v>1954</v>
      </c>
      <c r="P327" t="s">
        <v>3669</v>
      </c>
      <c r="R327" t="s">
        <v>44</v>
      </c>
      <c r="S327">
        <v>11000</v>
      </c>
      <c r="T327" s="118">
        <f t="shared" si="25"/>
        <v>4.3188064389477816</v>
      </c>
      <c r="U327" t="s">
        <v>229</v>
      </c>
      <c r="Y327">
        <v>505000</v>
      </c>
      <c r="AA327">
        <v>505000</v>
      </c>
      <c r="AC327" t="s">
        <v>3670</v>
      </c>
      <c r="AD327" t="s">
        <v>3671</v>
      </c>
      <c r="AE327" s="243" t="s">
        <v>3672</v>
      </c>
      <c r="AF327" s="243" t="s">
        <v>3673</v>
      </c>
      <c r="AI327" s="59" t="e">
        <f t="shared" si="26"/>
        <v>#N/A</v>
      </c>
      <c r="AJ327" s="93" t="e">
        <f t="shared" si="27"/>
        <v>#N/A</v>
      </c>
      <c r="AK327" s="93"/>
      <c r="AL327" s="93"/>
      <c r="AM327" s="93"/>
      <c r="AN327" s="93"/>
    </row>
    <row r="328" spans="1:40" ht="15" customHeight="1">
      <c r="A328" s="122">
        <v>8</v>
      </c>
      <c r="B328" s="59">
        <v>321</v>
      </c>
      <c r="C328" t="s">
        <v>3674</v>
      </c>
      <c r="D328" t="s">
        <v>3675</v>
      </c>
      <c r="E328">
        <v>325</v>
      </c>
      <c r="F328" t="s">
        <v>1785</v>
      </c>
      <c r="G328" t="s">
        <v>1786</v>
      </c>
      <c r="H328" s="119">
        <f t="shared" si="28"/>
        <v>282.11805555555554</v>
      </c>
      <c r="I328" s="117">
        <v>44483</v>
      </c>
      <c r="J328">
        <v>1152</v>
      </c>
      <c r="L328">
        <v>1152</v>
      </c>
      <c r="M328">
        <v>1963</v>
      </c>
      <c r="P328" t="s">
        <v>1787</v>
      </c>
      <c r="R328" t="s">
        <v>44</v>
      </c>
      <c r="S328">
        <v>24678</v>
      </c>
      <c r="T328" s="118">
        <f t="shared" si="25"/>
        <v>21.421875</v>
      </c>
      <c r="U328" t="s">
        <v>44</v>
      </c>
      <c r="Y328">
        <v>325000</v>
      </c>
      <c r="AA328">
        <v>325000</v>
      </c>
      <c r="AC328" t="s">
        <v>3676</v>
      </c>
      <c r="AD328" t="s">
        <v>3677</v>
      </c>
      <c r="AE328" s="243" t="s">
        <v>3678</v>
      </c>
      <c r="AF328" s="243" t="s">
        <v>3679</v>
      </c>
      <c r="AI328" s="59" t="e">
        <f t="shared" si="26"/>
        <v>#N/A</v>
      </c>
      <c r="AJ328" s="93" t="e">
        <f t="shared" si="27"/>
        <v>#N/A</v>
      </c>
      <c r="AK328" s="93"/>
      <c r="AL328" s="93"/>
      <c r="AM328" s="93"/>
      <c r="AN328" s="93"/>
    </row>
    <row r="329" spans="1:40" ht="15" customHeight="1">
      <c r="A329" s="122">
        <v>8</v>
      </c>
      <c r="B329" s="59">
        <v>322</v>
      </c>
      <c r="C329" t="s">
        <v>3680</v>
      </c>
      <c r="D329" t="s">
        <v>3681</v>
      </c>
      <c r="E329">
        <v>423</v>
      </c>
      <c r="F329" t="s">
        <v>1984</v>
      </c>
      <c r="G329" t="s">
        <v>89</v>
      </c>
      <c r="H329" s="119">
        <f t="shared" si="28"/>
        <v>759.98937300743887</v>
      </c>
      <c r="I329" s="117">
        <v>43472</v>
      </c>
      <c r="J329">
        <v>1882</v>
      </c>
      <c r="L329">
        <v>1882</v>
      </c>
      <c r="M329">
        <v>1994</v>
      </c>
      <c r="P329" t="s">
        <v>3682</v>
      </c>
      <c r="R329" t="s">
        <v>44</v>
      </c>
      <c r="S329">
        <v>16650</v>
      </c>
      <c r="T329" s="118">
        <f t="shared" si="25"/>
        <v>8.8469713071200857</v>
      </c>
      <c r="U329" t="s">
        <v>44</v>
      </c>
      <c r="Y329">
        <v>1430300</v>
      </c>
      <c r="AA329">
        <v>1430300</v>
      </c>
      <c r="AC329" t="s">
        <v>3683</v>
      </c>
      <c r="AD329" t="s">
        <v>3684</v>
      </c>
      <c r="AE329" s="243" t="s">
        <v>3685</v>
      </c>
      <c r="AF329" s="243" t="s">
        <v>3686</v>
      </c>
      <c r="AI329" s="59" t="e">
        <f t="shared" si="26"/>
        <v>#N/A</v>
      </c>
      <c r="AJ329" s="93" t="e">
        <f t="shared" si="27"/>
        <v>#N/A</v>
      </c>
      <c r="AK329" s="93"/>
      <c r="AL329" s="93"/>
      <c r="AM329" s="93"/>
      <c r="AN329" s="93"/>
    </row>
    <row r="330" spans="1:40" ht="15" customHeight="1">
      <c r="A330" s="122">
        <v>8</v>
      </c>
      <c r="B330" s="59">
        <v>323</v>
      </c>
      <c r="C330" t="s">
        <v>3687</v>
      </c>
      <c r="D330" t="s">
        <v>3688</v>
      </c>
      <c r="E330">
        <v>343</v>
      </c>
      <c r="G330" t="s">
        <v>1910</v>
      </c>
      <c r="H330" s="119">
        <f t="shared" si="28"/>
        <v>174.58777885548011</v>
      </c>
      <c r="I330" s="117">
        <v>44483</v>
      </c>
      <c r="J330">
        <v>3093</v>
      </c>
      <c r="L330">
        <v>3093</v>
      </c>
      <c r="M330">
        <v>1946</v>
      </c>
      <c r="P330" t="s">
        <v>1925</v>
      </c>
      <c r="R330" t="s">
        <v>1258</v>
      </c>
      <c r="S330">
        <v>11520</v>
      </c>
      <c r="T330" s="118">
        <f t="shared" si="25"/>
        <v>3.7245392822502423</v>
      </c>
      <c r="U330" t="s">
        <v>44</v>
      </c>
      <c r="Y330">
        <v>540000</v>
      </c>
      <c r="AA330">
        <v>540000</v>
      </c>
      <c r="AC330" t="s">
        <v>3689</v>
      </c>
      <c r="AD330" t="s">
        <v>3690</v>
      </c>
      <c r="AE330" s="243" t="s">
        <v>3691</v>
      </c>
      <c r="AF330" s="243" t="s">
        <v>3692</v>
      </c>
      <c r="AI330" s="59" t="e">
        <f t="shared" si="26"/>
        <v>#N/A</v>
      </c>
      <c r="AJ330" s="93" t="e">
        <f t="shared" si="27"/>
        <v>#N/A</v>
      </c>
      <c r="AK330" s="93"/>
      <c r="AL330" s="93"/>
      <c r="AM330" s="93"/>
      <c r="AN330" s="93"/>
    </row>
    <row r="331" spans="1:40" ht="15" customHeight="1">
      <c r="A331" s="122">
        <v>8</v>
      </c>
      <c r="B331" s="59">
        <v>324</v>
      </c>
      <c r="C331" t="s">
        <v>3693</v>
      </c>
      <c r="D331" t="s">
        <v>3694</v>
      </c>
      <c r="E331">
        <v>344</v>
      </c>
      <c r="G331" t="s">
        <v>88</v>
      </c>
      <c r="H331" s="119">
        <f t="shared" si="28"/>
        <v>138.85803154854477</v>
      </c>
      <c r="I331" s="117">
        <v>43350</v>
      </c>
      <c r="J331">
        <v>4501</v>
      </c>
      <c r="L331">
        <v>4501</v>
      </c>
      <c r="M331">
        <v>1950</v>
      </c>
      <c r="P331" t="s">
        <v>1925</v>
      </c>
      <c r="R331" t="s">
        <v>44</v>
      </c>
      <c r="S331">
        <v>19920</v>
      </c>
      <c r="T331" s="118">
        <f t="shared" si="25"/>
        <v>4.4256831815152191</v>
      </c>
      <c r="U331" t="s">
        <v>44</v>
      </c>
      <c r="Y331">
        <v>625000</v>
      </c>
      <c r="AA331">
        <v>625000</v>
      </c>
      <c r="AC331" t="s">
        <v>3695</v>
      </c>
      <c r="AD331" t="s">
        <v>3696</v>
      </c>
      <c r="AE331" s="243" t="s">
        <v>3697</v>
      </c>
      <c r="AF331" s="243" t="s">
        <v>3698</v>
      </c>
      <c r="AI331" s="59" t="e">
        <f t="shared" si="26"/>
        <v>#N/A</v>
      </c>
      <c r="AJ331" s="93" t="e">
        <f t="shared" si="27"/>
        <v>#N/A</v>
      </c>
      <c r="AK331" s="93"/>
      <c r="AL331" s="93"/>
      <c r="AM331" s="93"/>
      <c r="AN331" s="93"/>
    </row>
    <row r="332" spans="1:40" ht="15" customHeight="1">
      <c r="A332" s="122">
        <v>8</v>
      </c>
      <c r="B332" s="59">
        <v>325</v>
      </c>
      <c r="C332" t="s">
        <v>3699</v>
      </c>
      <c r="D332" t="s">
        <v>3700</v>
      </c>
      <c r="E332">
        <v>344</v>
      </c>
      <c r="G332" t="s">
        <v>89</v>
      </c>
      <c r="H332" s="119">
        <f t="shared" si="28"/>
        <v>193.63325440673506</v>
      </c>
      <c r="I332" s="117">
        <v>43308</v>
      </c>
      <c r="J332">
        <v>3801</v>
      </c>
      <c r="L332">
        <v>3801</v>
      </c>
      <c r="M332">
        <v>1994</v>
      </c>
      <c r="P332" t="s">
        <v>1911</v>
      </c>
      <c r="R332" t="s">
        <v>44</v>
      </c>
      <c r="S332">
        <v>87120</v>
      </c>
      <c r="T332" s="118">
        <f t="shared" si="25"/>
        <v>22.92028413575375</v>
      </c>
      <c r="U332" t="s">
        <v>44</v>
      </c>
      <c r="Y332">
        <v>736000</v>
      </c>
      <c r="AA332">
        <v>736000</v>
      </c>
      <c r="AC332" t="s">
        <v>3701</v>
      </c>
      <c r="AD332" t="s">
        <v>3702</v>
      </c>
      <c r="AE332" s="243" t="s">
        <v>3703</v>
      </c>
      <c r="AF332" s="243" t="s">
        <v>3704</v>
      </c>
      <c r="AI332" s="59" t="e">
        <f t="shared" si="26"/>
        <v>#N/A</v>
      </c>
      <c r="AJ332" s="93" t="e">
        <f t="shared" si="27"/>
        <v>#N/A</v>
      </c>
      <c r="AK332" s="93"/>
      <c r="AL332" s="93"/>
      <c r="AM332" s="93"/>
      <c r="AN332" s="93"/>
    </row>
    <row r="333" spans="1:40" ht="15" customHeight="1">
      <c r="A333" s="122">
        <v>8</v>
      </c>
      <c r="B333" s="59">
        <v>326</v>
      </c>
      <c r="C333" t="s">
        <v>3705</v>
      </c>
      <c r="D333" t="s">
        <v>3706</v>
      </c>
      <c r="E333">
        <v>353</v>
      </c>
      <c r="G333" t="s">
        <v>1786</v>
      </c>
      <c r="H333" s="119">
        <f t="shared" si="28"/>
        <v>296.05263157894734</v>
      </c>
      <c r="I333" s="117">
        <v>44315</v>
      </c>
      <c r="J333">
        <v>4560</v>
      </c>
      <c r="L333">
        <v>4560</v>
      </c>
      <c r="M333">
        <v>1985</v>
      </c>
      <c r="P333" t="s">
        <v>1925</v>
      </c>
      <c r="R333" t="s">
        <v>44</v>
      </c>
      <c r="S333">
        <v>25700</v>
      </c>
      <c r="T333" s="118">
        <f t="shared" si="25"/>
        <v>5.6359649122807021</v>
      </c>
      <c r="U333" t="s">
        <v>44</v>
      </c>
      <c r="Y333">
        <v>1350000</v>
      </c>
      <c r="AA333">
        <v>1350000</v>
      </c>
      <c r="AC333" t="s">
        <v>3707</v>
      </c>
      <c r="AD333" t="s">
        <v>3708</v>
      </c>
      <c r="AE333" s="243" t="s">
        <v>3709</v>
      </c>
      <c r="AF333" s="243" t="s">
        <v>3710</v>
      </c>
      <c r="AI333" s="59" t="e">
        <f t="shared" si="26"/>
        <v>#N/A</v>
      </c>
      <c r="AJ333" s="93" t="e">
        <f t="shared" si="27"/>
        <v>#N/A</v>
      </c>
      <c r="AK333" s="93"/>
      <c r="AL333" s="93"/>
      <c r="AM333" s="93"/>
      <c r="AN333" s="93"/>
    </row>
    <row r="334" spans="1:40" ht="15" customHeight="1">
      <c r="A334" s="122">
        <v>8</v>
      </c>
      <c r="B334" s="59">
        <v>327</v>
      </c>
      <c r="C334" t="s">
        <v>3711</v>
      </c>
      <c r="D334" t="s">
        <v>3712</v>
      </c>
      <c r="E334">
        <v>353</v>
      </c>
      <c r="F334" t="s">
        <v>1814</v>
      </c>
      <c r="G334" t="s">
        <v>1815</v>
      </c>
      <c r="H334" s="119">
        <f t="shared" si="28"/>
        <v>338.66995073891627</v>
      </c>
      <c r="I334" s="117">
        <v>44592</v>
      </c>
      <c r="J334">
        <v>1624</v>
      </c>
      <c r="L334">
        <v>1624</v>
      </c>
      <c r="M334">
        <v>1970</v>
      </c>
      <c r="P334" t="s">
        <v>2329</v>
      </c>
      <c r="R334" t="s">
        <v>44</v>
      </c>
      <c r="S334">
        <v>9520</v>
      </c>
      <c r="T334" s="118">
        <f t="shared" si="25"/>
        <v>5.8620689655172411</v>
      </c>
      <c r="U334" t="s">
        <v>44</v>
      </c>
      <c r="Y334">
        <v>550000</v>
      </c>
      <c r="AA334">
        <v>550000</v>
      </c>
      <c r="AC334" t="s">
        <v>3713</v>
      </c>
      <c r="AD334" t="s">
        <v>3714</v>
      </c>
      <c r="AE334" s="243" t="s">
        <v>3715</v>
      </c>
      <c r="AF334" s="243" t="s">
        <v>3716</v>
      </c>
      <c r="AI334" s="59" t="e">
        <f t="shared" si="26"/>
        <v>#N/A</v>
      </c>
      <c r="AJ334" s="93" t="e">
        <f t="shared" si="27"/>
        <v>#N/A</v>
      </c>
      <c r="AK334" s="93"/>
      <c r="AL334" s="93"/>
      <c r="AM334" s="93"/>
      <c r="AN334" s="93"/>
    </row>
    <row r="335" spans="1:40" ht="15" customHeight="1">
      <c r="A335" s="122">
        <v>8</v>
      </c>
      <c r="B335" s="59">
        <v>328</v>
      </c>
      <c r="C335" t="s">
        <v>3717</v>
      </c>
      <c r="D335" t="s">
        <v>3718</v>
      </c>
      <c r="E335">
        <v>407</v>
      </c>
      <c r="F335" t="s">
        <v>2141</v>
      </c>
      <c r="G335" t="s">
        <v>1910</v>
      </c>
      <c r="H335" s="119">
        <f t="shared" si="28"/>
        <v>129.03225806451613</v>
      </c>
      <c r="I335" s="117">
        <v>44134</v>
      </c>
      <c r="J335">
        <v>15500</v>
      </c>
      <c r="L335">
        <v>15500</v>
      </c>
      <c r="M335">
        <v>1970</v>
      </c>
      <c r="P335" t="s">
        <v>2142</v>
      </c>
      <c r="R335" t="s">
        <v>44</v>
      </c>
      <c r="S335">
        <v>34300</v>
      </c>
      <c r="T335" s="118">
        <f t="shared" si="25"/>
        <v>2.2129032258064516</v>
      </c>
      <c r="U335" t="s">
        <v>44</v>
      </c>
      <c r="Y335">
        <v>2000000</v>
      </c>
      <c r="AA335">
        <v>2000000</v>
      </c>
      <c r="AC335" t="s">
        <v>3719</v>
      </c>
      <c r="AD335" t="s">
        <v>3720</v>
      </c>
      <c r="AE335" s="243" t="s">
        <v>3721</v>
      </c>
      <c r="AF335" s="243" t="s">
        <v>3722</v>
      </c>
      <c r="AI335" s="59" t="e">
        <f t="shared" si="26"/>
        <v>#N/A</v>
      </c>
      <c r="AJ335" s="93" t="e">
        <f t="shared" si="27"/>
        <v>#N/A</v>
      </c>
      <c r="AK335" s="93"/>
      <c r="AL335" s="93"/>
      <c r="AM335" s="93"/>
      <c r="AN335" s="93"/>
    </row>
    <row r="336" spans="1:40" ht="15" customHeight="1">
      <c r="A336" s="122">
        <v>8</v>
      </c>
      <c r="B336" s="59">
        <v>329</v>
      </c>
      <c r="C336" t="s">
        <v>3582</v>
      </c>
      <c r="D336" t="s">
        <v>3583</v>
      </c>
      <c r="E336">
        <v>353</v>
      </c>
      <c r="F336" t="s">
        <v>1984</v>
      </c>
      <c r="G336" t="s">
        <v>89</v>
      </c>
      <c r="H336" s="119">
        <f t="shared" si="28"/>
        <v>166.66666666666666</v>
      </c>
      <c r="I336" s="117">
        <v>43194</v>
      </c>
      <c r="J336">
        <v>3900</v>
      </c>
      <c r="L336">
        <v>3900</v>
      </c>
      <c r="M336">
        <v>1897</v>
      </c>
      <c r="P336" t="s">
        <v>3682</v>
      </c>
      <c r="R336" t="s">
        <v>44</v>
      </c>
      <c r="S336">
        <v>10000</v>
      </c>
      <c r="T336" s="118">
        <f t="shared" si="25"/>
        <v>2.5641025641025643</v>
      </c>
      <c r="U336" t="s">
        <v>229</v>
      </c>
      <c r="Y336">
        <v>650000</v>
      </c>
      <c r="AA336">
        <v>650000</v>
      </c>
      <c r="AC336" t="s">
        <v>3584</v>
      </c>
      <c r="AD336" t="s">
        <v>3723</v>
      </c>
      <c r="AE336" s="243" t="s">
        <v>3724</v>
      </c>
      <c r="AF336" s="243" t="s">
        <v>3586</v>
      </c>
      <c r="AI336" s="59" t="e">
        <f t="shared" si="26"/>
        <v>#N/A</v>
      </c>
      <c r="AJ336" s="93" t="e">
        <f t="shared" si="27"/>
        <v>#N/A</v>
      </c>
      <c r="AK336" s="93"/>
      <c r="AL336" s="93"/>
      <c r="AM336" s="93"/>
      <c r="AN336" s="93"/>
    </row>
    <row r="337" spans="1:40" ht="15" customHeight="1">
      <c r="A337" s="122">
        <v>8</v>
      </c>
      <c r="B337" s="59">
        <v>330</v>
      </c>
      <c r="C337" t="s">
        <v>3725</v>
      </c>
      <c r="D337" t="s">
        <v>3726</v>
      </c>
      <c r="E337">
        <v>406</v>
      </c>
      <c r="F337" t="s">
        <v>1984</v>
      </c>
      <c r="G337" t="s">
        <v>89</v>
      </c>
      <c r="H337" s="119">
        <f t="shared" si="28"/>
        <v>99.826388888888886</v>
      </c>
      <c r="I337" s="117">
        <v>43549</v>
      </c>
      <c r="J337">
        <v>5760</v>
      </c>
      <c r="L337">
        <v>5760</v>
      </c>
      <c r="M337">
        <v>1979</v>
      </c>
      <c r="P337" t="s">
        <v>3682</v>
      </c>
      <c r="R337" t="s">
        <v>44</v>
      </c>
      <c r="S337">
        <v>15000</v>
      </c>
      <c r="T337" s="118">
        <f t="shared" si="25"/>
        <v>2.6041666666666665</v>
      </c>
      <c r="U337" t="s">
        <v>44</v>
      </c>
      <c r="Y337">
        <v>575000</v>
      </c>
      <c r="AA337">
        <v>575000</v>
      </c>
      <c r="AC337" t="s">
        <v>3727</v>
      </c>
      <c r="AD337" t="s">
        <v>3728</v>
      </c>
      <c r="AE337" s="243" t="s">
        <v>3729</v>
      </c>
      <c r="AF337" s="243" t="s">
        <v>3730</v>
      </c>
      <c r="AI337" s="59" t="e">
        <f t="shared" si="26"/>
        <v>#N/A</v>
      </c>
      <c r="AJ337" s="93" t="e">
        <f t="shared" si="27"/>
        <v>#N/A</v>
      </c>
      <c r="AK337" s="93"/>
      <c r="AL337" s="93"/>
      <c r="AM337" s="93"/>
      <c r="AN337" s="93"/>
    </row>
    <row r="338" spans="1:40" ht="15" customHeight="1">
      <c r="A338" s="122">
        <v>8</v>
      </c>
      <c r="B338" s="59">
        <v>331</v>
      </c>
      <c r="C338" t="s">
        <v>3731</v>
      </c>
      <c r="D338" t="s">
        <v>3732</v>
      </c>
      <c r="E338">
        <v>350</v>
      </c>
      <c r="F338" t="s">
        <v>1984</v>
      </c>
      <c r="G338" t="s">
        <v>89</v>
      </c>
      <c r="H338" s="119">
        <f t="shared" si="28"/>
        <v>390.625</v>
      </c>
      <c r="I338" s="117">
        <v>44063</v>
      </c>
      <c r="J338">
        <v>704</v>
      </c>
      <c r="L338">
        <v>704</v>
      </c>
      <c r="M338">
        <v>1945</v>
      </c>
      <c r="P338" t="s">
        <v>1985</v>
      </c>
      <c r="R338" t="s">
        <v>229</v>
      </c>
      <c r="S338">
        <v>5000</v>
      </c>
      <c r="T338" s="118">
        <f t="shared" si="25"/>
        <v>7.1022727272727275</v>
      </c>
      <c r="U338" t="s">
        <v>229</v>
      </c>
      <c r="Y338">
        <v>275000</v>
      </c>
      <c r="AA338">
        <v>275000</v>
      </c>
      <c r="AC338" t="s">
        <v>3733</v>
      </c>
      <c r="AD338" t="s">
        <v>3734</v>
      </c>
      <c r="AE338" s="243" t="s">
        <v>3735</v>
      </c>
      <c r="AF338" s="243" t="s">
        <v>3736</v>
      </c>
      <c r="AI338" s="59" t="e">
        <f t="shared" si="26"/>
        <v>#N/A</v>
      </c>
      <c r="AJ338" s="93" t="e">
        <f t="shared" si="27"/>
        <v>#N/A</v>
      </c>
      <c r="AK338" s="93"/>
      <c r="AL338" s="93"/>
      <c r="AM338" s="93"/>
      <c r="AN338" s="93"/>
    </row>
    <row r="339" spans="1:40" ht="15" customHeight="1">
      <c r="A339" s="122">
        <v>8</v>
      </c>
      <c r="B339" s="59">
        <v>332</v>
      </c>
      <c r="C339" t="s">
        <v>3737</v>
      </c>
      <c r="D339" t="s">
        <v>3738</v>
      </c>
      <c r="E339">
        <v>353</v>
      </c>
      <c r="F339" t="s">
        <v>2542</v>
      </c>
      <c r="G339" t="s">
        <v>88</v>
      </c>
      <c r="H339" s="119">
        <f t="shared" si="28"/>
        <v>235.49201009251473</v>
      </c>
      <c r="I339" s="117">
        <v>44650</v>
      </c>
      <c r="J339">
        <v>1189</v>
      </c>
      <c r="L339">
        <v>1189</v>
      </c>
      <c r="M339">
        <v>1961</v>
      </c>
      <c r="P339" t="s">
        <v>3739</v>
      </c>
      <c r="R339" t="s">
        <v>44</v>
      </c>
      <c r="S339">
        <v>8250</v>
      </c>
      <c r="T339" s="118">
        <f t="shared" si="25"/>
        <v>6.9386038687973084</v>
      </c>
      <c r="U339" t="s">
        <v>44</v>
      </c>
      <c r="Y339">
        <v>280000</v>
      </c>
      <c r="AA339">
        <v>280000</v>
      </c>
      <c r="AC339" t="s">
        <v>3740</v>
      </c>
      <c r="AD339" t="s">
        <v>3741</v>
      </c>
      <c r="AE339" s="243" t="s">
        <v>3742</v>
      </c>
      <c r="AF339" s="243" t="s">
        <v>3743</v>
      </c>
      <c r="AI339" s="59" t="e">
        <f t="shared" si="26"/>
        <v>#N/A</v>
      </c>
      <c r="AJ339" s="93" t="e">
        <f t="shared" si="27"/>
        <v>#N/A</v>
      </c>
      <c r="AK339" s="93"/>
      <c r="AL339" s="93"/>
      <c r="AM339" s="93"/>
      <c r="AN339" s="93"/>
    </row>
    <row r="340" spans="1:40" ht="15" customHeight="1">
      <c r="A340" s="122">
        <v>8</v>
      </c>
      <c r="B340" s="59">
        <v>333</v>
      </c>
      <c r="C340" t="s">
        <v>3744</v>
      </c>
      <c r="D340" t="s">
        <v>3745</v>
      </c>
      <c r="E340">
        <v>406</v>
      </c>
      <c r="G340" t="s">
        <v>88</v>
      </c>
      <c r="H340" s="119">
        <f t="shared" si="28"/>
        <v>49.027002564489365</v>
      </c>
      <c r="I340" s="117">
        <v>43102</v>
      </c>
      <c r="J340">
        <v>19887</v>
      </c>
      <c r="L340">
        <v>19887</v>
      </c>
      <c r="M340">
        <v>1993</v>
      </c>
      <c r="P340" t="s">
        <v>3746</v>
      </c>
      <c r="R340" t="s">
        <v>1258</v>
      </c>
      <c r="S340">
        <v>1244073.6000000001</v>
      </c>
      <c r="T340" s="118">
        <f t="shared" si="25"/>
        <v>62.557127771911304</v>
      </c>
      <c r="U340" t="s">
        <v>302</v>
      </c>
      <c r="Y340">
        <v>975000</v>
      </c>
      <c r="AA340">
        <v>975000</v>
      </c>
      <c r="AC340" t="s">
        <v>3747</v>
      </c>
      <c r="AD340" t="s">
        <v>3748</v>
      </c>
      <c r="AE340" s="243" t="s">
        <v>3749</v>
      </c>
      <c r="AF340" s="243" t="s">
        <v>3750</v>
      </c>
      <c r="AI340" s="59" t="e">
        <f t="shared" si="26"/>
        <v>#N/A</v>
      </c>
      <c r="AJ340" s="93" t="e">
        <f t="shared" si="27"/>
        <v>#N/A</v>
      </c>
      <c r="AK340" s="93"/>
      <c r="AL340" s="93"/>
      <c r="AM340" s="93"/>
      <c r="AN340" s="93"/>
    </row>
    <row r="341" spans="1:40" ht="15" customHeight="1">
      <c r="A341" s="122">
        <v>8</v>
      </c>
      <c r="B341" s="59">
        <v>334</v>
      </c>
      <c r="C341" t="s">
        <v>1949</v>
      </c>
      <c r="D341" t="s">
        <v>1950</v>
      </c>
      <c r="E341">
        <v>406</v>
      </c>
      <c r="G341" t="s">
        <v>1910</v>
      </c>
      <c r="H341" s="119">
        <f t="shared" si="28"/>
        <v>129.84189723320159</v>
      </c>
      <c r="I341" s="117">
        <v>43705</v>
      </c>
      <c r="J341">
        <v>25300</v>
      </c>
      <c r="L341">
        <v>25300</v>
      </c>
      <c r="M341">
        <v>1994</v>
      </c>
      <c r="P341" t="s">
        <v>1911</v>
      </c>
      <c r="R341" t="s">
        <v>44</v>
      </c>
      <c r="S341">
        <v>197703</v>
      </c>
      <c r="T341" s="118">
        <f t="shared" si="25"/>
        <v>7.8143478260869568</v>
      </c>
      <c r="U341" t="s">
        <v>44</v>
      </c>
      <c r="Y341">
        <v>3285000</v>
      </c>
      <c r="AA341">
        <v>3285000</v>
      </c>
      <c r="AC341" t="s">
        <v>1951</v>
      </c>
      <c r="AD341" t="s">
        <v>3751</v>
      </c>
      <c r="AE341" s="243" t="s">
        <v>3752</v>
      </c>
      <c r="AF341" s="243" t="s">
        <v>1953</v>
      </c>
      <c r="AI341" s="59" t="e">
        <f t="shared" si="26"/>
        <v>#N/A</v>
      </c>
      <c r="AJ341" s="93" t="e">
        <f t="shared" si="27"/>
        <v>#N/A</v>
      </c>
      <c r="AK341" s="93"/>
      <c r="AL341" s="93"/>
      <c r="AM341" s="93"/>
      <c r="AN341" s="93"/>
    </row>
    <row r="342" spans="1:40" ht="15" customHeight="1">
      <c r="A342" s="122">
        <v>8</v>
      </c>
      <c r="B342" s="59">
        <v>335</v>
      </c>
      <c r="C342" t="s">
        <v>1943</v>
      </c>
      <c r="D342" t="s">
        <v>3753</v>
      </c>
      <c r="E342">
        <v>407</v>
      </c>
      <c r="F342" t="s">
        <v>1814</v>
      </c>
      <c r="G342" t="s">
        <v>1815</v>
      </c>
      <c r="H342" s="119">
        <f t="shared" si="28"/>
        <v>110.75116980923111</v>
      </c>
      <c r="I342" s="117">
        <v>44168</v>
      </c>
      <c r="J342">
        <v>144468</v>
      </c>
      <c r="L342">
        <v>144468</v>
      </c>
      <c r="M342">
        <v>1985</v>
      </c>
      <c r="P342" t="s">
        <v>1932</v>
      </c>
      <c r="R342" t="s">
        <v>229</v>
      </c>
      <c r="S342">
        <v>363339</v>
      </c>
      <c r="T342" s="118">
        <f t="shared" si="25"/>
        <v>2.5150137054572639</v>
      </c>
      <c r="U342" t="s">
        <v>44</v>
      </c>
      <c r="Y342">
        <v>16000000</v>
      </c>
      <c r="AA342">
        <v>16000000</v>
      </c>
      <c r="AC342" t="s">
        <v>1945</v>
      </c>
      <c r="AD342" t="s">
        <v>3754</v>
      </c>
      <c r="AE342" s="243" t="s">
        <v>3755</v>
      </c>
      <c r="AF342" s="243" t="s">
        <v>3756</v>
      </c>
      <c r="AI342" s="59" t="e">
        <f t="shared" si="26"/>
        <v>#N/A</v>
      </c>
      <c r="AJ342" s="93" t="e">
        <f t="shared" si="27"/>
        <v>#N/A</v>
      </c>
      <c r="AK342" s="93"/>
      <c r="AL342" s="93"/>
      <c r="AM342" s="93"/>
      <c r="AN342" s="93"/>
    </row>
    <row r="343" spans="1:40" ht="15" customHeight="1">
      <c r="A343" s="122">
        <v>8</v>
      </c>
      <c r="B343" s="59">
        <v>336</v>
      </c>
      <c r="C343" t="s">
        <v>3757</v>
      </c>
      <c r="D343" t="s">
        <v>3758</v>
      </c>
      <c r="E343">
        <v>407</v>
      </c>
      <c r="F343" t="s">
        <v>2141</v>
      </c>
      <c r="G343" t="s">
        <v>1910</v>
      </c>
      <c r="H343" s="119">
        <f t="shared" si="28"/>
        <v>184.07534246575344</v>
      </c>
      <c r="I343" s="117">
        <v>44309</v>
      </c>
      <c r="J343">
        <v>5840</v>
      </c>
      <c r="L343">
        <v>5840</v>
      </c>
      <c r="M343">
        <v>1962</v>
      </c>
      <c r="P343" t="s">
        <v>2142</v>
      </c>
      <c r="R343" t="s">
        <v>44</v>
      </c>
      <c r="S343">
        <v>11725</v>
      </c>
      <c r="T343" s="118">
        <f t="shared" si="25"/>
        <v>2.0077054794520546</v>
      </c>
      <c r="U343" t="s">
        <v>44</v>
      </c>
      <c r="Y343">
        <v>1075000</v>
      </c>
      <c r="AA343">
        <v>1075000</v>
      </c>
      <c r="AC343" t="s">
        <v>3759</v>
      </c>
      <c r="AD343" t="s">
        <v>3760</v>
      </c>
      <c r="AE343" s="243" t="s">
        <v>3761</v>
      </c>
      <c r="AF343" s="243" t="s">
        <v>3762</v>
      </c>
      <c r="AI343" s="59" t="e">
        <f t="shared" si="26"/>
        <v>#N/A</v>
      </c>
      <c r="AJ343" s="93" t="e">
        <f t="shared" si="27"/>
        <v>#N/A</v>
      </c>
      <c r="AK343" s="93"/>
      <c r="AL343" s="93"/>
      <c r="AM343" s="93"/>
      <c r="AN343" s="93"/>
    </row>
    <row r="344" spans="1:40" ht="15" customHeight="1">
      <c r="A344" s="122">
        <v>8</v>
      </c>
      <c r="B344" s="59">
        <v>337</v>
      </c>
      <c r="C344" t="s">
        <v>3763</v>
      </c>
      <c r="D344" t="s">
        <v>3764</v>
      </c>
      <c r="E344">
        <v>325</v>
      </c>
      <c r="G344" t="s">
        <v>89</v>
      </c>
      <c r="H344" s="119">
        <f t="shared" si="28"/>
        <v>98.629568106312291</v>
      </c>
      <c r="I344" s="117">
        <v>43356</v>
      </c>
      <c r="J344">
        <v>4816</v>
      </c>
      <c r="L344">
        <v>4816</v>
      </c>
      <c r="M344">
        <v>1983</v>
      </c>
      <c r="P344" t="s">
        <v>1911</v>
      </c>
      <c r="R344" t="s">
        <v>44</v>
      </c>
      <c r="S344">
        <v>15000</v>
      </c>
      <c r="T344" s="118">
        <f t="shared" si="25"/>
        <v>3.1146179401993357</v>
      </c>
      <c r="U344" t="s">
        <v>44</v>
      </c>
      <c r="Y344">
        <v>475000</v>
      </c>
      <c r="AA344">
        <v>475000</v>
      </c>
      <c r="AC344" t="s">
        <v>3765</v>
      </c>
      <c r="AD344" t="s">
        <v>3766</v>
      </c>
      <c r="AE344" s="243" t="s">
        <v>3767</v>
      </c>
      <c r="AF344" s="243" t="s">
        <v>3768</v>
      </c>
      <c r="AI344" s="59" t="e">
        <f t="shared" si="26"/>
        <v>#N/A</v>
      </c>
      <c r="AJ344" s="93" t="e">
        <f t="shared" si="27"/>
        <v>#N/A</v>
      </c>
      <c r="AK344" s="93"/>
      <c r="AL344" s="93"/>
      <c r="AM344" s="93"/>
      <c r="AN344" s="93"/>
    </row>
    <row r="345" spans="1:40" ht="15" customHeight="1">
      <c r="A345" s="122">
        <v>8</v>
      </c>
      <c r="B345" s="59">
        <v>338</v>
      </c>
      <c r="C345" t="s">
        <v>3769</v>
      </c>
      <c r="D345" t="s">
        <v>3770</v>
      </c>
      <c r="E345">
        <v>407</v>
      </c>
      <c r="G345" t="s">
        <v>1910</v>
      </c>
      <c r="H345" s="119">
        <f t="shared" si="28"/>
        <v>132.14285714285714</v>
      </c>
      <c r="I345" s="117">
        <v>44281</v>
      </c>
      <c r="J345">
        <v>56000</v>
      </c>
      <c r="L345">
        <v>56000</v>
      </c>
      <c r="M345">
        <v>1978</v>
      </c>
      <c r="P345" t="s">
        <v>1911</v>
      </c>
      <c r="R345" t="s">
        <v>44</v>
      </c>
      <c r="S345">
        <v>162914</v>
      </c>
      <c r="T345" s="118">
        <f t="shared" si="25"/>
        <v>2.9091785714285714</v>
      </c>
      <c r="U345" t="s">
        <v>44</v>
      </c>
      <c r="Y345">
        <v>7400000</v>
      </c>
      <c r="AA345">
        <v>7400000</v>
      </c>
      <c r="AC345" t="s">
        <v>3771</v>
      </c>
      <c r="AD345" t="s">
        <v>3772</v>
      </c>
      <c r="AE345" s="243" t="s">
        <v>3773</v>
      </c>
      <c r="AF345" s="243" t="s">
        <v>3774</v>
      </c>
      <c r="AI345" s="59" t="e">
        <f t="shared" si="26"/>
        <v>#N/A</v>
      </c>
      <c r="AJ345" s="93" t="e">
        <f t="shared" si="27"/>
        <v>#N/A</v>
      </c>
      <c r="AK345" s="93"/>
      <c r="AL345" s="93"/>
      <c r="AM345" s="93"/>
      <c r="AN345" s="93"/>
    </row>
    <row r="346" spans="1:40" ht="15" customHeight="1">
      <c r="A346" s="122">
        <v>8</v>
      </c>
      <c r="B346" s="59">
        <v>339</v>
      </c>
      <c r="C346" t="s">
        <v>3775</v>
      </c>
      <c r="D346" t="s">
        <v>3776</v>
      </c>
      <c r="E346">
        <v>407</v>
      </c>
      <c r="G346" t="s">
        <v>1910</v>
      </c>
      <c r="H346" s="119">
        <f t="shared" si="28"/>
        <v>138.9624139756485</v>
      </c>
      <c r="I346" s="117">
        <v>43251</v>
      </c>
      <c r="J346">
        <v>15112</v>
      </c>
      <c r="L346">
        <v>15112</v>
      </c>
      <c r="M346">
        <v>1998</v>
      </c>
      <c r="P346" t="s">
        <v>1969</v>
      </c>
      <c r="R346" t="s">
        <v>44</v>
      </c>
      <c r="S346">
        <v>43995.601600000002</v>
      </c>
      <c r="T346" s="118">
        <f t="shared" si="25"/>
        <v>2.9113023822128112</v>
      </c>
      <c r="U346" t="s">
        <v>44</v>
      </c>
      <c r="Y346">
        <v>2100000</v>
      </c>
      <c r="AA346">
        <v>2100000</v>
      </c>
      <c r="AC346" t="s">
        <v>3777</v>
      </c>
      <c r="AD346" t="s">
        <v>3778</v>
      </c>
      <c r="AE346" s="243" t="s">
        <v>3779</v>
      </c>
      <c r="AF346" s="243" t="s">
        <v>3780</v>
      </c>
      <c r="AI346" s="59" t="e">
        <f t="shared" si="26"/>
        <v>#N/A</v>
      </c>
      <c r="AJ346" s="93" t="e">
        <f t="shared" si="27"/>
        <v>#N/A</v>
      </c>
      <c r="AK346" s="93"/>
      <c r="AL346" s="93"/>
      <c r="AM346" s="93"/>
      <c r="AN346" s="93"/>
    </row>
    <row r="347" spans="1:40" ht="15" customHeight="1">
      <c r="A347" s="122">
        <v>8</v>
      </c>
      <c r="B347" s="59">
        <v>340</v>
      </c>
      <c r="C347" t="s">
        <v>3781</v>
      </c>
      <c r="D347" t="s">
        <v>3782</v>
      </c>
      <c r="E347">
        <v>334</v>
      </c>
      <c r="G347" t="s">
        <v>1910</v>
      </c>
      <c r="H347" s="119">
        <f t="shared" si="28"/>
        <v>128.90895747543524</v>
      </c>
      <c r="I347" s="117">
        <v>44399</v>
      </c>
      <c r="J347">
        <v>49054</v>
      </c>
      <c r="L347">
        <v>49054</v>
      </c>
      <c r="M347">
        <v>1999</v>
      </c>
      <c r="P347" t="s">
        <v>1969</v>
      </c>
      <c r="R347" t="s">
        <v>44</v>
      </c>
      <c r="S347">
        <v>87555.601599999995</v>
      </c>
      <c r="T347" s="118">
        <f t="shared" si="25"/>
        <v>1.7848819994292004</v>
      </c>
      <c r="U347" t="s">
        <v>44</v>
      </c>
      <c r="Y347">
        <v>6323500</v>
      </c>
      <c r="AA347">
        <v>6323500</v>
      </c>
      <c r="AC347" t="s">
        <v>3783</v>
      </c>
      <c r="AD347" t="s">
        <v>3784</v>
      </c>
      <c r="AE347" s="243" t="s">
        <v>3785</v>
      </c>
      <c r="AF347" s="243" t="s">
        <v>3786</v>
      </c>
      <c r="AI347" s="59" t="e">
        <f t="shared" si="26"/>
        <v>#N/A</v>
      </c>
      <c r="AJ347" s="93" t="e">
        <f t="shared" si="27"/>
        <v>#N/A</v>
      </c>
      <c r="AK347" s="93"/>
      <c r="AL347" s="93"/>
      <c r="AM347" s="93"/>
      <c r="AN347" s="93"/>
    </row>
    <row r="348" spans="1:40" ht="15" customHeight="1">
      <c r="A348" s="122">
        <v>8</v>
      </c>
      <c r="B348" s="59">
        <v>341</v>
      </c>
      <c r="C348" t="s">
        <v>3787</v>
      </c>
      <c r="D348" t="s">
        <v>3788</v>
      </c>
      <c r="E348">
        <v>407</v>
      </c>
      <c r="G348" t="s">
        <v>1910</v>
      </c>
      <c r="H348" s="119">
        <f t="shared" si="28"/>
        <v>91.714250629336277</v>
      </c>
      <c r="I348" s="117">
        <v>44358</v>
      </c>
      <c r="J348">
        <v>130296</v>
      </c>
      <c r="L348">
        <v>130296</v>
      </c>
      <c r="M348">
        <v>1969</v>
      </c>
      <c r="P348" t="s">
        <v>1911</v>
      </c>
      <c r="R348" t="s">
        <v>44</v>
      </c>
      <c r="S348">
        <v>217800</v>
      </c>
      <c r="T348" s="118">
        <f t="shared" si="25"/>
        <v>1.6715785595874011</v>
      </c>
      <c r="U348" t="s">
        <v>44</v>
      </c>
      <c r="Y348">
        <v>11950000</v>
      </c>
      <c r="AA348">
        <v>11950000</v>
      </c>
      <c r="AC348" t="s">
        <v>3789</v>
      </c>
      <c r="AD348" t="s">
        <v>3790</v>
      </c>
      <c r="AE348" s="243" t="s">
        <v>3791</v>
      </c>
      <c r="AF348" s="243" t="s">
        <v>3792</v>
      </c>
      <c r="AI348" s="59" t="e">
        <f t="shared" si="26"/>
        <v>#N/A</v>
      </c>
      <c r="AJ348" s="93" t="e">
        <f t="shared" si="27"/>
        <v>#N/A</v>
      </c>
      <c r="AK348" s="93"/>
      <c r="AL348" s="93"/>
      <c r="AM348" s="93"/>
      <c r="AN348" s="93"/>
    </row>
    <row r="349" spans="1:40" ht="15" customHeight="1">
      <c r="A349" s="122">
        <v>8</v>
      </c>
      <c r="B349" s="59">
        <v>342</v>
      </c>
      <c r="C349" t="s">
        <v>1937</v>
      </c>
      <c r="D349" t="s">
        <v>1938</v>
      </c>
      <c r="E349">
        <v>425</v>
      </c>
      <c r="F349" t="s">
        <v>1814</v>
      </c>
      <c r="G349" t="s">
        <v>1815</v>
      </c>
      <c r="H349" s="119">
        <f t="shared" si="28"/>
        <v>141.33333333333334</v>
      </c>
      <c r="I349" s="117">
        <v>44040</v>
      </c>
      <c r="J349">
        <v>1500</v>
      </c>
      <c r="L349">
        <v>1500</v>
      </c>
      <c r="M349">
        <v>1984</v>
      </c>
      <c r="P349" t="s">
        <v>1932</v>
      </c>
      <c r="R349" t="s">
        <v>229</v>
      </c>
      <c r="S349">
        <v>5227</v>
      </c>
      <c r="T349" s="118">
        <f t="shared" si="25"/>
        <v>3.4846666666666666</v>
      </c>
      <c r="U349" t="s">
        <v>44</v>
      </c>
      <c r="Y349">
        <v>212000</v>
      </c>
      <c r="AA349">
        <v>212000</v>
      </c>
      <c r="AC349" t="s">
        <v>1939</v>
      </c>
      <c r="AD349" t="s">
        <v>3793</v>
      </c>
      <c r="AE349" s="243" t="s">
        <v>3794</v>
      </c>
      <c r="AF349" s="243" t="s">
        <v>1941</v>
      </c>
      <c r="AI349" s="59" t="e">
        <f t="shared" si="26"/>
        <v>#N/A</v>
      </c>
      <c r="AJ349" s="93" t="e">
        <f t="shared" si="27"/>
        <v>#N/A</v>
      </c>
      <c r="AK349" s="93"/>
      <c r="AL349" s="93"/>
      <c r="AM349" s="93"/>
      <c r="AN349" s="93"/>
    </row>
    <row r="350" spans="1:40" ht="15" customHeight="1">
      <c r="A350" s="122">
        <v>8</v>
      </c>
      <c r="B350" s="59">
        <v>343</v>
      </c>
      <c r="C350" t="s">
        <v>3795</v>
      </c>
      <c r="D350" t="s">
        <v>3796</v>
      </c>
      <c r="E350">
        <v>425</v>
      </c>
      <c r="F350" t="s">
        <v>1814</v>
      </c>
      <c r="G350" t="s">
        <v>1815</v>
      </c>
      <c r="H350" s="119">
        <f t="shared" si="28"/>
        <v>271.73913043478262</v>
      </c>
      <c r="I350" s="117">
        <v>44712</v>
      </c>
      <c r="J350">
        <v>1472</v>
      </c>
      <c r="L350">
        <v>1472</v>
      </c>
      <c r="M350">
        <v>1984</v>
      </c>
      <c r="P350" t="s">
        <v>2329</v>
      </c>
      <c r="R350" t="s">
        <v>44</v>
      </c>
      <c r="S350">
        <v>5095</v>
      </c>
      <c r="T350" s="118">
        <f t="shared" si="25"/>
        <v>3.4612771739130435</v>
      </c>
      <c r="U350" t="s">
        <v>44</v>
      </c>
      <c r="Y350">
        <v>400000</v>
      </c>
      <c r="AA350">
        <v>400000</v>
      </c>
      <c r="AC350" t="s">
        <v>3797</v>
      </c>
      <c r="AD350" t="s">
        <v>3798</v>
      </c>
      <c r="AE350" s="243" t="s">
        <v>3799</v>
      </c>
      <c r="AF350" s="243" t="s">
        <v>3800</v>
      </c>
      <c r="AI350" s="59" t="e">
        <f t="shared" si="26"/>
        <v>#N/A</v>
      </c>
      <c r="AJ350" s="93" t="e">
        <f t="shared" si="27"/>
        <v>#N/A</v>
      </c>
      <c r="AK350" s="93"/>
      <c r="AL350" s="93"/>
      <c r="AM350" s="93"/>
      <c r="AN350" s="93"/>
    </row>
    <row r="351" spans="1:40" ht="15" customHeight="1">
      <c r="A351" s="122">
        <v>8</v>
      </c>
      <c r="B351" s="59">
        <v>344</v>
      </c>
      <c r="C351" t="s">
        <v>3801</v>
      </c>
      <c r="D351" t="s">
        <v>3802</v>
      </c>
      <c r="E351">
        <v>340</v>
      </c>
      <c r="G351" t="s">
        <v>88</v>
      </c>
      <c r="H351" s="119">
        <f t="shared" si="28"/>
        <v>137.62214983713355</v>
      </c>
      <c r="I351" s="117">
        <v>43367</v>
      </c>
      <c r="J351">
        <v>30700</v>
      </c>
      <c r="L351">
        <v>30700</v>
      </c>
      <c r="M351">
        <v>2002</v>
      </c>
      <c r="P351" t="s">
        <v>1925</v>
      </c>
      <c r="R351" t="s">
        <v>44</v>
      </c>
      <c r="S351">
        <v>88718</v>
      </c>
      <c r="T351" s="118">
        <f t="shared" si="25"/>
        <v>2.8898371335504884</v>
      </c>
      <c r="U351" t="s">
        <v>229</v>
      </c>
      <c r="Y351">
        <v>4225000</v>
      </c>
      <c r="AA351">
        <v>4225000</v>
      </c>
      <c r="AC351" t="s">
        <v>3803</v>
      </c>
      <c r="AD351" t="s">
        <v>3804</v>
      </c>
      <c r="AE351" s="243" t="s">
        <v>3805</v>
      </c>
      <c r="AF351" s="243" t="s">
        <v>3806</v>
      </c>
      <c r="AI351" s="59" t="e">
        <f t="shared" si="26"/>
        <v>#N/A</v>
      </c>
      <c r="AJ351" s="93" t="e">
        <f t="shared" si="27"/>
        <v>#N/A</v>
      </c>
      <c r="AK351" s="93"/>
      <c r="AL351" s="93"/>
      <c r="AM351" s="93"/>
      <c r="AN351" s="93"/>
    </row>
    <row r="352" spans="1:40" ht="15" customHeight="1">
      <c r="A352" s="122">
        <v>8</v>
      </c>
      <c r="B352" s="59">
        <v>345</v>
      </c>
      <c r="C352" t="s">
        <v>3807</v>
      </c>
      <c r="D352" t="s">
        <v>3808</v>
      </c>
      <c r="E352">
        <v>406</v>
      </c>
      <c r="F352" t="s">
        <v>1800</v>
      </c>
      <c r="G352" t="s">
        <v>1786</v>
      </c>
      <c r="H352" s="119">
        <f t="shared" si="28"/>
        <v>146.32768361581921</v>
      </c>
      <c r="I352" s="117">
        <v>43902</v>
      </c>
      <c r="J352">
        <v>8850</v>
      </c>
      <c r="L352">
        <v>8850</v>
      </c>
      <c r="M352">
        <v>1974</v>
      </c>
      <c r="P352" t="s">
        <v>3809</v>
      </c>
      <c r="R352" t="s">
        <v>44</v>
      </c>
      <c r="S352">
        <v>23100</v>
      </c>
      <c r="T352" s="118">
        <f t="shared" si="25"/>
        <v>2.6101694915254239</v>
      </c>
      <c r="U352" t="s">
        <v>44</v>
      </c>
      <c r="Y352">
        <v>1295000</v>
      </c>
      <c r="AA352">
        <v>1295000</v>
      </c>
      <c r="AC352" t="s">
        <v>3810</v>
      </c>
      <c r="AD352" t="s">
        <v>3811</v>
      </c>
      <c r="AE352" s="243" t="s">
        <v>3812</v>
      </c>
      <c r="AF352" s="243" t="s">
        <v>3813</v>
      </c>
      <c r="AI352" s="59" t="e">
        <f t="shared" si="26"/>
        <v>#N/A</v>
      </c>
      <c r="AJ352" s="93" t="e">
        <f t="shared" si="27"/>
        <v>#N/A</v>
      </c>
      <c r="AK352" s="93"/>
      <c r="AL352" s="93"/>
      <c r="AM352" s="93"/>
      <c r="AN352" s="93"/>
    </row>
    <row r="353" spans="1:40" ht="15" customHeight="1">
      <c r="A353" s="122">
        <v>8</v>
      </c>
      <c r="B353" s="59">
        <v>346</v>
      </c>
      <c r="C353" t="s">
        <v>2019</v>
      </c>
      <c r="D353" t="s">
        <v>3814</v>
      </c>
      <c r="E353">
        <v>1344</v>
      </c>
      <c r="F353" t="s">
        <v>1896</v>
      </c>
      <c r="G353" t="s">
        <v>90</v>
      </c>
      <c r="H353" s="119">
        <f t="shared" si="28"/>
        <v>190.97222222222223</v>
      </c>
      <c r="I353" s="117">
        <v>44557</v>
      </c>
      <c r="J353">
        <v>1440</v>
      </c>
      <c r="L353">
        <v>1440</v>
      </c>
      <c r="M353">
        <v>2000</v>
      </c>
      <c r="P353" t="s">
        <v>1897</v>
      </c>
      <c r="R353" t="s">
        <v>44</v>
      </c>
      <c r="S353">
        <v>3838.69</v>
      </c>
      <c r="T353" s="118">
        <f t="shared" si="25"/>
        <v>2.6657569444444444</v>
      </c>
      <c r="U353" t="s">
        <v>44</v>
      </c>
      <c r="Y353">
        <v>275000</v>
      </c>
      <c r="AA353">
        <v>275000</v>
      </c>
      <c r="AC353" t="s">
        <v>2021</v>
      </c>
      <c r="AD353" t="s">
        <v>3815</v>
      </c>
      <c r="AE353" s="243" t="s">
        <v>3816</v>
      </c>
      <c r="AF353" s="243" t="s">
        <v>2023</v>
      </c>
      <c r="AI353" s="59" t="e">
        <f t="shared" si="26"/>
        <v>#N/A</v>
      </c>
      <c r="AJ353" s="93" t="e">
        <f t="shared" si="27"/>
        <v>#N/A</v>
      </c>
      <c r="AK353" s="93"/>
      <c r="AL353" s="93"/>
      <c r="AM353" s="93"/>
      <c r="AN353" s="93"/>
    </row>
    <row r="354" spans="1:40" ht="15" customHeight="1">
      <c r="A354" s="122">
        <v>8</v>
      </c>
      <c r="B354" s="59">
        <v>347</v>
      </c>
      <c r="C354" t="s">
        <v>3817</v>
      </c>
      <c r="D354" t="s">
        <v>3818</v>
      </c>
      <c r="E354">
        <v>325</v>
      </c>
      <c r="F354" t="s">
        <v>1896</v>
      </c>
      <c r="G354" t="s">
        <v>90</v>
      </c>
      <c r="H354" s="119">
        <f t="shared" si="28"/>
        <v>234.875</v>
      </c>
      <c r="I354" s="117">
        <v>43698</v>
      </c>
      <c r="J354">
        <v>16000</v>
      </c>
      <c r="L354">
        <v>16000</v>
      </c>
      <c r="M354">
        <v>2002</v>
      </c>
      <c r="P354" t="s">
        <v>1897</v>
      </c>
      <c r="R354" t="s">
        <v>229</v>
      </c>
      <c r="S354">
        <v>104463</v>
      </c>
      <c r="T354" s="118">
        <f t="shared" si="25"/>
        <v>6.5289374999999996</v>
      </c>
      <c r="U354" t="s">
        <v>44</v>
      </c>
      <c r="Y354">
        <v>3758000</v>
      </c>
      <c r="AA354">
        <v>3758000</v>
      </c>
      <c r="AC354" t="s">
        <v>3819</v>
      </c>
      <c r="AD354" t="s">
        <v>3820</v>
      </c>
      <c r="AE354" s="243" t="s">
        <v>3821</v>
      </c>
      <c r="AF354" s="243" t="s">
        <v>3822</v>
      </c>
      <c r="AI354" s="59" t="e">
        <f t="shared" si="26"/>
        <v>#N/A</v>
      </c>
      <c r="AJ354" s="93" t="e">
        <f t="shared" si="27"/>
        <v>#N/A</v>
      </c>
      <c r="AK354" s="93"/>
      <c r="AL354" s="93"/>
      <c r="AM354" s="93"/>
      <c r="AN354" s="93"/>
    </row>
    <row r="355" spans="1:40" ht="15" customHeight="1">
      <c r="A355" s="122">
        <v>8</v>
      </c>
      <c r="B355" s="59">
        <v>348</v>
      </c>
      <c r="C355" t="s">
        <v>3823</v>
      </c>
      <c r="D355" t="s">
        <v>3824</v>
      </c>
      <c r="E355">
        <v>404</v>
      </c>
      <c r="G355" t="s">
        <v>90</v>
      </c>
      <c r="H355" s="119">
        <f t="shared" si="28"/>
        <v>43.290043290043293</v>
      </c>
      <c r="I355" s="117">
        <v>43636</v>
      </c>
      <c r="J355">
        <v>924</v>
      </c>
      <c r="L355">
        <v>924</v>
      </c>
      <c r="M355">
        <v>1955</v>
      </c>
      <c r="P355" t="s">
        <v>3746</v>
      </c>
      <c r="R355" t="s">
        <v>1258</v>
      </c>
      <c r="S355">
        <v>12197</v>
      </c>
      <c r="T355" s="118">
        <f t="shared" si="25"/>
        <v>13.20021645021645</v>
      </c>
      <c r="U355" t="s">
        <v>1258</v>
      </c>
      <c r="Y355">
        <v>40000</v>
      </c>
      <c r="AA355">
        <v>40000</v>
      </c>
      <c r="AC355" t="s">
        <v>3825</v>
      </c>
      <c r="AD355" t="s">
        <v>3826</v>
      </c>
      <c r="AE355" s="243" t="s">
        <v>3827</v>
      </c>
      <c r="AF355" s="243" t="s">
        <v>3828</v>
      </c>
      <c r="AI355" s="59" t="e">
        <f t="shared" si="26"/>
        <v>#N/A</v>
      </c>
      <c r="AJ355" s="93" t="e">
        <f t="shared" si="27"/>
        <v>#N/A</v>
      </c>
      <c r="AK355" s="93"/>
      <c r="AL355" s="93"/>
      <c r="AM355" s="93"/>
      <c r="AN355" s="93"/>
    </row>
    <row r="356" spans="1:40" ht="15" customHeight="1">
      <c r="A356" s="122">
        <v>8</v>
      </c>
      <c r="B356" s="59">
        <v>349</v>
      </c>
      <c r="C356" t="s">
        <v>3829</v>
      </c>
      <c r="D356" t="s">
        <v>3830</v>
      </c>
      <c r="E356">
        <v>407</v>
      </c>
      <c r="F356" t="s">
        <v>2141</v>
      </c>
      <c r="G356" t="s">
        <v>1910</v>
      </c>
      <c r="H356" s="119">
        <f t="shared" si="28"/>
        <v>119.11020569100349</v>
      </c>
      <c r="I356" s="117">
        <v>44232</v>
      </c>
      <c r="J356">
        <v>30434</v>
      </c>
      <c r="L356">
        <v>30434</v>
      </c>
      <c r="M356">
        <v>1951</v>
      </c>
      <c r="P356" t="s">
        <v>2402</v>
      </c>
      <c r="R356" t="s">
        <v>44</v>
      </c>
      <c r="S356">
        <v>161608</v>
      </c>
      <c r="T356" s="118">
        <f t="shared" si="25"/>
        <v>5.3101136886377081</v>
      </c>
      <c r="U356" t="s">
        <v>44</v>
      </c>
      <c r="Y356">
        <v>3625000</v>
      </c>
      <c r="AA356">
        <v>3625000</v>
      </c>
      <c r="AC356" t="s">
        <v>3831</v>
      </c>
      <c r="AD356" t="s">
        <v>3832</v>
      </c>
      <c r="AE356" s="243" t="s">
        <v>3833</v>
      </c>
      <c r="AF356" s="243" t="s">
        <v>2620</v>
      </c>
      <c r="AI356" s="59" t="e">
        <f t="shared" si="26"/>
        <v>#N/A</v>
      </c>
      <c r="AJ356" s="93" t="e">
        <f t="shared" si="27"/>
        <v>#N/A</v>
      </c>
      <c r="AK356" s="93"/>
      <c r="AL356" s="93"/>
      <c r="AM356" s="93"/>
      <c r="AN356" s="93"/>
    </row>
    <row r="357" spans="1:40" ht="15" customHeight="1">
      <c r="A357" s="122">
        <v>8</v>
      </c>
      <c r="B357" s="59">
        <v>350</v>
      </c>
      <c r="C357" t="s">
        <v>3834</v>
      </c>
      <c r="D357" t="s">
        <v>3835</v>
      </c>
      <c r="E357">
        <v>325</v>
      </c>
      <c r="F357" t="s">
        <v>2141</v>
      </c>
      <c r="G357" t="s">
        <v>1910</v>
      </c>
      <c r="H357" s="119">
        <f t="shared" si="28"/>
        <v>212.12863206007182</v>
      </c>
      <c r="I357" s="117">
        <v>44376</v>
      </c>
      <c r="J357">
        <v>3063</v>
      </c>
      <c r="L357">
        <v>3063</v>
      </c>
      <c r="M357">
        <v>1951</v>
      </c>
      <c r="P357" t="s">
        <v>2243</v>
      </c>
      <c r="R357" t="s">
        <v>44</v>
      </c>
      <c r="S357">
        <v>21971</v>
      </c>
      <c r="T357" s="118">
        <f t="shared" ref="T357:T420" si="29">S357/J357</f>
        <v>7.1730329742082928</v>
      </c>
      <c r="U357" t="s">
        <v>44</v>
      </c>
      <c r="Y357">
        <v>649750</v>
      </c>
      <c r="AA357">
        <v>649750</v>
      </c>
      <c r="AC357" t="s">
        <v>3836</v>
      </c>
      <c r="AD357" t="s">
        <v>3837</v>
      </c>
      <c r="AE357" s="243" t="s">
        <v>3838</v>
      </c>
      <c r="AF357" s="243" t="s">
        <v>3839</v>
      </c>
      <c r="AI357" s="59" t="e">
        <f t="shared" si="26"/>
        <v>#N/A</v>
      </c>
      <c r="AJ357" s="93" t="e">
        <f t="shared" si="27"/>
        <v>#N/A</v>
      </c>
      <c r="AK357" s="93"/>
      <c r="AL357" s="93"/>
      <c r="AM357" s="93"/>
      <c r="AN357" s="93"/>
    </row>
    <row r="358" spans="1:40" ht="15" customHeight="1">
      <c r="A358" s="122">
        <v>8</v>
      </c>
      <c r="B358" s="59">
        <v>351</v>
      </c>
      <c r="C358" t="s">
        <v>3840</v>
      </c>
      <c r="D358" t="s">
        <v>3841</v>
      </c>
      <c r="E358">
        <v>406</v>
      </c>
      <c r="F358" t="s">
        <v>2141</v>
      </c>
      <c r="G358" t="s">
        <v>1910</v>
      </c>
      <c r="H358" s="119">
        <f t="shared" si="28"/>
        <v>480.76923076923077</v>
      </c>
      <c r="I358" s="117">
        <v>44284</v>
      </c>
      <c r="J358">
        <v>3328</v>
      </c>
      <c r="L358">
        <v>3328</v>
      </c>
      <c r="M358">
        <v>1965</v>
      </c>
      <c r="P358" t="s">
        <v>2402</v>
      </c>
      <c r="R358" t="s">
        <v>44</v>
      </c>
      <c r="S358">
        <v>105415.2</v>
      </c>
      <c r="T358" s="118">
        <f t="shared" si="29"/>
        <v>31.675240384615385</v>
      </c>
      <c r="U358" t="s">
        <v>44</v>
      </c>
      <c r="Y358">
        <v>1600000</v>
      </c>
      <c r="AA358">
        <v>1600000</v>
      </c>
      <c r="AC358" t="s">
        <v>3842</v>
      </c>
      <c r="AD358" t="s">
        <v>3843</v>
      </c>
      <c r="AE358" s="243" t="s">
        <v>3844</v>
      </c>
      <c r="AF358" s="243" t="s">
        <v>3845</v>
      </c>
      <c r="AI358" s="59" t="e">
        <f t="shared" si="26"/>
        <v>#N/A</v>
      </c>
      <c r="AJ358" s="93" t="e">
        <f t="shared" si="27"/>
        <v>#N/A</v>
      </c>
      <c r="AK358" s="93"/>
      <c r="AL358" s="93"/>
      <c r="AM358" s="93"/>
      <c r="AN358" s="93"/>
    </row>
    <row r="359" spans="1:40" ht="15" customHeight="1">
      <c r="A359" s="122">
        <v>8</v>
      </c>
      <c r="B359" s="59">
        <v>352</v>
      </c>
      <c r="C359" t="s">
        <v>3846</v>
      </c>
      <c r="D359" t="s">
        <v>3847</v>
      </c>
      <c r="E359">
        <v>344</v>
      </c>
      <c r="G359" t="s">
        <v>1910</v>
      </c>
      <c r="H359" s="119">
        <f t="shared" si="28"/>
        <v>2948.7179487179487</v>
      </c>
      <c r="I359" s="117">
        <v>44127</v>
      </c>
      <c r="J359">
        <v>780</v>
      </c>
      <c r="L359">
        <v>780</v>
      </c>
      <c r="M359">
        <v>1907</v>
      </c>
      <c r="P359" t="s">
        <v>1911</v>
      </c>
      <c r="R359" t="s">
        <v>302</v>
      </c>
      <c r="S359">
        <v>209423.8</v>
      </c>
      <c r="T359" s="118">
        <f t="shared" si="29"/>
        <v>268.49205128205125</v>
      </c>
      <c r="U359" t="s">
        <v>44</v>
      </c>
      <c r="Y359">
        <v>2300000</v>
      </c>
      <c r="AA359">
        <v>2300000</v>
      </c>
      <c r="AC359" t="s">
        <v>3848</v>
      </c>
      <c r="AD359" t="s">
        <v>3849</v>
      </c>
      <c r="AE359" s="243" t="s">
        <v>3850</v>
      </c>
      <c r="AF359" s="243" t="s">
        <v>3851</v>
      </c>
      <c r="AI359" s="59" t="e">
        <f t="shared" si="26"/>
        <v>#N/A</v>
      </c>
      <c r="AJ359" s="93" t="e">
        <f t="shared" si="27"/>
        <v>#N/A</v>
      </c>
      <c r="AK359" s="93"/>
      <c r="AL359" s="93"/>
      <c r="AM359" s="93"/>
      <c r="AN359" s="93"/>
    </row>
    <row r="360" spans="1:40" ht="15" customHeight="1">
      <c r="A360" s="122">
        <v>8</v>
      </c>
      <c r="B360" s="59">
        <v>353</v>
      </c>
      <c r="C360" t="s">
        <v>3852</v>
      </c>
      <c r="D360" t="s">
        <v>3853</v>
      </c>
      <c r="E360">
        <v>425</v>
      </c>
      <c r="G360" t="s">
        <v>1910</v>
      </c>
      <c r="H360" s="119">
        <f t="shared" si="28"/>
        <v>210</v>
      </c>
      <c r="I360" s="117">
        <v>44631</v>
      </c>
      <c r="J360">
        <v>2500</v>
      </c>
      <c r="L360">
        <v>2500</v>
      </c>
      <c r="M360">
        <v>2001</v>
      </c>
      <c r="P360" t="s">
        <v>2402</v>
      </c>
      <c r="R360" t="s">
        <v>44</v>
      </c>
      <c r="S360">
        <v>14885</v>
      </c>
      <c r="T360" s="118">
        <f t="shared" si="29"/>
        <v>5.9539999999999997</v>
      </c>
      <c r="U360" t="s">
        <v>44</v>
      </c>
      <c r="Y360">
        <v>525000</v>
      </c>
      <c r="AA360">
        <v>525000</v>
      </c>
      <c r="AC360" t="s">
        <v>3854</v>
      </c>
      <c r="AD360" t="s">
        <v>3855</v>
      </c>
      <c r="AE360" s="243" t="s">
        <v>3856</v>
      </c>
      <c r="AF360" s="243" t="s">
        <v>3857</v>
      </c>
      <c r="AI360" s="59" t="e">
        <f t="shared" si="26"/>
        <v>#N/A</v>
      </c>
      <c r="AJ360" s="93" t="e">
        <f t="shared" si="27"/>
        <v>#N/A</v>
      </c>
      <c r="AK360" s="93"/>
      <c r="AL360" s="93"/>
      <c r="AM360" s="93"/>
      <c r="AN360" s="93"/>
    </row>
    <row r="361" spans="1:40" ht="15" customHeight="1">
      <c r="A361" s="122">
        <v>8</v>
      </c>
      <c r="B361" s="59">
        <v>354</v>
      </c>
      <c r="C361" t="s">
        <v>3858</v>
      </c>
      <c r="D361" t="s">
        <v>3859</v>
      </c>
      <c r="E361">
        <v>325</v>
      </c>
      <c r="G361" t="s">
        <v>1910</v>
      </c>
      <c r="H361" s="119">
        <f t="shared" si="28"/>
        <v>171.92592592592592</v>
      </c>
      <c r="I361" s="117">
        <v>43889</v>
      </c>
      <c r="J361">
        <v>27000</v>
      </c>
      <c r="L361">
        <v>27000</v>
      </c>
      <c r="M361">
        <v>2003</v>
      </c>
      <c r="P361" t="s">
        <v>1911</v>
      </c>
      <c r="R361" t="s">
        <v>44</v>
      </c>
      <c r="S361">
        <v>182516.4</v>
      </c>
      <c r="T361" s="118">
        <f t="shared" si="29"/>
        <v>6.7598666666666665</v>
      </c>
      <c r="U361" t="s">
        <v>44</v>
      </c>
      <c r="Y361">
        <v>4642000</v>
      </c>
      <c r="AA361">
        <v>4642000</v>
      </c>
      <c r="AC361" t="s">
        <v>3860</v>
      </c>
      <c r="AD361" t="s">
        <v>3861</v>
      </c>
      <c r="AE361" s="243" t="s">
        <v>3862</v>
      </c>
      <c r="AF361" s="243" t="s">
        <v>3863</v>
      </c>
      <c r="AI361" s="59" t="e">
        <f t="shared" si="26"/>
        <v>#N/A</v>
      </c>
      <c r="AJ361" s="93" t="e">
        <f t="shared" si="27"/>
        <v>#N/A</v>
      </c>
      <c r="AK361" s="93"/>
      <c r="AL361" s="93"/>
      <c r="AM361" s="93"/>
      <c r="AN361" s="93"/>
    </row>
    <row r="362" spans="1:40" ht="15" customHeight="1">
      <c r="A362" s="122">
        <v>8</v>
      </c>
      <c r="B362" s="59">
        <v>355</v>
      </c>
      <c r="C362" t="s">
        <v>3864</v>
      </c>
      <c r="D362" t="s">
        <v>3865</v>
      </c>
      <c r="E362">
        <v>344</v>
      </c>
      <c r="G362" t="s">
        <v>1910</v>
      </c>
      <c r="H362" s="119">
        <f t="shared" si="28"/>
        <v>144.35695538057743</v>
      </c>
      <c r="I362" s="117">
        <v>44363</v>
      </c>
      <c r="J362">
        <v>19050</v>
      </c>
      <c r="L362">
        <v>19050</v>
      </c>
      <c r="M362">
        <v>2001</v>
      </c>
      <c r="P362" t="s">
        <v>1969</v>
      </c>
      <c r="R362" t="s">
        <v>302</v>
      </c>
      <c r="S362">
        <v>43995.6</v>
      </c>
      <c r="T362" s="118">
        <f t="shared" si="29"/>
        <v>2.3094803149606298</v>
      </c>
      <c r="U362" t="s">
        <v>229</v>
      </c>
      <c r="Y362">
        <v>2750000</v>
      </c>
      <c r="AA362">
        <v>2750000</v>
      </c>
      <c r="AC362" t="s">
        <v>3866</v>
      </c>
      <c r="AD362" t="s">
        <v>3867</v>
      </c>
      <c r="AE362" s="243" t="s">
        <v>3868</v>
      </c>
      <c r="AF362" s="243" t="s">
        <v>3869</v>
      </c>
      <c r="AI362" s="59" t="e">
        <f t="shared" si="26"/>
        <v>#N/A</v>
      </c>
      <c r="AJ362" s="93" t="e">
        <f t="shared" si="27"/>
        <v>#N/A</v>
      </c>
      <c r="AK362" s="93"/>
      <c r="AL362" s="93"/>
      <c r="AM362" s="93"/>
      <c r="AN362" s="93"/>
    </row>
    <row r="363" spans="1:40" ht="15" customHeight="1">
      <c r="A363" s="122">
        <v>8</v>
      </c>
      <c r="B363" s="59">
        <v>356</v>
      </c>
      <c r="C363" t="s">
        <v>3870</v>
      </c>
      <c r="D363" t="s">
        <v>3871</v>
      </c>
      <c r="E363">
        <v>325</v>
      </c>
      <c r="G363" t="s">
        <v>1910</v>
      </c>
      <c r="H363" s="119">
        <f t="shared" si="28"/>
        <v>57.636887608069166</v>
      </c>
      <c r="I363" s="117">
        <v>43553</v>
      </c>
      <c r="J363">
        <v>17350</v>
      </c>
      <c r="L363">
        <v>17350</v>
      </c>
      <c r="M363">
        <v>1964</v>
      </c>
      <c r="P363" t="s">
        <v>1925</v>
      </c>
      <c r="R363" t="s">
        <v>44</v>
      </c>
      <c r="S363">
        <v>54000</v>
      </c>
      <c r="T363" s="118">
        <f t="shared" si="29"/>
        <v>3.1123919308357348</v>
      </c>
      <c r="U363" t="s">
        <v>44</v>
      </c>
      <c r="Y363">
        <v>1000000</v>
      </c>
      <c r="AA363">
        <v>1000000</v>
      </c>
      <c r="AC363" t="s">
        <v>3872</v>
      </c>
      <c r="AD363" t="s">
        <v>3873</v>
      </c>
      <c r="AE363" s="243" t="s">
        <v>3874</v>
      </c>
      <c r="AF363" s="243" t="s">
        <v>3875</v>
      </c>
      <c r="AI363" s="59" t="e">
        <f t="shared" si="26"/>
        <v>#N/A</v>
      </c>
      <c r="AJ363" s="93" t="e">
        <f t="shared" si="27"/>
        <v>#N/A</v>
      </c>
      <c r="AK363" s="93"/>
      <c r="AL363" s="93"/>
      <c r="AM363" s="93"/>
      <c r="AN363" s="93"/>
    </row>
    <row r="364" spans="1:40" ht="15" customHeight="1">
      <c r="A364" s="122">
        <v>8</v>
      </c>
      <c r="B364" s="59">
        <v>357</v>
      </c>
      <c r="C364" t="s">
        <v>3870</v>
      </c>
      <c r="D364" t="s">
        <v>3871</v>
      </c>
      <c r="E364">
        <v>325</v>
      </c>
      <c r="G364" t="s">
        <v>1910</v>
      </c>
      <c r="H364" s="119">
        <f t="shared" si="28"/>
        <v>121.03746397694525</v>
      </c>
      <c r="I364" s="117">
        <v>44655</v>
      </c>
      <c r="J364">
        <v>17350</v>
      </c>
      <c r="L364">
        <v>17350</v>
      </c>
      <c r="M364">
        <v>1964</v>
      </c>
      <c r="P364" t="s">
        <v>1925</v>
      </c>
      <c r="R364" t="s">
        <v>44</v>
      </c>
      <c r="S364">
        <v>54000</v>
      </c>
      <c r="T364" s="118">
        <f t="shared" si="29"/>
        <v>3.1123919308357348</v>
      </c>
      <c r="U364" t="s">
        <v>44</v>
      </c>
      <c r="Y364">
        <v>2100000</v>
      </c>
      <c r="AA364">
        <v>2100000</v>
      </c>
      <c r="AC364" t="s">
        <v>3872</v>
      </c>
      <c r="AD364" t="s">
        <v>3876</v>
      </c>
      <c r="AE364" s="243" t="s">
        <v>3875</v>
      </c>
      <c r="AF364" s="243" t="s">
        <v>3877</v>
      </c>
      <c r="AI364" s="59" t="e">
        <f t="shared" si="26"/>
        <v>#N/A</v>
      </c>
      <c r="AJ364" s="93" t="e">
        <f t="shared" si="27"/>
        <v>#N/A</v>
      </c>
      <c r="AK364" s="93"/>
      <c r="AL364" s="93"/>
      <c r="AM364" s="93"/>
      <c r="AN364" s="93"/>
    </row>
    <row r="365" spans="1:40" ht="15" customHeight="1">
      <c r="A365" s="122">
        <v>8</v>
      </c>
      <c r="B365" s="59">
        <v>358</v>
      </c>
      <c r="C365" t="s">
        <v>3878</v>
      </c>
      <c r="D365" t="s">
        <v>3879</v>
      </c>
      <c r="E365">
        <v>407</v>
      </c>
      <c r="G365" t="s">
        <v>1910</v>
      </c>
      <c r="H365" s="119">
        <f t="shared" si="28"/>
        <v>147.65596160944997</v>
      </c>
      <c r="I365" s="117">
        <v>43236</v>
      </c>
      <c r="J365">
        <v>16254</v>
      </c>
      <c r="L365">
        <v>16254</v>
      </c>
      <c r="M365">
        <v>1974</v>
      </c>
      <c r="P365" t="s">
        <v>1911</v>
      </c>
      <c r="R365" t="s">
        <v>44</v>
      </c>
      <c r="S365">
        <v>120528</v>
      </c>
      <c r="T365" s="118">
        <f t="shared" si="29"/>
        <v>7.4152823920265778</v>
      </c>
      <c r="U365" t="s">
        <v>44</v>
      </c>
      <c r="Y365">
        <v>2400000</v>
      </c>
      <c r="AA365">
        <v>2400000</v>
      </c>
      <c r="AC365" t="s">
        <v>3880</v>
      </c>
      <c r="AD365" t="s">
        <v>3881</v>
      </c>
      <c r="AE365" s="243" t="s">
        <v>3882</v>
      </c>
      <c r="AF365" s="243" t="s">
        <v>3883</v>
      </c>
      <c r="AI365" s="59" t="e">
        <f t="shared" si="26"/>
        <v>#N/A</v>
      </c>
      <c r="AJ365" s="93" t="e">
        <f t="shared" si="27"/>
        <v>#N/A</v>
      </c>
      <c r="AK365" s="93"/>
      <c r="AL365" s="93"/>
      <c r="AM365" s="93"/>
      <c r="AN365" s="93"/>
    </row>
    <row r="366" spans="1:40" ht="15" customHeight="1">
      <c r="A366" s="122">
        <v>8</v>
      </c>
      <c r="B366" s="59">
        <v>359</v>
      </c>
      <c r="C366" t="s">
        <v>3884</v>
      </c>
      <c r="D366" t="s">
        <v>3885</v>
      </c>
      <c r="E366">
        <v>344</v>
      </c>
      <c r="F366" t="s">
        <v>2141</v>
      </c>
      <c r="G366" t="s">
        <v>1910</v>
      </c>
      <c r="H366" s="119">
        <f t="shared" si="28"/>
        <v>160.4779661016949</v>
      </c>
      <c r="I366" s="117">
        <v>44603</v>
      </c>
      <c r="J366">
        <v>5900</v>
      </c>
      <c r="L366">
        <v>5900</v>
      </c>
      <c r="M366">
        <v>1971</v>
      </c>
      <c r="P366" t="s">
        <v>2230</v>
      </c>
      <c r="R366" t="s">
        <v>1258</v>
      </c>
      <c r="S366">
        <v>41382</v>
      </c>
      <c r="T366" s="118">
        <f t="shared" si="29"/>
        <v>7.0138983050847461</v>
      </c>
      <c r="U366" t="s">
        <v>44</v>
      </c>
      <c r="Y366">
        <v>946820</v>
      </c>
      <c r="AA366">
        <v>946820</v>
      </c>
      <c r="AC366" t="s">
        <v>3886</v>
      </c>
      <c r="AD366" t="s">
        <v>3887</v>
      </c>
      <c r="AE366" s="243" t="s">
        <v>3888</v>
      </c>
      <c r="AF366" s="243" t="s">
        <v>3889</v>
      </c>
      <c r="AI366" s="59" t="e">
        <f t="shared" si="26"/>
        <v>#N/A</v>
      </c>
      <c r="AJ366" s="93" t="e">
        <f t="shared" si="27"/>
        <v>#N/A</v>
      </c>
      <c r="AK366" s="93"/>
      <c r="AL366" s="93"/>
      <c r="AM366" s="93"/>
      <c r="AN366" s="93"/>
    </row>
    <row r="367" spans="1:40" ht="15" customHeight="1">
      <c r="A367" s="122">
        <v>8</v>
      </c>
      <c r="B367" s="59">
        <v>360</v>
      </c>
      <c r="C367" t="s">
        <v>3890</v>
      </c>
      <c r="D367" t="s">
        <v>3891</v>
      </c>
      <c r="E367">
        <v>406</v>
      </c>
      <c r="G367" t="s">
        <v>89</v>
      </c>
      <c r="H367" s="119">
        <f t="shared" si="28"/>
        <v>95.588235294117652</v>
      </c>
      <c r="I367" s="117">
        <v>43238</v>
      </c>
      <c r="J367">
        <v>20400</v>
      </c>
      <c r="L367">
        <v>20400</v>
      </c>
      <c r="M367">
        <v>1960</v>
      </c>
      <c r="P367" t="s">
        <v>1911</v>
      </c>
      <c r="R367" t="s">
        <v>44</v>
      </c>
      <c r="S367">
        <v>345967</v>
      </c>
      <c r="T367" s="118">
        <f t="shared" si="29"/>
        <v>16.959166666666668</v>
      </c>
      <c r="U367" t="s">
        <v>44</v>
      </c>
      <c r="Y367">
        <v>1950000</v>
      </c>
      <c r="AA367">
        <v>1950000</v>
      </c>
      <c r="AC367" t="s">
        <v>3892</v>
      </c>
      <c r="AD367" t="s">
        <v>3893</v>
      </c>
      <c r="AE367" s="243" t="s">
        <v>3894</v>
      </c>
      <c r="AF367" s="243" t="s">
        <v>3895</v>
      </c>
      <c r="AI367" s="59" t="e">
        <f t="shared" si="26"/>
        <v>#N/A</v>
      </c>
      <c r="AJ367" s="93" t="e">
        <f t="shared" si="27"/>
        <v>#N/A</v>
      </c>
      <c r="AK367" s="93"/>
      <c r="AL367" s="93"/>
      <c r="AM367" s="93"/>
      <c r="AN367" s="93"/>
    </row>
    <row r="368" spans="1:40" ht="15" customHeight="1">
      <c r="A368" s="122">
        <v>8</v>
      </c>
      <c r="B368" s="59">
        <v>361</v>
      </c>
      <c r="C368" t="s">
        <v>3890</v>
      </c>
      <c r="D368" t="s">
        <v>3891</v>
      </c>
      <c r="E368">
        <v>406</v>
      </c>
      <c r="G368" t="s">
        <v>89</v>
      </c>
      <c r="H368" s="119">
        <f t="shared" si="28"/>
        <v>242.64705882352942</v>
      </c>
      <c r="I368" s="117">
        <v>44671</v>
      </c>
      <c r="J368">
        <v>20400</v>
      </c>
      <c r="L368">
        <v>20400</v>
      </c>
      <c r="M368">
        <v>1960</v>
      </c>
      <c r="P368" t="s">
        <v>1911</v>
      </c>
      <c r="R368" t="s">
        <v>1258</v>
      </c>
      <c r="S368">
        <v>345967</v>
      </c>
      <c r="T368" s="118">
        <f t="shared" si="29"/>
        <v>16.959166666666668</v>
      </c>
      <c r="U368" t="s">
        <v>44</v>
      </c>
      <c r="Y368">
        <v>4950000</v>
      </c>
      <c r="AA368">
        <v>4950000</v>
      </c>
      <c r="AC368" t="s">
        <v>3892</v>
      </c>
      <c r="AD368" t="s">
        <v>3896</v>
      </c>
      <c r="AE368" s="243" t="s">
        <v>3895</v>
      </c>
      <c r="AF368" s="243" t="s">
        <v>3897</v>
      </c>
      <c r="AI368" s="59" t="e">
        <f t="shared" si="26"/>
        <v>#N/A</v>
      </c>
      <c r="AJ368" s="93" t="e">
        <f t="shared" si="27"/>
        <v>#N/A</v>
      </c>
      <c r="AK368" s="93"/>
      <c r="AL368" s="93"/>
      <c r="AM368" s="93"/>
      <c r="AN368" s="93"/>
    </row>
    <row r="369" spans="1:40" ht="15" customHeight="1">
      <c r="A369" s="122">
        <v>8</v>
      </c>
      <c r="B369" s="59">
        <v>362</v>
      </c>
      <c r="C369" t="s">
        <v>3898</v>
      </c>
      <c r="D369" t="s">
        <v>3899</v>
      </c>
      <c r="E369">
        <v>325</v>
      </c>
      <c r="G369" t="s">
        <v>1910</v>
      </c>
      <c r="H369" s="119">
        <f t="shared" si="28"/>
        <v>337.78342869251958</v>
      </c>
      <c r="I369" s="117">
        <v>44130</v>
      </c>
      <c r="J369">
        <v>4719</v>
      </c>
      <c r="L369">
        <v>4719</v>
      </c>
      <c r="M369">
        <v>2001</v>
      </c>
      <c r="P369" t="s">
        <v>3571</v>
      </c>
      <c r="R369" t="s">
        <v>44</v>
      </c>
      <c r="S369">
        <v>17981</v>
      </c>
      <c r="T369" s="118">
        <f t="shared" si="29"/>
        <v>3.8103411739775375</v>
      </c>
      <c r="U369" t="s">
        <v>44</v>
      </c>
      <c r="Y369">
        <v>1594000</v>
      </c>
      <c r="AA369">
        <v>1594000</v>
      </c>
      <c r="AC369" t="s">
        <v>3900</v>
      </c>
      <c r="AD369" t="s">
        <v>3901</v>
      </c>
      <c r="AE369" s="243" t="s">
        <v>3902</v>
      </c>
      <c r="AF369" s="243" t="s">
        <v>3903</v>
      </c>
      <c r="AI369" s="59" t="e">
        <f t="shared" si="26"/>
        <v>#N/A</v>
      </c>
      <c r="AJ369" s="93" t="e">
        <f t="shared" si="27"/>
        <v>#N/A</v>
      </c>
      <c r="AK369" s="93"/>
      <c r="AL369" s="93"/>
      <c r="AM369" s="93"/>
      <c r="AN369" s="93"/>
    </row>
    <row r="370" spans="1:40" ht="15" customHeight="1">
      <c r="A370" s="122">
        <v>8</v>
      </c>
      <c r="B370" s="59">
        <v>363</v>
      </c>
      <c r="C370" t="s">
        <v>3904</v>
      </c>
      <c r="D370" t="s">
        <v>3905</v>
      </c>
      <c r="E370">
        <v>436</v>
      </c>
      <c r="F370" t="s">
        <v>1800</v>
      </c>
      <c r="G370" t="s">
        <v>1786</v>
      </c>
      <c r="H370" s="119">
        <f t="shared" si="28"/>
        <v>115.22861356932154</v>
      </c>
      <c r="I370" s="117">
        <v>43761</v>
      </c>
      <c r="J370">
        <v>5424</v>
      </c>
      <c r="L370">
        <v>5424</v>
      </c>
      <c r="M370">
        <v>1988</v>
      </c>
      <c r="P370" t="s">
        <v>2211</v>
      </c>
      <c r="R370" t="s">
        <v>44</v>
      </c>
      <c r="S370">
        <v>25264</v>
      </c>
      <c r="T370" s="118">
        <f t="shared" si="29"/>
        <v>4.6578171091445428</v>
      </c>
      <c r="U370" t="s">
        <v>44</v>
      </c>
      <c r="Y370">
        <v>625000</v>
      </c>
      <c r="AA370">
        <v>625000</v>
      </c>
      <c r="AC370" t="s">
        <v>3906</v>
      </c>
      <c r="AD370" t="s">
        <v>3907</v>
      </c>
      <c r="AE370" s="243" t="s">
        <v>3908</v>
      </c>
      <c r="AF370" s="243" t="s">
        <v>3909</v>
      </c>
      <c r="AI370" s="59" t="e">
        <f t="shared" si="26"/>
        <v>#N/A</v>
      </c>
      <c r="AJ370" s="93" t="e">
        <f t="shared" si="27"/>
        <v>#N/A</v>
      </c>
      <c r="AK370" s="93"/>
      <c r="AL370" s="93"/>
      <c r="AM370" s="93"/>
      <c r="AN370" s="93"/>
    </row>
    <row r="371" spans="1:40" ht="15" customHeight="1">
      <c r="A371" s="122">
        <v>8</v>
      </c>
      <c r="B371" s="59">
        <v>364</v>
      </c>
      <c r="C371" t="s">
        <v>3910</v>
      </c>
      <c r="D371" t="s">
        <v>3911</v>
      </c>
      <c r="E371">
        <v>343</v>
      </c>
      <c r="F371" t="s">
        <v>1896</v>
      </c>
      <c r="G371" t="s">
        <v>1786</v>
      </c>
      <c r="H371" s="119">
        <f t="shared" si="28"/>
        <v>228.09086395233368</v>
      </c>
      <c r="I371" s="117">
        <v>44096</v>
      </c>
      <c r="J371">
        <v>32224</v>
      </c>
      <c r="L371">
        <v>32224</v>
      </c>
      <c r="M371">
        <v>1983</v>
      </c>
      <c r="P371" t="s">
        <v>2197</v>
      </c>
      <c r="R371" t="s">
        <v>44</v>
      </c>
      <c r="S371">
        <v>104108</v>
      </c>
      <c r="T371" s="118">
        <f t="shared" si="29"/>
        <v>3.2307596822244289</v>
      </c>
      <c r="U371" t="s">
        <v>44</v>
      </c>
      <c r="Y371">
        <v>7350000</v>
      </c>
      <c r="AA371">
        <v>7350000</v>
      </c>
      <c r="AC371" t="s">
        <v>3912</v>
      </c>
      <c r="AD371" t="s">
        <v>3913</v>
      </c>
      <c r="AE371" s="243" t="s">
        <v>3914</v>
      </c>
      <c r="AF371" s="243" t="s">
        <v>3915</v>
      </c>
      <c r="AI371" s="59" t="e">
        <f t="shared" si="26"/>
        <v>#N/A</v>
      </c>
      <c r="AJ371" s="93" t="e">
        <f t="shared" si="27"/>
        <v>#N/A</v>
      </c>
      <c r="AK371" s="93"/>
      <c r="AL371" s="93"/>
      <c r="AM371" s="93"/>
      <c r="AN371" s="93"/>
    </row>
    <row r="372" spans="1:40" ht="15" customHeight="1">
      <c r="A372" s="122">
        <v>8</v>
      </c>
      <c r="B372" s="59">
        <v>365</v>
      </c>
      <c r="C372" t="s">
        <v>3916</v>
      </c>
      <c r="D372" t="s">
        <v>3917</v>
      </c>
      <c r="E372">
        <v>386</v>
      </c>
      <c r="F372" t="s">
        <v>1785</v>
      </c>
      <c r="G372" t="s">
        <v>1786</v>
      </c>
      <c r="H372" s="119">
        <f t="shared" si="28"/>
        <v>173.28292375551354</v>
      </c>
      <c r="I372" s="117">
        <v>44453</v>
      </c>
      <c r="J372">
        <v>44436</v>
      </c>
      <c r="L372">
        <v>44436</v>
      </c>
      <c r="M372">
        <v>1980</v>
      </c>
      <c r="P372" t="s">
        <v>2204</v>
      </c>
      <c r="R372" t="s">
        <v>44</v>
      </c>
      <c r="S372">
        <v>131672</v>
      </c>
      <c r="T372" s="118">
        <f t="shared" si="29"/>
        <v>2.9631830047709067</v>
      </c>
      <c r="U372" t="s">
        <v>44</v>
      </c>
      <c r="Y372">
        <v>7700000</v>
      </c>
      <c r="AA372">
        <v>7700000</v>
      </c>
      <c r="AC372" t="s">
        <v>3918</v>
      </c>
      <c r="AD372" t="s">
        <v>3919</v>
      </c>
      <c r="AE372" s="243" t="s">
        <v>3920</v>
      </c>
      <c r="AF372" s="243" t="s">
        <v>3921</v>
      </c>
      <c r="AI372" s="59" t="e">
        <f t="shared" si="26"/>
        <v>#N/A</v>
      </c>
      <c r="AJ372" s="93" t="e">
        <f t="shared" si="27"/>
        <v>#N/A</v>
      </c>
      <c r="AK372" s="93"/>
      <c r="AL372" s="93"/>
      <c r="AM372" s="93"/>
      <c r="AN372" s="93"/>
    </row>
    <row r="373" spans="1:40" ht="15" customHeight="1">
      <c r="A373" s="122">
        <v>8</v>
      </c>
      <c r="B373" s="59">
        <v>366</v>
      </c>
      <c r="C373" t="s">
        <v>3922</v>
      </c>
      <c r="D373" t="s">
        <v>3923</v>
      </c>
      <c r="E373">
        <v>341</v>
      </c>
      <c r="F373" t="s">
        <v>1785</v>
      </c>
      <c r="G373" t="s">
        <v>1786</v>
      </c>
      <c r="H373" s="119">
        <f t="shared" si="28"/>
        <v>162.33766233766235</v>
      </c>
      <c r="I373" s="117">
        <v>43490</v>
      </c>
      <c r="J373">
        <v>1848</v>
      </c>
      <c r="L373">
        <v>1848</v>
      </c>
      <c r="M373">
        <v>1984</v>
      </c>
      <c r="P373" t="s">
        <v>3547</v>
      </c>
      <c r="R373" t="s">
        <v>44</v>
      </c>
      <c r="S373">
        <v>1108</v>
      </c>
      <c r="T373" s="118">
        <f t="shared" si="29"/>
        <v>0.59956709956709953</v>
      </c>
      <c r="U373" t="s">
        <v>44</v>
      </c>
      <c r="Y373">
        <v>300000</v>
      </c>
      <c r="AA373">
        <v>300000</v>
      </c>
      <c r="AC373" t="s">
        <v>3924</v>
      </c>
      <c r="AD373" t="s">
        <v>3925</v>
      </c>
      <c r="AE373" s="243" t="s">
        <v>3926</v>
      </c>
      <c r="AF373" s="243" t="s">
        <v>3927</v>
      </c>
      <c r="AI373" s="59" t="e">
        <f t="shared" si="26"/>
        <v>#N/A</v>
      </c>
      <c r="AJ373" s="93" t="e">
        <f t="shared" si="27"/>
        <v>#N/A</v>
      </c>
      <c r="AK373" s="93"/>
      <c r="AL373" s="93"/>
      <c r="AM373" s="93"/>
      <c r="AN373" s="93"/>
    </row>
    <row r="374" spans="1:40" ht="15" customHeight="1">
      <c r="A374" s="122">
        <v>8</v>
      </c>
      <c r="B374" s="59">
        <v>367</v>
      </c>
      <c r="C374" t="s">
        <v>3928</v>
      </c>
      <c r="D374" t="s">
        <v>3929</v>
      </c>
      <c r="E374">
        <v>325</v>
      </c>
      <c r="G374" t="s">
        <v>90</v>
      </c>
      <c r="H374" s="119">
        <f t="shared" si="28"/>
        <v>72.463768115942031</v>
      </c>
      <c r="I374" s="117">
        <v>43138</v>
      </c>
      <c r="J374">
        <v>2208</v>
      </c>
      <c r="L374">
        <v>2208</v>
      </c>
      <c r="M374">
        <v>1914</v>
      </c>
      <c r="P374" t="s">
        <v>1925</v>
      </c>
      <c r="R374" t="s">
        <v>44</v>
      </c>
      <c r="S374">
        <v>21780</v>
      </c>
      <c r="T374" s="118">
        <f t="shared" si="29"/>
        <v>9.8641304347826093</v>
      </c>
      <c r="U374" t="s">
        <v>44</v>
      </c>
      <c r="Y374">
        <v>160000</v>
      </c>
      <c r="AA374">
        <v>160000</v>
      </c>
      <c r="AC374" t="s">
        <v>3930</v>
      </c>
      <c r="AD374" t="s">
        <v>3931</v>
      </c>
      <c r="AE374" s="243" t="s">
        <v>3932</v>
      </c>
      <c r="AF374" s="243" t="s">
        <v>3933</v>
      </c>
      <c r="AI374" s="59" t="e">
        <f t="shared" si="26"/>
        <v>#N/A</v>
      </c>
      <c r="AJ374" s="93" t="e">
        <f t="shared" si="27"/>
        <v>#N/A</v>
      </c>
      <c r="AK374" s="93"/>
      <c r="AL374" s="93"/>
      <c r="AM374" s="93"/>
      <c r="AN374" s="93"/>
    </row>
    <row r="375" spans="1:40" ht="15" customHeight="1">
      <c r="A375" s="122">
        <v>8</v>
      </c>
      <c r="B375" s="59">
        <v>368</v>
      </c>
      <c r="C375" t="s">
        <v>3934</v>
      </c>
      <c r="D375" t="s">
        <v>3935</v>
      </c>
      <c r="E375">
        <v>353</v>
      </c>
      <c r="G375" t="s">
        <v>90</v>
      </c>
      <c r="H375" s="119">
        <f t="shared" si="28"/>
        <v>161.8229854689564</v>
      </c>
      <c r="I375" s="117">
        <v>44189</v>
      </c>
      <c r="J375">
        <v>3028</v>
      </c>
      <c r="L375">
        <v>3028</v>
      </c>
      <c r="M375">
        <v>1924</v>
      </c>
      <c r="P375" t="s">
        <v>1925</v>
      </c>
      <c r="R375" t="s">
        <v>44</v>
      </c>
      <c r="S375">
        <v>25800</v>
      </c>
      <c r="T375" s="118">
        <f t="shared" si="29"/>
        <v>8.5204755614266841</v>
      </c>
      <c r="U375" t="s">
        <v>44</v>
      </c>
      <c r="Y375">
        <v>490000</v>
      </c>
      <c r="AA375">
        <v>490000</v>
      </c>
      <c r="AC375" t="s">
        <v>3936</v>
      </c>
      <c r="AD375" t="s">
        <v>3937</v>
      </c>
      <c r="AE375" s="243" t="s">
        <v>3938</v>
      </c>
      <c r="AF375" s="243" t="s">
        <v>3939</v>
      </c>
      <c r="AI375" s="59" t="e">
        <f t="shared" si="26"/>
        <v>#N/A</v>
      </c>
      <c r="AJ375" s="93" t="e">
        <f t="shared" si="27"/>
        <v>#N/A</v>
      </c>
      <c r="AK375" s="93"/>
      <c r="AL375" s="93"/>
      <c r="AM375" s="93"/>
      <c r="AN375" s="93"/>
    </row>
    <row r="376" spans="1:40" ht="15" customHeight="1">
      <c r="A376" s="122">
        <v>8</v>
      </c>
      <c r="B376" s="59">
        <v>369</v>
      </c>
      <c r="C376" t="s">
        <v>3940</v>
      </c>
      <c r="D376" t="s">
        <v>3941</v>
      </c>
      <c r="E376">
        <v>434</v>
      </c>
      <c r="G376" t="s">
        <v>1786</v>
      </c>
      <c r="H376" s="119">
        <f t="shared" si="28"/>
        <v>185.18518518518519</v>
      </c>
      <c r="I376" s="117">
        <v>43263</v>
      </c>
      <c r="J376">
        <v>1512</v>
      </c>
      <c r="L376">
        <v>1512</v>
      </c>
      <c r="M376">
        <v>1980</v>
      </c>
      <c r="P376" t="s">
        <v>1925</v>
      </c>
      <c r="R376" t="s">
        <v>44</v>
      </c>
      <c r="S376">
        <v>16198</v>
      </c>
      <c r="T376" s="118">
        <f t="shared" si="29"/>
        <v>10.712962962962964</v>
      </c>
      <c r="U376" t="s">
        <v>44</v>
      </c>
      <c r="Y376">
        <v>280000</v>
      </c>
      <c r="AA376">
        <v>280000</v>
      </c>
      <c r="AC376" t="s">
        <v>3942</v>
      </c>
      <c r="AD376" t="s">
        <v>3943</v>
      </c>
      <c r="AE376" s="243" t="s">
        <v>3944</v>
      </c>
      <c r="AF376" s="243" t="s">
        <v>3945</v>
      </c>
      <c r="AI376" s="59" t="e">
        <f t="shared" si="26"/>
        <v>#N/A</v>
      </c>
      <c r="AJ376" s="93" t="e">
        <f t="shared" si="27"/>
        <v>#N/A</v>
      </c>
      <c r="AK376" s="93"/>
      <c r="AL376" s="93"/>
      <c r="AM376" s="93"/>
      <c r="AN376" s="93"/>
    </row>
    <row r="377" spans="1:40" ht="15" customHeight="1">
      <c r="A377" s="122">
        <v>8</v>
      </c>
      <c r="B377" s="59">
        <v>370</v>
      </c>
      <c r="C377" t="s">
        <v>3946</v>
      </c>
      <c r="D377" t="s">
        <v>3947</v>
      </c>
      <c r="E377">
        <v>334</v>
      </c>
      <c r="F377" t="s">
        <v>2141</v>
      </c>
      <c r="G377" t="s">
        <v>1910</v>
      </c>
      <c r="H377" s="119">
        <f t="shared" si="28"/>
        <v>137.45148771021994</v>
      </c>
      <c r="I377" s="117">
        <v>43830</v>
      </c>
      <c r="J377">
        <v>12368</v>
      </c>
      <c r="L377">
        <v>12368</v>
      </c>
      <c r="M377">
        <v>1972</v>
      </c>
      <c r="P377" t="s">
        <v>2142</v>
      </c>
      <c r="R377" t="s">
        <v>44</v>
      </c>
      <c r="S377">
        <v>24026</v>
      </c>
      <c r="T377" s="118">
        <f t="shared" si="29"/>
        <v>1.9425937904269082</v>
      </c>
      <c r="U377" t="s">
        <v>44</v>
      </c>
      <c r="Y377">
        <v>1700000</v>
      </c>
      <c r="AA377">
        <v>1700000</v>
      </c>
      <c r="AC377" t="s">
        <v>3948</v>
      </c>
      <c r="AD377" t="s">
        <v>3949</v>
      </c>
      <c r="AE377" s="243" t="s">
        <v>3950</v>
      </c>
      <c r="AF377" s="243" t="s">
        <v>3951</v>
      </c>
      <c r="AI377" s="59" t="e">
        <f t="shared" si="26"/>
        <v>#N/A</v>
      </c>
      <c r="AJ377" s="93" t="e">
        <f t="shared" si="27"/>
        <v>#N/A</v>
      </c>
      <c r="AK377" s="93"/>
      <c r="AL377" s="93"/>
      <c r="AM377" s="93"/>
      <c r="AN377" s="93"/>
    </row>
    <row r="378" spans="1:40" ht="15" customHeight="1">
      <c r="A378" s="122">
        <v>8</v>
      </c>
      <c r="B378" s="59">
        <v>371</v>
      </c>
      <c r="C378" t="s">
        <v>3952</v>
      </c>
      <c r="D378" t="s">
        <v>3953</v>
      </c>
      <c r="E378">
        <v>353</v>
      </c>
      <c r="G378" t="s">
        <v>1786</v>
      </c>
      <c r="H378" s="119">
        <f t="shared" si="28"/>
        <v>144.47674418604652</v>
      </c>
      <c r="I378" s="117">
        <v>44098</v>
      </c>
      <c r="J378">
        <v>3440</v>
      </c>
      <c r="L378">
        <v>3440</v>
      </c>
      <c r="M378">
        <v>1964</v>
      </c>
      <c r="P378" t="s">
        <v>1969</v>
      </c>
      <c r="R378" t="s">
        <v>44</v>
      </c>
      <c r="S378">
        <v>47459</v>
      </c>
      <c r="T378" s="118">
        <f t="shared" si="29"/>
        <v>13.796220930232558</v>
      </c>
      <c r="U378" t="s">
        <v>44</v>
      </c>
      <c r="Y378">
        <v>497000</v>
      </c>
      <c r="AA378">
        <v>497000</v>
      </c>
      <c r="AC378" t="s">
        <v>3954</v>
      </c>
      <c r="AD378" t="s">
        <v>3955</v>
      </c>
      <c r="AE378" s="243" t="s">
        <v>3956</v>
      </c>
      <c r="AF378" s="243" t="s">
        <v>3957</v>
      </c>
      <c r="AI378" s="59" t="e">
        <f t="shared" si="26"/>
        <v>#N/A</v>
      </c>
      <c r="AJ378" s="93" t="e">
        <f t="shared" si="27"/>
        <v>#N/A</v>
      </c>
      <c r="AK378" s="93"/>
      <c r="AL378" s="93"/>
      <c r="AM378" s="93"/>
      <c r="AN378" s="93"/>
    </row>
    <row r="379" spans="1:40" ht="15" customHeight="1">
      <c r="A379" s="122">
        <v>8</v>
      </c>
      <c r="B379" s="59">
        <v>372</v>
      </c>
      <c r="C379" t="s">
        <v>3958</v>
      </c>
      <c r="D379" t="s">
        <v>3959</v>
      </c>
      <c r="E379">
        <v>343</v>
      </c>
      <c r="G379" t="s">
        <v>1786</v>
      </c>
      <c r="H379" s="119">
        <f t="shared" si="28"/>
        <v>123.62249222944335</v>
      </c>
      <c r="I379" s="117">
        <v>44530</v>
      </c>
      <c r="J379">
        <v>14156</v>
      </c>
      <c r="L379">
        <v>14156</v>
      </c>
      <c r="M379">
        <v>1982</v>
      </c>
      <c r="P379" t="s">
        <v>1969</v>
      </c>
      <c r="R379" t="s">
        <v>44</v>
      </c>
      <c r="S379">
        <v>39829</v>
      </c>
      <c r="T379" s="118">
        <f t="shared" si="29"/>
        <v>2.8135772817179996</v>
      </c>
      <c r="U379" t="s">
        <v>44</v>
      </c>
      <c r="Y379">
        <v>1750000</v>
      </c>
      <c r="AA379">
        <v>1750000</v>
      </c>
      <c r="AC379" t="s">
        <v>3960</v>
      </c>
      <c r="AD379" t="s">
        <v>3961</v>
      </c>
      <c r="AE379" s="243" t="s">
        <v>3962</v>
      </c>
      <c r="AF379" s="243" t="s">
        <v>3963</v>
      </c>
      <c r="AI379" s="59" t="e">
        <f t="shared" si="26"/>
        <v>#N/A</v>
      </c>
      <c r="AJ379" s="93" t="e">
        <f t="shared" si="27"/>
        <v>#N/A</v>
      </c>
      <c r="AK379" s="93"/>
      <c r="AL379" s="93"/>
      <c r="AM379" s="93"/>
      <c r="AN379" s="93"/>
    </row>
    <row r="380" spans="1:40" ht="15" customHeight="1">
      <c r="A380" s="122">
        <v>8</v>
      </c>
      <c r="B380" s="59">
        <v>373</v>
      </c>
      <c r="C380" t="s">
        <v>3964</v>
      </c>
      <c r="D380" t="s">
        <v>3965</v>
      </c>
      <c r="E380">
        <v>425</v>
      </c>
      <c r="F380" t="s">
        <v>1814</v>
      </c>
      <c r="G380" t="s">
        <v>1815</v>
      </c>
      <c r="H380" s="119">
        <f t="shared" si="28"/>
        <v>120.66666666666667</v>
      </c>
      <c r="I380" s="117">
        <v>43588</v>
      </c>
      <c r="J380">
        <v>1500</v>
      </c>
      <c r="L380">
        <v>1500</v>
      </c>
      <c r="M380">
        <v>1982</v>
      </c>
      <c r="P380" t="s">
        <v>3966</v>
      </c>
      <c r="R380" t="s">
        <v>44</v>
      </c>
      <c r="S380">
        <v>4608</v>
      </c>
      <c r="T380" s="118">
        <f t="shared" si="29"/>
        <v>3.0720000000000001</v>
      </c>
      <c r="U380" t="s">
        <v>44</v>
      </c>
      <c r="Y380">
        <v>181000</v>
      </c>
      <c r="AA380">
        <v>181000</v>
      </c>
      <c r="AC380" t="s">
        <v>3967</v>
      </c>
      <c r="AD380" t="s">
        <v>3968</v>
      </c>
      <c r="AE380" s="243" t="s">
        <v>3969</v>
      </c>
      <c r="AF380" s="243" t="s">
        <v>3970</v>
      </c>
      <c r="AI380" s="59" t="e">
        <f t="shared" si="26"/>
        <v>#N/A</v>
      </c>
      <c r="AJ380" s="93" t="e">
        <f t="shared" si="27"/>
        <v>#N/A</v>
      </c>
      <c r="AK380" s="93"/>
      <c r="AL380" s="93"/>
      <c r="AM380" s="93"/>
      <c r="AN380" s="93"/>
    </row>
    <row r="381" spans="1:40" ht="15" customHeight="1">
      <c r="A381" s="122">
        <v>8</v>
      </c>
      <c r="B381" s="59">
        <v>374</v>
      </c>
      <c r="C381" t="s">
        <v>3971</v>
      </c>
      <c r="D381" t="s">
        <v>3972</v>
      </c>
      <c r="E381">
        <v>344</v>
      </c>
      <c r="F381" t="s">
        <v>1924</v>
      </c>
      <c r="G381" t="s">
        <v>88</v>
      </c>
      <c r="H381" s="119">
        <f t="shared" si="28"/>
        <v>162.03703703703704</v>
      </c>
      <c r="I381" s="117">
        <v>43208</v>
      </c>
      <c r="J381">
        <v>1296</v>
      </c>
      <c r="L381">
        <v>1296</v>
      </c>
      <c r="M381">
        <v>1949</v>
      </c>
      <c r="P381" t="s">
        <v>1925</v>
      </c>
      <c r="R381" t="s">
        <v>44</v>
      </c>
      <c r="S381">
        <v>6525</v>
      </c>
      <c r="T381" s="118">
        <f t="shared" si="29"/>
        <v>5.0347222222222223</v>
      </c>
      <c r="U381" t="s">
        <v>44</v>
      </c>
      <c r="Y381">
        <v>210000</v>
      </c>
      <c r="AA381">
        <v>210000</v>
      </c>
      <c r="AC381" t="s">
        <v>3973</v>
      </c>
      <c r="AD381" t="s">
        <v>3974</v>
      </c>
      <c r="AE381" s="243" t="s">
        <v>3975</v>
      </c>
      <c r="AF381" s="243" t="s">
        <v>3976</v>
      </c>
      <c r="AI381" s="59" t="e">
        <f t="shared" si="26"/>
        <v>#N/A</v>
      </c>
      <c r="AJ381" s="93" t="e">
        <f t="shared" si="27"/>
        <v>#N/A</v>
      </c>
      <c r="AK381" s="93"/>
      <c r="AL381" s="93"/>
      <c r="AM381" s="93"/>
      <c r="AN381" s="93"/>
    </row>
    <row r="382" spans="1:40" ht="15" customHeight="1">
      <c r="A382" s="122">
        <v>8</v>
      </c>
      <c r="B382" s="59">
        <v>375</v>
      </c>
      <c r="C382" t="s">
        <v>3977</v>
      </c>
      <c r="D382" t="s">
        <v>3978</v>
      </c>
      <c r="E382">
        <v>353</v>
      </c>
      <c r="F382" t="s">
        <v>1800</v>
      </c>
      <c r="G382" t="s">
        <v>1786</v>
      </c>
      <c r="H382" s="119">
        <f t="shared" si="28"/>
        <v>236.83183769020678</v>
      </c>
      <c r="I382" s="117">
        <v>43601</v>
      </c>
      <c r="J382">
        <v>2563</v>
      </c>
      <c r="L382">
        <v>2563</v>
      </c>
      <c r="M382">
        <v>1962</v>
      </c>
      <c r="R382" t="s">
        <v>44</v>
      </c>
      <c r="S382">
        <v>15600</v>
      </c>
      <c r="T382" s="118">
        <f t="shared" si="29"/>
        <v>6.0866172454155283</v>
      </c>
      <c r="U382" t="s">
        <v>44</v>
      </c>
      <c r="Y382">
        <v>607000</v>
      </c>
      <c r="AA382">
        <v>607000</v>
      </c>
      <c r="AC382" t="s">
        <v>3979</v>
      </c>
      <c r="AD382" t="s">
        <v>3980</v>
      </c>
      <c r="AE382" s="243" t="s">
        <v>3981</v>
      </c>
      <c r="AF382" s="243" t="s">
        <v>3982</v>
      </c>
      <c r="AI382" s="59" t="e">
        <f t="shared" si="26"/>
        <v>#N/A</v>
      </c>
      <c r="AJ382" s="93" t="e">
        <f t="shared" si="27"/>
        <v>#N/A</v>
      </c>
      <c r="AK382" s="93"/>
      <c r="AL382" s="93"/>
      <c r="AM382" s="93"/>
      <c r="AN382" s="93"/>
    </row>
    <row r="383" spans="1:40" ht="15" customHeight="1">
      <c r="A383" s="122">
        <v>8</v>
      </c>
      <c r="B383" s="59">
        <v>376</v>
      </c>
      <c r="C383" t="s">
        <v>3983</v>
      </c>
      <c r="D383" t="s">
        <v>3984</v>
      </c>
      <c r="E383">
        <v>534</v>
      </c>
      <c r="F383" t="s">
        <v>1800</v>
      </c>
      <c r="G383" t="s">
        <v>90</v>
      </c>
      <c r="H383" s="119">
        <f t="shared" si="28"/>
        <v>136.45068624321738</v>
      </c>
      <c r="I383" s="117">
        <v>43251</v>
      </c>
      <c r="J383">
        <v>125320</v>
      </c>
      <c r="L383">
        <v>125320</v>
      </c>
      <c r="M383">
        <v>2001</v>
      </c>
      <c r="R383" t="s">
        <v>229</v>
      </c>
      <c r="S383">
        <v>553942</v>
      </c>
      <c r="T383" s="118">
        <f t="shared" si="29"/>
        <v>4.4202202361953402</v>
      </c>
      <c r="U383" t="s">
        <v>229</v>
      </c>
      <c r="Y383">
        <v>17100000</v>
      </c>
      <c r="AA383">
        <v>17100000</v>
      </c>
      <c r="AC383" t="s">
        <v>3985</v>
      </c>
      <c r="AD383" t="s">
        <v>3986</v>
      </c>
      <c r="AE383" s="243" t="s">
        <v>3987</v>
      </c>
      <c r="AF383" s="243" t="s">
        <v>3988</v>
      </c>
      <c r="AI383" s="59" t="e">
        <f t="shared" si="26"/>
        <v>#N/A</v>
      </c>
      <c r="AJ383" s="93" t="e">
        <f t="shared" si="27"/>
        <v>#N/A</v>
      </c>
      <c r="AK383" s="93"/>
      <c r="AL383" s="93"/>
      <c r="AM383" s="93"/>
      <c r="AN383" s="93"/>
    </row>
    <row r="384" spans="1:40" ht="15" customHeight="1">
      <c r="A384" s="122">
        <v>8</v>
      </c>
      <c r="B384" s="59">
        <v>377</v>
      </c>
      <c r="C384" t="s">
        <v>3989</v>
      </c>
      <c r="D384" t="s">
        <v>3990</v>
      </c>
      <c r="E384">
        <v>1344</v>
      </c>
      <c r="F384" t="s">
        <v>1785</v>
      </c>
      <c r="G384" t="s">
        <v>1786</v>
      </c>
      <c r="H384" s="119">
        <f t="shared" si="28"/>
        <v>128.61010830324909</v>
      </c>
      <c r="I384" s="117">
        <v>44614</v>
      </c>
      <c r="J384">
        <v>2216</v>
      </c>
      <c r="L384">
        <v>2216</v>
      </c>
      <c r="M384">
        <v>1984</v>
      </c>
      <c r="P384" t="s">
        <v>2791</v>
      </c>
      <c r="R384" t="s">
        <v>44</v>
      </c>
      <c r="S384">
        <v>1108</v>
      </c>
      <c r="T384" s="118">
        <f t="shared" si="29"/>
        <v>0.5</v>
      </c>
      <c r="U384" t="s">
        <v>44</v>
      </c>
      <c r="Y384">
        <v>285000</v>
      </c>
      <c r="AA384">
        <v>285000</v>
      </c>
      <c r="AC384" t="s">
        <v>3991</v>
      </c>
      <c r="AD384" t="s">
        <v>3992</v>
      </c>
      <c r="AE384" s="243" t="s">
        <v>3993</v>
      </c>
      <c r="AF384" s="243" t="s">
        <v>3994</v>
      </c>
      <c r="AI384" s="59" t="e">
        <f t="shared" si="26"/>
        <v>#N/A</v>
      </c>
      <c r="AJ384" s="93" t="e">
        <f t="shared" si="27"/>
        <v>#N/A</v>
      </c>
      <c r="AK384" s="93"/>
      <c r="AL384" s="93"/>
      <c r="AM384" s="93"/>
      <c r="AN384" s="93"/>
    </row>
    <row r="385" spans="1:40" ht="15" customHeight="1">
      <c r="A385" s="122">
        <v>8</v>
      </c>
      <c r="B385" s="59">
        <v>378</v>
      </c>
      <c r="C385" t="s">
        <v>2688</v>
      </c>
      <c r="D385" t="s">
        <v>3995</v>
      </c>
      <c r="E385">
        <v>344</v>
      </c>
      <c r="F385" t="s">
        <v>1896</v>
      </c>
      <c r="G385" t="s">
        <v>89</v>
      </c>
      <c r="H385" s="119">
        <f t="shared" si="28"/>
        <v>115.09013374685017</v>
      </c>
      <c r="I385" s="117">
        <v>43374</v>
      </c>
      <c r="J385">
        <v>20636</v>
      </c>
      <c r="L385">
        <v>20636</v>
      </c>
      <c r="M385">
        <v>1985</v>
      </c>
      <c r="P385" t="s">
        <v>3590</v>
      </c>
      <c r="R385" t="s">
        <v>44</v>
      </c>
      <c r="S385">
        <v>54189</v>
      </c>
      <c r="T385" s="118">
        <f t="shared" si="29"/>
        <v>2.6259449505718164</v>
      </c>
      <c r="U385" t="s">
        <v>44</v>
      </c>
      <c r="Y385">
        <v>2375000</v>
      </c>
      <c r="AA385">
        <v>2375000</v>
      </c>
      <c r="AC385" t="s">
        <v>2690</v>
      </c>
      <c r="AD385" t="s">
        <v>3996</v>
      </c>
      <c r="AE385" s="243" t="s">
        <v>3997</v>
      </c>
      <c r="AF385" s="243" t="s">
        <v>2692</v>
      </c>
      <c r="AI385" s="59" t="e">
        <f t="shared" si="26"/>
        <v>#N/A</v>
      </c>
      <c r="AJ385" s="93" t="e">
        <f t="shared" si="27"/>
        <v>#N/A</v>
      </c>
      <c r="AK385" s="93"/>
      <c r="AL385" s="93"/>
      <c r="AM385" s="93"/>
      <c r="AN385" s="93"/>
    </row>
    <row r="386" spans="1:40" ht="15" customHeight="1">
      <c r="A386" s="122">
        <v>8</v>
      </c>
      <c r="B386" s="59">
        <v>379</v>
      </c>
      <c r="C386" t="s">
        <v>3998</v>
      </c>
      <c r="D386" t="s">
        <v>3999</v>
      </c>
      <c r="E386">
        <v>425</v>
      </c>
      <c r="F386" t="s">
        <v>2141</v>
      </c>
      <c r="G386" t="s">
        <v>1910</v>
      </c>
      <c r="H386" s="119">
        <f t="shared" si="28"/>
        <v>25.944444444444443</v>
      </c>
      <c r="I386" s="117">
        <v>43395</v>
      </c>
      <c r="J386">
        <v>9000</v>
      </c>
      <c r="L386">
        <v>9000</v>
      </c>
      <c r="M386">
        <v>2002</v>
      </c>
      <c r="R386" t="s">
        <v>44</v>
      </c>
      <c r="S386">
        <v>6448</v>
      </c>
      <c r="T386" s="118">
        <f t="shared" si="29"/>
        <v>0.71644444444444444</v>
      </c>
      <c r="U386" t="s">
        <v>44</v>
      </c>
      <c r="Y386">
        <v>233500</v>
      </c>
      <c r="AA386">
        <v>233500</v>
      </c>
      <c r="AC386" t="s">
        <v>4000</v>
      </c>
      <c r="AD386" t="s">
        <v>4001</v>
      </c>
      <c r="AE386" s="243" t="s">
        <v>4002</v>
      </c>
      <c r="AF386" s="243" t="s">
        <v>4003</v>
      </c>
      <c r="AI386" s="59" t="e">
        <f t="shared" ref="AI386:AI449" si="30">IF(AND($E386=Subj_OccCode,Subj_BldgSF&gt;0,ABS($L386-Subj_BldgSF)&lt;=Subj_BldgSF*Subj_SizeTol),ABS($L386-Subj_BldgSF),NA())</f>
        <v>#N/A</v>
      </c>
      <c r="AJ386" s="93" t="e">
        <f t="shared" ref="AJ386:AJ449" si="31">IF(ISNA(AI386),NA(),AI386+ROW()/10000000)</f>
        <v>#N/A</v>
      </c>
      <c r="AK386" s="93"/>
      <c r="AL386" s="93"/>
      <c r="AM386" s="93"/>
      <c r="AN386" s="93"/>
    </row>
    <row r="387" spans="1:40" ht="15" customHeight="1">
      <c r="A387" s="122">
        <v>8</v>
      </c>
      <c r="B387" s="59">
        <v>380</v>
      </c>
      <c r="C387" t="s">
        <v>4004</v>
      </c>
      <c r="D387" t="s">
        <v>4005</v>
      </c>
      <c r="E387">
        <v>325</v>
      </c>
      <c r="G387" t="s">
        <v>1910</v>
      </c>
      <c r="H387" s="119">
        <f t="shared" si="28"/>
        <v>256.25</v>
      </c>
      <c r="I387" s="117">
        <v>44386</v>
      </c>
      <c r="J387">
        <v>2400</v>
      </c>
      <c r="L387">
        <v>2400</v>
      </c>
      <c r="M387">
        <v>1936</v>
      </c>
      <c r="P387" t="s">
        <v>1911</v>
      </c>
      <c r="R387" t="s">
        <v>1258</v>
      </c>
      <c r="S387">
        <v>9580</v>
      </c>
      <c r="T387" s="118">
        <f t="shared" si="29"/>
        <v>3.9916666666666667</v>
      </c>
      <c r="U387" t="s">
        <v>44</v>
      </c>
      <c r="Y387">
        <v>615000</v>
      </c>
      <c r="AA387">
        <v>615000</v>
      </c>
      <c r="AC387" t="s">
        <v>4006</v>
      </c>
      <c r="AD387" t="s">
        <v>4007</v>
      </c>
      <c r="AE387" s="243" t="s">
        <v>4008</v>
      </c>
      <c r="AF387" s="243" t="s">
        <v>4009</v>
      </c>
      <c r="AI387" s="59" t="e">
        <f t="shared" si="30"/>
        <v>#N/A</v>
      </c>
      <c r="AJ387" s="93" t="e">
        <f t="shared" si="31"/>
        <v>#N/A</v>
      </c>
      <c r="AK387" s="93"/>
      <c r="AL387" s="93"/>
      <c r="AM387" s="93"/>
      <c r="AN387" s="93"/>
    </row>
    <row r="388" spans="1:40" ht="15" customHeight="1">
      <c r="A388" s="122">
        <v>8</v>
      </c>
      <c r="B388" s="59">
        <v>381</v>
      </c>
      <c r="C388" t="s">
        <v>4010</v>
      </c>
      <c r="D388" t="s">
        <v>4011</v>
      </c>
      <c r="E388">
        <v>406</v>
      </c>
      <c r="F388" t="s">
        <v>2141</v>
      </c>
      <c r="G388" t="s">
        <v>1910</v>
      </c>
      <c r="H388" s="119">
        <f t="shared" si="28"/>
        <v>300</v>
      </c>
      <c r="I388" s="117">
        <v>44722</v>
      </c>
      <c r="J388">
        <v>7000</v>
      </c>
      <c r="L388">
        <v>7000</v>
      </c>
      <c r="M388">
        <v>1966</v>
      </c>
      <c r="P388" t="s">
        <v>2230</v>
      </c>
      <c r="R388" t="s">
        <v>44</v>
      </c>
      <c r="S388">
        <v>91829</v>
      </c>
      <c r="T388" s="118">
        <f t="shared" si="29"/>
        <v>13.118428571428572</v>
      </c>
      <c r="U388" t="s">
        <v>44</v>
      </c>
      <c r="Y388">
        <v>2100000</v>
      </c>
      <c r="AA388">
        <v>2100000</v>
      </c>
      <c r="AC388" t="s">
        <v>4012</v>
      </c>
      <c r="AD388" t="s">
        <v>4013</v>
      </c>
      <c r="AE388" s="243" t="s">
        <v>4014</v>
      </c>
      <c r="AF388" s="243" t="s">
        <v>4015</v>
      </c>
      <c r="AI388" s="59" t="e">
        <f t="shared" si="30"/>
        <v>#N/A</v>
      </c>
      <c r="AJ388" s="93" t="e">
        <f t="shared" si="31"/>
        <v>#N/A</v>
      </c>
      <c r="AK388" s="93"/>
      <c r="AL388" s="93"/>
      <c r="AM388" s="93"/>
      <c r="AN388" s="93"/>
    </row>
    <row r="389" spans="1:40" ht="15" customHeight="1">
      <c r="A389" s="122">
        <v>8</v>
      </c>
      <c r="B389" s="59">
        <v>382</v>
      </c>
      <c r="C389" t="s">
        <v>4016</v>
      </c>
      <c r="D389" t="s">
        <v>4017</v>
      </c>
      <c r="E389">
        <v>353</v>
      </c>
      <c r="F389" t="s">
        <v>1800</v>
      </c>
      <c r="G389" t="s">
        <v>1786</v>
      </c>
      <c r="H389" s="119">
        <f t="shared" si="28"/>
        <v>190.62901155327341</v>
      </c>
      <c r="I389" s="117">
        <v>44124</v>
      </c>
      <c r="J389">
        <v>3895</v>
      </c>
      <c r="L389">
        <v>3895</v>
      </c>
      <c r="M389">
        <v>1965</v>
      </c>
      <c r="P389" t="s">
        <v>2211</v>
      </c>
      <c r="R389" t="s">
        <v>44</v>
      </c>
      <c r="S389">
        <v>12500</v>
      </c>
      <c r="T389" s="118">
        <f t="shared" si="29"/>
        <v>3.2092426187419769</v>
      </c>
      <c r="U389" t="s">
        <v>44</v>
      </c>
      <c r="Y389">
        <v>742500</v>
      </c>
      <c r="AA389">
        <v>742500</v>
      </c>
      <c r="AC389" t="s">
        <v>4018</v>
      </c>
      <c r="AD389" t="s">
        <v>4019</v>
      </c>
      <c r="AE389" s="243" t="s">
        <v>4020</v>
      </c>
      <c r="AF389" s="243" t="s">
        <v>4021</v>
      </c>
      <c r="AI389" s="59" t="e">
        <f t="shared" si="30"/>
        <v>#N/A</v>
      </c>
      <c r="AJ389" s="93" t="e">
        <f t="shared" si="31"/>
        <v>#N/A</v>
      </c>
      <c r="AK389" s="93"/>
      <c r="AL389" s="93"/>
      <c r="AM389" s="93"/>
      <c r="AN389" s="93"/>
    </row>
    <row r="390" spans="1:40" ht="15" customHeight="1">
      <c r="A390" s="122">
        <v>8</v>
      </c>
      <c r="B390" s="59">
        <v>383</v>
      </c>
      <c r="C390" t="s">
        <v>4022</v>
      </c>
      <c r="D390" t="s">
        <v>4023</v>
      </c>
      <c r="E390">
        <v>334</v>
      </c>
      <c r="G390" t="s">
        <v>1910</v>
      </c>
      <c r="H390" s="119">
        <f t="shared" ref="H390:H453" si="32">Y390/J390</f>
        <v>172.54128666502342</v>
      </c>
      <c r="I390" s="117">
        <v>44405</v>
      </c>
      <c r="J390">
        <v>20285</v>
      </c>
      <c r="L390">
        <v>20285</v>
      </c>
      <c r="M390">
        <v>1968</v>
      </c>
      <c r="P390" t="s">
        <v>1911</v>
      </c>
      <c r="R390" t="s">
        <v>44</v>
      </c>
      <c r="S390">
        <v>62664</v>
      </c>
      <c r="T390" s="118">
        <f t="shared" si="29"/>
        <v>3.089179196450579</v>
      </c>
      <c r="U390" t="s">
        <v>44</v>
      </c>
      <c r="Y390">
        <v>3500000</v>
      </c>
      <c r="AA390">
        <v>3500000</v>
      </c>
      <c r="AC390" t="s">
        <v>4024</v>
      </c>
      <c r="AD390" t="s">
        <v>4025</v>
      </c>
      <c r="AE390" s="243" t="s">
        <v>4026</v>
      </c>
      <c r="AF390" s="243" t="s">
        <v>4027</v>
      </c>
      <c r="AI390" s="59" t="e">
        <f t="shared" si="30"/>
        <v>#N/A</v>
      </c>
      <c r="AJ390" s="93" t="e">
        <f t="shared" si="31"/>
        <v>#N/A</v>
      </c>
      <c r="AK390" s="93"/>
      <c r="AL390" s="93"/>
      <c r="AM390" s="93"/>
      <c r="AN390" s="93"/>
    </row>
    <row r="391" spans="1:40" ht="15" customHeight="1">
      <c r="A391" s="122">
        <v>8</v>
      </c>
      <c r="B391" s="59">
        <v>384</v>
      </c>
      <c r="C391" t="s">
        <v>4028</v>
      </c>
      <c r="D391" t="s">
        <v>4029</v>
      </c>
      <c r="E391">
        <v>325</v>
      </c>
      <c r="F391" t="s">
        <v>2141</v>
      </c>
      <c r="G391" t="s">
        <v>1910</v>
      </c>
      <c r="H391" s="119">
        <f t="shared" si="32"/>
        <v>153.18627450980392</v>
      </c>
      <c r="I391" s="117">
        <v>43971</v>
      </c>
      <c r="J391">
        <v>16320</v>
      </c>
      <c r="L391">
        <v>16320</v>
      </c>
      <c r="M391">
        <v>1966</v>
      </c>
      <c r="P391" t="s">
        <v>2230</v>
      </c>
      <c r="R391" t="s">
        <v>44</v>
      </c>
      <c r="S391">
        <v>80586</v>
      </c>
      <c r="T391" s="118">
        <f t="shared" si="29"/>
        <v>4.9378676470588232</v>
      </c>
      <c r="U391" t="s">
        <v>44</v>
      </c>
      <c r="Y391">
        <v>2500000</v>
      </c>
      <c r="AA391">
        <v>2500000</v>
      </c>
      <c r="AC391" t="s">
        <v>4030</v>
      </c>
      <c r="AD391" t="s">
        <v>4031</v>
      </c>
      <c r="AE391" s="243" t="s">
        <v>4032</v>
      </c>
      <c r="AF391" s="243" t="s">
        <v>4033</v>
      </c>
      <c r="AI391" s="59" t="e">
        <f t="shared" si="30"/>
        <v>#N/A</v>
      </c>
      <c r="AJ391" s="93" t="e">
        <f t="shared" si="31"/>
        <v>#N/A</v>
      </c>
      <c r="AK391" s="93"/>
      <c r="AL391" s="93"/>
      <c r="AM391" s="93"/>
      <c r="AN391" s="93"/>
    </row>
    <row r="392" spans="1:40" ht="15" customHeight="1">
      <c r="A392" s="122">
        <v>8</v>
      </c>
      <c r="B392" s="59">
        <v>385</v>
      </c>
      <c r="C392" t="s">
        <v>4034</v>
      </c>
      <c r="D392" t="s">
        <v>4035</v>
      </c>
      <c r="E392">
        <v>419</v>
      </c>
      <c r="F392" t="s">
        <v>1814</v>
      </c>
      <c r="G392" t="s">
        <v>1815</v>
      </c>
      <c r="H392" s="119">
        <f t="shared" si="32"/>
        <v>1030.7973421926911</v>
      </c>
      <c r="I392" s="117">
        <v>44466</v>
      </c>
      <c r="J392">
        <v>3010</v>
      </c>
      <c r="L392">
        <v>3010</v>
      </c>
      <c r="M392">
        <v>2014</v>
      </c>
      <c r="P392" t="s">
        <v>4036</v>
      </c>
      <c r="R392" t="s">
        <v>44</v>
      </c>
      <c r="S392">
        <v>43243</v>
      </c>
      <c r="T392" s="118">
        <f t="shared" si="29"/>
        <v>14.366445182724252</v>
      </c>
      <c r="U392" t="s">
        <v>44</v>
      </c>
      <c r="Y392">
        <v>3102700</v>
      </c>
      <c r="AA392">
        <v>3102700</v>
      </c>
      <c r="AC392" t="s">
        <v>4037</v>
      </c>
      <c r="AD392" t="s">
        <v>4038</v>
      </c>
      <c r="AE392" s="243" t="s">
        <v>4039</v>
      </c>
      <c r="AF392" s="243" t="s">
        <v>4040</v>
      </c>
      <c r="AI392" s="59" t="e">
        <f t="shared" si="30"/>
        <v>#N/A</v>
      </c>
      <c r="AJ392" s="93" t="e">
        <f t="shared" si="31"/>
        <v>#N/A</v>
      </c>
      <c r="AK392" s="93"/>
      <c r="AL392" s="93"/>
      <c r="AM392" s="93"/>
      <c r="AN392" s="93"/>
    </row>
    <row r="393" spans="1:40" ht="15" customHeight="1">
      <c r="A393" s="122">
        <v>8</v>
      </c>
      <c r="B393" s="59">
        <v>386</v>
      </c>
      <c r="C393" t="s">
        <v>4041</v>
      </c>
      <c r="D393" t="s">
        <v>4042</v>
      </c>
      <c r="E393">
        <v>406</v>
      </c>
      <c r="G393" t="s">
        <v>1910</v>
      </c>
      <c r="H393" s="119">
        <f t="shared" si="32"/>
        <v>213.33333333333334</v>
      </c>
      <c r="I393" s="117">
        <v>44362</v>
      </c>
      <c r="J393">
        <v>7500</v>
      </c>
      <c r="L393">
        <v>7500</v>
      </c>
      <c r="M393">
        <v>2000</v>
      </c>
      <c r="P393" t="s">
        <v>1911</v>
      </c>
      <c r="R393" t="s">
        <v>44</v>
      </c>
      <c r="S393">
        <v>47044.800000000003</v>
      </c>
      <c r="T393" s="118">
        <f t="shared" si="29"/>
        <v>6.27264</v>
      </c>
      <c r="U393" t="s">
        <v>44</v>
      </c>
      <c r="Y393">
        <v>1600000</v>
      </c>
      <c r="AA393">
        <v>1600000</v>
      </c>
      <c r="AC393" t="s">
        <v>4043</v>
      </c>
      <c r="AD393" t="s">
        <v>4044</v>
      </c>
      <c r="AE393" s="243" t="s">
        <v>4045</v>
      </c>
      <c r="AF393" s="243" t="s">
        <v>4046</v>
      </c>
      <c r="AI393" s="59" t="e">
        <f t="shared" si="30"/>
        <v>#N/A</v>
      </c>
      <c r="AJ393" t="e">
        <f t="shared" si="31"/>
        <v>#N/A</v>
      </c>
      <c r="AK393" t="str">
        <f t="shared" ref="AK393:AK456" si="33">IF(AND(ISNUMBER($N393),$N393&gt;0,ISNUMBER($Y393)),$Y393/$N393,"")</f>
        <v/>
      </c>
    </row>
    <row r="394" spans="1:40" ht="15" customHeight="1">
      <c r="A394" s="122">
        <v>8</v>
      </c>
      <c r="B394" s="59">
        <v>387</v>
      </c>
      <c r="C394" t="s">
        <v>2090</v>
      </c>
      <c r="D394" t="s">
        <v>2091</v>
      </c>
      <c r="E394">
        <v>407</v>
      </c>
      <c r="F394" t="s">
        <v>1814</v>
      </c>
      <c r="G394" t="s">
        <v>1815</v>
      </c>
      <c r="H394" s="119">
        <f t="shared" si="32"/>
        <v>100.04005607850992</v>
      </c>
      <c r="I394" s="117">
        <v>43784</v>
      </c>
      <c r="J394">
        <v>99860</v>
      </c>
      <c r="L394">
        <v>99860</v>
      </c>
      <c r="M394">
        <v>1984</v>
      </c>
      <c r="P394" t="s">
        <v>1932</v>
      </c>
      <c r="R394" t="s">
        <v>44</v>
      </c>
      <c r="S394">
        <v>184258</v>
      </c>
      <c r="T394" s="118">
        <f t="shared" si="29"/>
        <v>1.845163228519928</v>
      </c>
      <c r="U394" t="s">
        <v>44</v>
      </c>
      <c r="Y394">
        <v>9990000</v>
      </c>
      <c r="AA394">
        <v>9990000</v>
      </c>
      <c r="AC394" t="s">
        <v>2092</v>
      </c>
      <c r="AD394" t="s">
        <v>4047</v>
      </c>
      <c r="AE394" s="243" t="s">
        <v>4048</v>
      </c>
      <c r="AF394" s="243" t="s">
        <v>4049</v>
      </c>
      <c r="AI394" s="59" t="e">
        <f t="shared" si="30"/>
        <v>#N/A</v>
      </c>
      <c r="AJ394" t="e">
        <f t="shared" si="31"/>
        <v>#N/A</v>
      </c>
      <c r="AK394" t="str">
        <f t="shared" si="33"/>
        <v/>
      </c>
    </row>
    <row r="395" spans="1:40" ht="15" customHeight="1">
      <c r="A395" s="122">
        <v>8</v>
      </c>
      <c r="B395" s="59">
        <v>388</v>
      </c>
      <c r="C395" t="s">
        <v>4050</v>
      </c>
      <c r="D395" t="s">
        <v>4051</v>
      </c>
      <c r="E395">
        <v>353</v>
      </c>
      <c r="F395" t="s">
        <v>1984</v>
      </c>
      <c r="G395" t="s">
        <v>1786</v>
      </c>
      <c r="H395" s="119">
        <f t="shared" si="32"/>
        <v>267.85714285714283</v>
      </c>
      <c r="I395" s="117">
        <v>43369</v>
      </c>
      <c r="J395">
        <v>840</v>
      </c>
      <c r="L395">
        <v>840</v>
      </c>
      <c r="M395">
        <v>1973</v>
      </c>
      <c r="P395" t="s">
        <v>3682</v>
      </c>
      <c r="R395" t="s">
        <v>44</v>
      </c>
      <c r="S395">
        <v>5625</v>
      </c>
      <c r="T395" s="118">
        <f t="shared" si="29"/>
        <v>6.6964285714285712</v>
      </c>
      <c r="U395" t="s">
        <v>44</v>
      </c>
      <c r="Y395">
        <v>225000</v>
      </c>
      <c r="AA395">
        <v>225000</v>
      </c>
      <c r="AC395" t="s">
        <v>4052</v>
      </c>
      <c r="AD395" t="s">
        <v>4053</v>
      </c>
      <c r="AE395" s="243" t="s">
        <v>4054</v>
      </c>
      <c r="AF395" s="243" t="s">
        <v>4055</v>
      </c>
      <c r="AI395" s="59" t="e">
        <f t="shared" si="30"/>
        <v>#N/A</v>
      </c>
      <c r="AJ395" t="e">
        <f t="shared" si="31"/>
        <v>#N/A</v>
      </c>
      <c r="AK395" t="str">
        <f t="shared" si="33"/>
        <v/>
      </c>
    </row>
    <row r="396" spans="1:40" ht="15" customHeight="1">
      <c r="A396" s="122">
        <v>8</v>
      </c>
      <c r="B396" s="59">
        <v>389</v>
      </c>
      <c r="C396" t="s">
        <v>4056</v>
      </c>
      <c r="D396" t="s">
        <v>4057</v>
      </c>
      <c r="E396">
        <v>384</v>
      </c>
      <c r="F396" t="s">
        <v>1814</v>
      </c>
      <c r="G396" t="s">
        <v>1815</v>
      </c>
      <c r="H396" s="119">
        <f t="shared" si="32"/>
        <v>305.77689243027891</v>
      </c>
      <c r="I396" s="117">
        <v>43166</v>
      </c>
      <c r="J396">
        <v>1004</v>
      </c>
      <c r="L396">
        <v>1004</v>
      </c>
      <c r="M396">
        <v>1970</v>
      </c>
      <c r="P396" t="s">
        <v>3966</v>
      </c>
      <c r="R396" t="s">
        <v>44</v>
      </c>
      <c r="S396">
        <v>8750</v>
      </c>
      <c r="T396" s="118">
        <f t="shared" si="29"/>
        <v>8.7151394422310755</v>
      </c>
      <c r="U396" t="s">
        <v>44</v>
      </c>
      <c r="Y396">
        <v>307000</v>
      </c>
      <c r="AA396">
        <v>307000</v>
      </c>
      <c r="AC396" t="s">
        <v>4058</v>
      </c>
      <c r="AD396" t="s">
        <v>4059</v>
      </c>
      <c r="AE396" s="243" t="s">
        <v>4060</v>
      </c>
      <c r="AF396" s="243" t="s">
        <v>4061</v>
      </c>
      <c r="AI396" s="59" t="e">
        <f t="shared" si="30"/>
        <v>#N/A</v>
      </c>
      <c r="AJ396" t="e">
        <f t="shared" si="31"/>
        <v>#N/A</v>
      </c>
      <c r="AK396" t="str">
        <f t="shared" si="33"/>
        <v/>
      </c>
    </row>
    <row r="397" spans="1:40" ht="15" customHeight="1">
      <c r="A397" s="122">
        <v>8</v>
      </c>
      <c r="B397" s="59">
        <v>390</v>
      </c>
      <c r="C397" t="s">
        <v>4062</v>
      </c>
      <c r="D397" t="s">
        <v>4063</v>
      </c>
      <c r="E397">
        <v>334</v>
      </c>
      <c r="G397" t="s">
        <v>1910</v>
      </c>
      <c r="H397" s="119">
        <f t="shared" si="32"/>
        <v>133.85885885885887</v>
      </c>
      <c r="I397" s="117">
        <v>43697</v>
      </c>
      <c r="J397">
        <v>26640</v>
      </c>
      <c r="L397">
        <v>26640</v>
      </c>
      <c r="M397">
        <v>1972</v>
      </c>
      <c r="P397" t="s">
        <v>1911</v>
      </c>
      <c r="R397" t="s">
        <v>44</v>
      </c>
      <c r="S397">
        <v>111074</v>
      </c>
      <c r="T397" s="118">
        <f t="shared" si="29"/>
        <v>4.1694444444444443</v>
      </c>
      <c r="U397" t="s">
        <v>44</v>
      </c>
      <c r="Y397">
        <v>3566000</v>
      </c>
      <c r="AA397">
        <v>3566000</v>
      </c>
      <c r="AC397" t="s">
        <v>4064</v>
      </c>
      <c r="AD397" t="s">
        <v>4065</v>
      </c>
      <c r="AE397" s="243" t="s">
        <v>4066</v>
      </c>
      <c r="AF397" s="243" t="s">
        <v>4067</v>
      </c>
      <c r="AI397" s="59" t="e">
        <f t="shared" si="30"/>
        <v>#N/A</v>
      </c>
      <c r="AJ397" t="e">
        <f t="shared" si="31"/>
        <v>#N/A</v>
      </c>
      <c r="AK397" t="str">
        <f t="shared" si="33"/>
        <v/>
      </c>
    </row>
    <row r="398" spans="1:40" ht="15" customHeight="1">
      <c r="A398" s="122">
        <v>8</v>
      </c>
      <c r="B398" s="59">
        <v>391</v>
      </c>
      <c r="C398" t="s">
        <v>4068</v>
      </c>
      <c r="D398" t="s">
        <v>4069</v>
      </c>
      <c r="E398">
        <v>407</v>
      </c>
      <c r="G398" t="s">
        <v>1910</v>
      </c>
      <c r="H398" s="119">
        <f t="shared" si="32"/>
        <v>87.5</v>
      </c>
      <c r="I398" s="117">
        <v>43812</v>
      </c>
      <c r="J398">
        <v>14400</v>
      </c>
      <c r="L398">
        <v>14400</v>
      </c>
      <c r="M398">
        <v>1983</v>
      </c>
      <c r="P398" t="s">
        <v>1911</v>
      </c>
      <c r="R398" t="s">
        <v>44</v>
      </c>
      <c r="S398">
        <v>28749</v>
      </c>
      <c r="T398" s="118">
        <f t="shared" si="29"/>
        <v>1.9964583333333332</v>
      </c>
      <c r="U398" t="s">
        <v>44</v>
      </c>
      <c r="Y398">
        <v>1260000</v>
      </c>
      <c r="AA398">
        <v>1260000</v>
      </c>
      <c r="AC398" t="s">
        <v>4070</v>
      </c>
      <c r="AD398" t="s">
        <v>4071</v>
      </c>
      <c r="AE398" s="243" t="s">
        <v>4072</v>
      </c>
      <c r="AF398" s="243" t="s">
        <v>4073</v>
      </c>
      <c r="AI398" s="59" t="e">
        <f t="shared" si="30"/>
        <v>#N/A</v>
      </c>
      <c r="AJ398" t="e">
        <f t="shared" si="31"/>
        <v>#N/A</v>
      </c>
      <c r="AK398" t="str">
        <f t="shared" si="33"/>
        <v/>
      </c>
    </row>
    <row r="399" spans="1:40" ht="15" customHeight="1">
      <c r="A399" s="122">
        <v>8</v>
      </c>
      <c r="B399" s="59">
        <v>392</v>
      </c>
      <c r="C399" t="s">
        <v>4074</v>
      </c>
      <c r="D399" t="s">
        <v>4075</v>
      </c>
      <c r="E399">
        <v>1344</v>
      </c>
      <c r="F399" t="s">
        <v>1800</v>
      </c>
      <c r="G399" t="s">
        <v>1786</v>
      </c>
      <c r="H399" s="119">
        <f t="shared" si="32"/>
        <v>58.333333333333336</v>
      </c>
      <c r="I399" s="117">
        <v>44495</v>
      </c>
      <c r="J399">
        <v>5700</v>
      </c>
      <c r="L399">
        <v>5700</v>
      </c>
      <c r="M399">
        <v>1981</v>
      </c>
      <c r="P399" t="s">
        <v>2211</v>
      </c>
      <c r="R399" t="s">
        <v>44</v>
      </c>
      <c r="S399">
        <v>720</v>
      </c>
      <c r="T399" s="118">
        <f t="shared" si="29"/>
        <v>0.12631578947368421</v>
      </c>
      <c r="U399" t="s">
        <v>44</v>
      </c>
      <c r="Y399">
        <v>332500</v>
      </c>
      <c r="AA399">
        <v>332500</v>
      </c>
      <c r="AC399" t="s">
        <v>4076</v>
      </c>
      <c r="AD399" t="s">
        <v>4077</v>
      </c>
      <c r="AE399" s="243" t="s">
        <v>2656</v>
      </c>
      <c r="AF399" s="243" t="s">
        <v>4078</v>
      </c>
      <c r="AI399" s="59" t="e">
        <f t="shared" si="30"/>
        <v>#N/A</v>
      </c>
      <c r="AJ399" t="e">
        <f t="shared" si="31"/>
        <v>#N/A</v>
      </c>
      <c r="AK399" t="str">
        <f t="shared" si="33"/>
        <v/>
      </c>
    </row>
    <row r="400" spans="1:40" ht="15" customHeight="1">
      <c r="A400" s="122">
        <v>8</v>
      </c>
      <c r="B400" s="59">
        <v>393</v>
      </c>
      <c r="C400" t="s">
        <v>4079</v>
      </c>
      <c r="D400" t="s">
        <v>4080</v>
      </c>
      <c r="E400">
        <v>407</v>
      </c>
      <c r="G400" t="s">
        <v>1910</v>
      </c>
      <c r="H400" s="119">
        <f t="shared" si="32"/>
        <v>140</v>
      </c>
      <c r="I400" s="117">
        <v>43577</v>
      </c>
      <c r="J400">
        <v>20000</v>
      </c>
      <c r="L400">
        <v>20000</v>
      </c>
      <c r="M400">
        <v>1997</v>
      </c>
      <c r="P400" t="s">
        <v>1969</v>
      </c>
      <c r="R400" t="s">
        <v>44</v>
      </c>
      <c r="S400">
        <v>52990</v>
      </c>
      <c r="T400" s="118">
        <f t="shared" si="29"/>
        <v>2.6495000000000002</v>
      </c>
      <c r="U400" t="s">
        <v>44</v>
      </c>
      <c r="Y400">
        <v>2800000</v>
      </c>
      <c r="AA400">
        <v>2800000</v>
      </c>
      <c r="AC400" t="s">
        <v>4081</v>
      </c>
      <c r="AD400" t="s">
        <v>4082</v>
      </c>
      <c r="AE400" s="243" t="s">
        <v>4083</v>
      </c>
      <c r="AF400" s="243" t="s">
        <v>4084</v>
      </c>
      <c r="AI400" s="59" t="e">
        <f t="shared" si="30"/>
        <v>#N/A</v>
      </c>
      <c r="AJ400" t="e">
        <f t="shared" si="31"/>
        <v>#N/A</v>
      </c>
      <c r="AK400" t="str">
        <f t="shared" si="33"/>
        <v/>
      </c>
    </row>
    <row r="401" spans="1:37" ht="15" customHeight="1">
      <c r="A401" s="122">
        <v>8</v>
      </c>
      <c r="B401" s="59">
        <v>394</v>
      </c>
      <c r="C401" t="s">
        <v>4085</v>
      </c>
      <c r="D401" t="s">
        <v>4086</v>
      </c>
      <c r="E401">
        <v>407</v>
      </c>
      <c r="G401" t="s">
        <v>1910</v>
      </c>
      <c r="H401" s="119">
        <f t="shared" si="32"/>
        <v>131.12320633349827</v>
      </c>
      <c r="I401" s="117">
        <v>44090</v>
      </c>
      <c r="J401">
        <v>40420</v>
      </c>
      <c r="L401">
        <v>40420</v>
      </c>
      <c r="M401">
        <v>1986</v>
      </c>
      <c r="P401" t="s">
        <v>1911</v>
      </c>
      <c r="R401" t="s">
        <v>44</v>
      </c>
      <c r="S401">
        <v>110595</v>
      </c>
      <c r="T401" s="118">
        <f t="shared" si="29"/>
        <v>2.7361454725383472</v>
      </c>
      <c r="U401" t="s">
        <v>44</v>
      </c>
      <c r="Y401">
        <v>5300000</v>
      </c>
      <c r="AA401">
        <v>5300000</v>
      </c>
      <c r="AC401" t="s">
        <v>4087</v>
      </c>
      <c r="AD401" t="s">
        <v>4088</v>
      </c>
      <c r="AE401" s="243" t="s">
        <v>4089</v>
      </c>
      <c r="AF401" s="243" t="s">
        <v>4090</v>
      </c>
      <c r="AI401" s="59" t="e">
        <f t="shared" si="30"/>
        <v>#N/A</v>
      </c>
      <c r="AJ401" t="e">
        <f t="shared" si="31"/>
        <v>#N/A</v>
      </c>
      <c r="AK401" t="str">
        <f t="shared" si="33"/>
        <v/>
      </c>
    </row>
    <row r="402" spans="1:37" ht="15" customHeight="1">
      <c r="A402" s="122">
        <v>8</v>
      </c>
      <c r="B402" s="59">
        <v>395</v>
      </c>
      <c r="C402" t="s">
        <v>4091</v>
      </c>
      <c r="D402" t="s">
        <v>4092</v>
      </c>
      <c r="E402">
        <v>344</v>
      </c>
      <c r="G402" t="s">
        <v>1786</v>
      </c>
      <c r="H402" s="119">
        <f t="shared" si="32"/>
        <v>43.516100957354219</v>
      </c>
      <c r="I402" s="117">
        <v>43979</v>
      </c>
      <c r="J402">
        <v>34470</v>
      </c>
      <c r="L402">
        <v>34470</v>
      </c>
      <c r="M402">
        <v>1971</v>
      </c>
      <c r="P402" t="s">
        <v>1925</v>
      </c>
      <c r="R402" t="s">
        <v>44</v>
      </c>
      <c r="S402">
        <v>50094</v>
      </c>
      <c r="T402" s="118">
        <f t="shared" si="29"/>
        <v>1.4532637075718016</v>
      </c>
      <c r="U402" t="s">
        <v>44</v>
      </c>
      <c r="Y402">
        <v>1500000</v>
      </c>
      <c r="AA402">
        <v>1500000</v>
      </c>
      <c r="AC402" t="s">
        <v>4093</v>
      </c>
      <c r="AD402" t="s">
        <v>4094</v>
      </c>
      <c r="AE402" s="243" t="s">
        <v>4095</v>
      </c>
      <c r="AF402" s="243" t="s">
        <v>4096</v>
      </c>
      <c r="AI402" s="59" t="e">
        <f t="shared" si="30"/>
        <v>#N/A</v>
      </c>
      <c r="AJ402" t="e">
        <f t="shared" si="31"/>
        <v>#N/A</v>
      </c>
      <c r="AK402" t="str">
        <f t="shared" si="33"/>
        <v/>
      </c>
    </row>
    <row r="403" spans="1:37" ht="15" customHeight="1">
      <c r="A403" s="122">
        <v>8</v>
      </c>
      <c r="B403" s="59">
        <v>396</v>
      </c>
      <c r="C403" t="s">
        <v>4097</v>
      </c>
      <c r="D403" t="s">
        <v>4098</v>
      </c>
      <c r="E403">
        <v>425</v>
      </c>
      <c r="F403" t="s">
        <v>1814</v>
      </c>
      <c r="G403" t="s">
        <v>1815</v>
      </c>
      <c r="H403" s="119">
        <f t="shared" si="32"/>
        <v>133.33333333333334</v>
      </c>
      <c r="I403" s="117">
        <v>44718</v>
      </c>
      <c r="J403">
        <v>1500</v>
      </c>
      <c r="L403">
        <v>1500</v>
      </c>
      <c r="M403">
        <v>1982</v>
      </c>
      <c r="P403" t="s">
        <v>1932</v>
      </c>
      <c r="R403" t="s">
        <v>44</v>
      </c>
      <c r="S403">
        <v>4608</v>
      </c>
      <c r="T403" s="118">
        <f t="shared" si="29"/>
        <v>3.0720000000000001</v>
      </c>
      <c r="U403" t="s">
        <v>44</v>
      </c>
      <c r="Y403">
        <v>200000</v>
      </c>
      <c r="AA403">
        <v>200000</v>
      </c>
      <c r="AC403" t="s">
        <v>4099</v>
      </c>
      <c r="AD403" t="s">
        <v>4100</v>
      </c>
      <c r="AE403" s="243" t="s">
        <v>4101</v>
      </c>
      <c r="AF403" s="243" t="s">
        <v>4102</v>
      </c>
      <c r="AI403" s="59" t="e">
        <f t="shared" si="30"/>
        <v>#N/A</v>
      </c>
      <c r="AJ403" t="e">
        <f t="shared" si="31"/>
        <v>#N/A</v>
      </c>
      <c r="AK403" t="str">
        <f t="shared" si="33"/>
        <v/>
      </c>
    </row>
    <row r="404" spans="1:37" ht="15" customHeight="1">
      <c r="A404" s="122">
        <v>8</v>
      </c>
      <c r="B404" s="59">
        <v>397</v>
      </c>
      <c r="C404" t="s">
        <v>4103</v>
      </c>
      <c r="D404" t="s">
        <v>4104</v>
      </c>
      <c r="E404">
        <v>442</v>
      </c>
      <c r="G404" t="s">
        <v>1910</v>
      </c>
      <c r="H404" s="119">
        <f t="shared" si="32"/>
        <v>413.33333333333331</v>
      </c>
      <c r="I404" s="117">
        <v>44530</v>
      </c>
      <c r="J404">
        <v>1500</v>
      </c>
      <c r="L404">
        <v>1500</v>
      </c>
      <c r="M404">
        <v>1957</v>
      </c>
      <c r="P404" t="s">
        <v>1925</v>
      </c>
      <c r="R404" t="s">
        <v>44</v>
      </c>
      <c r="S404">
        <v>6964</v>
      </c>
      <c r="T404" s="118">
        <f t="shared" si="29"/>
        <v>4.6426666666666669</v>
      </c>
      <c r="U404" t="s">
        <v>44</v>
      </c>
      <c r="Y404">
        <v>620000</v>
      </c>
      <c r="AA404">
        <v>620000</v>
      </c>
      <c r="AC404" t="s">
        <v>4105</v>
      </c>
      <c r="AD404" t="s">
        <v>4106</v>
      </c>
      <c r="AE404" s="243" t="s">
        <v>4107</v>
      </c>
      <c r="AF404" s="243" t="s">
        <v>4108</v>
      </c>
      <c r="AI404" s="59" t="e">
        <f t="shared" si="30"/>
        <v>#N/A</v>
      </c>
      <c r="AJ404" t="e">
        <f t="shared" si="31"/>
        <v>#N/A</v>
      </c>
      <c r="AK404" t="str">
        <f t="shared" si="33"/>
        <v/>
      </c>
    </row>
    <row r="405" spans="1:37" ht="15" customHeight="1">
      <c r="A405" s="122">
        <v>8</v>
      </c>
      <c r="B405" s="59">
        <v>398</v>
      </c>
      <c r="C405" t="s">
        <v>4109</v>
      </c>
      <c r="D405" t="s">
        <v>4110</v>
      </c>
      <c r="E405">
        <v>344</v>
      </c>
      <c r="F405" t="s">
        <v>1984</v>
      </c>
      <c r="G405" t="s">
        <v>89</v>
      </c>
      <c r="H405" s="119">
        <f t="shared" si="32"/>
        <v>316.3109756097561</v>
      </c>
      <c r="I405" s="117">
        <v>44147</v>
      </c>
      <c r="J405">
        <v>1312</v>
      </c>
      <c r="L405">
        <v>1312</v>
      </c>
      <c r="M405">
        <v>1974</v>
      </c>
      <c r="P405" t="s">
        <v>2287</v>
      </c>
      <c r="R405" t="s">
        <v>44</v>
      </c>
      <c r="S405">
        <v>10875</v>
      </c>
      <c r="T405" s="118">
        <f t="shared" si="29"/>
        <v>8.2888719512195124</v>
      </c>
      <c r="U405" t="s">
        <v>44</v>
      </c>
      <c r="Y405">
        <v>415000</v>
      </c>
      <c r="AA405">
        <v>415000</v>
      </c>
      <c r="AC405" t="s">
        <v>4111</v>
      </c>
      <c r="AD405" t="s">
        <v>4112</v>
      </c>
      <c r="AE405" s="243" t="s">
        <v>4113</v>
      </c>
      <c r="AF405" s="243" t="s">
        <v>4114</v>
      </c>
      <c r="AI405" s="59" t="e">
        <f t="shared" si="30"/>
        <v>#N/A</v>
      </c>
      <c r="AJ405" t="e">
        <f t="shared" si="31"/>
        <v>#N/A</v>
      </c>
      <c r="AK405" t="str">
        <f t="shared" si="33"/>
        <v/>
      </c>
    </row>
    <row r="406" spans="1:37" ht="15" customHeight="1">
      <c r="A406" s="122">
        <v>8</v>
      </c>
      <c r="B406" s="59">
        <v>399</v>
      </c>
      <c r="C406" t="s">
        <v>4115</v>
      </c>
      <c r="D406" t="s">
        <v>4116</v>
      </c>
      <c r="E406">
        <v>425</v>
      </c>
      <c r="G406" t="s">
        <v>1910</v>
      </c>
      <c r="H406" s="119">
        <f t="shared" si="32"/>
        <v>158.33333333333334</v>
      </c>
      <c r="I406" s="117">
        <v>43200</v>
      </c>
      <c r="J406">
        <v>1500</v>
      </c>
      <c r="L406">
        <v>1500</v>
      </c>
      <c r="M406">
        <v>1984</v>
      </c>
      <c r="P406" t="s">
        <v>1911</v>
      </c>
      <c r="R406" t="s">
        <v>44</v>
      </c>
      <c r="S406">
        <v>4340</v>
      </c>
      <c r="T406" s="118">
        <f t="shared" si="29"/>
        <v>2.8933333333333335</v>
      </c>
      <c r="U406" t="s">
        <v>44</v>
      </c>
      <c r="Y406">
        <v>237500</v>
      </c>
      <c r="AA406">
        <v>237500</v>
      </c>
      <c r="AC406" t="s">
        <v>4117</v>
      </c>
      <c r="AD406" t="s">
        <v>4118</v>
      </c>
      <c r="AE406" s="243" t="s">
        <v>4119</v>
      </c>
      <c r="AF406" s="243" t="s">
        <v>4120</v>
      </c>
      <c r="AI406" s="59" t="e">
        <f t="shared" si="30"/>
        <v>#N/A</v>
      </c>
      <c r="AJ406" t="e">
        <f t="shared" si="31"/>
        <v>#N/A</v>
      </c>
      <c r="AK406" t="str">
        <f t="shared" si="33"/>
        <v/>
      </c>
    </row>
    <row r="407" spans="1:37" ht="15" customHeight="1">
      <c r="A407" s="122">
        <v>8</v>
      </c>
      <c r="B407" s="59">
        <v>400</v>
      </c>
      <c r="C407" t="s">
        <v>4121</v>
      </c>
      <c r="D407" t="s">
        <v>4122</v>
      </c>
      <c r="E407">
        <v>434</v>
      </c>
      <c r="F407" t="s">
        <v>1785</v>
      </c>
      <c r="G407" t="s">
        <v>1786</v>
      </c>
      <c r="H407" s="119">
        <f t="shared" si="32"/>
        <v>112.84722222222223</v>
      </c>
      <c r="I407" s="117">
        <v>43189</v>
      </c>
      <c r="J407">
        <v>2592</v>
      </c>
      <c r="L407">
        <v>2592</v>
      </c>
      <c r="M407">
        <v>1986</v>
      </c>
      <c r="P407" t="s">
        <v>3547</v>
      </c>
      <c r="R407" t="s">
        <v>44</v>
      </c>
      <c r="S407">
        <v>22496</v>
      </c>
      <c r="T407" s="118">
        <f t="shared" si="29"/>
        <v>8.6790123456790127</v>
      </c>
      <c r="U407" t="s">
        <v>44</v>
      </c>
      <c r="Y407">
        <v>292500</v>
      </c>
      <c r="AA407">
        <v>292500</v>
      </c>
      <c r="AC407" t="s">
        <v>4123</v>
      </c>
      <c r="AD407" t="s">
        <v>4124</v>
      </c>
      <c r="AE407" s="243" t="s">
        <v>4125</v>
      </c>
      <c r="AF407" s="243" t="s">
        <v>4126</v>
      </c>
      <c r="AI407" s="59" t="e">
        <f t="shared" si="30"/>
        <v>#N/A</v>
      </c>
      <c r="AJ407" t="e">
        <f t="shared" si="31"/>
        <v>#N/A</v>
      </c>
      <c r="AK407" t="str">
        <f t="shared" si="33"/>
        <v/>
      </c>
    </row>
    <row r="408" spans="1:37" ht="15" customHeight="1">
      <c r="A408" s="122">
        <v>8</v>
      </c>
      <c r="B408" s="59">
        <v>401</v>
      </c>
      <c r="C408" t="s">
        <v>3320</v>
      </c>
      <c r="D408" t="s">
        <v>4127</v>
      </c>
      <c r="E408">
        <v>353</v>
      </c>
      <c r="F408" t="s">
        <v>2141</v>
      </c>
      <c r="G408" t="s">
        <v>1910</v>
      </c>
      <c r="H408" s="119">
        <f t="shared" si="32"/>
        <v>134.38438438438439</v>
      </c>
      <c r="I408" s="117">
        <v>43973</v>
      </c>
      <c r="J408">
        <v>6660</v>
      </c>
      <c r="L408">
        <v>6660</v>
      </c>
      <c r="M408">
        <v>1955</v>
      </c>
      <c r="P408" t="s">
        <v>2243</v>
      </c>
      <c r="R408" t="s">
        <v>44</v>
      </c>
      <c r="S408">
        <v>54172</v>
      </c>
      <c r="T408" s="118">
        <f t="shared" si="29"/>
        <v>8.1339339339339336</v>
      </c>
      <c r="U408" t="s">
        <v>44</v>
      </c>
      <c r="Y408">
        <v>895000</v>
      </c>
      <c r="AA408">
        <v>895000</v>
      </c>
      <c r="AC408" t="s">
        <v>3322</v>
      </c>
      <c r="AD408" t="s">
        <v>4128</v>
      </c>
      <c r="AE408" s="243" t="s">
        <v>4129</v>
      </c>
      <c r="AF408" s="243" t="s">
        <v>3318</v>
      </c>
      <c r="AI408" s="59" t="e">
        <f t="shared" si="30"/>
        <v>#N/A</v>
      </c>
      <c r="AJ408" t="e">
        <f t="shared" si="31"/>
        <v>#N/A</v>
      </c>
      <c r="AK408" t="str">
        <f t="shared" si="33"/>
        <v/>
      </c>
    </row>
    <row r="409" spans="1:37" ht="15" customHeight="1">
      <c r="A409" s="122">
        <v>8</v>
      </c>
      <c r="B409" s="59">
        <v>402</v>
      </c>
      <c r="C409" t="s">
        <v>4130</v>
      </c>
      <c r="D409" t="s">
        <v>4131</v>
      </c>
      <c r="E409">
        <v>407</v>
      </c>
      <c r="G409" t="s">
        <v>1910</v>
      </c>
      <c r="H409" s="119">
        <f t="shared" si="32"/>
        <v>251.38260432378078</v>
      </c>
      <c r="I409" s="117">
        <v>44722</v>
      </c>
      <c r="J409">
        <v>9945</v>
      </c>
      <c r="L409">
        <v>9945</v>
      </c>
      <c r="M409">
        <v>1978</v>
      </c>
      <c r="P409" t="s">
        <v>1911</v>
      </c>
      <c r="R409" t="s">
        <v>44</v>
      </c>
      <c r="S409">
        <v>30000</v>
      </c>
      <c r="T409" s="118">
        <f t="shared" si="29"/>
        <v>3.0165912518853695</v>
      </c>
      <c r="U409" t="s">
        <v>44</v>
      </c>
      <c r="Y409">
        <v>2500000</v>
      </c>
      <c r="AA409">
        <v>2500000</v>
      </c>
      <c r="AC409" t="s">
        <v>4132</v>
      </c>
      <c r="AD409" t="s">
        <v>4133</v>
      </c>
      <c r="AE409" s="243" t="s">
        <v>4134</v>
      </c>
      <c r="AF409" s="243" t="s">
        <v>4135</v>
      </c>
      <c r="AI409" s="59" t="e">
        <f t="shared" si="30"/>
        <v>#N/A</v>
      </c>
      <c r="AJ409" t="e">
        <f t="shared" si="31"/>
        <v>#N/A</v>
      </c>
      <c r="AK409" t="str">
        <f t="shared" si="33"/>
        <v/>
      </c>
    </row>
    <row r="410" spans="1:37" ht="15" customHeight="1">
      <c r="A410" s="122">
        <v>8</v>
      </c>
      <c r="B410" s="59">
        <v>403</v>
      </c>
      <c r="C410" t="s">
        <v>4130</v>
      </c>
      <c r="D410" t="s">
        <v>4131</v>
      </c>
      <c r="E410">
        <v>407</v>
      </c>
      <c r="G410" t="s">
        <v>1910</v>
      </c>
      <c r="H410" s="119">
        <f t="shared" si="32"/>
        <v>186.02312719959778</v>
      </c>
      <c r="I410" s="117">
        <v>43402</v>
      </c>
      <c r="J410">
        <v>9945</v>
      </c>
      <c r="L410">
        <v>9945</v>
      </c>
      <c r="M410">
        <v>1978</v>
      </c>
      <c r="P410" t="s">
        <v>1911</v>
      </c>
      <c r="R410" t="s">
        <v>44</v>
      </c>
      <c r="S410">
        <v>30000</v>
      </c>
      <c r="T410" s="118">
        <f t="shared" si="29"/>
        <v>3.0165912518853695</v>
      </c>
      <c r="U410" t="s">
        <v>44</v>
      </c>
      <c r="Y410">
        <v>1850000</v>
      </c>
      <c r="AA410">
        <v>1850000</v>
      </c>
      <c r="AC410" t="s">
        <v>4132</v>
      </c>
      <c r="AD410" t="s">
        <v>4136</v>
      </c>
      <c r="AE410" s="243" t="s">
        <v>4137</v>
      </c>
      <c r="AF410" s="243" t="s">
        <v>4134</v>
      </c>
      <c r="AI410" s="59" t="e">
        <f t="shared" si="30"/>
        <v>#N/A</v>
      </c>
      <c r="AJ410" t="e">
        <f t="shared" si="31"/>
        <v>#N/A</v>
      </c>
      <c r="AK410" t="str">
        <f t="shared" si="33"/>
        <v/>
      </c>
    </row>
    <row r="411" spans="1:37" ht="15" customHeight="1">
      <c r="A411" s="122">
        <v>8</v>
      </c>
      <c r="B411" s="59">
        <v>404</v>
      </c>
      <c r="C411" t="s">
        <v>4138</v>
      </c>
      <c r="D411" t="s">
        <v>4139</v>
      </c>
      <c r="E411">
        <v>325</v>
      </c>
      <c r="G411" t="s">
        <v>1910</v>
      </c>
      <c r="H411" s="119">
        <f t="shared" si="32"/>
        <v>187.5</v>
      </c>
      <c r="I411" s="117">
        <v>43487</v>
      </c>
      <c r="J411">
        <v>2800</v>
      </c>
      <c r="L411">
        <v>2800</v>
      </c>
      <c r="M411">
        <v>1982</v>
      </c>
      <c r="P411" t="s">
        <v>1911</v>
      </c>
      <c r="R411" t="s">
        <v>44</v>
      </c>
      <c r="S411">
        <v>10050</v>
      </c>
      <c r="T411" s="118">
        <f t="shared" si="29"/>
        <v>3.5892857142857144</v>
      </c>
      <c r="U411" t="s">
        <v>44</v>
      </c>
      <c r="Y411">
        <v>525000</v>
      </c>
      <c r="AA411">
        <v>525000</v>
      </c>
      <c r="AC411" t="s">
        <v>4140</v>
      </c>
      <c r="AD411" t="s">
        <v>4141</v>
      </c>
      <c r="AE411" s="243" t="s">
        <v>4142</v>
      </c>
      <c r="AF411" s="243" t="s">
        <v>4143</v>
      </c>
      <c r="AI411" s="59" t="e">
        <f t="shared" si="30"/>
        <v>#N/A</v>
      </c>
      <c r="AJ411" t="e">
        <f t="shared" si="31"/>
        <v>#N/A</v>
      </c>
      <c r="AK411" t="str">
        <f t="shared" si="33"/>
        <v/>
      </c>
    </row>
    <row r="412" spans="1:37" ht="15" customHeight="1">
      <c r="A412" s="122">
        <v>8</v>
      </c>
      <c r="B412" s="59">
        <v>405</v>
      </c>
      <c r="C412" t="s">
        <v>4144</v>
      </c>
      <c r="D412" t="s">
        <v>4145</v>
      </c>
      <c r="E412">
        <v>406</v>
      </c>
      <c r="G412" t="s">
        <v>1910</v>
      </c>
      <c r="H412" s="119">
        <f t="shared" si="32"/>
        <v>253.37837837837839</v>
      </c>
      <c r="I412" s="117">
        <v>44364</v>
      </c>
      <c r="J412">
        <v>4736</v>
      </c>
      <c r="L412">
        <v>4736</v>
      </c>
      <c r="M412">
        <v>1971</v>
      </c>
      <c r="P412" t="s">
        <v>1911</v>
      </c>
      <c r="R412" t="s">
        <v>44</v>
      </c>
      <c r="S412">
        <v>19050</v>
      </c>
      <c r="T412" s="118">
        <f t="shared" si="29"/>
        <v>4.022381756756757</v>
      </c>
      <c r="U412" t="s">
        <v>44</v>
      </c>
      <c r="Y412">
        <v>1200000</v>
      </c>
      <c r="AA412">
        <v>1200000</v>
      </c>
      <c r="AC412" t="s">
        <v>4146</v>
      </c>
      <c r="AD412" t="s">
        <v>4147</v>
      </c>
      <c r="AE412" s="243" t="s">
        <v>4148</v>
      </c>
      <c r="AF412" s="243" t="s">
        <v>4149</v>
      </c>
      <c r="AI412" s="59" t="e">
        <f t="shared" si="30"/>
        <v>#N/A</v>
      </c>
      <c r="AJ412" t="e">
        <f t="shared" si="31"/>
        <v>#N/A</v>
      </c>
      <c r="AK412" t="str">
        <f t="shared" si="33"/>
        <v/>
      </c>
    </row>
    <row r="413" spans="1:37" ht="15" customHeight="1">
      <c r="A413" s="122">
        <v>8</v>
      </c>
      <c r="B413" s="59">
        <v>406</v>
      </c>
      <c r="C413" t="s">
        <v>4150</v>
      </c>
      <c r="D413" t="s">
        <v>4151</v>
      </c>
      <c r="E413">
        <v>406</v>
      </c>
      <c r="F413" t="s">
        <v>1785</v>
      </c>
      <c r="G413" t="s">
        <v>89</v>
      </c>
      <c r="H413" s="119">
        <f t="shared" si="32"/>
        <v>187.5</v>
      </c>
      <c r="I413" s="117">
        <v>43357</v>
      </c>
      <c r="J413">
        <v>4400</v>
      </c>
      <c r="L413">
        <v>4400</v>
      </c>
      <c r="M413">
        <v>1989</v>
      </c>
      <c r="P413" t="s">
        <v>3547</v>
      </c>
      <c r="R413" t="s">
        <v>44</v>
      </c>
      <c r="S413">
        <v>35000</v>
      </c>
      <c r="T413" s="118">
        <f t="shared" si="29"/>
        <v>7.9545454545454541</v>
      </c>
      <c r="U413" t="s">
        <v>44</v>
      </c>
      <c r="Y413">
        <v>825000</v>
      </c>
      <c r="AA413">
        <v>825000</v>
      </c>
      <c r="AC413" t="s">
        <v>4152</v>
      </c>
      <c r="AD413" t="s">
        <v>4153</v>
      </c>
      <c r="AE413" s="243" t="s">
        <v>4154</v>
      </c>
      <c r="AF413" s="243" t="s">
        <v>4155</v>
      </c>
      <c r="AI413" s="59" t="e">
        <f t="shared" si="30"/>
        <v>#N/A</v>
      </c>
      <c r="AJ413" t="e">
        <f t="shared" si="31"/>
        <v>#N/A</v>
      </c>
      <c r="AK413" t="str">
        <f t="shared" si="33"/>
        <v/>
      </c>
    </row>
    <row r="414" spans="1:37" ht="15" customHeight="1">
      <c r="A414" s="122">
        <v>8</v>
      </c>
      <c r="B414" s="59">
        <v>407</v>
      </c>
      <c r="C414" t="s">
        <v>4156</v>
      </c>
      <c r="D414" t="s">
        <v>4157</v>
      </c>
      <c r="E414">
        <v>425</v>
      </c>
      <c r="F414" t="s">
        <v>1814</v>
      </c>
      <c r="G414" t="s">
        <v>1815</v>
      </c>
      <c r="H414" s="119">
        <f t="shared" si="32"/>
        <v>120</v>
      </c>
      <c r="I414" s="117">
        <v>43259</v>
      </c>
      <c r="J414">
        <v>1500</v>
      </c>
      <c r="L414">
        <v>1500</v>
      </c>
      <c r="M414">
        <v>1982</v>
      </c>
      <c r="P414" t="s">
        <v>3966</v>
      </c>
      <c r="R414" t="s">
        <v>44</v>
      </c>
      <c r="S414">
        <v>6313</v>
      </c>
      <c r="T414" s="118">
        <f t="shared" si="29"/>
        <v>4.2086666666666668</v>
      </c>
      <c r="U414" t="s">
        <v>44</v>
      </c>
      <c r="Y414">
        <v>180000</v>
      </c>
      <c r="AA414">
        <v>180000</v>
      </c>
      <c r="AC414" t="s">
        <v>4158</v>
      </c>
      <c r="AD414" t="s">
        <v>4159</v>
      </c>
      <c r="AE414" s="243" t="s">
        <v>4160</v>
      </c>
      <c r="AF414" s="243" t="s">
        <v>4161</v>
      </c>
      <c r="AI414" s="59" t="e">
        <f t="shared" si="30"/>
        <v>#N/A</v>
      </c>
      <c r="AJ414" t="e">
        <f t="shared" si="31"/>
        <v>#N/A</v>
      </c>
      <c r="AK414" t="str">
        <f t="shared" si="33"/>
        <v/>
      </c>
    </row>
    <row r="415" spans="1:37" ht="15" customHeight="1">
      <c r="A415" s="122">
        <v>8</v>
      </c>
      <c r="B415" s="59">
        <v>408</v>
      </c>
      <c r="C415" t="s">
        <v>4162</v>
      </c>
      <c r="D415" t="s">
        <v>4163</v>
      </c>
      <c r="E415">
        <v>425</v>
      </c>
      <c r="F415" t="s">
        <v>1814</v>
      </c>
      <c r="G415" t="s">
        <v>1815</v>
      </c>
      <c r="H415" s="119">
        <f t="shared" si="32"/>
        <v>120</v>
      </c>
      <c r="I415" s="117">
        <v>44070</v>
      </c>
      <c r="J415">
        <v>1500</v>
      </c>
      <c r="L415">
        <v>1500</v>
      </c>
      <c r="M415">
        <v>1982</v>
      </c>
      <c r="P415" t="s">
        <v>1932</v>
      </c>
      <c r="R415" t="s">
        <v>44</v>
      </c>
      <c r="S415">
        <v>4608</v>
      </c>
      <c r="T415" s="118">
        <f t="shared" si="29"/>
        <v>3.0720000000000001</v>
      </c>
      <c r="U415" t="s">
        <v>44</v>
      </c>
      <c r="Y415">
        <v>180000</v>
      </c>
      <c r="AA415">
        <v>180000</v>
      </c>
      <c r="AC415" t="s">
        <v>4164</v>
      </c>
      <c r="AD415" t="s">
        <v>4165</v>
      </c>
      <c r="AE415" s="243" t="s">
        <v>4166</v>
      </c>
      <c r="AF415" s="243" t="s">
        <v>4167</v>
      </c>
      <c r="AI415" s="59" t="e">
        <f t="shared" si="30"/>
        <v>#N/A</v>
      </c>
      <c r="AJ415" t="e">
        <f t="shared" si="31"/>
        <v>#N/A</v>
      </c>
      <c r="AK415" t="str">
        <f t="shared" si="33"/>
        <v/>
      </c>
    </row>
    <row r="416" spans="1:37" ht="15" customHeight="1">
      <c r="A416" s="122">
        <v>8</v>
      </c>
      <c r="B416" s="59">
        <v>409</v>
      </c>
      <c r="C416" t="s">
        <v>4168</v>
      </c>
      <c r="D416" t="s">
        <v>4169</v>
      </c>
      <c r="E416">
        <v>406</v>
      </c>
      <c r="G416" t="s">
        <v>1910</v>
      </c>
      <c r="H416" s="119">
        <f t="shared" si="32"/>
        <v>217.05665024630542</v>
      </c>
      <c r="I416" s="117">
        <v>43188</v>
      </c>
      <c r="J416">
        <v>6496</v>
      </c>
      <c r="L416">
        <v>6496</v>
      </c>
      <c r="M416">
        <v>1999</v>
      </c>
      <c r="P416" t="s">
        <v>1911</v>
      </c>
      <c r="R416" t="s">
        <v>44</v>
      </c>
      <c r="S416">
        <v>75611</v>
      </c>
      <c r="T416" s="118">
        <f t="shared" si="29"/>
        <v>11.639624384236454</v>
      </c>
      <c r="U416" t="s">
        <v>44</v>
      </c>
      <c r="Y416">
        <v>1410000</v>
      </c>
      <c r="AA416">
        <v>1410000</v>
      </c>
      <c r="AC416" t="s">
        <v>4170</v>
      </c>
      <c r="AD416" t="s">
        <v>4171</v>
      </c>
      <c r="AE416" s="243" t="s">
        <v>4172</v>
      </c>
      <c r="AF416" s="243" t="s">
        <v>4173</v>
      </c>
      <c r="AI416" s="59" t="e">
        <f t="shared" si="30"/>
        <v>#N/A</v>
      </c>
      <c r="AJ416" t="e">
        <f t="shared" si="31"/>
        <v>#N/A</v>
      </c>
      <c r="AK416" t="str">
        <f t="shared" si="33"/>
        <v/>
      </c>
    </row>
    <row r="417" spans="1:37" ht="15" customHeight="1">
      <c r="A417" s="122">
        <v>8</v>
      </c>
      <c r="B417" s="59">
        <v>410</v>
      </c>
      <c r="C417" t="s">
        <v>4174</v>
      </c>
      <c r="D417" t="s">
        <v>4175</v>
      </c>
      <c r="E417">
        <v>353</v>
      </c>
      <c r="G417" t="s">
        <v>88</v>
      </c>
      <c r="H417" s="119">
        <f t="shared" si="32"/>
        <v>244.69820554649266</v>
      </c>
      <c r="I417" s="117">
        <v>43388</v>
      </c>
      <c r="J417">
        <v>3065</v>
      </c>
      <c r="L417">
        <v>3065</v>
      </c>
      <c r="M417">
        <v>1975</v>
      </c>
      <c r="P417" t="s">
        <v>1925</v>
      </c>
      <c r="R417" t="s">
        <v>44</v>
      </c>
      <c r="S417">
        <v>35620</v>
      </c>
      <c r="T417" s="118">
        <f t="shared" si="29"/>
        <v>11.621533442088092</v>
      </c>
      <c r="U417" t="s">
        <v>44</v>
      </c>
      <c r="Y417">
        <v>750000</v>
      </c>
      <c r="AA417">
        <v>750000</v>
      </c>
      <c r="AC417" t="s">
        <v>4176</v>
      </c>
      <c r="AD417" t="s">
        <v>4177</v>
      </c>
      <c r="AE417" s="243" t="s">
        <v>4178</v>
      </c>
      <c r="AF417" s="243" t="s">
        <v>4179</v>
      </c>
      <c r="AI417" s="59" t="e">
        <f t="shared" si="30"/>
        <v>#N/A</v>
      </c>
      <c r="AJ417" t="e">
        <f t="shared" si="31"/>
        <v>#N/A</v>
      </c>
      <c r="AK417" t="str">
        <f t="shared" si="33"/>
        <v/>
      </c>
    </row>
    <row r="418" spans="1:37" ht="15" customHeight="1">
      <c r="A418" s="122">
        <v>8</v>
      </c>
      <c r="B418" s="59">
        <v>411</v>
      </c>
      <c r="C418" t="s">
        <v>4180</v>
      </c>
      <c r="D418" t="s">
        <v>4181</v>
      </c>
      <c r="E418">
        <v>419</v>
      </c>
      <c r="G418" t="s">
        <v>1910</v>
      </c>
      <c r="H418" s="119">
        <f t="shared" si="32"/>
        <v>488.12957621477699</v>
      </c>
      <c r="I418" s="117">
        <v>44266</v>
      </c>
      <c r="J418">
        <v>4507</v>
      </c>
      <c r="L418">
        <v>4507</v>
      </c>
      <c r="M418">
        <v>1986</v>
      </c>
      <c r="P418" t="s">
        <v>1911</v>
      </c>
      <c r="R418" t="s">
        <v>44</v>
      </c>
      <c r="S418">
        <v>77434</v>
      </c>
      <c r="T418" s="118">
        <f t="shared" si="29"/>
        <v>17.180829820279566</v>
      </c>
      <c r="U418" t="s">
        <v>44</v>
      </c>
      <c r="Y418">
        <v>2200000</v>
      </c>
      <c r="AA418">
        <v>2200000</v>
      </c>
      <c r="AC418" t="s">
        <v>4182</v>
      </c>
      <c r="AD418" t="s">
        <v>4183</v>
      </c>
      <c r="AE418" s="243" t="s">
        <v>4184</v>
      </c>
      <c r="AF418" s="243" t="s">
        <v>4185</v>
      </c>
      <c r="AI418" s="59" t="e">
        <f t="shared" si="30"/>
        <v>#N/A</v>
      </c>
      <c r="AJ418" t="e">
        <f t="shared" si="31"/>
        <v>#N/A</v>
      </c>
      <c r="AK418" t="str">
        <f t="shared" si="33"/>
        <v/>
      </c>
    </row>
    <row r="419" spans="1:37" ht="15" customHeight="1">
      <c r="A419" s="122">
        <v>8</v>
      </c>
      <c r="B419" s="59">
        <v>412</v>
      </c>
      <c r="C419" t="s">
        <v>4186</v>
      </c>
      <c r="D419" t="s">
        <v>4187</v>
      </c>
      <c r="E419">
        <v>407</v>
      </c>
      <c r="G419" t="s">
        <v>1910</v>
      </c>
      <c r="H419" s="119">
        <f t="shared" si="32"/>
        <v>169.25527678215849</v>
      </c>
      <c r="I419" s="117">
        <v>44377</v>
      </c>
      <c r="J419">
        <v>10044</v>
      </c>
      <c r="L419">
        <v>10044</v>
      </c>
      <c r="M419">
        <v>1972</v>
      </c>
      <c r="P419" t="s">
        <v>1911</v>
      </c>
      <c r="R419" t="s">
        <v>44</v>
      </c>
      <c r="S419">
        <v>45765</v>
      </c>
      <c r="T419" s="118">
        <f t="shared" si="29"/>
        <v>4.556451612903226</v>
      </c>
      <c r="U419" t="s">
        <v>44</v>
      </c>
      <c r="Y419">
        <v>1700000</v>
      </c>
      <c r="AA419">
        <v>1700000</v>
      </c>
      <c r="AC419" t="s">
        <v>4188</v>
      </c>
      <c r="AD419" t="s">
        <v>4189</v>
      </c>
      <c r="AE419" s="243" t="s">
        <v>4190</v>
      </c>
      <c r="AF419" s="243" t="s">
        <v>4191</v>
      </c>
      <c r="AI419" s="59" t="e">
        <f t="shared" si="30"/>
        <v>#N/A</v>
      </c>
      <c r="AJ419" t="e">
        <f t="shared" si="31"/>
        <v>#N/A</v>
      </c>
      <c r="AK419" t="str">
        <f t="shared" si="33"/>
        <v/>
      </c>
    </row>
    <row r="420" spans="1:37" ht="15" customHeight="1">
      <c r="A420" s="122">
        <v>8</v>
      </c>
      <c r="B420" s="59">
        <v>413</v>
      </c>
      <c r="C420" t="s">
        <v>2114</v>
      </c>
      <c r="D420" t="s">
        <v>4192</v>
      </c>
      <c r="E420">
        <v>344</v>
      </c>
      <c r="F420" t="s">
        <v>1984</v>
      </c>
      <c r="G420" t="s">
        <v>89</v>
      </c>
      <c r="H420" s="119">
        <f t="shared" si="32"/>
        <v>294</v>
      </c>
      <c r="I420" s="117">
        <v>44013</v>
      </c>
      <c r="J420">
        <v>2500</v>
      </c>
      <c r="L420">
        <v>2500</v>
      </c>
      <c r="M420">
        <v>1972</v>
      </c>
      <c r="P420" t="s">
        <v>2116</v>
      </c>
      <c r="R420" t="s">
        <v>44</v>
      </c>
      <c r="S420">
        <v>10454.4</v>
      </c>
      <c r="T420" s="118">
        <f t="shared" si="29"/>
        <v>4.1817599999999997</v>
      </c>
      <c r="U420" t="s">
        <v>44</v>
      </c>
      <c r="Y420">
        <v>735000</v>
      </c>
      <c r="AA420">
        <v>735000</v>
      </c>
      <c r="AC420" t="s">
        <v>2117</v>
      </c>
      <c r="AD420" t="s">
        <v>4193</v>
      </c>
      <c r="AE420" s="243" t="s">
        <v>4194</v>
      </c>
      <c r="AF420" s="243" t="s">
        <v>4195</v>
      </c>
      <c r="AI420" s="59" t="e">
        <f t="shared" si="30"/>
        <v>#N/A</v>
      </c>
      <c r="AJ420" t="e">
        <f t="shared" si="31"/>
        <v>#N/A</v>
      </c>
      <c r="AK420" t="str">
        <f t="shared" si="33"/>
        <v/>
      </c>
    </row>
    <row r="421" spans="1:37" ht="15" customHeight="1">
      <c r="A421" s="122">
        <v>8</v>
      </c>
      <c r="B421" s="59">
        <v>414</v>
      </c>
      <c r="C421" t="s">
        <v>4196</v>
      </c>
      <c r="D421" t="s">
        <v>4197</v>
      </c>
      <c r="E421">
        <v>407</v>
      </c>
      <c r="F421" t="s">
        <v>1814</v>
      </c>
      <c r="G421" t="s">
        <v>1815</v>
      </c>
      <c r="H421" s="119">
        <f t="shared" si="32"/>
        <v>137.75510204081633</v>
      </c>
      <c r="I421" s="117">
        <v>44272</v>
      </c>
      <c r="J421">
        <v>9800</v>
      </c>
      <c r="L421">
        <v>9800</v>
      </c>
      <c r="M421">
        <v>1972</v>
      </c>
      <c r="P421" t="s">
        <v>1932</v>
      </c>
      <c r="R421" t="s">
        <v>44</v>
      </c>
      <c r="S421">
        <v>22000</v>
      </c>
      <c r="T421" s="118">
        <f t="shared" ref="T421:T484" si="34">S421/J421</f>
        <v>2.2448979591836733</v>
      </c>
      <c r="U421" t="s">
        <v>44</v>
      </c>
      <c r="Y421">
        <v>1350000</v>
      </c>
      <c r="AA421">
        <v>1350000</v>
      </c>
      <c r="AC421" t="s">
        <v>4198</v>
      </c>
      <c r="AD421" t="s">
        <v>4199</v>
      </c>
      <c r="AE421" s="243" t="s">
        <v>4200</v>
      </c>
      <c r="AF421" s="243" t="s">
        <v>4201</v>
      </c>
      <c r="AI421" s="59" t="e">
        <f t="shared" si="30"/>
        <v>#N/A</v>
      </c>
      <c r="AJ421" t="e">
        <f t="shared" si="31"/>
        <v>#N/A</v>
      </c>
      <c r="AK421" t="str">
        <f t="shared" si="33"/>
        <v/>
      </c>
    </row>
    <row r="422" spans="1:37" ht="15" customHeight="1">
      <c r="A422" s="122">
        <v>8</v>
      </c>
      <c r="B422" s="59">
        <v>415</v>
      </c>
      <c r="C422" t="s">
        <v>4202</v>
      </c>
      <c r="D422" t="s">
        <v>4203</v>
      </c>
      <c r="E422">
        <v>353</v>
      </c>
      <c r="F422" t="s">
        <v>1984</v>
      </c>
      <c r="G422" t="s">
        <v>89</v>
      </c>
      <c r="H422" s="119">
        <f t="shared" si="32"/>
        <v>97.41379310344827</v>
      </c>
      <c r="I422" s="117">
        <v>43167</v>
      </c>
      <c r="J422">
        <v>5800</v>
      </c>
      <c r="L422">
        <v>5800</v>
      </c>
      <c r="M422">
        <v>1920</v>
      </c>
      <c r="P422" t="s">
        <v>3682</v>
      </c>
      <c r="R422" t="s">
        <v>44</v>
      </c>
      <c r="S422">
        <v>13000</v>
      </c>
      <c r="T422" s="118">
        <f t="shared" si="34"/>
        <v>2.2413793103448274</v>
      </c>
      <c r="U422" t="s">
        <v>44</v>
      </c>
      <c r="Y422">
        <v>565000</v>
      </c>
      <c r="AA422">
        <v>565000</v>
      </c>
      <c r="AC422" t="s">
        <v>4204</v>
      </c>
      <c r="AD422" t="s">
        <v>4205</v>
      </c>
      <c r="AE422" s="243" t="s">
        <v>4206</v>
      </c>
      <c r="AF422" s="243" t="s">
        <v>4207</v>
      </c>
      <c r="AI422" s="59" t="e">
        <f t="shared" si="30"/>
        <v>#N/A</v>
      </c>
      <c r="AJ422" t="e">
        <f t="shared" si="31"/>
        <v>#N/A</v>
      </c>
      <c r="AK422" t="str">
        <f t="shared" si="33"/>
        <v/>
      </c>
    </row>
    <row r="423" spans="1:37" ht="15" customHeight="1">
      <c r="A423" s="122">
        <v>8</v>
      </c>
      <c r="B423" s="59">
        <v>416</v>
      </c>
      <c r="C423" t="s">
        <v>4208</v>
      </c>
      <c r="D423" t="s">
        <v>4209</v>
      </c>
      <c r="E423">
        <v>344</v>
      </c>
      <c r="G423" t="s">
        <v>89</v>
      </c>
      <c r="H423" s="119">
        <f t="shared" si="32"/>
        <v>654.06976744186045</v>
      </c>
      <c r="I423" s="117">
        <v>43329</v>
      </c>
      <c r="J423">
        <v>1032</v>
      </c>
      <c r="L423">
        <v>1032</v>
      </c>
      <c r="M423">
        <v>1952</v>
      </c>
      <c r="P423" t="s">
        <v>1911</v>
      </c>
      <c r="R423" t="s">
        <v>44</v>
      </c>
      <c r="S423">
        <v>25089</v>
      </c>
      <c r="T423" s="118">
        <f t="shared" si="34"/>
        <v>24.311046511627907</v>
      </c>
      <c r="U423" t="s">
        <v>44</v>
      </c>
      <c r="Y423">
        <v>675000</v>
      </c>
      <c r="AA423">
        <v>675000</v>
      </c>
      <c r="AC423" t="s">
        <v>4210</v>
      </c>
      <c r="AD423" t="s">
        <v>4211</v>
      </c>
      <c r="AE423" s="243" t="s">
        <v>4212</v>
      </c>
      <c r="AF423" s="243" t="s">
        <v>4213</v>
      </c>
      <c r="AI423" s="59" t="e">
        <f t="shared" si="30"/>
        <v>#N/A</v>
      </c>
      <c r="AJ423" t="e">
        <f t="shared" si="31"/>
        <v>#N/A</v>
      </c>
      <c r="AK423" t="str">
        <f t="shared" si="33"/>
        <v/>
      </c>
    </row>
    <row r="424" spans="1:37" ht="15" customHeight="1">
      <c r="A424" s="122">
        <v>8</v>
      </c>
      <c r="B424" s="59">
        <v>417</v>
      </c>
      <c r="C424" t="s">
        <v>4214</v>
      </c>
      <c r="D424" t="s">
        <v>4215</v>
      </c>
      <c r="E424">
        <v>353</v>
      </c>
      <c r="F424" t="s">
        <v>2141</v>
      </c>
      <c r="G424" t="s">
        <v>1910</v>
      </c>
      <c r="H424" s="119">
        <f t="shared" si="32"/>
        <v>69.644811461546112</v>
      </c>
      <c r="I424" s="117">
        <v>43656</v>
      </c>
      <c r="J424">
        <v>10051</v>
      </c>
      <c r="L424">
        <v>10051</v>
      </c>
      <c r="M424">
        <v>1947</v>
      </c>
      <c r="P424" t="s">
        <v>3269</v>
      </c>
      <c r="R424" t="s">
        <v>44</v>
      </c>
      <c r="S424">
        <v>18037</v>
      </c>
      <c r="T424" s="118">
        <f t="shared" si="34"/>
        <v>1.794547806188439</v>
      </c>
      <c r="U424" t="s">
        <v>44</v>
      </c>
      <c r="Y424">
        <v>700000</v>
      </c>
      <c r="AA424">
        <v>700000</v>
      </c>
      <c r="AC424" t="s">
        <v>4216</v>
      </c>
      <c r="AD424" t="s">
        <v>4217</v>
      </c>
      <c r="AE424" s="243" t="s">
        <v>4218</v>
      </c>
      <c r="AF424" s="243" t="s">
        <v>3273</v>
      </c>
      <c r="AI424" s="59" t="e">
        <f t="shared" si="30"/>
        <v>#N/A</v>
      </c>
      <c r="AJ424" t="e">
        <f t="shared" si="31"/>
        <v>#N/A</v>
      </c>
      <c r="AK424" t="str">
        <f t="shared" si="33"/>
        <v/>
      </c>
    </row>
    <row r="425" spans="1:37" ht="15" customHeight="1">
      <c r="A425" s="122">
        <v>8</v>
      </c>
      <c r="B425" s="59">
        <v>418</v>
      </c>
      <c r="C425" t="s">
        <v>4219</v>
      </c>
      <c r="D425" t="s">
        <v>4220</v>
      </c>
      <c r="E425">
        <v>344</v>
      </c>
      <c r="F425" t="s">
        <v>1896</v>
      </c>
      <c r="G425" t="s">
        <v>90</v>
      </c>
      <c r="H425" s="119">
        <f t="shared" si="32"/>
        <v>141.54281670205236</v>
      </c>
      <c r="I425" s="117">
        <v>44442</v>
      </c>
      <c r="J425">
        <v>55107</v>
      </c>
      <c r="L425">
        <v>55107</v>
      </c>
      <c r="M425">
        <v>1980</v>
      </c>
      <c r="P425" t="s">
        <v>2197</v>
      </c>
      <c r="R425" t="s">
        <v>44</v>
      </c>
      <c r="S425">
        <v>318656</v>
      </c>
      <c r="T425" s="118">
        <f t="shared" si="34"/>
        <v>5.7824958716678463</v>
      </c>
      <c r="U425" t="s">
        <v>44</v>
      </c>
      <c r="Y425">
        <v>7800000</v>
      </c>
      <c r="AA425">
        <v>7800000</v>
      </c>
      <c r="AC425" t="s">
        <v>4221</v>
      </c>
      <c r="AD425" t="s">
        <v>4222</v>
      </c>
      <c r="AE425" s="243" t="s">
        <v>4223</v>
      </c>
      <c r="AF425" s="243" t="s">
        <v>4224</v>
      </c>
      <c r="AI425" s="59" t="e">
        <f t="shared" si="30"/>
        <v>#N/A</v>
      </c>
      <c r="AJ425" t="e">
        <f t="shared" si="31"/>
        <v>#N/A</v>
      </c>
      <c r="AK425" t="str">
        <f t="shared" si="33"/>
        <v/>
      </c>
    </row>
    <row r="426" spans="1:37" ht="15" customHeight="1">
      <c r="A426" s="122">
        <v>8</v>
      </c>
      <c r="B426" s="59">
        <v>419</v>
      </c>
      <c r="C426" t="s">
        <v>4225</v>
      </c>
      <c r="D426" t="s">
        <v>4226</v>
      </c>
      <c r="E426">
        <v>407</v>
      </c>
      <c r="F426" t="s">
        <v>2141</v>
      </c>
      <c r="G426" t="s">
        <v>1910</v>
      </c>
      <c r="H426" s="119">
        <f t="shared" si="32"/>
        <v>104.9520219328307</v>
      </c>
      <c r="I426" s="117">
        <v>44378</v>
      </c>
      <c r="J426">
        <v>23344</v>
      </c>
      <c r="L426">
        <v>23344</v>
      </c>
      <c r="M426">
        <v>1984</v>
      </c>
      <c r="P426" t="s">
        <v>2230</v>
      </c>
      <c r="R426" t="s">
        <v>44</v>
      </c>
      <c r="S426">
        <v>51674</v>
      </c>
      <c r="T426" s="118">
        <f t="shared" si="34"/>
        <v>2.2135880740233036</v>
      </c>
      <c r="U426" t="s">
        <v>44</v>
      </c>
      <c r="Y426">
        <v>2450000</v>
      </c>
      <c r="AA426">
        <v>2450000</v>
      </c>
      <c r="AC426" t="s">
        <v>4227</v>
      </c>
      <c r="AD426" t="s">
        <v>4228</v>
      </c>
      <c r="AE426" s="243" t="s">
        <v>4229</v>
      </c>
      <c r="AF426" s="243" t="s">
        <v>4230</v>
      </c>
      <c r="AI426" s="59" t="e">
        <f t="shared" si="30"/>
        <v>#N/A</v>
      </c>
      <c r="AJ426" t="e">
        <f t="shared" si="31"/>
        <v>#N/A</v>
      </c>
      <c r="AK426" t="str">
        <f t="shared" si="33"/>
        <v/>
      </c>
    </row>
    <row r="427" spans="1:37" ht="15" customHeight="1">
      <c r="A427" s="122">
        <v>8</v>
      </c>
      <c r="B427" s="59">
        <v>420</v>
      </c>
      <c r="C427" t="s">
        <v>4231</v>
      </c>
      <c r="D427" t="s">
        <v>4232</v>
      </c>
      <c r="E427">
        <v>328</v>
      </c>
      <c r="G427" t="s">
        <v>1815</v>
      </c>
      <c r="H427" s="119">
        <f t="shared" si="32"/>
        <v>34.375</v>
      </c>
      <c r="I427" s="117">
        <v>43287</v>
      </c>
      <c r="J427">
        <v>960</v>
      </c>
      <c r="L427">
        <v>960</v>
      </c>
      <c r="M427">
        <v>1997</v>
      </c>
      <c r="P427" t="s">
        <v>3746</v>
      </c>
      <c r="R427" t="s">
        <v>44</v>
      </c>
      <c r="S427">
        <v>0</v>
      </c>
      <c r="T427" s="118">
        <f t="shared" si="34"/>
        <v>0</v>
      </c>
      <c r="U427" t="s">
        <v>44</v>
      </c>
      <c r="Y427">
        <v>33000</v>
      </c>
      <c r="AA427">
        <v>33000</v>
      </c>
      <c r="AC427" t="s">
        <v>4233</v>
      </c>
      <c r="AD427" t="s">
        <v>4234</v>
      </c>
      <c r="AE427" s="243" t="s">
        <v>4235</v>
      </c>
      <c r="AF427" s="243" t="s">
        <v>4236</v>
      </c>
      <c r="AI427" s="59" t="e">
        <f t="shared" si="30"/>
        <v>#N/A</v>
      </c>
      <c r="AJ427" t="e">
        <f t="shared" si="31"/>
        <v>#N/A</v>
      </c>
      <c r="AK427" t="str">
        <f t="shared" si="33"/>
        <v/>
      </c>
    </row>
    <row r="428" spans="1:37" ht="15" customHeight="1">
      <c r="A428" s="122">
        <v>8</v>
      </c>
      <c r="B428" s="59">
        <v>421</v>
      </c>
      <c r="C428" t="s">
        <v>4237</v>
      </c>
      <c r="D428" t="s">
        <v>4238</v>
      </c>
      <c r="E428">
        <v>325</v>
      </c>
      <c r="F428" t="s">
        <v>2141</v>
      </c>
      <c r="G428" t="s">
        <v>1910</v>
      </c>
      <c r="H428" s="119">
        <f t="shared" si="32"/>
        <v>425.92592592592592</v>
      </c>
      <c r="I428" s="117">
        <v>44732</v>
      </c>
      <c r="J428">
        <v>5400</v>
      </c>
      <c r="L428">
        <v>5400</v>
      </c>
      <c r="M428">
        <v>1972</v>
      </c>
      <c r="P428" t="s">
        <v>2230</v>
      </c>
      <c r="R428" t="s">
        <v>44</v>
      </c>
      <c r="S428">
        <v>143744</v>
      </c>
      <c r="T428" s="118">
        <f t="shared" si="34"/>
        <v>26.619259259259259</v>
      </c>
      <c r="U428" t="s">
        <v>44</v>
      </c>
      <c r="Y428">
        <v>2300000</v>
      </c>
      <c r="AA428">
        <v>2300000</v>
      </c>
      <c r="AC428" t="s">
        <v>4239</v>
      </c>
      <c r="AD428" t="s">
        <v>4240</v>
      </c>
      <c r="AE428" s="243" t="s">
        <v>3522</v>
      </c>
      <c r="AF428" s="243" t="s">
        <v>4241</v>
      </c>
      <c r="AI428" s="59" t="e">
        <f t="shared" si="30"/>
        <v>#N/A</v>
      </c>
      <c r="AJ428" t="e">
        <f t="shared" si="31"/>
        <v>#N/A</v>
      </c>
      <c r="AK428" t="str">
        <f t="shared" si="33"/>
        <v/>
      </c>
    </row>
    <row r="429" spans="1:37" ht="15" customHeight="1">
      <c r="A429" s="122">
        <v>8</v>
      </c>
      <c r="B429" s="59">
        <v>422</v>
      </c>
      <c r="C429" t="s">
        <v>4242</v>
      </c>
      <c r="D429" t="s">
        <v>4243</v>
      </c>
      <c r="E429">
        <v>407</v>
      </c>
      <c r="F429" t="s">
        <v>2141</v>
      </c>
      <c r="G429" t="s">
        <v>1910</v>
      </c>
      <c r="H429" s="119">
        <f t="shared" si="32"/>
        <v>114.31184270690443</v>
      </c>
      <c r="I429" s="117">
        <v>44008</v>
      </c>
      <c r="J429">
        <v>21870</v>
      </c>
      <c r="L429">
        <v>21870</v>
      </c>
      <c r="M429">
        <v>1967</v>
      </c>
      <c r="P429" t="s">
        <v>2230</v>
      </c>
      <c r="R429" t="s">
        <v>44</v>
      </c>
      <c r="S429">
        <v>73616</v>
      </c>
      <c r="T429" s="118">
        <f t="shared" si="34"/>
        <v>3.3660722450845908</v>
      </c>
      <c r="U429" t="s">
        <v>44</v>
      </c>
      <c r="Y429">
        <v>2500000</v>
      </c>
      <c r="AA429">
        <v>2500000</v>
      </c>
      <c r="AC429" t="s">
        <v>4244</v>
      </c>
      <c r="AD429" t="s">
        <v>4245</v>
      </c>
      <c r="AE429" s="243" t="s">
        <v>4246</v>
      </c>
      <c r="AF429" s="243" t="s">
        <v>4247</v>
      </c>
      <c r="AI429" s="59" t="e">
        <f t="shared" si="30"/>
        <v>#N/A</v>
      </c>
      <c r="AJ429" t="e">
        <f t="shared" si="31"/>
        <v>#N/A</v>
      </c>
      <c r="AK429" t="str">
        <f t="shared" si="33"/>
        <v/>
      </c>
    </row>
    <row r="430" spans="1:37" ht="15" customHeight="1">
      <c r="A430" s="122">
        <v>8</v>
      </c>
      <c r="B430" s="59">
        <v>423</v>
      </c>
      <c r="C430" t="s">
        <v>4248</v>
      </c>
      <c r="D430" t="s">
        <v>4249</v>
      </c>
      <c r="E430">
        <v>425</v>
      </c>
      <c r="G430" t="s">
        <v>1910</v>
      </c>
      <c r="H430" s="119">
        <f t="shared" si="32"/>
        <v>170</v>
      </c>
      <c r="I430" s="117">
        <v>43568</v>
      </c>
      <c r="J430">
        <v>1000</v>
      </c>
      <c r="L430">
        <v>1000</v>
      </c>
      <c r="M430">
        <v>1984</v>
      </c>
      <c r="P430" t="s">
        <v>1911</v>
      </c>
      <c r="R430" t="s">
        <v>44</v>
      </c>
      <c r="S430">
        <v>2893</v>
      </c>
      <c r="T430" s="118">
        <f t="shared" si="34"/>
        <v>2.8929999999999998</v>
      </c>
      <c r="U430" t="s">
        <v>44</v>
      </c>
      <c r="Y430">
        <v>170000</v>
      </c>
      <c r="AA430">
        <v>170000</v>
      </c>
      <c r="AC430" t="s">
        <v>4250</v>
      </c>
      <c r="AD430" t="s">
        <v>4251</v>
      </c>
      <c r="AE430" s="243" t="s">
        <v>4252</v>
      </c>
      <c r="AF430" s="243" t="s">
        <v>4253</v>
      </c>
      <c r="AI430" s="59" t="e">
        <f t="shared" si="30"/>
        <v>#N/A</v>
      </c>
      <c r="AJ430" t="e">
        <f t="shared" si="31"/>
        <v>#N/A</v>
      </c>
      <c r="AK430" t="str">
        <f t="shared" si="33"/>
        <v/>
      </c>
    </row>
    <row r="431" spans="1:37" ht="15" customHeight="1">
      <c r="A431" s="122">
        <v>8</v>
      </c>
      <c r="B431" s="59">
        <v>424</v>
      </c>
      <c r="C431" t="s">
        <v>4254</v>
      </c>
      <c r="D431" t="s">
        <v>4255</v>
      </c>
      <c r="E431">
        <v>407</v>
      </c>
      <c r="F431" t="s">
        <v>1814</v>
      </c>
      <c r="G431" t="s">
        <v>1815</v>
      </c>
      <c r="H431" s="119">
        <f t="shared" si="32"/>
        <v>111.36968085106383</v>
      </c>
      <c r="I431" s="117">
        <v>44312</v>
      </c>
      <c r="J431">
        <v>15040</v>
      </c>
      <c r="L431">
        <v>15040</v>
      </c>
      <c r="M431">
        <v>1966</v>
      </c>
      <c r="P431" t="s">
        <v>1816</v>
      </c>
      <c r="R431" t="s">
        <v>44</v>
      </c>
      <c r="S431">
        <v>35793</v>
      </c>
      <c r="T431" s="118">
        <f t="shared" si="34"/>
        <v>2.3798537234042554</v>
      </c>
      <c r="U431" t="s">
        <v>44</v>
      </c>
      <c r="Y431">
        <v>1675000</v>
      </c>
      <c r="AA431">
        <v>1675000</v>
      </c>
      <c r="AC431" t="s">
        <v>4256</v>
      </c>
      <c r="AD431" t="s">
        <v>4257</v>
      </c>
      <c r="AE431" s="243" t="s">
        <v>4258</v>
      </c>
      <c r="AF431" s="243" t="s">
        <v>4259</v>
      </c>
      <c r="AI431" s="59" t="e">
        <f t="shared" si="30"/>
        <v>#N/A</v>
      </c>
      <c r="AJ431" t="e">
        <f t="shared" si="31"/>
        <v>#N/A</v>
      </c>
      <c r="AK431" t="str">
        <f t="shared" si="33"/>
        <v/>
      </c>
    </row>
    <row r="432" spans="1:37" ht="15" customHeight="1">
      <c r="A432" s="122">
        <v>8</v>
      </c>
      <c r="B432" s="59">
        <v>425</v>
      </c>
      <c r="C432" t="s">
        <v>4260</v>
      </c>
      <c r="D432" t="s">
        <v>4261</v>
      </c>
      <c r="E432">
        <v>325</v>
      </c>
      <c r="F432" t="s">
        <v>1984</v>
      </c>
      <c r="G432" t="s">
        <v>89</v>
      </c>
      <c r="H432" s="119">
        <f t="shared" si="32"/>
        <v>184.61538461538461</v>
      </c>
      <c r="I432" s="117">
        <v>44029</v>
      </c>
      <c r="J432">
        <v>2600</v>
      </c>
      <c r="L432">
        <v>2600</v>
      </c>
      <c r="M432">
        <v>1957</v>
      </c>
      <c r="P432" t="s">
        <v>4262</v>
      </c>
      <c r="R432" t="s">
        <v>44</v>
      </c>
      <c r="S432">
        <v>10620</v>
      </c>
      <c r="T432" s="118">
        <f t="shared" si="34"/>
        <v>4.0846153846153843</v>
      </c>
      <c r="U432" t="s">
        <v>44</v>
      </c>
      <c r="Y432">
        <v>480000</v>
      </c>
      <c r="AA432">
        <v>480000</v>
      </c>
      <c r="AC432" t="s">
        <v>4263</v>
      </c>
      <c r="AD432" t="s">
        <v>4264</v>
      </c>
      <c r="AE432" s="243" t="s">
        <v>4265</v>
      </c>
      <c r="AF432" s="243" t="s">
        <v>4266</v>
      </c>
      <c r="AI432" s="59" t="e">
        <f t="shared" si="30"/>
        <v>#N/A</v>
      </c>
      <c r="AJ432" t="e">
        <f t="shared" si="31"/>
        <v>#N/A</v>
      </c>
      <c r="AK432" t="str">
        <f t="shared" si="33"/>
        <v/>
      </c>
    </row>
    <row r="433" spans="1:37" ht="15" customHeight="1">
      <c r="A433" s="122">
        <v>8</v>
      </c>
      <c r="B433" s="59">
        <v>426</v>
      </c>
      <c r="C433" t="s">
        <v>4267</v>
      </c>
      <c r="D433" t="s">
        <v>4268</v>
      </c>
      <c r="E433">
        <v>406</v>
      </c>
      <c r="F433" t="s">
        <v>2542</v>
      </c>
      <c r="G433" t="s">
        <v>88</v>
      </c>
      <c r="H433" s="119">
        <f t="shared" si="32"/>
        <v>90.909090909090907</v>
      </c>
      <c r="I433" s="117">
        <v>43784</v>
      </c>
      <c r="J433">
        <v>11000</v>
      </c>
      <c r="L433">
        <v>11000</v>
      </c>
      <c r="M433">
        <v>1998</v>
      </c>
      <c r="P433" t="s">
        <v>3746</v>
      </c>
      <c r="R433" t="s">
        <v>44</v>
      </c>
      <c r="S433">
        <v>218235.6</v>
      </c>
      <c r="T433" s="118">
        <f t="shared" si="34"/>
        <v>19.839600000000001</v>
      </c>
      <c r="U433" t="s">
        <v>44</v>
      </c>
      <c r="Y433">
        <v>1000000</v>
      </c>
      <c r="AA433">
        <v>1000000</v>
      </c>
      <c r="AC433" t="s">
        <v>4269</v>
      </c>
      <c r="AD433" t="s">
        <v>4270</v>
      </c>
      <c r="AE433" s="243" t="s">
        <v>4271</v>
      </c>
      <c r="AF433" s="243" t="s">
        <v>4272</v>
      </c>
      <c r="AI433" s="59">
        <f t="shared" si="30"/>
        <v>3400</v>
      </c>
      <c r="AJ433">
        <f t="shared" si="31"/>
        <v>3400.0000433</v>
      </c>
      <c r="AK433" t="str">
        <f t="shared" si="33"/>
        <v/>
      </c>
    </row>
    <row r="434" spans="1:37" ht="15" customHeight="1">
      <c r="A434" s="122">
        <v>8</v>
      </c>
      <c r="B434" s="59">
        <v>428</v>
      </c>
      <c r="C434" t="s">
        <v>4273</v>
      </c>
      <c r="D434" t="s">
        <v>4274</v>
      </c>
      <c r="E434">
        <v>406</v>
      </c>
      <c r="G434" t="s">
        <v>1910</v>
      </c>
      <c r="H434" s="119">
        <f t="shared" si="32"/>
        <v>136.66666666666666</v>
      </c>
      <c r="I434" s="117">
        <v>43647</v>
      </c>
      <c r="J434">
        <v>7500</v>
      </c>
      <c r="L434">
        <v>7500</v>
      </c>
      <c r="M434">
        <v>1975</v>
      </c>
      <c r="P434" t="s">
        <v>1911</v>
      </c>
      <c r="R434" t="s">
        <v>44</v>
      </c>
      <c r="S434">
        <v>17032</v>
      </c>
      <c r="T434" s="118">
        <f t="shared" si="34"/>
        <v>2.2709333333333332</v>
      </c>
      <c r="U434" t="s">
        <v>44</v>
      </c>
      <c r="Y434">
        <v>1025000</v>
      </c>
      <c r="AA434">
        <v>1025000</v>
      </c>
      <c r="AC434" t="s">
        <v>4275</v>
      </c>
      <c r="AD434" t="s">
        <v>4276</v>
      </c>
      <c r="AE434" s="243" t="s">
        <v>4277</v>
      </c>
      <c r="AF434" s="243" t="s">
        <v>4278</v>
      </c>
      <c r="AI434" s="59" t="e">
        <f t="shared" si="30"/>
        <v>#N/A</v>
      </c>
      <c r="AJ434" t="e">
        <f t="shared" si="31"/>
        <v>#N/A</v>
      </c>
      <c r="AK434" t="str">
        <f t="shared" si="33"/>
        <v/>
      </c>
    </row>
    <row r="435" spans="1:37" ht="15" customHeight="1">
      <c r="A435" s="122">
        <v>8</v>
      </c>
      <c r="B435" s="59">
        <v>429</v>
      </c>
      <c r="C435" t="s">
        <v>4279</v>
      </c>
      <c r="D435" t="s">
        <v>4280</v>
      </c>
      <c r="E435">
        <v>407</v>
      </c>
      <c r="G435" t="s">
        <v>1910</v>
      </c>
      <c r="H435" s="119">
        <f t="shared" si="32"/>
        <v>141.66666666666666</v>
      </c>
      <c r="I435" s="117">
        <v>43725</v>
      </c>
      <c r="J435">
        <v>12000</v>
      </c>
      <c r="L435">
        <v>12000</v>
      </c>
      <c r="M435">
        <v>1979</v>
      </c>
      <c r="P435" t="s">
        <v>1911</v>
      </c>
      <c r="R435" t="s">
        <v>44</v>
      </c>
      <c r="S435">
        <v>35292</v>
      </c>
      <c r="T435" s="118">
        <f t="shared" si="34"/>
        <v>2.9409999999999998</v>
      </c>
      <c r="U435" t="s">
        <v>44</v>
      </c>
      <c r="Y435">
        <v>1700000</v>
      </c>
      <c r="AA435">
        <v>1700000</v>
      </c>
      <c r="AC435" t="s">
        <v>4281</v>
      </c>
      <c r="AD435" t="s">
        <v>4282</v>
      </c>
      <c r="AE435" s="243" t="s">
        <v>4283</v>
      </c>
      <c r="AF435" s="243" t="s">
        <v>4284</v>
      </c>
      <c r="AI435" s="59" t="e">
        <f t="shared" si="30"/>
        <v>#N/A</v>
      </c>
      <c r="AJ435" t="e">
        <f t="shared" si="31"/>
        <v>#N/A</v>
      </c>
      <c r="AK435" t="str">
        <f t="shared" si="33"/>
        <v/>
      </c>
    </row>
    <row r="436" spans="1:37" ht="15" customHeight="1">
      <c r="A436" s="122">
        <v>8</v>
      </c>
      <c r="B436" s="59">
        <v>430</v>
      </c>
      <c r="C436" t="s">
        <v>4285</v>
      </c>
      <c r="D436" t="s">
        <v>4286</v>
      </c>
      <c r="E436">
        <v>584</v>
      </c>
      <c r="F436" t="s">
        <v>1984</v>
      </c>
      <c r="G436" t="s">
        <v>89</v>
      </c>
      <c r="H436" s="119">
        <f t="shared" si="32"/>
        <v>31.209313012177375</v>
      </c>
      <c r="I436" s="117">
        <v>43367</v>
      </c>
      <c r="J436">
        <v>1305700</v>
      </c>
      <c r="L436">
        <v>1305700</v>
      </c>
      <c r="M436">
        <v>1994</v>
      </c>
      <c r="P436" t="s">
        <v>3682</v>
      </c>
      <c r="R436" t="s">
        <v>44</v>
      </c>
      <c r="S436">
        <v>4499970</v>
      </c>
      <c r="T436" s="118">
        <f t="shared" si="34"/>
        <v>3.4464042276173701</v>
      </c>
      <c r="U436" t="s">
        <v>44</v>
      </c>
      <c r="Y436">
        <v>40750000</v>
      </c>
      <c r="AA436">
        <v>40750000</v>
      </c>
      <c r="AC436" t="s">
        <v>4287</v>
      </c>
      <c r="AD436" t="s">
        <v>4288</v>
      </c>
      <c r="AE436" s="243" t="s">
        <v>4289</v>
      </c>
      <c r="AF436" s="243" t="s">
        <v>4290</v>
      </c>
      <c r="AI436" s="59" t="e">
        <f t="shared" si="30"/>
        <v>#N/A</v>
      </c>
      <c r="AJ436" t="e">
        <f t="shared" si="31"/>
        <v>#N/A</v>
      </c>
      <c r="AK436" t="str">
        <f t="shared" si="33"/>
        <v/>
      </c>
    </row>
    <row r="437" spans="1:37" ht="15" customHeight="1">
      <c r="A437" s="122">
        <v>8</v>
      </c>
      <c r="B437" s="59">
        <v>431</v>
      </c>
      <c r="C437" t="s">
        <v>4291</v>
      </c>
      <c r="D437" t="s">
        <v>4292</v>
      </c>
      <c r="E437">
        <v>407</v>
      </c>
      <c r="F437" t="s">
        <v>1814</v>
      </c>
      <c r="G437" t="s">
        <v>1815</v>
      </c>
      <c r="H437" s="119">
        <f t="shared" si="32"/>
        <v>227.56138865368331</v>
      </c>
      <c r="I437" s="117">
        <v>43208</v>
      </c>
      <c r="J437">
        <v>18896</v>
      </c>
      <c r="L437">
        <v>18896</v>
      </c>
      <c r="M437">
        <v>2001</v>
      </c>
      <c r="P437" t="s">
        <v>2027</v>
      </c>
      <c r="R437" t="s">
        <v>44</v>
      </c>
      <c r="S437">
        <v>342817</v>
      </c>
      <c r="T437" s="118">
        <f t="shared" si="34"/>
        <v>18.142305249788315</v>
      </c>
      <c r="U437" t="s">
        <v>229</v>
      </c>
      <c r="Y437">
        <v>4300000</v>
      </c>
      <c r="AA437">
        <v>4300000</v>
      </c>
      <c r="AC437" t="s">
        <v>4293</v>
      </c>
      <c r="AD437" t="s">
        <v>4294</v>
      </c>
      <c r="AE437" s="243" t="s">
        <v>4295</v>
      </c>
      <c r="AF437" s="243" t="s">
        <v>4296</v>
      </c>
      <c r="AI437" s="59" t="e">
        <f t="shared" si="30"/>
        <v>#N/A</v>
      </c>
      <c r="AJ437" t="e">
        <f t="shared" si="31"/>
        <v>#N/A</v>
      </c>
      <c r="AK437" t="str">
        <f t="shared" si="33"/>
        <v/>
      </c>
    </row>
    <row r="438" spans="1:37" ht="15" customHeight="1">
      <c r="A438" s="122">
        <v>8</v>
      </c>
      <c r="B438" s="59">
        <v>432</v>
      </c>
      <c r="C438" t="s">
        <v>4297</v>
      </c>
      <c r="D438" t="s">
        <v>4298</v>
      </c>
      <c r="E438">
        <v>344</v>
      </c>
      <c r="F438" t="s">
        <v>1785</v>
      </c>
      <c r="G438" t="s">
        <v>1786</v>
      </c>
      <c r="H438" s="119">
        <f t="shared" si="32"/>
        <v>169.76917349218169</v>
      </c>
      <c r="I438" s="117">
        <v>44147</v>
      </c>
      <c r="J438">
        <v>1343</v>
      </c>
      <c r="L438">
        <v>1343</v>
      </c>
      <c r="M438">
        <v>2000</v>
      </c>
      <c r="P438" t="s">
        <v>1877</v>
      </c>
      <c r="R438" t="s">
        <v>229</v>
      </c>
      <c r="S438">
        <v>3100</v>
      </c>
      <c r="T438" s="118">
        <f t="shared" si="34"/>
        <v>2.3082650781831719</v>
      </c>
      <c r="U438" t="s">
        <v>229</v>
      </c>
      <c r="Y438">
        <v>228000</v>
      </c>
      <c r="AA438">
        <v>228000</v>
      </c>
      <c r="AC438" t="s">
        <v>4299</v>
      </c>
      <c r="AD438" t="s">
        <v>4300</v>
      </c>
      <c r="AE438" s="243" t="s">
        <v>2006</v>
      </c>
      <c r="AF438" s="243" t="s">
        <v>4301</v>
      </c>
      <c r="AI438" s="59" t="e">
        <f t="shared" si="30"/>
        <v>#N/A</v>
      </c>
      <c r="AJ438" t="e">
        <f t="shared" si="31"/>
        <v>#N/A</v>
      </c>
      <c r="AK438" t="str">
        <f t="shared" si="33"/>
        <v/>
      </c>
    </row>
    <row r="439" spans="1:37" ht="15" customHeight="1">
      <c r="A439" s="122">
        <v>8</v>
      </c>
      <c r="B439" s="59">
        <v>433</v>
      </c>
      <c r="C439" t="s">
        <v>4302</v>
      </c>
      <c r="D439" t="s">
        <v>4303</v>
      </c>
      <c r="E439">
        <v>344</v>
      </c>
      <c r="F439" t="s">
        <v>1800</v>
      </c>
      <c r="G439" t="s">
        <v>90</v>
      </c>
      <c r="H439" s="119">
        <f t="shared" si="32"/>
        <v>147.78533125026391</v>
      </c>
      <c r="I439" s="117">
        <v>44742</v>
      </c>
      <c r="J439">
        <v>23683</v>
      </c>
      <c r="L439">
        <v>23683</v>
      </c>
      <c r="M439">
        <v>1989</v>
      </c>
      <c r="P439" t="s">
        <v>1807</v>
      </c>
      <c r="R439" t="s">
        <v>44</v>
      </c>
      <c r="S439">
        <v>97650</v>
      </c>
      <c r="T439" s="118">
        <f t="shared" si="34"/>
        <v>4.1232107418823629</v>
      </c>
      <c r="U439" t="s">
        <v>44</v>
      </c>
      <c r="Y439">
        <v>3500000</v>
      </c>
      <c r="AA439">
        <v>3500000</v>
      </c>
      <c r="AC439" t="s">
        <v>4304</v>
      </c>
      <c r="AD439" t="s">
        <v>4305</v>
      </c>
      <c r="AE439" s="243" t="s">
        <v>4306</v>
      </c>
      <c r="AF439" s="243" t="s">
        <v>4307</v>
      </c>
      <c r="AI439" s="59" t="e">
        <f t="shared" si="30"/>
        <v>#N/A</v>
      </c>
      <c r="AJ439" t="e">
        <f t="shared" si="31"/>
        <v>#N/A</v>
      </c>
      <c r="AK439" t="str">
        <f t="shared" si="33"/>
        <v/>
      </c>
    </row>
    <row r="440" spans="1:37" ht="15" customHeight="1">
      <c r="A440" s="122">
        <v>8</v>
      </c>
      <c r="B440" s="59">
        <v>434</v>
      </c>
      <c r="C440" t="s">
        <v>4308</v>
      </c>
      <c r="D440" t="s">
        <v>4309</v>
      </c>
      <c r="E440">
        <v>325</v>
      </c>
      <c r="F440" t="s">
        <v>1800</v>
      </c>
      <c r="G440" t="s">
        <v>1786</v>
      </c>
      <c r="H440" s="119">
        <f t="shared" si="32"/>
        <v>172.1556886227545</v>
      </c>
      <c r="I440" s="117">
        <v>43230</v>
      </c>
      <c r="J440">
        <v>2672</v>
      </c>
      <c r="L440">
        <v>2672</v>
      </c>
      <c r="M440">
        <v>1927</v>
      </c>
      <c r="P440" t="s">
        <v>3809</v>
      </c>
      <c r="R440" t="s">
        <v>44</v>
      </c>
      <c r="S440">
        <v>15682</v>
      </c>
      <c r="T440" s="118">
        <f t="shared" si="34"/>
        <v>5.8690119760479043</v>
      </c>
      <c r="U440" t="s">
        <v>44</v>
      </c>
      <c r="Y440">
        <v>460000</v>
      </c>
      <c r="AA440">
        <v>460000</v>
      </c>
      <c r="AC440" t="s">
        <v>4310</v>
      </c>
      <c r="AD440" t="s">
        <v>4311</v>
      </c>
      <c r="AE440" s="243" t="s">
        <v>4312</v>
      </c>
      <c r="AF440" s="243" t="s">
        <v>4313</v>
      </c>
      <c r="AI440" s="59" t="e">
        <f t="shared" si="30"/>
        <v>#N/A</v>
      </c>
      <c r="AJ440" t="e">
        <f t="shared" si="31"/>
        <v>#N/A</v>
      </c>
      <c r="AK440" t="str">
        <f t="shared" si="33"/>
        <v/>
      </c>
    </row>
    <row r="441" spans="1:37" ht="15" customHeight="1">
      <c r="A441" s="122">
        <v>8</v>
      </c>
      <c r="B441" s="59">
        <v>435</v>
      </c>
      <c r="C441" t="s">
        <v>4314</v>
      </c>
      <c r="D441" t="s">
        <v>4315</v>
      </c>
      <c r="E441">
        <v>344</v>
      </c>
      <c r="F441" t="s">
        <v>1800</v>
      </c>
      <c r="G441" t="s">
        <v>90</v>
      </c>
      <c r="H441" s="119">
        <f t="shared" si="32"/>
        <v>171.87899718598106</v>
      </c>
      <c r="I441" s="117">
        <v>44039</v>
      </c>
      <c r="J441">
        <v>31272</v>
      </c>
      <c r="L441">
        <v>31272</v>
      </c>
      <c r="M441">
        <v>1985</v>
      </c>
      <c r="P441" t="s">
        <v>1807</v>
      </c>
      <c r="R441" t="s">
        <v>44</v>
      </c>
      <c r="S441">
        <v>80600</v>
      </c>
      <c r="T441" s="118">
        <f t="shared" si="34"/>
        <v>2.5773855205935021</v>
      </c>
      <c r="U441" t="s">
        <v>44</v>
      </c>
      <c r="Y441">
        <v>5375000</v>
      </c>
      <c r="AA441">
        <v>5375000</v>
      </c>
      <c r="AC441" t="s">
        <v>4316</v>
      </c>
      <c r="AD441" t="s">
        <v>4317</v>
      </c>
      <c r="AE441" s="243" t="s">
        <v>4318</v>
      </c>
      <c r="AF441" s="243" t="s">
        <v>4319</v>
      </c>
      <c r="AI441" s="59" t="e">
        <f t="shared" si="30"/>
        <v>#N/A</v>
      </c>
      <c r="AJ441" t="e">
        <f t="shared" si="31"/>
        <v>#N/A</v>
      </c>
      <c r="AK441" t="str">
        <f t="shared" si="33"/>
        <v/>
      </c>
    </row>
    <row r="442" spans="1:37" ht="15" customHeight="1">
      <c r="A442" s="122">
        <v>8</v>
      </c>
      <c r="B442" s="59">
        <v>436</v>
      </c>
      <c r="C442" t="s">
        <v>4320</v>
      </c>
      <c r="D442" t="s">
        <v>4321</v>
      </c>
      <c r="E442">
        <v>339</v>
      </c>
      <c r="F442" t="s">
        <v>1814</v>
      </c>
      <c r="G442" t="s">
        <v>1815</v>
      </c>
      <c r="H442" s="119">
        <f t="shared" si="32"/>
        <v>186.98060941828254</v>
      </c>
      <c r="I442" s="117">
        <v>44216</v>
      </c>
      <c r="J442">
        <v>14440</v>
      </c>
      <c r="L442">
        <v>14440</v>
      </c>
      <c r="M442">
        <v>1977</v>
      </c>
      <c r="P442" t="s">
        <v>1816</v>
      </c>
      <c r="R442" t="s">
        <v>44</v>
      </c>
      <c r="S442">
        <v>91040</v>
      </c>
      <c r="T442" s="118">
        <f t="shared" si="34"/>
        <v>6.3047091412742384</v>
      </c>
      <c r="U442" t="s">
        <v>44</v>
      </c>
      <c r="Y442">
        <v>2700000</v>
      </c>
      <c r="AA442">
        <v>2700000</v>
      </c>
      <c r="AC442" t="s">
        <v>4322</v>
      </c>
      <c r="AD442" t="s">
        <v>4323</v>
      </c>
      <c r="AE442" s="243" t="s">
        <v>4324</v>
      </c>
      <c r="AF442" s="243" t="s">
        <v>4325</v>
      </c>
      <c r="AI442" s="59" t="e">
        <f t="shared" si="30"/>
        <v>#N/A</v>
      </c>
      <c r="AJ442" t="e">
        <f t="shared" si="31"/>
        <v>#N/A</v>
      </c>
      <c r="AK442" t="str">
        <f t="shared" si="33"/>
        <v/>
      </c>
    </row>
    <row r="443" spans="1:37" ht="15" customHeight="1">
      <c r="A443" s="122">
        <v>8</v>
      </c>
      <c r="B443" s="59">
        <v>437</v>
      </c>
      <c r="C443" t="s">
        <v>4326</v>
      </c>
      <c r="D443" t="s">
        <v>4327</v>
      </c>
      <c r="E443">
        <v>353</v>
      </c>
      <c r="F443" t="s">
        <v>1924</v>
      </c>
      <c r="G443" t="s">
        <v>88</v>
      </c>
      <c r="H443" s="119">
        <f t="shared" si="32"/>
        <v>186.8131868131868</v>
      </c>
      <c r="I443" s="117">
        <v>43479</v>
      </c>
      <c r="J443">
        <v>9100</v>
      </c>
      <c r="L443">
        <v>9100</v>
      </c>
      <c r="M443">
        <v>2018</v>
      </c>
      <c r="P443" t="s">
        <v>3746</v>
      </c>
      <c r="R443" t="s">
        <v>44</v>
      </c>
      <c r="S443">
        <v>55921</v>
      </c>
      <c r="T443" s="118">
        <f t="shared" si="34"/>
        <v>6.1451648351648354</v>
      </c>
      <c r="U443" t="s">
        <v>44</v>
      </c>
      <c r="Y443">
        <v>1700000</v>
      </c>
      <c r="AA443">
        <v>1700000</v>
      </c>
      <c r="AC443" t="s">
        <v>4328</v>
      </c>
      <c r="AD443" t="s">
        <v>4329</v>
      </c>
      <c r="AE443" s="243" t="s">
        <v>4330</v>
      </c>
      <c r="AF443" s="243" t="s">
        <v>4331</v>
      </c>
      <c r="AI443" s="59" t="e">
        <f t="shared" si="30"/>
        <v>#N/A</v>
      </c>
      <c r="AJ443" t="e">
        <f t="shared" si="31"/>
        <v>#N/A</v>
      </c>
      <c r="AK443" t="str">
        <f t="shared" si="33"/>
        <v/>
      </c>
    </row>
    <row r="444" spans="1:37" ht="15" customHeight="1">
      <c r="A444" s="122">
        <v>8</v>
      </c>
      <c r="B444" s="59">
        <v>438</v>
      </c>
      <c r="C444" t="s">
        <v>4332</v>
      </c>
      <c r="D444" t="s">
        <v>4333</v>
      </c>
      <c r="E444">
        <v>319</v>
      </c>
      <c r="F444" t="s">
        <v>1896</v>
      </c>
      <c r="G444" t="s">
        <v>90</v>
      </c>
      <c r="H444" s="119">
        <f t="shared" si="32"/>
        <v>72.158482229586085</v>
      </c>
      <c r="I444" s="117">
        <v>44589</v>
      </c>
      <c r="J444">
        <v>180159</v>
      </c>
      <c r="L444">
        <v>180159</v>
      </c>
      <c r="M444">
        <v>2005</v>
      </c>
      <c r="P444" t="s">
        <v>1897</v>
      </c>
      <c r="R444" t="s">
        <v>44</v>
      </c>
      <c r="S444">
        <v>718914</v>
      </c>
      <c r="T444" s="118">
        <f t="shared" si="34"/>
        <v>3.9904417764308193</v>
      </c>
      <c r="U444" t="s">
        <v>44</v>
      </c>
      <c r="Y444">
        <v>13000000</v>
      </c>
      <c r="AA444">
        <v>13000000</v>
      </c>
      <c r="AC444" t="s">
        <v>4334</v>
      </c>
      <c r="AD444" t="s">
        <v>4335</v>
      </c>
      <c r="AE444" s="243" t="s">
        <v>4336</v>
      </c>
      <c r="AF444" s="243" t="s">
        <v>4337</v>
      </c>
      <c r="AI444" s="59" t="e">
        <f t="shared" si="30"/>
        <v>#N/A</v>
      </c>
      <c r="AJ444" t="e">
        <f t="shared" si="31"/>
        <v>#N/A</v>
      </c>
      <c r="AK444" t="str">
        <f t="shared" si="33"/>
        <v/>
      </c>
    </row>
    <row r="445" spans="1:37" ht="15" customHeight="1">
      <c r="A445" s="122">
        <v>8</v>
      </c>
      <c r="B445" s="59">
        <v>439</v>
      </c>
      <c r="C445" t="s">
        <v>4338</v>
      </c>
      <c r="D445" t="s">
        <v>4339</v>
      </c>
      <c r="E445">
        <v>325</v>
      </c>
      <c r="F445" t="s">
        <v>2494</v>
      </c>
      <c r="G445" t="s">
        <v>1786</v>
      </c>
      <c r="H445" s="119">
        <f t="shared" si="32"/>
        <v>144.44444444444446</v>
      </c>
      <c r="I445" s="117">
        <v>43179</v>
      </c>
      <c r="J445">
        <v>5400</v>
      </c>
      <c r="L445">
        <v>5400</v>
      </c>
      <c r="M445">
        <v>1985</v>
      </c>
      <c r="P445" t="s">
        <v>3662</v>
      </c>
      <c r="R445" t="s">
        <v>44</v>
      </c>
      <c r="S445">
        <v>19293</v>
      </c>
      <c r="T445" s="118">
        <f t="shared" si="34"/>
        <v>3.5727777777777776</v>
      </c>
      <c r="U445" t="s">
        <v>44</v>
      </c>
      <c r="Y445">
        <v>780000</v>
      </c>
      <c r="AA445">
        <v>780000</v>
      </c>
      <c r="AC445" t="s">
        <v>4340</v>
      </c>
      <c r="AD445" t="s">
        <v>4341</v>
      </c>
      <c r="AE445" s="243" t="s">
        <v>4342</v>
      </c>
      <c r="AF445" s="243" t="s">
        <v>4343</v>
      </c>
      <c r="AI445" s="59" t="e">
        <f t="shared" si="30"/>
        <v>#N/A</v>
      </c>
      <c r="AJ445" t="e">
        <f t="shared" si="31"/>
        <v>#N/A</v>
      </c>
      <c r="AK445" t="str">
        <f t="shared" si="33"/>
        <v/>
      </c>
    </row>
    <row r="446" spans="1:37" ht="15" customHeight="1">
      <c r="A446" s="122">
        <v>8</v>
      </c>
      <c r="B446" s="59">
        <v>440</v>
      </c>
      <c r="C446" t="s">
        <v>4344</v>
      </c>
      <c r="D446" t="s">
        <v>4345</v>
      </c>
      <c r="E446">
        <v>344</v>
      </c>
      <c r="F446" t="s">
        <v>1800</v>
      </c>
      <c r="G446" t="s">
        <v>1786</v>
      </c>
      <c r="H446" s="119">
        <f t="shared" si="32"/>
        <v>25.060330425097458</v>
      </c>
      <c r="I446" s="117">
        <v>44082</v>
      </c>
      <c r="J446">
        <v>10774</v>
      </c>
      <c r="L446">
        <v>10774</v>
      </c>
      <c r="M446">
        <v>1984</v>
      </c>
      <c r="P446" t="s">
        <v>1807</v>
      </c>
      <c r="R446" t="s">
        <v>44</v>
      </c>
      <c r="S446">
        <v>3842</v>
      </c>
      <c r="T446" s="118">
        <f t="shared" si="34"/>
        <v>0.35659922034527564</v>
      </c>
      <c r="U446" t="s">
        <v>44</v>
      </c>
      <c r="Y446">
        <v>270000</v>
      </c>
      <c r="AA446">
        <v>270000</v>
      </c>
      <c r="AC446" t="s">
        <v>4346</v>
      </c>
      <c r="AD446" t="s">
        <v>4347</v>
      </c>
      <c r="AE446" s="243" t="s">
        <v>4348</v>
      </c>
      <c r="AF446" s="243" t="s">
        <v>4349</v>
      </c>
      <c r="AI446" s="59" t="e">
        <f t="shared" si="30"/>
        <v>#N/A</v>
      </c>
      <c r="AJ446" t="e">
        <f t="shared" si="31"/>
        <v>#N/A</v>
      </c>
      <c r="AK446" t="str">
        <f t="shared" si="33"/>
        <v/>
      </c>
    </row>
    <row r="447" spans="1:37" ht="15" customHeight="1">
      <c r="A447" s="122">
        <v>8</v>
      </c>
      <c r="B447" s="59">
        <v>441</v>
      </c>
      <c r="C447" t="s">
        <v>4350</v>
      </c>
      <c r="D447" t="s">
        <v>4351</v>
      </c>
      <c r="E447">
        <v>584</v>
      </c>
      <c r="F447" t="s">
        <v>1814</v>
      </c>
      <c r="G447" t="s">
        <v>1815</v>
      </c>
      <c r="H447" s="119">
        <f t="shared" si="32"/>
        <v>81.486558525626378</v>
      </c>
      <c r="I447" s="117">
        <v>43200</v>
      </c>
      <c r="J447">
        <v>262620</v>
      </c>
      <c r="L447">
        <v>262620</v>
      </c>
      <c r="M447">
        <v>2002</v>
      </c>
      <c r="R447" t="s">
        <v>44</v>
      </c>
      <c r="S447">
        <v>700880.4</v>
      </c>
      <c r="T447" s="118">
        <f t="shared" si="34"/>
        <v>2.6688005483207675</v>
      </c>
      <c r="U447" t="s">
        <v>44</v>
      </c>
      <c r="Y447">
        <v>21400000</v>
      </c>
      <c r="AA447">
        <v>21400000</v>
      </c>
      <c r="AC447" t="s">
        <v>4352</v>
      </c>
      <c r="AD447" t="s">
        <v>4353</v>
      </c>
      <c r="AE447" s="243" t="s">
        <v>4354</v>
      </c>
      <c r="AF447" s="243" t="s">
        <v>4355</v>
      </c>
      <c r="AI447" s="59" t="e">
        <f t="shared" si="30"/>
        <v>#N/A</v>
      </c>
      <c r="AJ447" t="e">
        <f t="shared" si="31"/>
        <v>#N/A</v>
      </c>
      <c r="AK447" t="str">
        <f t="shared" si="33"/>
        <v/>
      </c>
    </row>
    <row r="448" spans="1:37" ht="15" customHeight="1">
      <c r="A448" s="122">
        <v>8</v>
      </c>
      <c r="B448" s="59">
        <v>442</v>
      </c>
      <c r="C448" t="s">
        <v>4356</v>
      </c>
      <c r="D448" t="s">
        <v>4357</v>
      </c>
      <c r="E448">
        <v>426</v>
      </c>
      <c r="G448" t="s">
        <v>88</v>
      </c>
      <c r="H448" s="119">
        <f t="shared" si="32"/>
        <v>118.56368563685636</v>
      </c>
      <c r="I448" s="117">
        <v>43116</v>
      </c>
      <c r="J448">
        <v>2952</v>
      </c>
      <c r="L448">
        <v>2952</v>
      </c>
      <c r="M448">
        <v>1949</v>
      </c>
      <c r="P448" t="s">
        <v>3571</v>
      </c>
      <c r="R448" t="s">
        <v>44</v>
      </c>
      <c r="S448">
        <v>33660</v>
      </c>
      <c r="T448" s="118">
        <f t="shared" si="34"/>
        <v>11.402439024390244</v>
      </c>
      <c r="U448" t="s">
        <v>44</v>
      </c>
      <c r="Y448">
        <v>350000</v>
      </c>
      <c r="AA448">
        <v>350000</v>
      </c>
      <c r="AC448" t="s">
        <v>4358</v>
      </c>
      <c r="AD448" t="s">
        <v>4359</v>
      </c>
      <c r="AE448" s="243" t="s">
        <v>4360</v>
      </c>
      <c r="AF448" s="243" t="s">
        <v>4361</v>
      </c>
      <c r="AI448" s="59" t="e">
        <f t="shared" si="30"/>
        <v>#N/A</v>
      </c>
      <c r="AJ448" t="e">
        <f t="shared" si="31"/>
        <v>#N/A</v>
      </c>
      <c r="AK448" t="str">
        <f t="shared" si="33"/>
        <v/>
      </c>
    </row>
    <row r="449" spans="1:37" ht="15" customHeight="1">
      <c r="A449" s="122">
        <v>8</v>
      </c>
      <c r="B449" s="59">
        <v>443</v>
      </c>
      <c r="C449" t="s">
        <v>4362</v>
      </c>
      <c r="D449" t="s">
        <v>4363</v>
      </c>
      <c r="E449">
        <v>353</v>
      </c>
      <c r="F449" t="s">
        <v>2494</v>
      </c>
      <c r="G449" t="s">
        <v>1786</v>
      </c>
      <c r="H449" s="119">
        <f t="shared" si="32"/>
        <v>274.24942263279445</v>
      </c>
      <c r="I449" s="117">
        <v>44519</v>
      </c>
      <c r="J449">
        <v>6928</v>
      </c>
      <c r="L449">
        <v>6928</v>
      </c>
      <c r="M449">
        <v>2003</v>
      </c>
      <c r="P449" t="s">
        <v>2495</v>
      </c>
      <c r="R449" t="s">
        <v>44</v>
      </c>
      <c r="S449">
        <v>60968</v>
      </c>
      <c r="T449" s="118">
        <f t="shared" si="34"/>
        <v>8.800230946882218</v>
      </c>
      <c r="U449" t="s">
        <v>229</v>
      </c>
      <c r="Y449">
        <v>1900000</v>
      </c>
      <c r="AA449">
        <v>1900000</v>
      </c>
      <c r="AC449" t="s">
        <v>4364</v>
      </c>
      <c r="AD449" t="s">
        <v>4365</v>
      </c>
      <c r="AE449" s="243" t="s">
        <v>4366</v>
      </c>
      <c r="AF449" s="243" t="s">
        <v>4367</v>
      </c>
      <c r="AI449" s="59" t="e">
        <f t="shared" si="30"/>
        <v>#N/A</v>
      </c>
      <c r="AJ449" t="e">
        <f t="shared" si="31"/>
        <v>#N/A</v>
      </c>
      <c r="AK449" t="str">
        <f t="shared" si="33"/>
        <v/>
      </c>
    </row>
    <row r="450" spans="1:37" ht="15" customHeight="1">
      <c r="A450" s="122">
        <v>8</v>
      </c>
      <c r="B450" s="59">
        <v>444</v>
      </c>
      <c r="C450" t="s">
        <v>4368</v>
      </c>
      <c r="D450" t="s">
        <v>4369</v>
      </c>
      <c r="E450">
        <v>328</v>
      </c>
      <c r="G450" t="s">
        <v>88</v>
      </c>
      <c r="H450" s="119">
        <f t="shared" si="32"/>
        <v>5.0595238095238093</v>
      </c>
      <c r="I450" s="117">
        <v>43804</v>
      </c>
      <c r="J450">
        <v>13440</v>
      </c>
      <c r="L450">
        <v>13440</v>
      </c>
      <c r="M450">
        <v>2000</v>
      </c>
      <c r="R450" t="s">
        <v>44</v>
      </c>
      <c r="S450">
        <v>0</v>
      </c>
      <c r="T450" s="118">
        <f t="shared" si="34"/>
        <v>0</v>
      </c>
      <c r="U450" t="s">
        <v>44</v>
      </c>
      <c r="Y450">
        <v>68000</v>
      </c>
      <c r="AA450">
        <v>68000</v>
      </c>
      <c r="AC450" t="s">
        <v>4370</v>
      </c>
      <c r="AD450" t="s">
        <v>4371</v>
      </c>
      <c r="AE450" s="243" t="s">
        <v>4372</v>
      </c>
      <c r="AF450" s="243" t="s">
        <v>4373</v>
      </c>
      <c r="AI450" s="59" t="e">
        <f t="shared" ref="AI450:AI513" si="35">IF(AND($E450=Subj_OccCode,Subj_BldgSF&gt;0,ABS($L450-Subj_BldgSF)&lt;=Subj_BldgSF*Subj_SizeTol),ABS($L450-Subj_BldgSF),NA())</f>
        <v>#N/A</v>
      </c>
      <c r="AJ450" t="e">
        <f t="shared" ref="AJ450:AJ513" si="36">IF(ISNA(AI450),NA(),AI450+ROW()/10000000)</f>
        <v>#N/A</v>
      </c>
      <c r="AK450" t="str">
        <f t="shared" si="33"/>
        <v/>
      </c>
    </row>
    <row r="451" spans="1:37" ht="15" customHeight="1">
      <c r="A451" s="122">
        <v>8</v>
      </c>
      <c r="B451" s="59">
        <v>445</v>
      </c>
      <c r="C451" t="s">
        <v>4374</v>
      </c>
      <c r="D451" t="s">
        <v>4375</v>
      </c>
      <c r="E451">
        <v>534</v>
      </c>
      <c r="G451" t="s">
        <v>1910</v>
      </c>
      <c r="H451" s="119">
        <f t="shared" si="32"/>
        <v>150.40650406504065</v>
      </c>
      <c r="I451" s="117">
        <v>43496</v>
      </c>
      <c r="J451">
        <v>12300</v>
      </c>
      <c r="L451">
        <v>12300</v>
      </c>
      <c r="M451">
        <v>2001</v>
      </c>
      <c r="R451" t="s">
        <v>44</v>
      </c>
      <c r="S451">
        <v>67605.119999999995</v>
      </c>
      <c r="T451" s="118">
        <f t="shared" si="34"/>
        <v>5.4963512195121949</v>
      </c>
      <c r="U451" t="s">
        <v>44</v>
      </c>
      <c r="Y451">
        <v>1850000</v>
      </c>
      <c r="AA451">
        <v>1850000</v>
      </c>
      <c r="AC451" t="s">
        <v>4376</v>
      </c>
      <c r="AD451" t="s">
        <v>4377</v>
      </c>
      <c r="AE451" s="243" t="s">
        <v>4378</v>
      </c>
      <c r="AF451" s="243" t="s">
        <v>4379</v>
      </c>
      <c r="AI451" s="59" t="e">
        <f t="shared" si="35"/>
        <v>#N/A</v>
      </c>
      <c r="AJ451" t="e">
        <f t="shared" si="36"/>
        <v>#N/A</v>
      </c>
      <c r="AK451" t="str">
        <f t="shared" si="33"/>
        <v/>
      </c>
    </row>
    <row r="452" spans="1:37" ht="15" customHeight="1">
      <c r="A452" s="122">
        <v>8</v>
      </c>
      <c r="B452" s="59">
        <v>446</v>
      </c>
      <c r="C452" t="s">
        <v>2814</v>
      </c>
      <c r="D452" t="s">
        <v>2815</v>
      </c>
      <c r="E452">
        <v>353</v>
      </c>
      <c r="F452" t="s">
        <v>1896</v>
      </c>
      <c r="G452" t="s">
        <v>90</v>
      </c>
      <c r="H452" s="119">
        <f t="shared" si="32"/>
        <v>141.97530864197532</v>
      </c>
      <c r="I452" s="117">
        <v>43462</v>
      </c>
      <c r="J452">
        <v>4050</v>
      </c>
      <c r="L452">
        <v>4050</v>
      </c>
      <c r="M452">
        <v>2000</v>
      </c>
      <c r="R452" t="s">
        <v>44</v>
      </c>
      <c r="S452">
        <v>19306</v>
      </c>
      <c r="T452" s="118">
        <f t="shared" si="34"/>
        <v>4.7669135802469134</v>
      </c>
      <c r="U452" t="s">
        <v>44</v>
      </c>
      <c r="Y452">
        <v>575000</v>
      </c>
      <c r="AA452">
        <v>575000</v>
      </c>
      <c r="AC452" t="s">
        <v>2816</v>
      </c>
      <c r="AD452" t="s">
        <v>4380</v>
      </c>
      <c r="AE452" s="243" t="s">
        <v>4381</v>
      </c>
      <c r="AF452" s="243" t="s">
        <v>4382</v>
      </c>
      <c r="AI452" s="59" t="e">
        <f t="shared" si="35"/>
        <v>#N/A</v>
      </c>
      <c r="AJ452" t="e">
        <f t="shared" si="36"/>
        <v>#N/A</v>
      </c>
      <c r="AK452" t="str">
        <f t="shared" si="33"/>
        <v/>
      </c>
    </row>
    <row r="453" spans="1:37" ht="15" customHeight="1">
      <c r="A453" s="122">
        <v>8</v>
      </c>
      <c r="B453" s="59">
        <v>447</v>
      </c>
      <c r="C453" t="s">
        <v>4383</v>
      </c>
      <c r="D453" t="s">
        <v>4384</v>
      </c>
      <c r="E453">
        <v>353</v>
      </c>
      <c r="F453" t="s">
        <v>2141</v>
      </c>
      <c r="G453" t="s">
        <v>1910</v>
      </c>
      <c r="H453" s="119">
        <f t="shared" si="32"/>
        <v>86.247086247086244</v>
      </c>
      <c r="I453" s="117">
        <v>43796</v>
      </c>
      <c r="J453">
        <v>6435</v>
      </c>
      <c r="L453">
        <v>6435</v>
      </c>
      <c r="M453">
        <v>1951</v>
      </c>
      <c r="P453" t="s">
        <v>3269</v>
      </c>
      <c r="R453" t="s">
        <v>44</v>
      </c>
      <c r="S453">
        <v>7480</v>
      </c>
      <c r="T453" s="118">
        <f t="shared" si="34"/>
        <v>1.1623931623931625</v>
      </c>
      <c r="U453" t="s">
        <v>44</v>
      </c>
      <c r="Y453">
        <v>555000</v>
      </c>
      <c r="AA453">
        <v>555000</v>
      </c>
      <c r="AC453" t="s">
        <v>4385</v>
      </c>
      <c r="AD453" t="s">
        <v>4386</v>
      </c>
      <c r="AE453" s="243" t="s">
        <v>4387</v>
      </c>
      <c r="AF453" s="243" t="s">
        <v>4388</v>
      </c>
      <c r="AI453" s="59" t="e">
        <f t="shared" si="35"/>
        <v>#N/A</v>
      </c>
      <c r="AJ453" t="e">
        <f t="shared" si="36"/>
        <v>#N/A</v>
      </c>
      <c r="AK453" t="str">
        <f t="shared" si="33"/>
        <v/>
      </c>
    </row>
    <row r="454" spans="1:37" ht="15" customHeight="1">
      <c r="A454" s="122">
        <v>8</v>
      </c>
      <c r="B454" s="59">
        <v>448</v>
      </c>
      <c r="C454" t="s">
        <v>4389</v>
      </c>
      <c r="D454" t="s">
        <v>4390</v>
      </c>
      <c r="E454">
        <v>406</v>
      </c>
      <c r="F454" t="s">
        <v>2141</v>
      </c>
      <c r="G454" t="s">
        <v>1910</v>
      </c>
      <c r="H454" s="119">
        <f t="shared" ref="H454:H480" si="37">Y454/J454</f>
        <v>138.00424628450105</v>
      </c>
      <c r="I454" s="117">
        <v>44439</v>
      </c>
      <c r="J454">
        <v>18840</v>
      </c>
      <c r="L454">
        <v>18840</v>
      </c>
      <c r="M454">
        <v>1972</v>
      </c>
      <c r="P454" t="s">
        <v>2230</v>
      </c>
      <c r="R454" t="s">
        <v>1258</v>
      </c>
      <c r="S454">
        <v>147276.4</v>
      </c>
      <c r="T454" s="118">
        <f t="shared" si="34"/>
        <v>7.8172186836518041</v>
      </c>
      <c r="U454" t="s">
        <v>44</v>
      </c>
      <c r="Y454">
        <v>2600000</v>
      </c>
      <c r="AA454">
        <v>2600000</v>
      </c>
      <c r="AC454" t="s">
        <v>4391</v>
      </c>
      <c r="AD454" t="s">
        <v>4392</v>
      </c>
      <c r="AE454" s="243" t="s">
        <v>4393</v>
      </c>
      <c r="AF454" s="243" t="s">
        <v>4394</v>
      </c>
      <c r="AI454" s="59" t="e">
        <f t="shared" si="35"/>
        <v>#N/A</v>
      </c>
      <c r="AJ454" t="e">
        <f t="shared" si="36"/>
        <v>#N/A</v>
      </c>
      <c r="AK454" t="str">
        <f t="shared" si="33"/>
        <v/>
      </c>
    </row>
    <row r="455" spans="1:37" ht="15" customHeight="1">
      <c r="A455" s="122">
        <v>8</v>
      </c>
      <c r="B455" s="59">
        <v>449</v>
      </c>
      <c r="C455" t="s">
        <v>2273</v>
      </c>
      <c r="D455" t="s">
        <v>4395</v>
      </c>
      <c r="E455">
        <v>334</v>
      </c>
      <c r="G455" t="s">
        <v>1910</v>
      </c>
      <c r="H455" s="119">
        <f t="shared" si="37"/>
        <v>214.28571428571428</v>
      </c>
      <c r="I455" s="117">
        <v>44559</v>
      </c>
      <c r="J455">
        <v>11200</v>
      </c>
      <c r="L455">
        <v>11200</v>
      </c>
      <c r="M455">
        <v>1982</v>
      </c>
      <c r="P455" t="s">
        <v>1911</v>
      </c>
      <c r="R455" t="s">
        <v>44</v>
      </c>
      <c r="S455">
        <v>26839</v>
      </c>
      <c r="T455" s="118">
        <f t="shared" si="34"/>
        <v>2.3963392857142858</v>
      </c>
      <c r="U455" t="s">
        <v>44</v>
      </c>
      <c r="Y455">
        <v>2400000</v>
      </c>
      <c r="AA455">
        <v>2400000</v>
      </c>
      <c r="AC455" t="s">
        <v>2275</v>
      </c>
      <c r="AD455" t="s">
        <v>4396</v>
      </c>
      <c r="AE455" s="243" t="s">
        <v>4397</v>
      </c>
      <c r="AF455" s="243" t="s">
        <v>2277</v>
      </c>
      <c r="AI455" s="59" t="e">
        <f t="shared" si="35"/>
        <v>#N/A</v>
      </c>
      <c r="AJ455" t="e">
        <f t="shared" si="36"/>
        <v>#N/A</v>
      </c>
      <c r="AK455" t="str">
        <f t="shared" si="33"/>
        <v/>
      </c>
    </row>
    <row r="456" spans="1:37" ht="15" customHeight="1">
      <c r="A456" s="122">
        <v>8</v>
      </c>
      <c r="B456" s="59">
        <v>450</v>
      </c>
      <c r="C456" t="s">
        <v>4398</v>
      </c>
      <c r="D456" t="s">
        <v>4399</v>
      </c>
      <c r="E456">
        <v>353</v>
      </c>
      <c r="G456" t="s">
        <v>1910</v>
      </c>
      <c r="H456" s="119">
        <f t="shared" si="37"/>
        <v>242.10526315789474</v>
      </c>
      <c r="I456" s="117">
        <v>44478</v>
      </c>
      <c r="J456">
        <v>14250</v>
      </c>
      <c r="L456">
        <v>14250</v>
      </c>
      <c r="M456">
        <v>1980</v>
      </c>
      <c r="P456" t="s">
        <v>1911</v>
      </c>
      <c r="R456" t="s">
        <v>44</v>
      </c>
      <c r="S456">
        <v>49979</v>
      </c>
      <c r="T456" s="118">
        <f t="shared" si="34"/>
        <v>3.5072982456140349</v>
      </c>
      <c r="U456" t="s">
        <v>44</v>
      </c>
      <c r="Y456">
        <v>3450000</v>
      </c>
      <c r="AA456">
        <v>3450000</v>
      </c>
      <c r="AC456" t="s">
        <v>4400</v>
      </c>
      <c r="AD456" t="s">
        <v>4401</v>
      </c>
      <c r="AE456" s="243" t="s">
        <v>4402</v>
      </c>
      <c r="AF456" s="243" t="s">
        <v>4403</v>
      </c>
      <c r="AI456" s="59" t="e">
        <f t="shared" si="35"/>
        <v>#N/A</v>
      </c>
      <c r="AJ456" t="e">
        <f t="shared" si="36"/>
        <v>#N/A</v>
      </c>
      <c r="AK456" t="str">
        <f t="shared" si="33"/>
        <v/>
      </c>
    </row>
    <row r="457" spans="1:37" ht="15" customHeight="1">
      <c r="A457" s="122">
        <v>8</v>
      </c>
      <c r="B457" s="59">
        <v>451</v>
      </c>
      <c r="C457" t="s">
        <v>4404</v>
      </c>
      <c r="D457" t="s">
        <v>4405</v>
      </c>
      <c r="E457">
        <v>344</v>
      </c>
      <c r="F457" t="s">
        <v>2141</v>
      </c>
      <c r="G457" t="s">
        <v>1910</v>
      </c>
      <c r="H457" s="119">
        <f t="shared" si="37"/>
        <v>117.86600496277916</v>
      </c>
      <c r="I457" s="117">
        <v>43705</v>
      </c>
      <c r="J457">
        <v>3224</v>
      </c>
      <c r="L457">
        <v>3224</v>
      </c>
      <c r="M457">
        <v>1964</v>
      </c>
      <c r="P457" t="s">
        <v>2243</v>
      </c>
      <c r="R457" t="s">
        <v>1258</v>
      </c>
      <c r="S457">
        <v>14950</v>
      </c>
      <c r="T457" s="118">
        <f t="shared" si="34"/>
        <v>4.637096774193548</v>
      </c>
      <c r="U457" t="s">
        <v>44</v>
      </c>
      <c r="Y457">
        <v>380000</v>
      </c>
      <c r="AA457">
        <v>380000</v>
      </c>
      <c r="AC457" t="s">
        <v>4406</v>
      </c>
      <c r="AD457" t="s">
        <v>4407</v>
      </c>
      <c r="AE457" s="243" t="s">
        <v>4408</v>
      </c>
      <c r="AF457" s="243" t="s">
        <v>4409</v>
      </c>
      <c r="AI457" s="59" t="e">
        <f t="shared" si="35"/>
        <v>#N/A</v>
      </c>
      <c r="AJ457" t="e">
        <f t="shared" si="36"/>
        <v>#N/A</v>
      </c>
      <c r="AK457" t="str">
        <f t="shared" ref="AK457:AK520" si="38">IF(AND(ISNUMBER($N457),$N457&gt;0,ISNUMBER($Y457)),$Y457/$N457,"")</f>
        <v/>
      </c>
    </row>
    <row r="458" spans="1:37" ht="15" customHeight="1">
      <c r="A458" s="122">
        <v>8</v>
      </c>
      <c r="B458" s="59">
        <v>452</v>
      </c>
      <c r="C458" t="s">
        <v>4410</v>
      </c>
      <c r="D458" t="s">
        <v>4411</v>
      </c>
      <c r="E458">
        <v>406</v>
      </c>
      <c r="F458" t="s">
        <v>2141</v>
      </c>
      <c r="G458" t="s">
        <v>1910</v>
      </c>
      <c r="H458" s="119">
        <f t="shared" si="37"/>
        <v>350</v>
      </c>
      <c r="I458" s="117">
        <v>44410</v>
      </c>
      <c r="J458">
        <v>7000</v>
      </c>
      <c r="L458">
        <v>7000</v>
      </c>
      <c r="M458">
        <v>1978</v>
      </c>
      <c r="P458" t="s">
        <v>2230</v>
      </c>
      <c r="R458" t="s">
        <v>44</v>
      </c>
      <c r="S458">
        <v>153331.20000000001</v>
      </c>
      <c r="T458" s="118">
        <f t="shared" si="34"/>
        <v>21.904457142857144</v>
      </c>
      <c r="U458" t="s">
        <v>44</v>
      </c>
      <c r="Y458">
        <v>2450000</v>
      </c>
      <c r="AA458">
        <v>2450000</v>
      </c>
      <c r="AC458" t="s">
        <v>4412</v>
      </c>
      <c r="AD458" t="s">
        <v>4413</v>
      </c>
      <c r="AE458" s="243" t="s">
        <v>4414</v>
      </c>
      <c r="AF458" s="243" t="s">
        <v>4415</v>
      </c>
      <c r="AI458" s="59" t="e">
        <f t="shared" si="35"/>
        <v>#N/A</v>
      </c>
      <c r="AJ458" t="e">
        <f t="shared" si="36"/>
        <v>#N/A</v>
      </c>
      <c r="AK458" t="str">
        <f t="shared" si="38"/>
        <v/>
      </c>
    </row>
    <row r="459" spans="1:37" ht="15" customHeight="1">
      <c r="A459" s="122">
        <v>8</v>
      </c>
      <c r="B459" s="59">
        <v>453</v>
      </c>
      <c r="C459" t="s">
        <v>4416</v>
      </c>
      <c r="D459" t="s">
        <v>4417</v>
      </c>
      <c r="E459">
        <v>406</v>
      </c>
      <c r="G459" t="s">
        <v>89</v>
      </c>
      <c r="H459" s="119">
        <f t="shared" si="37"/>
        <v>157.14285714285714</v>
      </c>
      <c r="I459" s="117">
        <v>43894</v>
      </c>
      <c r="J459">
        <v>14000</v>
      </c>
      <c r="L459">
        <v>14000</v>
      </c>
      <c r="M459">
        <v>1995</v>
      </c>
      <c r="P459" t="s">
        <v>2402</v>
      </c>
      <c r="R459" t="s">
        <v>44</v>
      </c>
      <c r="S459">
        <v>93218</v>
      </c>
      <c r="T459" s="118">
        <f t="shared" si="34"/>
        <v>6.6584285714285718</v>
      </c>
      <c r="U459" t="s">
        <v>44</v>
      </c>
      <c r="Y459">
        <v>2200000</v>
      </c>
      <c r="AA459">
        <v>2200000</v>
      </c>
      <c r="AC459" t="s">
        <v>4418</v>
      </c>
      <c r="AD459" t="s">
        <v>4419</v>
      </c>
      <c r="AE459" s="243" t="s">
        <v>4420</v>
      </c>
      <c r="AF459" s="243" t="s">
        <v>4421</v>
      </c>
      <c r="AI459" s="59">
        <f t="shared" si="35"/>
        <v>400</v>
      </c>
      <c r="AJ459">
        <f t="shared" si="36"/>
        <v>400.00004589999998</v>
      </c>
      <c r="AK459" t="str">
        <f t="shared" si="38"/>
        <v/>
      </c>
    </row>
    <row r="460" spans="1:37" ht="15" customHeight="1">
      <c r="A460" s="122">
        <v>8</v>
      </c>
      <c r="B460" s="59">
        <v>454</v>
      </c>
      <c r="C460" t="s">
        <v>2202</v>
      </c>
      <c r="D460" t="s">
        <v>4422</v>
      </c>
      <c r="E460">
        <v>425</v>
      </c>
      <c r="F460" t="s">
        <v>1785</v>
      </c>
      <c r="G460" t="s">
        <v>1786</v>
      </c>
      <c r="H460" s="119">
        <f t="shared" si="37"/>
        <v>155.33333333333334</v>
      </c>
      <c r="I460" s="117">
        <v>44175</v>
      </c>
      <c r="J460">
        <v>1500</v>
      </c>
      <c r="L460">
        <v>1500</v>
      </c>
      <c r="M460">
        <v>1984</v>
      </c>
      <c r="P460" t="s">
        <v>2204</v>
      </c>
      <c r="R460" t="s">
        <v>44</v>
      </c>
      <c r="S460">
        <v>4655</v>
      </c>
      <c r="T460" s="118">
        <f t="shared" si="34"/>
        <v>3.1033333333333335</v>
      </c>
      <c r="U460" t="s">
        <v>44</v>
      </c>
      <c r="Y460">
        <v>233000</v>
      </c>
      <c r="AA460">
        <v>233000</v>
      </c>
      <c r="AC460" t="s">
        <v>2205</v>
      </c>
      <c r="AD460" t="s">
        <v>4423</v>
      </c>
      <c r="AE460" s="243" t="s">
        <v>4424</v>
      </c>
      <c r="AF460" s="243" t="s">
        <v>2207</v>
      </c>
      <c r="AI460" s="59" t="e">
        <f t="shared" si="35"/>
        <v>#N/A</v>
      </c>
      <c r="AJ460" t="e">
        <f t="shared" si="36"/>
        <v>#N/A</v>
      </c>
      <c r="AK460" t="str">
        <f t="shared" si="38"/>
        <v/>
      </c>
    </row>
    <row r="461" spans="1:37" ht="15" customHeight="1">
      <c r="A461" s="122">
        <v>8</v>
      </c>
      <c r="B461" s="59">
        <v>455</v>
      </c>
      <c r="C461" t="s">
        <v>4425</v>
      </c>
      <c r="D461" t="s">
        <v>4426</v>
      </c>
      <c r="E461">
        <v>344</v>
      </c>
      <c r="F461" t="s">
        <v>1800</v>
      </c>
      <c r="G461" t="s">
        <v>1786</v>
      </c>
      <c r="H461" s="119">
        <f t="shared" si="37"/>
        <v>162.83027317510076</v>
      </c>
      <c r="I461" s="117">
        <v>43942</v>
      </c>
      <c r="J461">
        <v>4466</v>
      </c>
      <c r="L461">
        <v>4466</v>
      </c>
      <c r="M461">
        <v>1973</v>
      </c>
      <c r="P461" t="s">
        <v>2211</v>
      </c>
      <c r="R461" t="s">
        <v>44</v>
      </c>
      <c r="S461">
        <v>12330</v>
      </c>
      <c r="T461" s="118">
        <f t="shared" si="34"/>
        <v>2.7608598298253471</v>
      </c>
      <c r="U461" t="s">
        <v>44</v>
      </c>
      <c r="Y461">
        <v>727200</v>
      </c>
      <c r="AA461">
        <v>727200</v>
      </c>
      <c r="AC461" t="s">
        <v>4427</v>
      </c>
      <c r="AD461" t="s">
        <v>4428</v>
      </c>
      <c r="AE461" s="243" t="s">
        <v>4429</v>
      </c>
      <c r="AF461" s="243" t="s">
        <v>4430</v>
      </c>
      <c r="AI461" s="59" t="e">
        <f t="shared" si="35"/>
        <v>#N/A</v>
      </c>
      <c r="AJ461" t="e">
        <f t="shared" si="36"/>
        <v>#N/A</v>
      </c>
      <c r="AK461" t="str">
        <f t="shared" si="38"/>
        <v/>
      </c>
    </row>
    <row r="462" spans="1:37" ht="15" customHeight="1">
      <c r="A462" s="122">
        <v>8</v>
      </c>
      <c r="B462" s="59">
        <v>456</v>
      </c>
      <c r="C462" t="s">
        <v>4431</v>
      </c>
      <c r="D462" t="s">
        <v>4432</v>
      </c>
      <c r="E462">
        <v>344</v>
      </c>
      <c r="F462" t="s">
        <v>2141</v>
      </c>
      <c r="G462" t="s">
        <v>1910</v>
      </c>
      <c r="H462" s="119">
        <f t="shared" si="37"/>
        <v>130.64305414428799</v>
      </c>
      <c r="I462" s="117">
        <v>43917</v>
      </c>
      <c r="J462">
        <v>6889</v>
      </c>
      <c r="L462">
        <v>6889</v>
      </c>
      <c r="M462">
        <v>2006</v>
      </c>
      <c r="P462" t="s">
        <v>2243</v>
      </c>
      <c r="R462" t="s">
        <v>44</v>
      </c>
      <c r="S462">
        <v>19140</v>
      </c>
      <c r="T462" s="118">
        <f t="shared" si="34"/>
        <v>2.778342284801858</v>
      </c>
      <c r="U462" t="s">
        <v>44</v>
      </c>
      <c r="Y462">
        <v>900000</v>
      </c>
      <c r="AA462">
        <v>900000</v>
      </c>
      <c r="AC462" t="s">
        <v>4433</v>
      </c>
      <c r="AD462" t="s">
        <v>4434</v>
      </c>
      <c r="AE462" s="243" t="s">
        <v>4435</v>
      </c>
      <c r="AF462" s="243" t="s">
        <v>4436</v>
      </c>
      <c r="AI462" s="59" t="e">
        <f t="shared" si="35"/>
        <v>#N/A</v>
      </c>
      <c r="AJ462" t="e">
        <f t="shared" si="36"/>
        <v>#N/A</v>
      </c>
      <c r="AK462" t="str">
        <f t="shared" si="38"/>
        <v/>
      </c>
    </row>
    <row r="463" spans="1:37" ht="15" customHeight="1">
      <c r="A463" s="122">
        <v>8</v>
      </c>
      <c r="B463" s="59">
        <v>457</v>
      </c>
      <c r="C463" t="s">
        <v>4437</v>
      </c>
      <c r="D463" t="s">
        <v>4438</v>
      </c>
      <c r="E463">
        <v>407</v>
      </c>
      <c r="F463" t="s">
        <v>2141</v>
      </c>
      <c r="G463" t="s">
        <v>1910</v>
      </c>
      <c r="H463" s="119">
        <f t="shared" si="37"/>
        <v>148.4375</v>
      </c>
      <c r="I463" s="117">
        <v>44323</v>
      </c>
      <c r="J463">
        <v>32000</v>
      </c>
      <c r="L463">
        <v>32000</v>
      </c>
      <c r="M463">
        <v>2005</v>
      </c>
      <c r="P463" t="s">
        <v>3269</v>
      </c>
      <c r="R463" t="s">
        <v>44</v>
      </c>
      <c r="S463">
        <v>135316</v>
      </c>
      <c r="T463" s="118">
        <f t="shared" si="34"/>
        <v>4.2286250000000001</v>
      </c>
      <c r="U463" t="s">
        <v>44</v>
      </c>
      <c r="Y463">
        <v>4750000</v>
      </c>
      <c r="AA463">
        <v>4750000</v>
      </c>
      <c r="AC463" t="s">
        <v>4439</v>
      </c>
      <c r="AD463" t="s">
        <v>4440</v>
      </c>
      <c r="AE463" s="243" t="s">
        <v>4441</v>
      </c>
      <c r="AF463" s="243" t="s">
        <v>4442</v>
      </c>
      <c r="AI463" s="59" t="e">
        <f t="shared" si="35"/>
        <v>#N/A</v>
      </c>
      <c r="AJ463" t="e">
        <f t="shared" si="36"/>
        <v>#N/A</v>
      </c>
      <c r="AK463" t="str">
        <f t="shared" si="38"/>
        <v/>
      </c>
    </row>
    <row r="464" spans="1:37" ht="15" customHeight="1">
      <c r="A464" s="122">
        <v>8</v>
      </c>
      <c r="B464" s="59">
        <v>458</v>
      </c>
      <c r="C464" t="s">
        <v>4443</v>
      </c>
      <c r="D464" t="s">
        <v>4444</v>
      </c>
      <c r="E464">
        <v>413</v>
      </c>
      <c r="F464" t="s">
        <v>1800</v>
      </c>
      <c r="G464" t="s">
        <v>1786</v>
      </c>
      <c r="H464" s="119">
        <f t="shared" si="37"/>
        <v>114.27425821972734</v>
      </c>
      <c r="I464" s="117">
        <v>44468</v>
      </c>
      <c r="J464">
        <v>124700</v>
      </c>
      <c r="L464">
        <v>124700</v>
      </c>
      <c r="M464">
        <v>1963</v>
      </c>
      <c r="P464" t="s">
        <v>1807</v>
      </c>
      <c r="R464" t="s">
        <v>44</v>
      </c>
      <c r="S464">
        <v>349871</v>
      </c>
      <c r="T464" s="118">
        <f t="shared" si="34"/>
        <v>2.8057016840417002</v>
      </c>
      <c r="U464" t="s">
        <v>44</v>
      </c>
      <c r="Y464">
        <v>14250000</v>
      </c>
      <c r="AA464">
        <v>14250000</v>
      </c>
      <c r="AC464" t="s">
        <v>4445</v>
      </c>
      <c r="AD464" t="s">
        <v>4446</v>
      </c>
      <c r="AE464" s="243" t="s">
        <v>4447</v>
      </c>
      <c r="AF464" s="243" t="s">
        <v>4448</v>
      </c>
      <c r="AI464" s="59" t="e">
        <f t="shared" si="35"/>
        <v>#N/A</v>
      </c>
      <c r="AJ464" t="e">
        <f t="shared" si="36"/>
        <v>#N/A</v>
      </c>
      <c r="AK464" t="str">
        <f t="shared" si="38"/>
        <v/>
      </c>
    </row>
    <row r="465" spans="1:37" ht="15" customHeight="1">
      <c r="A465" s="122">
        <v>8</v>
      </c>
      <c r="B465" s="59">
        <v>459</v>
      </c>
      <c r="C465" t="s">
        <v>4449</v>
      </c>
      <c r="D465" t="s">
        <v>4450</v>
      </c>
      <c r="E465">
        <v>344</v>
      </c>
      <c r="F465" t="s">
        <v>1896</v>
      </c>
      <c r="G465" t="s">
        <v>90</v>
      </c>
      <c r="H465" s="119">
        <f t="shared" si="37"/>
        <v>255.31914893617022</v>
      </c>
      <c r="I465" s="117">
        <v>43735</v>
      </c>
      <c r="J465">
        <v>940</v>
      </c>
      <c r="L465">
        <v>940</v>
      </c>
      <c r="M465">
        <v>2000</v>
      </c>
      <c r="P465" t="s">
        <v>1897</v>
      </c>
      <c r="R465" t="s">
        <v>44</v>
      </c>
      <c r="S465">
        <v>3838.69</v>
      </c>
      <c r="T465" s="118">
        <f t="shared" si="34"/>
        <v>4.083712765957447</v>
      </c>
      <c r="U465" t="s">
        <v>44</v>
      </c>
      <c r="Y465">
        <v>240000</v>
      </c>
      <c r="AA465">
        <v>240000</v>
      </c>
      <c r="AC465" t="s">
        <v>4451</v>
      </c>
      <c r="AD465" t="s">
        <v>4452</v>
      </c>
      <c r="AE465" s="243" t="s">
        <v>4453</v>
      </c>
      <c r="AF465" s="243" t="s">
        <v>4454</v>
      </c>
      <c r="AI465" s="59" t="e">
        <f t="shared" si="35"/>
        <v>#N/A</v>
      </c>
      <c r="AJ465" t="e">
        <f t="shared" si="36"/>
        <v>#N/A</v>
      </c>
      <c r="AK465" t="str">
        <f t="shared" si="38"/>
        <v/>
      </c>
    </row>
    <row r="466" spans="1:37" ht="15" customHeight="1">
      <c r="A466" s="122">
        <v>8</v>
      </c>
      <c r="B466" s="59">
        <v>460</v>
      </c>
      <c r="C466" t="s">
        <v>4455</v>
      </c>
      <c r="D466" t="s">
        <v>4456</v>
      </c>
      <c r="E466">
        <v>325</v>
      </c>
      <c r="F466" t="s">
        <v>1814</v>
      </c>
      <c r="G466" t="s">
        <v>1815</v>
      </c>
      <c r="H466" s="119">
        <f t="shared" si="37"/>
        <v>132.16494845360825</v>
      </c>
      <c r="I466" s="117">
        <v>43728</v>
      </c>
      <c r="J466">
        <v>9700</v>
      </c>
      <c r="L466">
        <v>9700</v>
      </c>
      <c r="M466">
        <v>1966</v>
      </c>
      <c r="P466" t="s">
        <v>1816</v>
      </c>
      <c r="R466" t="s">
        <v>44</v>
      </c>
      <c r="S466">
        <v>22800</v>
      </c>
      <c r="T466" s="118">
        <f t="shared" si="34"/>
        <v>2.3505154639175259</v>
      </c>
      <c r="U466" t="s">
        <v>44</v>
      </c>
      <c r="Y466">
        <v>1282000</v>
      </c>
      <c r="AA466">
        <v>1282000</v>
      </c>
      <c r="AC466" t="s">
        <v>4457</v>
      </c>
      <c r="AD466" t="s">
        <v>4458</v>
      </c>
      <c r="AE466" s="243" t="s">
        <v>4459</v>
      </c>
      <c r="AF466" s="243" t="s">
        <v>4460</v>
      </c>
      <c r="AI466" s="59" t="e">
        <f t="shared" si="35"/>
        <v>#N/A</v>
      </c>
      <c r="AJ466" t="e">
        <f t="shared" si="36"/>
        <v>#N/A</v>
      </c>
      <c r="AK466" t="str">
        <f t="shared" si="38"/>
        <v/>
      </c>
    </row>
    <row r="467" spans="1:37" ht="15" customHeight="1">
      <c r="A467" s="122">
        <v>8</v>
      </c>
      <c r="B467" s="59">
        <v>461</v>
      </c>
      <c r="C467" t="s">
        <v>4461</v>
      </c>
      <c r="D467" t="s">
        <v>4462</v>
      </c>
      <c r="E467">
        <v>407</v>
      </c>
      <c r="F467" t="s">
        <v>1814</v>
      </c>
      <c r="G467" t="s">
        <v>1815</v>
      </c>
      <c r="H467" s="119">
        <f t="shared" si="37"/>
        <v>187.5</v>
      </c>
      <c r="I467" s="117">
        <v>44396</v>
      </c>
      <c r="J467">
        <v>39600</v>
      </c>
      <c r="L467">
        <v>39600</v>
      </c>
      <c r="M467">
        <v>1979</v>
      </c>
      <c r="P467" t="s">
        <v>2027</v>
      </c>
      <c r="R467" t="s">
        <v>44</v>
      </c>
      <c r="S467">
        <v>204296</v>
      </c>
      <c r="T467" s="118">
        <f t="shared" si="34"/>
        <v>5.1589898989898986</v>
      </c>
      <c r="U467" t="s">
        <v>44</v>
      </c>
      <c r="Y467">
        <v>7425000</v>
      </c>
      <c r="AA467">
        <v>7425000</v>
      </c>
      <c r="AC467" t="s">
        <v>4463</v>
      </c>
      <c r="AD467" t="s">
        <v>4464</v>
      </c>
      <c r="AE467" s="243" t="s">
        <v>4465</v>
      </c>
      <c r="AF467" s="243" t="s">
        <v>4466</v>
      </c>
      <c r="AI467" s="59" t="e">
        <f t="shared" si="35"/>
        <v>#N/A</v>
      </c>
      <c r="AJ467" t="e">
        <f t="shared" si="36"/>
        <v>#N/A</v>
      </c>
      <c r="AK467" t="str">
        <f t="shared" si="38"/>
        <v/>
      </c>
    </row>
    <row r="468" spans="1:37" ht="15" customHeight="1">
      <c r="A468" s="122">
        <v>8</v>
      </c>
      <c r="B468" s="59">
        <v>462</v>
      </c>
      <c r="C468" t="s">
        <v>4467</v>
      </c>
      <c r="D468" t="s">
        <v>4468</v>
      </c>
      <c r="E468">
        <v>406</v>
      </c>
      <c r="F468" t="s">
        <v>1814</v>
      </c>
      <c r="G468" t="s">
        <v>1815</v>
      </c>
      <c r="H468" s="119">
        <f t="shared" si="37"/>
        <v>154.99199999999999</v>
      </c>
      <c r="I468" s="117">
        <v>43725</v>
      </c>
      <c r="J468">
        <v>6250</v>
      </c>
      <c r="L468">
        <v>6250</v>
      </c>
      <c r="M468">
        <v>1971</v>
      </c>
      <c r="P468" t="s">
        <v>1816</v>
      </c>
      <c r="R468" t="s">
        <v>44</v>
      </c>
      <c r="S468">
        <v>23750</v>
      </c>
      <c r="T468" s="118">
        <f t="shared" si="34"/>
        <v>3.8</v>
      </c>
      <c r="U468" t="s">
        <v>44</v>
      </c>
      <c r="Y468">
        <v>968700</v>
      </c>
      <c r="AA468">
        <v>968700</v>
      </c>
      <c r="AC468" t="s">
        <v>4469</v>
      </c>
      <c r="AD468" t="s">
        <v>4470</v>
      </c>
      <c r="AE468" s="243" t="s">
        <v>4471</v>
      </c>
      <c r="AF468" s="243" t="s">
        <v>4472</v>
      </c>
      <c r="AI468" s="59" t="e">
        <f t="shared" si="35"/>
        <v>#N/A</v>
      </c>
      <c r="AJ468" t="e">
        <f t="shared" si="36"/>
        <v>#N/A</v>
      </c>
      <c r="AK468" t="str">
        <f t="shared" si="38"/>
        <v/>
      </c>
    </row>
    <row r="469" spans="1:37" ht="15" customHeight="1">
      <c r="A469" s="122">
        <v>8</v>
      </c>
      <c r="B469" s="59">
        <v>463</v>
      </c>
      <c r="C469" t="s">
        <v>4473</v>
      </c>
      <c r="D469" t="s">
        <v>4474</v>
      </c>
      <c r="E469">
        <v>384</v>
      </c>
      <c r="G469" t="s">
        <v>1786</v>
      </c>
      <c r="H469" s="119">
        <f t="shared" si="37"/>
        <v>302.0408163265306</v>
      </c>
      <c r="I469" s="117">
        <v>44461</v>
      </c>
      <c r="J469">
        <v>2450</v>
      </c>
      <c r="L469">
        <v>2450</v>
      </c>
      <c r="M469">
        <v>1982</v>
      </c>
      <c r="P469" t="s">
        <v>1925</v>
      </c>
      <c r="R469" t="s">
        <v>44</v>
      </c>
      <c r="S469">
        <v>8400</v>
      </c>
      <c r="T469" s="118">
        <f t="shared" si="34"/>
        <v>3.4285714285714284</v>
      </c>
      <c r="U469" t="s">
        <v>44</v>
      </c>
      <c r="Y469">
        <v>740000</v>
      </c>
      <c r="AA469">
        <v>740000</v>
      </c>
      <c r="AC469" t="s">
        <v>4475</v>
      </c>
      <c r="AD469" t="s">
        <v>4476</v>
      </c>
      <c r="AE469" s="243" t="s">
        <v>4477</v>
      </c>
      <c r="AF469" s="243" t="s">
        <v>4478</v>
      </c>
      <c r="AI469" s="59" t="e">
        <f t="shared" si="35"/>
        <v>#N/A</v>
      </c>
      <c r="AJ469" t="e">
        <f t="shared" si="36"/>
        <v>#N/A</v>
      </c>
      <c r="AK469" t="str">
        <f t="shared" si="38"/>
        <v/>
      </c>
    </row>
    <row r="470" spans="1:37" ht="15" customHeight="1">
      <c r="A470" s="122">
        <v>8</v>
      </c>
      <c r="B470" s="59">
        <v>464</v>
      </c>
      <c r="C470" t="s">
        <v>2507</v>
      </c>
      <c r="D470" t="s">
        <v>2508</v>
      </c>
      <c r="E470">
        <v>344</v>
      </c>
      <c r="F470" t="s">
        <v>2141</v>
      </c>
      <c r="G470" t="s">
        <v>1910</v>
      </c>
      <c r="H470" s="119">
        <f t="shared" si="37"/>
        <v>182.69230769230768</v>
      </c>
      <c r="I470" s="117">
        <v>43731</v>
      </c>
      <c r="J470">
        <v>2080</v>
      </c>
      <c r="L470">
        <v>2080</v>
      </c>
      <c r="M470">
        <v>1974</v>
      </c>
      <c r="P470" t="s">
        <v>2502</v>
      </c>
      <c r="R470" t="s">
        <v>44</v>
      </c>
      <c r="S470">
        <v>19375</v>
      </c>
      <c r="T470" s="118">
        <f t="shared" si="34"/>
        <v>9.3149038461538467</v>
      </c>
      <c r="U470" t="s">
        <v>44</v>
      </c>
      <c r="Y470">
        <v>380000</v>
      </c>
      <c r="AA470">
        <v>380000</v>
      </c>
      <c r="AC470" t="s">
        <v>2509</v>
      </c>
      <c r="AD470" t="s">
        <v>4479</v>
      </c>
      <c r="AE470" s="243" t="s">
        <v>4480</v>
      </c>
      <c r="AF470" s="243" t="s">
        <v>2511</v>
      </c>
      <c r="AI470" s="59" t="e">
        <f t="shared" si="35"/>
        <v>#N/A</v>
      </c>
      <c r="AJ470" t="e">
        <f t="shared" si="36"/>
        <v>#N/A</v>
      </c>
      <c r="AK470" t="str">
        <f t="shared" si="38"/>
        <v/>
      </c>
    </row>
    <row r="471" spans="1:37" ht="15" customHeight="1">
      <c r="A471" s="122">
        <v>8</v>
      </c>
      <c r="B471" s="59">
        <v>465</v>
      </c>
      <c r="C471" t="s">
        <v>4481</v>
      </c>
      <c r="D471" t="s">
        <v>4482</v>
      </c>
      <c r="E471">
        <v>344</v>
      </c>
      <c r="F471" t="s">
        <v>1814</v>
      </c>
      <c r="G471" t="s">
        <v>1815</v>
      </c>
      <c r="H471" s="119">
        <f t="shared" si="37"/>
        <v>193.07923771313941</v>
      </c>
      <c r="I471" s="117">
        <v>44348</v>
      </c>
      <c r="J471">
        <v>1994</v>
      </c>
      <c r="L471">
        <v>1994</v>
      </c>
      <c r="M471">
        <v>1969</v>
      </c>
      <c r="P471" t="s">
        <v>2715</v>
      </c>
      <c r="R471" t="s">
        <v>44</v>
      </c>
      <c r="S471">
        <v>6250</v>
      </c>
      <c r="T471" s="118">
        <f t="shared" si="34"/>
        <v>3.1344032096288865</v>
      </c>
      <c r="U471" t="s">
        <v>44</v>
      </c>
      <c r="Y471">
        <v>385000</v>
      </c>
      <c r="AA471">
        <v>385000</v>
      </c>
      <c r="AC471" t="s">
        <v>4483</v>
      </c>
      <c r="AD471" t="s">
        <v>4484</v>
      </c>
      <c r="AE471" s="243" t="s">
        <v>4485</v>
      </c>
      <c r="AF471" s="243" t="s">
        <v>4486</v>
      </c>
      <c r="AI471" s="59" t="e">
        <f t="shared" si="35"/>
        <v>#N/A</v>
      </c>
      <c r="AJ471" t="e">
        <f t="shared" si="36"/>
        <v>#N/A</v>
      </c>
      <c r="AK471" t="str">
        <f t="shared" si="38"/>
        <v/>
      </c>
    </row>
    <row r="472" spans="1:37" ht="15" customHeight="1">
      <c r="A472" s="122">
        <v>8</v>
      </c>
      <c r="B472" s="59">
        <v>466</v>
      </c>
      <c r="C472" t="s">
        <v>3197</v>
      </c>
      <c r="D472" t="s">
        <v>3198</v>
      </c>
      <c r="E472">
        <v>442</v>
      </c>
      <c r="F472" t="s">
        <v>2141</v>
      </c>
      <c r="G472" t="s">
        <v>1910</v>
      </c>
      <c r="H472" s="119">
        <f t="shared" si="37"/>
        <v>200</v>
      </c>
      <c r="I472" s="117">
        <v>43271</v>
      </c>
      <c r="J472">
        <v>1500</v>
      </c>
      <c r="L472">
        <v>1500</v>
      </c>
      <c r="M472">
        <v>1942</v>
      </c>
      <c r="P472" t="s">
        <v>3642</v>
      </c>
      <c r="R472" t="s">
        <v>44</v>
      </c>
      <c r="S472">
        <v>21150</v>
      </c>
      <c r="T472" s="118">
        <f t="shared" si="34"/>
        <v>14.1</v>
      </c>
      <c r="U472" t="s">
        <v>44</v>
      </c>
      <c r="Y472">
        <v>300000</v>
      </c>
      <c r="AA472">
        <v>300000</v>
      </c>
      <c r="AC472" t="s">
        <v>3200</v>
      </c>
      <c r="AD472" t="s">
        <v>4487</v>
      </c>
      <c r="AE472" s="243" t="s">
        <v>4488</v>
      </c>
      <c r="AF472" s="243" t="s">
        <v>3202</v>
      </c>
      <c r="AI472" s="59" t="e">
        <f t="shared" si="35"/>
        <v>#N/A</v>
      </c>
      <c r="AJ472" t="e">
        <f t="shared" si="36"/>
        <v>#N/A</v>
      </c>
      <c r="AK472" t="str">
        <f t="shared" si="38"/>
        <v/>
      </c>
    </row>
    <row r="473" spans="1:37" ht="15" customHeight="1">
      <c r="A473" s="122">
        <v>8</v>
      </c>
      <c r="B473" s="59">
        <v>467</v>
      </c>
      <c r="C473" t="s">
        <v>4489</v>
      </c>
      <c r="D473" t="s">
        <v>4490</v>
      </c>
      <c r="E473">
        <v>353</v>
      </c>
      <c r="F473" t="s">
        <v>1984</v>
      </c>
      <c r="G473" t="s">
        <v>89</v>
      </c>
      <c r="H473" s="119">
        <f t="shared" si="37"/>
        <v>186.66666666666666</v>
      </c>
      <c r="I473" s="117">
        <v>44483</v>
      </c>
      <c r="J473">
        <v>2250</v>
      </c>
      <c r="L473">
        <v>2250</v>
      </c>
      <c r="M473">
        <v>1895</v>
      </c>
      <c r="P473" t="s">
        <v>2487</v>
      </c>
      <c r="R473" t="s">
        <v>1258</v>
      </c>
      <c r="S473">
        <v>5227</v>
      </c>
      <c r="T473" s="118">
        <f t="shared" si="34"/>
        <v>2.3231111111111109</v>
      </c>
      <c r="U473" t="s">
        <v>44</v>
      </c>
      <c r="Y473">
        <v>420000</v>
      </c>
      <c r="AA473">
        <v>420000</v>
      </c>
      <c r="AC473" t="s">
        <v>4491</v>
      </c>
      <c r="AD473" t="s">
        <v>4492</v>
      </c>
      <c r="AE473" s="243" t="s">
        <v>4493</v>
      </c>
      <c r="AF473" s="243" t="s">
        <v>4494</v>
      </c>
      <c r="AI473" s="59" t="e">
        <f t="shared" si="35"/>
        <v>#N/A</v>
      </c>
      <c r="AJ473" t="e">
        <f t="shared" si="36"/>
        <v>#N/A</v>
      </c>
      <c r="AK473" t="str">
        <f t="shared" si="38"/>
        <v/>
      </c>
    </row>
    <row r="474" spans="1:37" ht="15" customHeight="1">
      <c r="A474" s="122">
        <v>8</v>
      </c>
      <c r="B474" s="59">
        <v>468</v>
      </c>
      <c r="C474" t="s">
        <v>4495</v>
      </c>
      <c r="D474" t="s">
        <v>4496</v>
      </c>
      <c r="E474">
        <v>353</v>
      </c>
      <c r="F474" t="s">
        <v>1984</v>
      </c>
      <c r="G474" t="s">
        <v>89</v>
      </c>
      <c r="H474" s="119">
        <f t="shared" si="37"/>
        <v>185.84070796460176</v>
      </c>
      <c r="I474" s="117">
        <v>44483</v>
      </c>
      <c r="J474">
        <v>2260</v>
      </c>
      <c r="L474">
        <v>2260</v>
      </c>
      <c r="M474">
        <v>1897</v>
      </c>
      <c r="P474" t="s">
        <v>2487</v>
      </c>
      <c r="R474" t="s">
        <v>44</v>
      </c>
      <c r="S474">
        <v>4920</v>
      </c>
      <c r="T474" s="118">
        <f t="shared" si="34"/>
        <v>2.1769911504424777</v>
      </c>
      <c r="U474" t="s">
        <v>44</v>
      </c>
      <c r="Y474">
        <v>420000</v>
      </c>
      <c r="AA474">
        <v>420000</v>
      </c>
      <c r="AC474" t="s">
        <v>4497</v>
      </c>
      <c r="AD474" t="s">
        <v>4498</v>
      </c>
      <c r="AE474" s="243" t="s">
        <v>4493</v>
      </c>
      <c r="AF474" s="243" t="s">
        <v>4494</v>
      </c>
      <c r="AI474" s="59" t="e">
        <f t="shared" si="35"/>
        <v>#N/A</v>
      </c>
      <c r="AJ474" t="e">
        <f t="shared" si="36"/>
        <v>#N/A</v>
      </c>
      <c r="AK474" t="str">
        <f t="shared" si="38"/>
        <v/>
      </c>
    </row>
    <row r="475" spans="1:37" ht="15" customHeight="1">
      <c r="A475" s="122">
        <v>8</v>
      </c>
      <c r="B475" s="59">
        <v>469</v>
      </c>
      <c r="C475" t="s">
        <v>4499</v>
      </c>
      <c r="D475" t="s">
        <v>4500</v>
      </c>
      <c r="E475">
        <v>419</v>
      </c>
      <c r="F475" t="s">
        <v>1896</v>
      </c>
      <c r="G475" t="s">
        <v>1786</v>
      </c>
      <c r="H475" s="119">
        <f t="shared" si="37"/>
        <v>1001.2160518848805</v>
      </c>
      <c r="I475" s="117">
        <v>44644</v>
      </c>
      <c r="J475">
        <v>2467</v>
      </c>
      <c r="L475">
        <v>2467</v>
      </c>
      <c r="M475">
        <v>1987</v>
      </c>
      <c r="P475" t="s">
        <v>2529</v>
      </c>
      <c r="R475" t="s">
        <v>44</v>
      </c>
      <c r="S475">
        <v>18750</v>
      </c>
      <c r="T475" s="118">
        <f t="shared" si="34"/>
        <v>7.600324280502635</v>
      </c>
      <c r="U475" t="s">
        <v>44</v>
      </c>
      <c r="Y475">
        <v>2470000</v>
      </c>
      <c r="AA475">
        <v>2470000</v>
      </c>
      <c r="AC475" t="s">
        <v>4501</v>
      </c>
      <c r="AD475" t="s">
        <v>4502</v>
      </c>
      <c r="AE475" s="243" t="s">
        <v>4503</v>
      </c>
      <c r="AF475" s="243" t="s">
        <v>4504</v>
      </c>
      <c r="AI475" s="59" t="e">
        <f t="shared" si="35"/>
        <v>#N/A</v>
      </c>
      <c r="AJ475" t="e">
        <f t="shared" si="36"/>
        <v>#N/A</v>
      </c>
      <c r="AK475" t="str">
        <f t="shared" si="38"/>
        <v/>
      </c>
    </row>
    <row r="476" spans="1:37" ht="15" customHeight="1">
      <c r="A476" s="122">
        <v>8</v>
      </c>
      <c r="B476" s="59">
        <v>470</v>
      </c>
      <c r="C476" t="s">
        <v>4499</v>
      </c>
      <c r="D476" t="s">
        <v>4500</v>
      </c>
      <c r="E476">
        <v>419</v>
      </c>
      <c r="F476" t="s">
        <v>1896</v>
      </c>
      <c r="G476" t="s">
        <v>1786</v>
      </c>
      <c r="H476" s="119">
        <f t="shared" si="37"/>
        <v>439.27847588163763</v>
      </c>
      <c r="I476" s="117">
        <v>43112</v>
      </c>
      <c r="J476">
        <v>2467</v>
      </c>
      <c r="L476">
        <v>2467</v>
      </c>
      <c r="M476">
        <v>1987</v>
      </c>
      <c r="P476" t="s">
        <v>3590</v>
      </c>
      <c r="R476" t="s">
        <v>44</v>
      </c>
      <c r="S476">
        <v>18750</v>
      </c>
      <c r="T476" s="118">
        <f t="shared" si="34"/>
        <v>7.600324280502635</v>
      </c>
      <c r="U476" t="s">
        <v>44</v>
      </c>
      <c r="Y476">
        <v>1083700</v>
      </c>
      <c r="AA476">
        <v>1083700</v>
      </c>
      <c r="AC476" t="s">
        <v>4501</v>
      </c>
      <c r="AD476" t="s">
        <v>4505</v>
      </c>
      <c r="AE476" s="243" t="s">
        <v>4506</v>
      </c>
      <c r="AF476" s="243" t="s">
        <v>4507</v>
      </c>
      <c r="AI476" s="59" t="e">
        <f t="shared" si="35"/>
        <v>#N/A</v>
      </c>
      <c r="AJ476" t="e">
        <f t="shared" si="36"/>
        <v>#N/A</v>
      </c>
      <c r="AK476" t="str">
        <f t="shared" si="38"/>
        <v/>
      </c>
    </row>
    <row r="477" spans="1:37" ht="15" customHeight="1">
      <c r="A477" s="122">
        <v>8</v>
      </c>
      <c r="B477" s="59">
        <v>471</v>
      </c>
      <c r="C477" t="s">
        <v>4508</v>
      </c>
      <c r="D477" t="s">
        <v>4509</v>
      </c>
      <c r="E477">
        <v>344</v>
      </c>
      <c r="F477" t="s">
        <v>2494</v>
      </c>
      <c r="G477" t="s">
        <v>1786</v>
      </c>
      <c r="H477" s="119">
        <f t="shared" si="37"/>
        <v>344.4220430107527</v>
      </c>
      <c r="I477" s="117">
        <v>44564</v>
      </c>
      <c r="J477">
        <v>2976</v>
      </c>
      <c r="L477">
        <v>2976</v>
      </c>
      <c r="M477">
        <v>1979</v>
      </c>
      <c r="P477" t="s">
        <v>2495</v>
      </c>
      <c r="R477" t="s">
        <v>44</v>
      </c>
      <c r="S477">
        <v>13972</v>
      </c>
      <c r="T477" s="118">
        <f t="shared" si="34"/>
        <v>4.69489247311828</v>
      </c>
      <c r="U477" t="s">
        <v>44</v>
      </c>
      <c r="Y477">
        <v>1025000</v>
      </c>
      <c r="AA477">
        <v>1025000</v>
      </c>
      <c r="AC477" t="s">
        <v>4510</v>
      </c>
      <c r="AD477" t="s">
        <v>4511</v>
      </c>
      <c r="AE477" s="243" t="s">
        <v>4512</v>
      </c>
      <c r="AF477" s="243" t="s">
        <v>4513</v>
      </c>
      <c r="AI477" s="59" t="e">
        <f t="shared" si="35"/>
        <v>#N/A</v>
      </c>
      <c r="AJ477" t="e">
        <f t="shared" si="36"/>
        <v>#N/A</v>
      </c>
      <c r="AK477" t="str">
        <f t="shared" si="38"/>
        <v/>
      </c>
    </row>
    <row r="478" spans="1:37" ht="15" customHeight="1">
      <c r="A478" s="122">
        <v>8</v>
      </c>
      <c r="B478" s="59">
        <v>472</v>
      </c>
      <c r="C478" t="s">
        <v>4514</v>
      </c>
      <c r="D478" t="s">
        <v>4515</v>
      </c>
      <c r="E478">
        <v>306</v>
      </c>
      <c r="F478" t="s">
        <v>1896</v>
      </c>
      <c r="G478" t="s">
        <v>1786</v>
      </c>
      <c r="H478" s="119">
        <f t="shared" si="37"/>
        <v>103.49722222222222</v>
      </c>
      <c r="I478" s="117">
        <v>43602</v>
      </c>
      <c r="J478">
        <v>36000</v>
      </c>
      <c r="L478">
        <v>36000</v>
      </c>
      <c r="M478">
        <v>1979</v>
      </c>
      <c r="P478" t="s">
        <v>3590</v>
      </c>
      <c r="R478" t="s">
        <v>44</v>
      </c>
      <c r="S478">
        <v>267981</v>
      </c>
      <c r="T478" s="118">
        <f t="shared" si="34"/>
        <v>7.4439166666666665</v>
      </c>
      <c r="U478" t="s">
        <v>44</v>
      </c>
      <c r="Y478">
        <v>3725900</v>
      </c>
      <c r="AA478">
        <v>3725900</v>
      </c>
      <c r="AC478" t="s">
        <v>4516</v>
      </c>
      <c r="AD478" t="s">
        <v>4517</v>
      </c>
      <c r="AE478" s="243" t="s">
        <v>4518</v>
      </c>
      <c r="AF478" s="243" t="s">
        <v>4519</v>
      </c>
      <c r="AI478" s="59" t="e">
        <f t="shared" si="35"/>
        <v>#N/A</v>
      </c>
      <c r="AJ478" t="e">
        <f t="shared" si="36"/>
        <v>#N/A</v>
      </c>
      <c r="AK478" t="str">
        <f t="shared" si="38"/>
        <v/>
      </c>
    </row>
    <row r="479" spans="1:37" ht="15" customHeight="1">
      <c r="A479" s="122">
        <v>8</v>
      </c>
      <c r="B479" s="59">
        <v>473</v>
      </c>
      <c r="C479" t="s">
        <v>4520</v>
      </c>
      <c r="D479" t="s">
        <v>4521</v>
      </c>
      <c r="E479">
        <v>406</v>
      </c>
      <c r="F479" t="s">
        <v>2494</v>
      </c>
      <c r="G479" t="s">
        <v>1786</v>
      </c>
      <c r="H479" s="119">
        <f t="shared" si="37"/>
        <v>203.76659462797159</v>
      </c>
      <c r="I479" s="117">
        <v>44082</v>
      </c>
      <c r="J479">
        <v>3239</v>
      </c>
      <c r="L479">
        <v>3239</v>
      </c>
      <c r="M479">
        <v>2005</v>
      </c>
      <c r="P479" t="s">
        <v>2495</v>
      </c>
      <c r="R479" t="s">
        <v>44</v>
      </c>
      <c r="S479">
        <v>13678</v>
      </c>
      <c r="T479" s="118">
        <f t="shared" si="34"/>
        <v>4.2229083050324174</v>
      </c>
      <c r="U479" t="s">
        <v>44</v>
      </c>
      <c r="Y479">
        <v>660000</v>
      </c>
      <c r="AA479">
        <v>660000</v>
      </c>
      <c r="AC479" t="s">
        <v>4522</v>
      </c>
      <c r="AD479" t="s">
        <v>4523</v>
      </c>
      <c r="AE479" s="243" t="s">
        <v>4524</v>
      </c>
      <c r="AF479" s="243" t="s">
        <v>4525</v>
      </c>
      <c r="AI479" s="59" t="e">
        <f t="shared" si="35"/>
        <v>#N/A</v>
      </c>
      <c r="AJ479" t="e">
        <f t="shared" si="36"/>
        <v>#N/A</v>
      </c>
      <c r="AK479" t="str">
        <f t="shared" si="38"/>
        <v/>
      </c>
    </row>
    <row r="480" spans="1:37" ht="15" customHeight="1">
      <c r="A480" s="122">
        <v>8</v>
      </c>
      <c r="B480" s="59">
        <v>474</v>
      </c>
      <c r="C480" t="s">
        <v>4526</v>
      </c>
      <c r="D480" t="s">
        <v>4527</v>
      </c>
      <c r="E480">
        <v>442</v>
      </c>
      <c r="F480" t="s">
        <v>1896</v>
      </c>
      <c r="G480" t="s">
        <v>1786</v>
      </c>
      <c r="H480" s="119">
        <f t="shared" si="37"/>
        <v>91.029460443561732</v>
      </c>
      <c r="I480" s="117">
        <v>44243</v>
      </c>
      <c r="J480">
        <v>6042</v>
      </c>
      <c r="L480">
        <v>6042</v>
      </c>
      <c r="M480">
        <v>1977</v>
      </c>
      <c r="P480" t="s">
        <v>2529</v>
      </c>
      <c r="R480" t="s">
        <v>44</v>
      </c>
      <c r="S480">
        <v>47600</v>
      </c>
      <c r="T480" s="118">
        <f t="shared" si="34"/>
        <v>7.8781860311155247</v>
      </c>
      <c r="U480" t="s">
        <v>44</v>
      </c>
      <c r="Y480">
        <v>550000</v>
      </c>
      <c r="AA480">
        <v>550000</v>
      </c>
      <c r="AC480" t="s">
        <v>4528</v>
      </c>
      <c r="AD480" t="s">
        <v>4529</v>
      </c>
      <c r="AE480" s="243" t="s">
        <v>4530</v>
      </c>
      <c r="AF480" s="243" t="s">
        <v>4531</v>
      </c>
      <c r="AI480" s="59" t="e">
        <f t="shared" si="35"/>
        <v>#N/A</v>
      </c>
      <c r="AJ480" t="e">
        <f t="shared" si="36"/>
        <v>#N/A</v>
      </c>
      <c r="AK480" t="str">
        <f t="shared" si="38"/>
        <v/>
      </c>
    </row>
    <row r="481" spans="1:37" ht="15" customHeight="1">
      <c r="A481" s="122">
        <v>8</v>
      </c>
      <c r="B481" s="59">
        <v>475</v>
      </c>
      <c r="C481" t="s">
        <v>4532</v>
      </c>
      <c r="D481" t="s">
        <v>4533</v>
      </c>
      <c r="E481">
        <v>332</v>
      </c>
      <c r="F481" t="s">
        <v>1814</v>
      </c>
      <c r="G481" t="s">
        <v>1815</v>
      </c>
      <c r="H481" s="119">
        <f>Y481/L481</f>
        <v>175159.2356687898</v>
      </c>
      <c r="I481" s="117">
        <v>44537</v>
      </c>
      <c r="J481">
        <v>84934</v>
      </c>
      <c r="L481">
        <v>157</v>
      </c>
      <c r="M481">
        <v>1998</v>
      </c>
      <c r="P481" t="s">
        <v>2729</v>
      </c>
      <c r="R481" t="s">
        <v>44</v>
      </c>
      <c r="S481">
        <v>152551.5</v>
      </c>
      <c r="T481" s="118">
        <f t="shared" si="34"/>
        <v>1.7961181623378153</v>
      </c>
      <c r="U481" t="s">
        <v>44</v>
      </c>
      <c r="Y481">
        <v>27500000</v>
      </c>
      <c r="AA481">
        <v>27500000</v>
      </c>
      <c r="AC481" t="s">
        <v>4534</v>
      </c>
      <c r="AD481" t="s">
        <v>4535</v>
      </c>
      <c r="AE481" s="243" t="s">
        <v>4536</v>
      </c>
      <c r="AF481" s="243" t="s">
        <v>4537</v>
      </c>
      <c r="AI481" s="59" t="e">
        <f t="shared" si="35"/>
        <v>#N/A</v>
      </c>
      <c r="AJ481" t="e">
        <f t="shared" si="36"/>
        <v>#N/A</v>
      </c>
      <c r="AK481" t="str">
        <f t="shared" si="38"/>
        <v/>
      </c>
    </row>
    <row r="482" spans="1:37" ht="15" customHeight="1">
      <c r="A482" s="122">
        <v>8</v>
      </c>
      <c r="B482" s="59">
        <v>476</v>
      </c>
      <c r="C482" t="s">
        <v>4538</v>
      </c>
      <c r="D482" t="s">
        <v>4539</v>
      </c>
      <c r="E482">
        <v>325</v>
      </c>
      <c r="F482" t="s">
        <v>1800</v>
      </c>
      <c r="G482" t="s">
        <v>1786</v>
      </c>
      <c r="H482" s="119">
        <f t="shared" ref="H482:H545" si="39">Y482/J482</f>
        <v>192.30769230769232</v>
      </c>
      <c r="I482" s="117">
        <v>43796</v>
      </c>
      <c r="J482">
        <v>3900</v>
      </c>
      <c r="L482">
        <v>3900</v>
      </c>
      <c r="M482">
        <v>1975</v>
      </c>
      <c r="P482" t="s">
        <v>2708</v>
      </c>
      <c r="R482" t="s">
        <v>44</v>
      </c>
      <c r="S482">
        <v>12910</v>
      </c>
      <c r="T482" s="118">
        <f t="shared" si="34"/>
        <v>3.31025641025641</v>
      </c>
      <c r="U482" t="s">
        <v>44</v>
      </c>
      <c r="Y482">
        <v>750000</v>
      </c>
      <c r="AA482">
        <v>750000</v>
      </c>
      <c r="AC482" t="s">
        <v>4540</v>
      </c>
      <c r="AD482" t="s">
        <v>4541</v>
      </c>
      <c r="AE482" s="243" t="s">
        <v>4542</v>
      </c>
      <c r="AF482" s="243" t="s">
        <v>4543</v>
      </c>
      <c r="AI482" s="59" t="e">
        <f t="shared" si="35"/>
        <v>#N/A</v>
      </c>
      <c r="AJ482" t="e">
        <f t="shared" si="36"/>
        <v>#N/A</v>
      </c>
      <c r="AK482" t="str">
        <f t="shared" si="38"/>
        <v/>
      </c>
    </row>
    <row r="483" spans="1:37" ht="15" customHeight="1">
      <c r="A483" s="122">
        <v>8</v>
      </c>
      <c r="B483" s="59">
        <v>477</v>
      </c>
      <c r="C483" t="s">
        <v>4544</v>
      </c>
      <c r="D483" t="s">
        <v>4545</v>
      </c>
      <c r="E483">
        <v>3441</v>
      </c>
      <c r="F483" t="s">
        <v>1984</v>
      </c>
      <c r="G483" t="s">
        <v>89</v>
      </c>
      <c r="H483" s="119">
        <f t="shared" si="39"/>
        <v>251.90392501464558</v>
      </c>
      <c r="I483" s="117">
        <v>44281</v>
      </c>
      <c r="J483">
        <v>1707</v>
      </c>
      <c r="L483">
        <v>1707</v>
      </c>
      <c r="M483">
        <v>1917</v>
      </c>
      <c r="P483" t="s">
        <v>2722</v>
      </c>
      <c r="R483" t="s">
        <v>44</v>
      </c>
      <c r="S483">
        <v>7500</v>
      </c>
      <c r="T483" s="118">
        <f t="shared" si="34"/>
        <v>4.3936731107205622</v>
      </c>
      <c r="U483" t="s">
        <v>44</v>
      </c>
      <c r="Y483">
        <v>430000</v>
      </c>
      <c r="AA483">
        <v>430000</v>
      </c>
      <c r="AC483" t="s">
        <v>4546</v>
      </c>
      <c r="AD483" t="s">
        <v>4547</v>
      </c>
      <c r="AE483" s="243" t="s">
        <v>4548</v>
      </c>
      <c r="AF483" s="243" t="s">
        <v>4549</v>
      </c>
      <c r="AI483" s="59" t="e">
        <f t="shared" si="35"/>
        <v>#N/A</v>
      </c>
      <c r="AJ483" t="e">
        <f t="shared" si="36"/>
        <v>#N/A</v>
      </c>
      <c r="AK483" t="str">
        <f t="shared" si="38"/>
        <v/>
      </c>
    </row>
    <row r="484" spans="1:37" ht="15" customHeight="1">
      <c r="A484" s="122">
        <v>8</v>
      </c>
      <c r="B484" s="59">
        <v>478</v>
      </c>
      <c r="C484" t="s">
        <v>4550</v>
      </c>
      <c r="D484" t="s">
        <v>4551</v>
      </c>
      <c r="E484">
        <v>407</v>
      </c>
      <c r="F484" t="s">
        <v>2141</v>
      </c>
      <c r="G484" t="s">
        <v>89</v>
      </c>
      <c r="H484" s="119">
        <f t="shared" si="39"/>
        <v>103.48956551488197</v>
      </c>
      <c r="I484" s="117">
        <v>43420</v>
      </c>
      <c r="J484">
        <v>11692</v>
      </c>
      <c r="L484">
        <v>11692</v>
      </c>
      <c r="M484">
        <v>1962</v>
      </c>
      <c r="P484" t="s">
        <v>3642</v>
      </c>
      <c r="R484" t="s">
        <v>44</v>
      </c>
      <c r="S484">
        <v>18500</v>
      </c>
      <c r="T484" s="118">
        <f t="shared" si="34"/>
        <v>1.5822784810126582</v>
      </c>
      <c r="U484" t="s">
        <v>44</v>
      </c>
      <c r="Y484">
        <v>1210000</v>
      </c>
      <c r="AA484">
        <v>1210000</v>
      </c>
      <c r="AC484" t="s">
        <v>4552</v>
      </c>
      <c r="AD484" t="s">
        <v>4553</v>
      </c>
      <c r="AE484" s="243" t="s">
        <v>4554</v>
      </c>
      <c r="AF484" s="243" t="s">
        <v>4555</v>
      </c>
      <c r="AI484" s="59" t="e">
        <f t="shared" si="35"/>
        <v>#N/A</v>
      </c>
      <c r="AJ484" t="e">
        <f t="shared" si="36"/>
        <v>#N/A</v>
      </c>
      <c r="AK484" t="str">
        <f t="shared" si="38"/>
        <v/>
      </c>
    </row>
    <row r="485" spans="1:37" ht="15" customHeight="1">
      <c r="A485" s="122">
        <v>8</v>
      </c>
      <c r="B485" s="59">
        <v>479</v>
      </c>
      <c r="C485" t="s">
        <v>4556</v>
      </c>
      <c r="D485" t="s">
        <v>4557</v>
      </c>
      <c r="E485">
        <v>353</v>
      </c>
      <c r="F485" t="s">
        <v>1896</v>
      </c>
      <c r="G485" t="s">
        <v>1786</v>
      </c>
      <c r="H485" s="119">
        <f t="shared" si="39"/>
        <v>175.93244194229416</v>
      </c>
      <c r="I485" s="117">
        <v>43789</v>
      </c>
      <c r="J485">
        <v>11368</v>
      </c>
      <c r="L485">
        <v>11368</v>
      </c>
      <c r="M485">
        <v>1979</v>
      </c>
      <c r="P485" t="s">
        <v>2529</v>
      </c>
      <c r="R485" t="s">
        <v>44</v>
      </c>
      <c r="S485">
        <v>48352</v>
      </c>
      <c r="T485" s="118">
        <f t="shared" ref="T485:T548" si="40">S485/J485</f>
        <v>4.2533427163969035</v>
      </c>
      <c r="U485" t="s">
        <v>44</v>
      </c>
      <c r="Y485">
        <v>2000000</v>
      </c>
      <c r="AA485">
        <v>2000000</v>
      </c>
      <c r="AC485" t="s">
        <v>4558</v>
      </c>
      <c r="AD485" t="s">
        <v>4559</v>
      </c>
      <c r="AE485" s="243" t="s">
        <v>4560</v>
      </c>
      <c r="AF485" s="243" t="s">
        <v>4561</v>
      </c>
      <c r="AI485" s="59" t="e">
        <f t="shared" si="35"/>
        <v>#N/A</v>
      </c>
      <c r="AJ485" t="e">
        <f t="shared" si="36"/>
        <v>#N/A</v>
      </c>
      <c r="AK485" t="str">
        <f t="shared" si="38"/>
        <v/>
      </c>
    </row>
    <row r="486" spans="1:37" ht="15" customHeight="1">
      <c r="A486" s="122">
        <v>8</v>
      </c>
      <c r="B486" s="59">
        <v>480</v>
      </c>
      <c r="C486" t="s">
        <v>4562</v>
      </c>
      <c r="D486" t="s">
        <v>4563</v>
      </c>
      <c r="E486">
        <v>304</v>
      </c>
      <c r="F486" t="s">
        <v>1785</v>
      </c>
      <c r="G486" t="s">
        <v>1786</v>
      </c>
      <c r="H486" s="119">
        <f t="shared" si="39"/>
        <v>190.7405749082117</v>
      </c>
      <c r="I486" s="117">
        <v>44102</v>
      </c>
      <c r="J486">
        <v>11167</v>
      </c>
      <c r="L486">
        <v>11167</v>
      </c>
      <c r="M486">
        <v>1996</v>
      </c>
      <c r="P486" t="s">
        <v>4564</v>
      </c>
      <c r="R486" t="s">
        <v>44</v>
      </c>
      <c r="S486">
        <v>85159</v>
      </c>
      <c r="T486" s="118">
        <f t="shared" si="40"/>
        <v>7.6259514641353991</v>
      </c>
      <c r="U486" t="s">
        <v>44</v>
      </c>
      <c r="Y486">
        <v>2130000</v>
      </c>
      <c r="AA486">
        <v>2130000</v>
      </c>
      <c r="AC486" t="s">
        <v>4565</v>
      </c>
      <c r="AD486" t="s">
        <v>4566</v>
      </c>
      <c r="AE486" s="243" t="s">
        <v>4567</v>
      </c>
      <c r="AF486" s="243" t="s">
        <v>4568</v>
      </c>
      <c r="AI486" s="59" t="e">
        <f t="shared" si="35"/>
        <v>#N/A</v>
      </c>
      <c r="AJ486" t="e">
        <f t="shared" si="36"/>
        <v>#N/A</v>
      </c>
      <c r="AK486" t="str">
        <f t="shared" si="38"/>
        <v/>
      </c>
    </row>
    <row r="487" spans="1:37" ht="15" customHeight="1">
      <c r="A487" s="122">
        <v>8</v>
      </c>
      <c r="B487" s="59">
        <v>481</v>
      </c>
      <c r="C487" t="s">
        <v>4202</v>
      </c>
      <c r="D487" t="s">
        <v>4203</v>
      </c>
      <c r="E487">
        <v>353</v>
      </c>
      <c r="F487" t="s">
        <v>1984</v>
      </c>
      <c r="G487" t="s">
        <v>89</v>
      </c>
      <c r="H487" s="119">
        <f t="shared" si="39"/>
        <v>184.72906403940885</v>
      </c>
      <c r="I487" s="117">
        <v>44529</v>
      </c>
      <c r="J487">
        <v>8120</v>
      </c>
      <c r="L487">
        <v>8120</v>
      </c>
      <c r="M487">
        <v>1920</v>
      </c>
      <c r="P487" t="s">
        <v>2487</v>
      </c>
      <c r="R487" t="s">
        <v>44</v>
      </c>
      <c r="S487">
        <v>13000</v>
      </c>
      <c r="T487" s="118">
        <f t="shared" si="40"/>
        <v>1.6009852216748768</v>
      </c>
      <c r="U487" t="s">
        <v>44</v>
      </c>
      <c r="Y487">
        <v>1500000</v>
      </c>
      <c r="AA487">
        <v>1500000</v>
      </c>
      <c r="AC487" t="s">
        <v>4204</v>
      </c>
      <c r="AD487" t="s">
        <v>4569</v>
      </c>
      <c r="AE487" s="243" t="s">
        <v>4207</v>
      </c>
      <c r="AF487" s="243" t="s">
        <v>4570</v>
      </c>
      <c r="AI487" s="59" t="e">
        <f t="shared" si="35"/>
        <v>#N/A</v>
      </c>
      <c r="AJ487" t="e">
        <f t="shared" si="36"/>
        <v>#N/A</v>
      </c>
      <c r="AK487" t="str">
        <f t="shared" si="38"/>
        <v/>
      </c>
    </row>
    <row r="488" spans="1:37" ht="15" customHeight="1">
      <c r="A488" s="122">
        <v>8</v>
      </c>
      <c r="B488" s="59">
        <v>482</v>
      </c>
      <c r="C488" t="s">
        <v>4571</v>
      </c>
      <c r="D488" t="s">
        <v>4572</v>
      </c>
      <c r="E488">
        <v>407</v>
      </c>
      <c r="F488" t="s">
        <v>2141</v>
      </c>
      <c r="G488" t="s">
        <v>1910</v>
      </c>
      <c r="H488" s="119">
        <f t="shared" si="39"/>
        <v>106.57051282051282</v>
      </c>
      <c r="I488" s="117">
        <v>43145</v>
      </c>
      <c r="J488">
        <v>18720</v>
      </c>
      <c r="L488">
        <v>18720</v>
      </c>
      <c r="M488">
        <v>1958</v>
      </c>
      <c r="P488" t="s">
        <v>2402</v>
      </c>
      <c r="R488" t="s">
        <v>44</v>
      </c>
      <c r="S488">
        <v>60705</v>
      </c>
      <c r="T488" s="118">
        <f t="shared" si="40"/>
        <v>3.2427884615384617</v>
      </c>
      <c r="U488" t="s">
        <v>44</v>
      </c>
      <c r="Y488">
        <v>1995000</v>
      </c>
      <c r="AA488">
        <v>1995000</v>
      </c>
      <c r="AC488" t="s">
        <v>4573</v>
      </c>
      <c r="AD488" t="s">
        <v>4574</v>
      </c>
      <c r="AE488" s="243" t="s">
        <v>3844</v>
      </c>
      <c r="AF488" s="243" t="s">
        <v>4575</v>
      </c>
      <c r="AI488" s="59" t="e">
        <f t="shared" si="35"/>
        <v>#N/A</v>
      </c>
      <c r="AJ488" t="e">
        <f t="shared" si="36"/>
        <v>#N/A</v>
      </c>
      <c r="AK488" t="str">
        <f t="shared" si="38"/>
        <v/>
      </c>
    </row>
    <row r="489" spans="1:37" ht="15" customHeight="1">
      <c r="A489" s="122">
        <v>8</v>
      </c>
      <c r="B489" s="59">
        <v>483</v>
      </c>
      <c r="C489" t="s">
        <v>4576</v>
      </c>
      <c r="D489" t="s">
        <v>4577</v>
      </c>
      <c r="E489">
        <v>1344</v>
      </c>
      <c r="F489" t="s">
        <v>1785</v>
      </c>
      <c r="G489" t="s">
        <v>1786</v>
      </c>
      <c r="H489" s="119">
        <f t="shared" si="39"/>
        <v>148.59658778205835</v>
      </c>
      <c r="I489" s="117">
        <v>44469</v>
      </c>
      <c r="J489">
        <v>1817</v>
      </c>
      <c r="L489">
        <v>1817</v>
      </c>
      <c r="M489">
        <v>1984</v>
      </c>
      <c r="P489" t="s">
        <v>2791</v>
      </c>
      <c r="R489" t="s">
        <v>44</v>
      </c>
      <c r="S489">
        <v>1108</v>
      </c>
      <c r="T489" s="118">
        <f t="shared" si="40"/>
        <v>0.60979636763896528</v>
      </c>
      <c r="U489" t="s">
        <v>44</v>
      </c>
      <c r="Y489">
        <v>270000</v>
      </c>
      <c r="AA489">
        <v>270000</v>
      </c>
      <c r="AC489" t="s">
        <v>4578</v>
      </c>
      <c r="AD489" t="s">
        <v>4579</v>
      </c>
      <c r="AE489" s="243" t="s">
        <v>4580</v>
      </c>
      <c r="AF489" s="243" t="s">
        <v>4581</v>
      </c>
      <c r="AI489" s="59" t="e">
        <f t="shared" si="35"/>
        <v>#N/A</v>
      </c>
      <c r="AJ489" t="e">
        <f t="shared" si="36"/>
        <v>#N/A</v>
      </c>
      <c r="AK489" t="str">
        <f t="shared" si="38"/>
        <v/>
      </c>
    </row>
    <row r="490" spans="1:37" ht="15" customHeight="1">
      <c r="A490" s="122">
        <v>8</v>
      </c>
      <c r="B490" s="59">
        <v>484</v>
      </c>
      <c r="C490" t="s">
        <v>4582</v>
      </c>
      <c r="D490" t="s">
        <v>4583</v>
      </c>
      <c r="E490">
        <v>353</v>
      </c>
      <c r="F490" t="s">
        <v>1896</v>
      </c>
      <c r="G490" t="s">
        <v>1786</v>
      </c>
      <c r="H490" s="119">
        <f t="shared" si="39"/>
        <v>222.66666666666666</v>
      </c>
      <c r="I490" s="117">
        <v>44607</v>
      </c>
      <c r="J490">
        <v>3000</v>
      </c>
      <c r="L490">
        <v>3000</v>
      </c>
      <c r="M490">
        <v>1973</v>
      </c>
      <c r="P490" t="s">
        <v>2529</v>
      </c>
      <c r="R490" t="s">
        <v>44</v>
      </c>
      <c r="S490">
        <v>14850</v>
      </c>
      <c r="T490" s="118">
        <f t="shared" si="40"/>
        <v>4.95</v>
      </c>
      <c r="U490" t="s">
        <v>44</v>
      </c>
      <c r="Y490">
        <v>668000</v>
      </c>
      <c r="AA490">
        <v>668000</v>
      </c>
      <c r="AC490" t="s">
        <v>4584</v>
      </c>
      <c r="AD490" t="s">
        <v>4585</v>
      </c>
      <c r="AE490" s="243" t="s">
        <v>4586</v>
      </c>
      <c r="AF490" s="243" t="s">
        <v>4587</v>
      </c>
      <c r="AI490" s="59" t="e">
        <f t="shared" si="35"/>
        <v>#N/A</v>
      </c>
      <c r="AJ490" t="e">
        <f t="shared" si="36"/>
        <v>#N/A</v>
      </c>
      <c r="AK490" t="str">
        <f t="shared" si="38"/>
        <v/>
      </c>
    </row>
    <row r="491" spans="1:37" ht="15" customHeight="1">
      <c r="A491" s="122">
        <v>8</v>
      </c>
      <c r="B491" s="59">
        <v>485</v>
      </c>
      <c r="C491" t="s">
        <v>4588</v>
      </c>
      <c r="D491" t="s">
        <v>4589</v>
      </c>
      <c r="E491">
        <v>344</v>
      </c>
      <c r="F491" t="s">
        <v>2494</v>
      </c>
      <c r="G491" t="s">
        <v>1786</v>
      </c>
      <c r="H491" s="119">
        <f t="shared" si="39"/>
        <v>165.16516516516518</v>
      </c>
      <c r="I491" s="117">
        <v>44309</v>
      </c>
      <c r="J491">
        <v>8325</v>
      </c>
      <c r="L491">
        <v>8325</v>
      </c>
      <c r="M491">
        <v>1982</v>
      </c>
      <c r="P491" t="s">
        <v>2495</v>
      </c>
      <c r="R491" t="s">
        <v>229</v>
      </c>
      <c r="S491">
        <v>44858</v>
      </c>
      <c r="T491" s="118">
        <f t="shared" si="40"/>
        <v>5.3883483483483481</v>
      </c>
      <c r="U491" t="s">
        <v>44</v>
      </c>
      <c r="Y491">
        <v>1375000</v>
      </c>
      <c r="AA491">
        <v>1375000</v>
      </c>
      <c r="AC491" t="s">
        <v>4590</v>
      </c>
      <c r="AD491" t="s">
        <v>4591</v>
      </c>
      <c r="AE491" s="243" t="s">
        <v>4592</v>
      </c>
      <c r="AF491" s="243" t="s">
        <v>4593</v>
      </c>
      <c r="AI491" s="59" t="e">
        <f t="shared" si="35"/>
        <v>#N/A</v>
      </c>
      <c r="AJ491" t="e">
        <f t="shared" si="36"/>
        <v>#N/A</v>
      </c>
      <c r="AK491" t="str">
        <f t="shared" si="38"/>
        <v/>
      </c>
    </row>
    <row r="492" spans="1:37" ht="15" customHeight="1">
      <c r="A492" s="122">
        <v>8</v>
      </c>
      <c r="B492" s="59">
        <v>486</v>
      </c>
      <c r="C492" t="s">
        <v>4594</v>
      </c>
      <c r="D492" t="s">
        <v>4595</v>
      </c>
      <c r="E492">
        <v>344</v>
      </c>
      <c r="F492" t="s">
        <v>1800</v>
      </c>
      <c r="G492" t="s">
        <v>1786</v>
      </c>
      <c r="H492" s="119">
        <f t="shared" si="39"/>
        <v>274.86296006264683</v>
      </c>
      <c r="I492" s="117">
        <v>43671</v>
      </c>
      <c r="J492">
        <v>6385</v>
      </c>
      <c r="L492">
        <v>6385</v>
      </c>
      <c r="M492">
        <v>1998</v>
      </c>
      <c r="P492" t="s">
        <v>3629</v>
      </c>
      <c r="R492" t="s">
        <v>44</v>
      </c>
      <c r="S492">
        <v>44081</v>
      </c>
      <c r="T492" s="118">
        <f t="shared" si="40"/>
        <v>6.9038371182458889</v>
      </c>
      <c r="U492" t="s">
        <v>44</v>
      </c>
      <c r="Y492">
        <v>1755000</v>
      </c>
      <c r="AA492">
        <v>1755000</v>
      </c>
      <c r="AC492" t="s">
        <v>4596</v>
      </c>
      <c r="AD492" t="s">
        <v>4597</v>
      </c>
      <c r="AE492" s="243" t="s">
        <v>4598</v>
      </c>
      <c r="AF492" s="243" t="s">
        <v>4599</v>
      </c>
      <c r="AI492" s="59" t="e">
        <f t="shared" si="35"/>
        <v>#N/A</v>
      </c>
      <c r="AJ492" t="e">
        <f t="shared" si="36"/>
        <v>#N/A</v>
      </c>
      <c r="AK492" t="str">
        <f t="shared" si="38"/>
        <v/>
      </c>
    </row>
    <row r="493" spans="1:37" ht="15" customHeight="1">
      <c r="A493" s="122">
        <v>8</v>
      </c>
      <c r="B493" s="59">
        <v>487</v>
      </c>
      <c r="C493" t="s">
        <v>4600</v>
      </c>
      <c r="D493" t="s">
        <v>4601</v>
      </c>
      <c r="E493">
        <v>344</v>
      </c>
      <c r="F493" t="s">
        <v>1984</v>
      </c>
      <c r="G493" t="s">
        <v>89</v>
      </c>
      <c r="H493" s="119">
        <f t="shared" si="39"/>
        <v>157.89473684210526</v>
      </c>
      <c r="I493" s="117">
        <v>44713</v>
      </c>
      <c r="J493">
        <v>3705</v>
      </c>
      <c r="L493">
        <v>3705</v>
      </c>
      <c r="M493">
        <v>1974</v>
      </c>
      <c r="P493" t="s">
        <v>2487</v>
      </c>
      <c r="R493" t="s">
        <v>44</v>
      </c>
      <c r="S493">
        <v>7500</v>
      </c>
      <c r="T493" s="118">
        <f t="shared" si="40"/>
        <v>2.0242914979757085</v>
      </c>
      <c r="U493" t="s">
        <v>44</v>
      </c>
      <c r="Y493">
        <v>585000</v>
      </c>
      <c r="AA493">
        <v>585000</v>
      </c>
      <c r="AC493" t="s">
        <v>4602</v>
      </c>
      <c r="AD493" t="s">
        <v>4603</v>
      </c>
      <c r="AE493" s="243" t="s">
        <v>4604</v>
      </c>
      <c r="AF493" s="243" t="s">
        <v>4605</v>
      </c>
      <c r="AI493" s="59" t="e">
        <f t="shared" si="35"/>
        <v>#N/A</v>
      </c>
      <c r="AJ493" t="e">
        <f t="shared" si="36"/>
        <v>#N/A</v>
      </c>
      <c r="AK493" t="str">
        <f t="shared" si="38"/>
        <v/>
      </c>
    </row>
    <row r="494" spans="1:37" ht="15" customHeight="1">
      <c r="A494" s="122">
        <v>8</v>
      </c>
      <c r="B494" s="59">
        <v>488</v>
      </c>
      <c r="C494" t="s">
        <v>4344</v>
      </c>
      <c r="D494" t="s">
        <v>4606</v>
      </c>
      <c r="E494">
        <v>344</v>
      </c>
      <c r="F494" t="s">
        <v>1800</v>
      </c>
      <c r="G494" t="s">
        <v>1786</v>
      </c>
      <c r="H494" s="119">
        <f t="shared" si="39"/>
        <v>125.62814070351759</v>
      </c>
      <c r="I494" s="117">
        <v>43117</v>
      </c>
      <c r="J494">
        <v>1592</v>
      </c>
      <c r="L494">
        <v>1592</v>
      </c>
      <c r="M494">
        <v>1984</v>
      </c>
      <c r="P494" t="s">
        <v>3629</v>
      </c>
      <c r="R494" t="s">
        <v>44</v>
      </c>
      <c r="S494">
        <v>3842</v>
      </c>
      <c r="T494" s="118">
        <f t="shared" si="40"/>
        <v>2.4133165829145731</v>
      </c>
      <c r="U494" t="s">
        <v>44</v>
      </c>
      <c r="Y494">
        <v>200000</v>
      </c>
      <c r="AA494">
        <v>200000</v>
      </c>
      <c r="AC494" t="s">
        <v>4346</v>
      </c>
      <c r="AD494" t="s">
        <v>4607</v>
      </c>
      <c r="AE494" s="243" t="s">
        <v>4608</v>
      </c>
      <c r="AF494" s="243" t="s">
        <v>4348</v>
      </c>
      <c r="AI494" s="59" t="e">
        <f t="shared" si="35"/>
        <v>#N/A</v>
      </c>
      <c r="AJ494" t="e">
        <f t="shared" si="36"/>
        <v>#N/A</v>
      </c>
      <c r="AK494" t="str">
        <f t="shared" si="38"/>
        <v/>
      </c>
    </row>
    <row r="495" spans="1:37" ht="15" customHeight="1">
      <c r="A495" s="122">
        <v>8</v>
      </c>
      <c r="B495" s="59">
        <v>489</v>
      </c>
      <c r="C495" t="s">
        <v>4609</v>
      </c>
      <c r="D495" t="s">
        <v>4610</v>
      </c>
      <c r="E495">
        <v>350</v>
      </c>
      <c r="F495" t="s">
        <v>2141</v>
      </c>
      <c r="G495" t="s">
        <v>1910</v>
      </c>
      <c r="H495" s="119">
        <f t="shared" si="39"/>
        <v>245.51282051282053</v>
      </c>
      <c r="I495" s="117">
        <v>44124</v>
      </c>
      <c r="J495">
        <v>780</v>
      </c>
      <c r="L495">
        <v>780</v>
      </c>
      <c r="M495">
        <v>1964</v>
      </c>
      <c r="P495" t="s">
        <v>2502</v>
      </c>
      <c r="R495" t="s">
        <v>44</v>
      </c>
      <c r="S495">
        <v>22012</v>
      </c>
      <c r="T495" s="118">
        <f t="shared" si="40"/>
        <v>28.22051282051282</v>
      </c>
      <c r="U495" t="s">
        <v>44</v>
      </c>
      <c r="Y495">
        <v>191500</v>
      </c>
      <c r="AA495">
        <v>191500</v>
      </c>
      <c r="AC495" t="s">
        <v>4611</v>
      </c>
      <c r="AD495" t="s">
        <v>4612</v>
      </c>
      <c r="AE495" s="243" t="s">
        <v>4613</v>
      </c>
      <c r="AF495" s="243" t="s">
        <v>4614</v>
      </c>
      <c r="AI495" s="59" t="e">
        <f t="shared" si="35"/>
        <v>#N/A</v>
      </c>
      <c r="AJ495" t="e">
        <f t="shared" si="36"/>
        <v>#N/A</v>
      </c>
      <c r="AK495" t="str">
        <f t="shared" si="38"/>
        <v/>
      </c>
    </row>
    <row r="496" spans="1:37" ht="15" customHeight="1">
      <c r="A496" s="122">
        <v>8</v>
      </c>
      <c r="B496" s="59">
        <v>490</v>
      </c>
      <c r="C496" t="s">
        <v>4615</v>
      </c>
      <c r="D496" t="s">
        <v>4616</v>
      </c>
      <c r="E496">
        <v>426</v>
      </c>
      <c r="F496" t="s">
        <v>1896</v>
      </c>
      <c r="G496" t="s">
        <v>90</v>
      </c>
      <c r="H496" s="119">
        <f t="shared" si="39"/>
        <v>275.68331762488219</v>
      </c>
      <c r="I496" s="117">
        <v>43402</v>
      </c>
      <c r="J496">
        <v>2122</v>
      </c>
      <c r="L496">
        <v>2122</v>
      </c>
      <c r="M496">
        <v>1977</v>
      </c>
      <c r="P496" t="s">
        <v>3590</v>
      </c>
      <c r="R496" t="s">
        <v>44</v>
      </c>
      <c r="S496">
        <v>25264.800800000001</v>
      </c>
      <c r="T496" s="118">
        <f t="shared" si="40"/>
        <v>11.906126672950048</v>
      </c>
      <c r="U496" t="s">
        <v>44</v>
      </c>
      <c r="Y496">
        <v>585000</v>
      </c>
      <c r="AA496">
        <v>585000</v>
      </c>
      <c r="AC496" t="s">
        <v>4617</v>
      </c>
      <c r="AD496" t="s">
        <v>4618</v>
      </c>
      <c r="AE496" s="243" t="s">
        <v>4619</v>
      </c>
      <c r="AF496" s="243" t="s">
        <v>4620</v>
      </c>
      <c r="AI496" s="59" t="e">
        <f t="shared" si="35"/>
        <v>#N/A</v>
      </c>
      <c r="AJ496" t="e">
        <f t="shared" si="36"/>
        <v>#N/A</v>
      </c>
      <c r="AK496" t="str">
        <f t="shared" si="38"/>
        <v/>
      </c>
    </row>
    <row r="497" spans="1:37" ht="15" customHeight="1">
      <c r="A497" s="122">
        <v>8</v>
      </c>
      <c r="B497" s="59">
        <v>491</v>
      </c>
      <c r="C497" t="s">
        <v>4621</v>
      </c>
      <c r="D497" t="s">
        <v>4622</v>
      </c>
      <c r="E497">
        <v>419</v>
      </c>
      <c r="F497" t="s">
        <v>2494</v>
      </c>
      <c r="G497" t="s">
        <v>1786</v>
      </c>
      <c r="H497" s="119">
        <f t="shared" si="39"/>
        <v>520.83333333333337</v>
      </c>
      <c r="I497" s="117">
        <v>44676</v>
      </c>
      <c r="J497">
        <v>2400</v>
      </c>
      <c r="L497">
        <v>2400</v>
      </c>
      <c r="M497">
        <v>1974</v>
      </c>
      <c r="P497" t="s">
        <v>2495</v>
      </c>
      <c r="R497" t="s">
        <v>44</v>
      </c>
      <c r="S497">
        <v>20000</v>
      </c>
      <c r="T497" s="118">
        <f t="shared" si="40"/>
        <v>8.3333333333333339</v>
      </c>
      <c r="U497" t="s">
        <v>44</v>
      </c>
      <c r="Y497">
        <v>1250000</v>
      </c>
      <c r="AA497">
        <v>1250000</v>
      </c>
      <c r="AC497" t="s">
        <v>4623</v>
      </c>
      <c r="AD497" t="s">
        <v>4624</v>
      </c>
      <c r="AE497" s="243" t="s">
        <v>4625</v>
      </c>
      <c r="AF497" s="243" t="s">
        <v>4626</v>
      </c>
      <c r="AI497" s="59" t="e">
        <f t="shared" si="35"/>
        <v>#N/A</v>
      </c>
      <c r="AJ497" t="e">
        <f t="shared" si="36"/>
        <v>#N/A</v>
      </c>
      <c r="AK497" t="str">
        <f t="shared" si="38"/>
        <v/>
      </c>
    </row>
    <row r="498" spans="1:37" ht="15" customHeight="1">
      <c r="A498" s="122">
        <v>8</v>
      </c>
      <c r="B498" s="59">
        <v>492</v>
      </c>
      <c r="C498" t="s">
        <v>4627</v>
      </c>
      <c r="D498" t="s">
        <v>4628</v>
      </c>
      <c r="E498">
        <v>353</v>
      </c>
      <c r="F498" t="s">
        <v>1896</v>
      </c>
      <c r="G498" t="s">
        <v>1786</v>
      </c>
      <c r="H498" s="119">
        <f t="shared" si="39"/>
        <v>222.55689424364124</v>
      </c>
      <c r="I498" s="117">
        <v>43614</v>
      </c>
      <c r="J498">
        <v>2988</v>
      </c>
      <c r="L498">
        <v>2988</v>
      </c>
      <c r="M498">
        <v>1979</v>
      </c>
      <c r="P498" t="s">
        <v>3590</v>
      </c>
      <c r="R498" t="s">
        <v>44</v>
      </c>
      <c r="S498">
        <v>30800</v>
      </c>
      <c r="T498" s="118">
        <f t="shared" si="40"/>
        <v>10.307898259705489</v>
      </c>
      <c r="U498" t="s">
        <v>44</v>
      </c>
      <c r="Y498">
        <v>665000</v>
      </c>
      <c r="AA498">
        <v>665000</v>
      </c>
      <c r="AC498" t="s">
        <v>4629</v>
      </c>
      <c r="AD498" t="s">
        <v>4630</v>
      </c>
      <c r="AE498" s="243" t="s">
        <v>4631</v>
      </c>
      <c r="AF498" s="243" t="s">
        <v>4632</v>
      </c>
      <c r="AI498" s="59" t="e">
        <f t="shared" si="35"/>
        <v>#N/A</v>
      </c>
      <c r="AJ498" t="e">
        <f t="shared" si="36"/>
        <v>#N/A</v>
      </c>
      <c r="AK498" t="str">
        <f t="shared" si="38"/>
        <v/>
      </c>
    </row>
    <row r="499" spans="1:37" ht="15" customHeight="1">
      <c r="A499" s="122">
        <v>8</v>
      </c>
      <c r="B499" s="59">
        <v>493</v>
      </c>
      <c r="C499" t="s">
        <v>4633</v>
      </c>
      <c r="D499" t="s">
        <v>4634</v>
      </c>
      <c r="E499">
        <v>325</v>
      </c>
      <c r="G499" t="s">
        <v>1910</v>
      </c>
      <c r="H499" s="119">
        <f t="shared" si="39"/>
        <v>206.21827411167513</v>
      </c>
      <c r="I499" s="117">
        <v>43259</v>
      </c>
      <c r="J499">
        <v>1576</v>
      </c>
      <c r="L499">
        <v>1576</v>
      </c>
      <c r="M499">
        <v>1958</v>
      </c>
      <c r="R499" t="s">
        <v>44</v>
      </c>
      <c r="S499">
        <v>19471.32</v>
      </c>
      <c r="T499" s="118">
        <f t="shared" si="40"/>
        <v>12.354898477157359</v>
      </c>
      <c r="U499" t="s">
        <v>44</v>
      </c>
      <c r="Y499">
        <v>325000</v>
      </c>
      <c r="AA499">
        <v>325000</v>
      </c>
      <c r="AC499" t="s">
        <v>4635</v>
      </c>
      <c r="AD499" t="s">
        <v>4636</v>
      </c>
      <c r="AE499" s="243" t="s">
        <v>4637</v>
      </c>
      <c r="AF499" s="243" t="s">
        <v>4638</v>
      </c>
      <c r="AI499" s="59" t="e">
        <f t="shared" si="35"/>
        <v>#N/A</v>
      </c>
      <c r="AJ499" t="e">
        <f t="shared" si="36"/>
        <v>#N/A</v>
      </c>
      <c r="AK499" t="str">
        <f t="shared" si="38"/>
        <v/>
      </c>
    </row>
    <row r="500" spans="1:37" ht="15" customHeight="1">
      <c r="A500" s="122">
        <v>8</v>
      </c>
      <c r="B500" s="59">
        <v>494</v>
      </c>
      <c r="C500" t="s">
        <v>4639</v>
      </c>
      <c r="D500" t="s">
        <v>4640</v>
      </c>
      <c r="E500">
        <v>325</v>
      </c>
      <c r="F500" t="s">
        <v>1814</v>
      </c>
      <c r="G500" t="s">
        <v>1815</v>
      </c>
      <c r="H500" s="119">
        <f t="shared" si="39"/>
        <v>171.42857142857142</v>
      </c>
      <c r="I500" s="117">
        <v>44344</v>
      </c>
      <c r="J500">
        <v>3500</v>
      </c>
      <c r="L500">
        <v>3500</v>
      </c>
      <c r="M500">
        <v>1957</v>
      </c>
      <c r="P500" t="s">
        <v>2715</v>
      </c>
      <c r="R500" t="s">
        <v>44</v>
      </c>
      <c r="S500">
        <v>6250</v>
      </c>
      <c r="T500" s="118">
        <f t="shared" si="40"/>
        <v>1.7857142857142858</v>
      </c>
      <c r="U500" t="s">
        <v>44</v>
      </c>
      <c r="Y500">
        <v>600000</v>
      </c>
      <c r="AA500">
        <v>600000</v>
      </c>
      <c r="AC500" t="s">
        <v>4641</v>
      </c>
      <c r="AD500" t="s">
        <v>4642</v>
      </c>
      <c r="AE500" s="243" t="s">
        <v>4643</v>
      </c>
      <c r="AF500" s="243" t="s">
        <v>4644</v>
      </c>
      <c r="AI500" s="59" t="e">
        <f t="shared" si="35"/>
        <v>#N/A</v>
      </c>
      <c r="AJ500" t="e">
        <f t="shared" si="36"/>
        <v>#N/A</v>
      </c>
      <c r="AK500" t="str">
        <f t="shared" si="38"/>
        <v/>
      </c>
    </row>
    <row r="501" spans="1:37" ht="15" customHeight="1">
      <c r="A501" s="122">
        <v>8</v>
      </c>
      <c r="B501" s="59">
        <v>495</v>
      </c>
      <c r="C501" t="s">
        <v>4645</v>
      </c>
      <c r="D501" t="s">
        <v>4646</v>
      </c>
      <c r="E501">
        <v>344</v>
      </c>
      <c r="F501" t="s">
        <v>1984</v>
      </c>
      <c r="G501" t="s">
        <v>89</v>
      </c>
      <c r="H501" s="119">
        <f t="shared" si="39"/>
        <v>347.22222222222223</v>
      </c>
      <c r="I501" s="117">
        <v>44532</v>
      </c>
      <c r="J501">
        <v>1152</v>
      </c>
      <c r="L501">
        <v>1152</v>
      </c>
      <c r="M501">
        <v>1972</v>
      </c>
      <c r="P501" t="s">
        <v>2487</v>
      </c>
      <c r="R501" t="s">
        <v>44</v>
      </c>
      <c r="S501">
        <v>8775</v>
      </c>
      <c r="T501" s="118">
        <f t="shared" si="40"/>
        <v>7.6171875</v>
      </c>
      <c r="U501" t="s">
        <v>44</v>
      </c>
      <c r="Y501">
        <v>400000</v>
      </c>
      <c r="AA501">
        <v>400000</v>
      </c>
      <c r="AC501" t="s">
        <v>4647</v>
      </c>
      <c r="AD501" t="s">
        <v>4648</v>
      </c>
      <c r="AE501" t="s">
        <v>4649</v>
      </c>
      <c r="AF501" t="s">
        <v>4650</v>
      </c>
      <c r="AI501" s="59" t="e">
        <f t="shared" si="35"/>
        <v>#N/A</v>
      </c>
      <c r="AJ501" t="e">
        <f t="shared" si="36"/>
        <v>#N/A</v>
      </c>
      <c r="AK501" t="str">
        <f t="shared" si="38"/>
        <v/>
      </c>
    </row>
    <row r="502" spans="1:37" ht="15" customHeight="1">
      <c r="A502" s="122">
        <v>8</v>
      </c>
      <c r="B502" s="59">
        <v>496</v>
      </c>
      <c r="C502" t="s">
        <v>4651</v>
      </c>
      <c r="D502" t="s">
        <v>4652</v>
      </c>
      <c r="E502">
        <v>412</v>
      </c>
      <c r="F502" t="s">
        <v>2494</v>
      </c>
      <c r="G502" t="s">
        <v>1786</v>
      </c>
      <c r="H502" s="119">
        <f t="shared" si="39"/>
        <v>120.43578963758807</v>
      </c>
      <c r="I502" s="117">
        <v>43735</v>
      </c>
      <c r="J502">
        <v>102756</v>
      </c>
      <c r="L502">
        <v>102756</v>
      </c>
      <c r="M502">
        <v>1973</v>
      </c>
      <c r="P502" t="s">
        <v>2495</v>
      </c>
      <c r="R502" t="s">
        <v>229</v>
      </c>
      <c r="S502">
        <v>348480</v>
      </c>
      <c r="T502" s="118">
        <f t="shared" si="40"/>
        <v>3.3913348125656895</v>
      </c>
      <c r="U502" t="s">
        <v>229</v>
      </c>
      <c r="Y502">
        <v>12375500</v>
      </c>
      <c r="AA502">
        <v>12375500</v>
      </c>
      <c r="AC502" t="s">
        <v>4653</v>
      </c>
      <c r="AD502" t="s">
        <v>4654</v>
      </c>
      <c r="AE502" t="s">
        <v>4655</v>
      </c>
      <c r="AF502" t="s">
        <v>4656</v>
      </c>
      <c r="AI502" s="59" t="e">
        <f t="shared" si="35"/>
        <v>#N/A</v>
      </c>
      <c r="AJ502" t="e">
        <f t="shared" si="36"/>
        <v>#N/A</v>
      </c>
      <c r="AK502" t="str">
        <f t="shared" si="38"/>
        <v/>
      </c>
    </row>
    <row r="503" spans="1:37" ht="15" customHeight="1">
      <c r="A503" s="122">
        <v>8</v>
      </c>
      <c r="B503" s="59">
        <v>497</v>
      </c>
      <c r="C503" t="s">
        <v>4657</v>
      </c>
      <c r="D503" t="s">
        <v>4658</v>
      </c>
      <c r="E503">
        <v>353</v>
      </c>
      <c r="F503" t="s">
        <v>2494</v>
      </c>
      <c r="G503" t="s">
        <v>1786</v>
      </c>
      <c r="H503" s="119">
        <f t="shared" si="39"/>
        <v>252.97619047619048</v>
      </c>
      <c r="I503" s="117">
        <v>44245</v>
      </c>
      <c r="J503">
        <v>6720</v>
      </c>
      <c r="L503">
        <v>6720</v>
      </c>
      <c r="M503">
        <v>1999</v>
      </c>
      <c r="P503" t="s">
        <v>2495</v>
      </c>
      <c r="R503" t="s">
        <v>44</v>
      </c>
      <c r="S503">
        <v>49963.320299999999</v>
      </c>
      <c r="T503" s="118">
        <f t="shared" si="40"/>
        <v>7.4350179017857139</v>
      </c>
      <c r="U503" t="s">
        <v>229</v>
      </c>
      <c r="Y503">
        <v>1700000</v>
      </c>
      <c r="AA503">
        <v>1700000</v>
      </c>
      <c r="AC503" t="s">
        <v>4659</v>
      </c>
      <c r="AD503" t="s">
        <v>4660</v>
      </c>
      <c r="AE503" t="s">
        <v>4661</v>
      </c>
      <c r="AF503" t="s">
        <v>4662</v>
      </c>
      <c r="AI503" s="59" t="e">
        <f t="shared" si="35"/>
        <v>#N/A</v>
      </c>
      <c r="AJ503" t="e">
        <f t="shared" si="36"/>
        <v>#N/A</v>
      </c>
      <c r="AK503" t="str">
        <f t="shared" si="38"/>
        <v/>
      </c>
    </row>
    <row r="504" spans="1:37" ht="15" customHeight="1">
      <c r="A504" s="122">
        <v>8</v>
      </c>
      <c r="B504" s="59">
        <v>498</v>
      </c>
      <c r="C504" t="s">
        <v>4663</v>
      </c>
      <c r="D504" t="s">
        <v>4664</v>
      </c>
      <c r="E504">
        <v>406</v>
      </c>
      <c r="F504" t="s">
        <v>1984</v>
      </c>
      <c r="G504" t="s">
        <v>89</v>
      </c>
      <c r="H504" s="119">
        <f t="shared" si="39"/>
        <v>113.71467953135769</v>
      </c>
      <c r="I504" s="117">
        <v>44155</v>
      </c>
      <c r="J504">
        <v>1451</v>
      </c>
      <c r="L504">
        <v>1451</v>
      </c>
      <c r="M504">
        <v>1936</v>
      </c>
      <c r="P504" t="s">
        <v>2487</v>
      </c>
      <c r="R504" t="s">
        <v>44</v>
      </c>
      <c r="S504">
        <v>2350</v>
      </c>
      <c r="T504" s="118">
        <f t="shared" si="40"/>
        <v>1.6195727084769125</v>
      </c>
      <c r="U504" t="s">
        <v>44</v>
      </c>
      <c r="Y504">
        <v>165000</v>
      </c>
      <c r="AA504">
        <v>165000</v>
      </c>
      <c r="AC504" t="s">
        <v>4665</v>
      </c>
      <c r="AD504" t="s">
        <v>4666</v>
      </c>
      <c r="AE504" t="s">
        <v>4667</v>
      </c>
      <c r="AF504" t="s">
        <v>4668</v>
      </c>
      <c r="AI504" s="59" t="e">
        <f t="shared" si="35"/>
        <v>#N/A</v>
      </c>
      <c r="AJ504" t="e">
        <f t="shared" si="36"/>
        <v>#N/A</v>
      </c>
      <c r="AK504" t="str">
        <f t="shared" si="38"/>
        <v/>
      </c>
    </row>
    <row r="505" spans="1:37" ht="15" customHeight="1">
      <c r="A505" s="122">
        <v>8</v>
      </c>
      <c r="B505" s="59">
        <v>499</v>
      </c>
      <c r="C505" t="s">
        <v>2195</v>
      </c>
      <c r="D505" t="s">
        <v>4669</v>
      </c>
      <c r="E505">
        <v>334</v>
      </c>
      <c r="F505" t="s">
        <v>1896</v>
      </c>
      <c r="G505" t="s">
        <v>90</v>
      </c>
      <c r="H505" s="119">
        <f t="shared" si="39"/>
        <v>125.75771366160008</v>
      </c>
      <c r="I505" s="117">
        <v>43490</v>
      </c>
      <c r="J505">
        <v>32961</v>
      </c>
      <c r="L505">
        <v>32961</v>
      </c>
      <c r="M505">
        <v>1983</v>
      </c>
      <c r="P505" t="s">
        <v>3590</v>
      </c>
      <c r="R505" t="s">
        <v>229</v>
      </c>
      <c r="S505">
        <v>112471</v>
      </c>
      <c r="T505" s="118">
        <f t="shared" si="40"/>
        <v>3.4122447741269988</v>
      </c>
      <c r="U505" t="s">
        <v>44</v>
      </c>
      <c r="Y505">
        <v>4145100</v>
      </c>
      <c r="AA505">
        <v>4145100</v>
      </c>
      <c r="AC505" t="s">
        <v>2198</v>
      </c>
      <c r="AD505" t="s">
        <v>4670</v>
      </c>
      <c r="AE505" t="s">
        <v>4671</v>
      </c>
      <c r="AF505" t="s">
        <v>2200</v>
      </c>
      <c r="AI505" s="59" t="e">
        <f t="shared" si="35"/>
        <v>#N/A</v>
      </c>
      <c r="AJ505" t="e">
        <f t="shared" si="36"/>
        <v>#N/A</v>
      </c>
      <c r="AK505" t="str">
        <f t="shared" si="38"/>
        <v/>
      </c>
    </row>
    <row r="506" spans="1:37" ht="15" customHeight="1">
      <c r="A506" s="122">
        <v>8</v>
      </c>
      <c r="B506" s="59">
        <v>500</v>
      </c>
      <c r="C506" t="s">
        <v>2407</v>
      </c>
      <c r="D506" t="s">
        <v>4672</v>
      </c>
      <c r="E506">
        <v>425</v>
      </c>
      <c r="G506" t="s">
        <v>1910</v>
      </c>
      <c r="H506" s="119">
        <f t="shared" si="39"/>
        <v>183.33333333333334</v>
      </c>
      <c r="I506" s="117">
        <v>43168</v>
      </c>
      <c r="J506">
        <v>1500</v>
      </c>
      <c r="L506">
        <v>1500</v>
      </c>
      <c r="M506">
        <v>1984</v>
      </c>
      <c r="P506" t="s">
        <v>1911</v>
      </c>
      <c r="R506" t="s">
        <v>44</v>
      </c>
      <c r="S506">
        <v>4340</v>
      </c>
      <c r="T506" s="118">
        <f t="shared" si="40"/>
        <v>2.8933333333333335</v>
      </c>
      <c r="U506" t="s">
        <v>44</v>
      </c>
      <c r="Y506">
        <v>275000</v>
      </c>
      <c r="AA506">
        <v>275000</v>
      </c>
      <c r="AC506" t="s">
        <v>2409</v>
      </c>
      <c r="AD506" t="s">
        <v>4673</v>
      </c>
      <c r="AE506" t="s">
        <v>4674</v>
      </c>
      <c r="AF506" t="s">
        <v>2411</v>
      </c>
      <c r="AI506" s="59" t="e">
        <f t="shared" si="35"/>
        <v>#N/A</v>
      </c>
      <c r="AJ506" t="e">
        <f t="shared" si="36"/>
        <v>#N/A</v>
      </c>
      <c r="AK506" t="str">
        <f t="shared" si="38"/>
        <v/>
      </c>
    </row>
    <row r="507" spans="1:37" ht="15" customHeight="1">
      <c r="A507" s="122">
        <v>8</v>
      </c>
      <c r="B507" s="59">
        <v>501</v>
      </c>
      <c r="C507" t="s">
        <v>4675</v>
      </c>
      <c r="D507" t="s">
        <v>4676</v>
      </c>
      <c r="E507">
        <v>419</v>
      </c>
      <c r="G507" t="s">
        <v>1910</v>
      </c>
      <c r="H507" s="119">
        <f t="shared" si="39"/>
        <v>1111.1111111111111</v>
      </c>
      <c r="I507" s="117">
        <v>44692</v>
      </c>
      <c r="J507">
        <v>2700</v>
      </c>
      <c r="L507">
        <v>2700</v>
      </c>
      <c r="M507">
        <v>1995</v>
      </c>
      <c r="P507" t="s">
        <v>1911</v>
      </c>
      <c r="R507" t="s">
        <v>44</v>
      </c>
      <c r="S507">
        <v>110640</v>
      </c>
      <c r="T507" s="118">
        <f t="shared" si="40"/>
        <v>40.977777777777774</v>
      </c>
      <c r="U507" t="s">
        <v>44</v>
      </c>
      <c r="Y507">
        <v>3000000</v>
      </c>
      <c r="AA507">
        <v>3000000</v>
      </c>
      <c r="AC507" t="s">
        <v>4677</v>
      </c>
      <c r="AD507" t="s">
        <v>4678</v>
      </c>
      <c r="AE507" t="s">
        <v>4679</v>
      </c>
      <c r="AF507" t="s">
        <v>4680</v>
      </c>
      <c r="AI507" s="59" t="e">
        <f t="shared" si="35"/>
        <v>#N/A</v>
      </c>
      <c r="AJ507" t="e">
        <f t="shared" si="36"/>
        <v>#N/A</v>
      </c>
      <c r="AK507" t="str">
        <f t="shared" si="38"/>
        <v/>
      </c>
    </row>
    <row r="508" spans="1:37" ht="15" customHeight="1">
      <c r="A508" s="122">
        <v>8</v>
      </c>
      <c r="B508" s="59">
        <v>502</v>
      </c>
      <c r="C508" t="s">
        <v>4681</v>
      </c>
      <c r="D508" t="s">
        <v>4682</v>
      </c>
      <c r="E508">
        <v>406</v>
      </c>
      <c r="G508" t="s">
        <v>1910</v>
      </c>
      <c r="H508" s="119">
        <f t="shared" si="39"/>
        <v>150.11123470522804</v>
      </c>
      <c r="I508" s="117">
        <v>44270</v>
      </c>
      <c r="J508">
        <v>17980</v>
      </c>
      <c r="L508">
        <v>17980</v>
      </c>
      <c r="M508">
        <v>1986</v>
      </c>
      <c r="P508" t="s">
        <v>1911</v>
      </c>
      <c r="R508" t="s">
        <v>44</v>
      </c>
      <c r="S508">
        <v>76200</v>
      </c>
      <c r="T508" s="118">
        <f t="shared" si="40"/>
        <v>4.2380422691879867</v>
      </c>
      <c r="U508" t="s">
        <v>44</v>
      </c>
      <c r="Y508">
        <v>2699000</v>
      </c>
      <c r="AA508">
        <v>2699000</v>
      </c>
      <c r="AC508" t="s">
        <v>4683</v>
      </c>
      <c r="AD508" t="s">
        <v>4684</v>
      </c>
      <c r="AE508" t="s">
        <v>4685</v>
      </c>
      <c r="AF508" t="s">
        <v>4686</v>
      </c>
      <c r="AI508" s="59">
        <f t="shared" si="35"/>
        <v>3580</v>
      </c>
      <c r="AJ508">
        <f t="shared" si="36"/>
        <v>3580.0000507999998</v>
      </c>
      <c r="AK508" t="str">
        <f t="shared" si="38"/>
        <v/>
      </c>
    </row>
    <row r="509" spans="1:37" ht="15" customHeight="1">
      <c r="A509" s="122">
        <v>8</v>
      </c>
      <c r="B509" s="59">
        <v>503</v>
      </c>
      <c r="C509" t="s">
        <v>4687</v>
      </c>
      <c r="D509" t="s">
        <v>4688</v>
      </c>
      <c r="E509">
        <v>325</v>
      </c>
      <c r="F509" t="s">
        <v>2141</v>
      </c>
      <c r="G509" t="s">
        <v>1910</v>
      </c>
      <c r="H509" s="119">
        <f t="shared" si="39"/>
        <v>283.69565217391306</v>
      </c>
      <c r="I509" s="117">
        <v>44715</v>
      </c>
      <c r="J509">
        <v>4600</v>
      </c>
      <c r="L509">
        <v>4600</v>
      </c>
      <c r="M509">
        <v>1973</v>
      </c>
      <c r="P509" t="s">
        <v>2230</v>
      </c>
      <c r="R509" t="s">
        <v>44</v>
      </c>
      <c r="S509">
        <v>16800</v>
      </c>
      <c r="T509" s="118">
        <f t="shared" si="40"/>
        <v>3.652173913043478</v>
      </c>
      <c r="U509" t="s">
        <v>44</v>
      </c>
      <c r="Y509">
        <v>1305000</v>
      </c>
      <c r="AA509">
        <v>1305000</v>
      </c>
      <c r="AC509" t="s">
        <v>4689</v>
      </c>
      <c r="AD509" t="s">
        <v>4690</v>
      </c>
      <c r="AE509" t="s">
        <v>2252</v>
      </c>
      <c r="AF509" t="s">
        <v>4691</v>
      </c>
      <c r="AI509" s="59" t="e">
        <f t="shared" si="35"/>
        <v>#N/A</v>
      </c>
      <c r="AJ509" t="e">
        <f t="shared" si="36"/>
        <v>#N/A</v>
      </c>
      <c r="AK509" t="str">
        <f t="shared" si="38"/>
        <v/>
      </c>
    </row>
    <row r="510" spans="1:37" ht="15" customHeight="1">
      <c r="A510" s="122">
        <v>8</v>
      </c>
      <c r="B510" s="59">
        <v>504</v>
      </c>
      <c r="C510" t="s">
        <v>4692</v>
      </c>
      <c r="D510" t="s">
        <v>4693</v>
      </c>
      <c r="E510">
        <v>325</v>
      </c>
      <c r="F510" t="s">
        <v>1785</v>
      </c>
      <c r="G510" t="s">
        <v>1786</v>
      </c>
      <c r="H510" s="119">
        <f t="shared" si="39"/>
        <v>168.454363757495</v>
      </c>
      <c r="I510" s="117">
        <v>43440</v>
      </c>
      <c r="J510">
        <v>30020</v>
      </c>
      <c r="L510">
        <v>30020</v>
      </c>
      <c r="M510">
        <v>1973</v>
      </c>
      <c r="P510" t="s">
        <v>3547</v>
      </c>
      <c r="R510" t="s">
        <v>44</v>
      </c>
      <c r="S510">
        <v>120456</v>
      </c>
      <c r="T510" s="118">
        <f t="shared" si="40"/>
        <v>4.012524983344437</v>
      </c>
      <c r="U510" t="s">
        <v>44</v>
      </c>
      <c r="Y510">
        <v>5057000</v>
      </c>
      <c r="AA510">
        <v>5057000</v>
      </c>
      <c r="AC510" t="s">
        <v>4694</v>
      </c>
      <c r="AD510" t="s">
        <v>4695</v>
      </c>
      <c r="AE510" t="s">
        <v>4696</v>
      </c>
      <c r="AF510" t="s">
        <v>4697</v>
      </c>
      <c r="AI510" s="59" t="e">
        <f t="shared" si="35"/>
        <v>#N/A</v>
      </c>
      <c r="AJ510" t="e">
        <f t="shared" si="36"/>
        <v>#N/A</v>
      </c>
      <c r="AK510" t="str">
        <f t="shared" si="38"/>
        <v/>
      </c>
    </row>
    <row r="511" spans="1:37" ht="15" customHeight="1">
      <c r="A511" s="122">
        <v>8</v>
      </c>
      <c r="B511" s="59">
        <v>505</v>
      </c>
      <c r="C511" t="s">
        <v>4698</v>
      </c>
      <c r="D511" t="s">
        <v>4699</v>
      </c>
      <c r="E511">
        <v>407</v>
      </c>
      <c r="F511" t="s">
        <v>2141</v>
      </c>
      <c r="G511" t="s">
        <v>1910</v>
      </c>
      <c r="H511" s="119">
        <f t="shared" si="39"/>
        <v>99.804054425256837</v>
      </c>
      <c r="I511" s="117">
        <v>44187</v>
      </c>
      <c r="J511">
        <v>54607</v>
      </c>
      <c r="L511">
        <v>54607</v>
      </c>
      <c r="M511">
        <v>1970</v>
      </c>
      <c r="P511" t="s">
        <v>2402</v>
      </c>
      <c r="R511" t="s">
        <v>44</v>
      </c>
      <c r="S511">
        <v>161338</v>
      </c>
      <c r="T511" s="118">
        <f t="shared" si="40"/>
        <v>2.9545296390572635</v>
      </c>
      <c r="U511" t="s">
        <v>44</v>
      </c>
      <c r="Y511">
        <v>5450000</v>
      </c>
      <c r="AA511">
        <v>5450000</v>
      </c>
      <c r="AC511" t="s">
        <v>4700</v>
      </c>
      <c r="AD511" t="s">
        <v>4701</v>
      </c>
      <c r="AE511" t="s">
        <v>4702</v>
      </c>
      <c r="AF511" t="s">
        <v>4703</v>
      </c>
      <c r="AI511" s="59" t="e">
        <f t="shared" si="35"/>
        <v>#N/A</v>
      </c>
      <c r="AJ511" t="e">
        <f t="shared" si="36"/>
        <v>#N/A</v>
      </c>
      <c r="AK511" t="str">
        <f t="shared" si="38"/>
        <v/>
      </c>
    </row>
    <row r="512" spans="1:37" ht="15" customHeight="1">
      <c r="A512" s="122">
        <v>8</v>
      </c>
      <c r="B512" s="59">
        <v>506</v>
      </c>
      <c r="C512" t="s">
        <v>4704</v>
      </c>
      <c r="D512" t="s">
        <v>4705</v>
      </c>
      <c r="E512">
        <v>325</v>
      </c>
      <c r="F512" t="s">
        <v>2141</v>
      </c>
      <c r="G512" t="s">
        <v>1910</v>
      </c>
      <c r="H512" s="119">
        <f t="shared" si="39"/>
        <v>152.84757118927973</v>
      </c>
      <c r="I512" s="117">
        <v>43815</v>
      </c>
      <c r="J512">
        <v>11940</v>
      </c>
      <c r="L512">
        <v>11940</v>
      </c>
      <c r="M512">
        <v>1965</v>
      </c>
      <c r="P512" t="s">
        <v>2402</v>
      </c>
      <c r="R512" t="s">
        <v>44</v>
      </c>
      <c r="S512">
        <v>51052</v>
      </c>
      <c r="T512" s="118">
        <f t="shared" si="40"/>
        <v>4.2757118927973199</v>
      </c>
      <c r="U512" t="s">
        <v>44</v>
      </c>
      <c r="Y512">
        <v>1825000</v>
      </c>
      <c r="AA512">
        <v>1825000</v>
      </c>
      <c r="AC512" t="s">
        <v>4706</v>
      </c>
      <c r="AD512" t="s">
        <v>4707</v>
      </c>
      <c r="AE512" t="s">
        <v>4708</v>
      </c>
      <c r="AF512" t="s">
        <v>4709</v>
      </c>
      <c r="AI512" s="59" t="e">
        <f t="shared" si="35"/>
        <v>#N/A</v>
      </c>
      <c r="AJ512" t="e">
        <f t="shared" si="36"/>
        <v>#N/A</v>
      </c>
      <c r="AK512" t="str">
        <f t="shared" si="38"/>
        <v/>
      </c>
    </row>
    <row r="513" spans="1:37" ht="15" customHeight="1">
      <c r="A513" s="122">
        <v>8</v>
      </c>
      <c r="B513" s="59">
        <v>507</v>
      </c>
      <c r="C513" t="s">
        <v>4710</v>
      </c>
      <c r="D513" t="s">
        <v>4711</v>
      </c>
      <c r="E513">
        <v>353</v>
      </c>
      <c r="F513" t="s">
        <v>2141</v>
      </c>
      <c r="G513" t="s">
        <v>1910</v>
      </c>
      <c r="H513" s="119">
        <f t="shared" si="39"/>
        <v>238.88520238885204</v>
      </c>
      <c r="I513" s="117">
        <v>44329</v>
      </c>
      <c r="J513">
        <v>4521</v>
      </c>
      <c r="L513">
        <v>4521</v>
      </c>
      <c r="M513">
        <v>1964</v>
      </c>
      <c r="P513" t="s">
        <v>2243</v>
      </c>
      <c r="R513" t="s">
        <v>44</v>
      </c>
      <c r="S513">
        <v>16173</v>
      </c>
      <c r="T513" s="118">
        <f t="shared" si="40"/>
        <v>3.5773059057730592</v>
      </c>
      <c r="U513" t="s">
        <v>44</v>
      </c>
      <c r="Y513">
        <v>1080000</v>
      </c>
      <c r="AA513">
        <v>1080000</v>
      </c>
      <c r="AC513" t="s">
        <v>4712</v>
      </c>
      <c r="AD513" t="s">
        <v>4713</v>
      </c>
      <c r="AE513" t="s">
        <v>4714</v>
      </c>
      <c r="AF513" t="s">
        <v>4715</v>
      </c>
      <c r="AI513" s="59" t="e">
        <f t="shared" si="35"/>
        <v>#N/A</v>
      </c>
      <c r="AJ513" t="e">
        <f t="shared" si="36"/>
        <v>#N/A</v>
      </c>
      <c r="AK513" t="str">
        <f t="shared" si="38"/>
        <v/>
      </c>
    </row>
    <row r="514" spans="1:37" ht="15" customHeight="1">
      <c r="A514" s="122">
        <v>8</v>
      </c>
      <c r="B514" s="59">
        <v>508</v>
      </c>
      <c r="C514" t="s">
        <v>4716</v>
      </c>
      <c r="D514" t="s">
        <v>4717</v>
      </c>
      <c r="E514">
        <v>406</v>
      </c>
      <c r="G514" t="s">
        <v>1910</v>
      </c>
      <c r="H514" s="119">
        <f t="shared" si="39"/>
        <v>292.61744966442956</v>
      </c>
      <c r="I514" s="117">
        <v>44175</v>
      </c>
      <c r="J514">
        <v>7450</v>
      </c>
      <c r="L514">
        <v>7450</v>
      </c>
      <c r="M514">
        <v>1992</v>
      </c>
      <c r="P514" t="s">
        <v>1911</v>
      </c>
      <c r="R514" t="s">
        <v>44</v>
      </c>
      <c r="S514">
        <v>46560</v>
      </c>
      <c r="T514" s="118">
        <f t="shared" si="40"/>
        <v>6.2496644295302017</v>
      </c>
      <c r="U514" t="s">
        <v>44</v>
      </c>
      <c r="Y514">
        <v>2180000</v>
      </c>
      <c r="AA514">
        <v>2180000</v>
      </c>
      <c r="AC514" t="s">
        <v>4718</v>
      </c>
      <c r="AD514" t="s">
        <v>4719</v>
      </c>
      <c r="AE514" t="s">
        <v>4720</v>
      </c>
      <c r="AF514" t="s">
        <v>4721</v>
      </c>
      <c r="AI514" s="59" t="e">
        <f t="shared" ref="AI514:AI577" si="41">IF(AND($E514=Subj_OccCode,Subj_BldgSF&gt;0,ABS($L514-Subj_BldgSF)&lt;=Subj_BldgSF*Subj_SizeTol),ABS($L514-Subj_BldgSF),NA())</f>
        <v>#N/A</v>
      </c>
      <c r="AJ514" t="e">
        <f t="shared" ref="AJ514:AJ577" si="42">IF(ISNA(AI514),NA(),AI514+ROW()/10000000)</f>
        <v>#N/A</v>
      </c>
      <c r="AK514" t="str">
        <f t="shared" si="38"/>
        <v/>
      </c>
    </row>
    <row r="515" spans="1:37" ht="15" customHeight="1">
      <c r="A515" s="122">
        <v>8</v>
      </c>
      <c r="B515" s="59">
        <v>509</v>
      </c>
      <c r="C515" t="s">
        <v>4722</v>
      </c>
      <c r="D515" t="s">
        <v>4723</v>
      </c>
      <c r="E515">
        <v>100</v>
      </c>
      <c r="F515" t="s">
        <v>1814</v>
      </c>
      <c r="G515" t="s">
        <v>4724</v>
      </c>
      <c r="H515" s="119">
        <f t="shared" si="39"/>
        <v>1275.5102040816328</v>
      </c>
      <c r="I515" s="117">
        <v>44469</v>
      </c>
      <c r="J515">
        <v>1176</v>
      </c>
      <c r="L515">
        <v>1176</v>
      </c>
      <c r="M515">
        <v>1963</v>
      </c>
      <c r="P515" t="s">
        <v>1932</v>
      </c>
      <c r="R515" t="s">
        <v>44</v>
      </c>
      <c r="S515">
        <v>99752.4</v>
      </c>
      <c r="T515" s="118">
        <f t="shared" si="40"/>
        <v>84.823469387755097</v>
      </c>
      <c r="U515" t="s">
        <v>44</v>
      </c>
      <c r="Y515">
        <v>1500000</v>
      </c>
      <c r="AA515">
        <v>1500000</v>
      </c>
      <c r="AC515" t="s">
        <v>4725</v>
      </c>
      <c r="AD515" t="s">
        <v>4726</v>
      </c>
      <c r="AE515" t="s">
        <v>4727</v>
      </c>
      <c r="AF515" t="s">
        <v>4728</v>
      </c>
      <c r="AI515" s="59" t="e">
        <f t="shared" si="41"/>
        <v>#N/A</v>
      </c>
      <c r="AJ515" t="e">
        <f t="shared" si="42"/>
        <v>#N/A</v>
      </c>
      <c r="AK515" t="str">
        <f t="shared" si="38"/>
        <v/>
      </c>
    </row>
    <row r="516" spans="1:37" ht="15" customHeight="1">
      <c r="A516" s="122">
        <v>8</v>
      </c>
      <c r="B516" s="59">
        <v>510</v>
      </c>
      <c r="C516" t="s">
        <v>4729</v>
      </c>
      <c r="D516" t="s">
        <v>4730</v>
      </c>
      <c r="E516">
        <v>419</v>
      </c>
      <c r="G516" t="s">
        <v>88</v>
      </c>
      <c r="H516" s="119">
        <f t="shared" si="39"/>
        <v>143.00306435137895</v>
      </c>
      <c r="I516" s="117">
        <v>43342</v>
      </c>
      <c r="J516">
        <v>1958</v>
      </c>
      <c r="L516">
        <v>1958</v>
      </c>
      <c r="M516">
        <v>1972</v>
      </c>
      <c r="P516" t="s">
        <v>1925</v>
      </c>
      <c r="R516" t="s">
        <v>44</v>
      </c>
      <c r="S516">
        <v>16443</v>
      </c>
      <c r="T516" s="118">
        <f t="shared" si="40"/>
        <v>8.3978549540347291</v>
      </c>
      <c r="U516" t="s">
        <v>44</v>
      </c>
      <c r="Y516">
        <v>280000</v>
      </c>
      <c r="AA516">
        <v>280000</v>
      </c>
      <c r="AC516" t="s">
        <v>4731</v>
      </c>
      <c r="AD516" t="s">
        <v>4732</v>
      </c>
      <c r="AE516" t="s">
        <v>4733</v>
      </c>
      <c r="AF516" t="s">
        <v>4734</v>
      </c>
      <c r="AI516" s="59" t="e">
        <f t="shared" si="41"/>
        <v>#N/A</v>
      </c>
      <c r="AJ516" t="e">
        <f t="shared" si="42"/>
        <v>#N/A</v>
      </c>
      <c r="AK516" t="str">
        <f t="shared" si="38"/>
        <v/>
      </c>
    </row>
    <row r="517" spans="1:37" ht="15" customHeight="1">
      <c r="A517" s="122">
        <v>8</v>
      </c>
      <c r="B517" s="59">
        <v>511</v>
      </c>
      <c r="C517" t="s">
        <v>4735</v>
      </c>
      <c r="D517" t="s">
        <v>4736</v>
      </c>
      <c r="E517">
        <v>334</v>
      </c>
      <c r="F517" t="s">
        <v>1984</v>
      </c>
      <c r="G517" t="s">
        <v>89</v>
      </c>
      <c r="H517" s="119">
        <f t="shared" si="39"/>
        <v>155.84801108252523</v>
      </c>
      <c r="I517" s="117">
        <v>44405</v>
      </c>
      <c r="J517">
        <v>10106</v>
      </c>
      <c r="L517">
        <v>10106</v>
      </c>
      <c r="M517">
        <v>1987</v>
      </c>
      <c r="P517" t="s">
        <v>1985</v>
      </c>
      <c r="R517" t="s">
        <v>44</v>
      </c>
      <c r="S517">
        <v>86500</v>
      </c>
      <c r="T517" s="118">
        <f t="shared" si="40"/>
        <v>8.5592717197704342</v>
      </c>
      <c r="U517" t="s">
        <v>44</v>
      </c>
      <c r="Y517">
        <v>1575000</v>
      </c>
      <c r="AA517">
        <v>1575000</v>
      </c>
      <c r="AC517" t="s">
        <v>4737</v>
      </c>
      <c r="AD517" t="s">
        <v>4738</v>
      </c>
      <c r="AE517" t="s">
        <v>4739</v>
      </c>
      <c r="AF517" t="s">
        <v>4740</v>
      </c>
      <c r="AI517" s="59" t="e">
        <f t="shared" si="41"/>
        <v>#N/A</v>
      </c>
      <c r="AJ517" t="e">
        <f t="shared" si="42"/>
        <v>#N/A</v>
      </c>
      <c r="AK517" t="str">
        <f t="shared" si="38"/>
        <v/>
      </c>
    </row>
    <row r="518" spans="1:37" ht="15" customHeight="1">
      <c r="A518" s="122">
        <v>8</v>
      </c>
      <c r="B518" s="59">
        <v>512</v>
      </c>
      <c r="C518" t="s">
        <v>4741</v>
      </c>
      <c r="D518" t="s">
        <v>4742</v>
      </c>
      <c r="E518">
        <v>407</v>
      </c>
      <c r="G518" t="s">
        <v>1910</v>
      </c>
      <c r="H518" s="119">
        <f t="shared" si="39"/>
        <v>192.60400616332819</v>
      </c>
      <c r="I518" s="117">
        <v>43767</v>
      </c>
      <c r="J518">
        <v>10384</v>
      </c>
      <c r="L518">
        <v>10384</v>
      </c>
      <c r="M518">
        <v>2001</v>
      </c>
      <c r="P518" t="s">
        <v>1969</v>
      </c>
      <c r="R518" t="s">
        <v>44</v>
      </c>
      <c r="S518">
        <v>43560</v>
      </c>
      <c r="T518" s="118">
        <f t="shared" si="40"/>
        <v>4.1949152542372881</v>
      </c>
      <c r="U518" t="s">
        <v>229</v>
      </c>
      <c r="Y518">
        <v>2000000</v>
      </c>
      <c r="AA518">
        <v>2000000</v>
      </c>
      <c r="AC518" t="s">
        <v>4743</v>
      </c>
      <c r="AD518" t="s">
        <v>4744</v>
      </c>
      <c r="AE518" t="s">
        <v>4745</v>
      </c>
      <c r="AF518" t="s">
        <v>4746</v>
      </c>
      <c r="AI518" s="59" t="e">
        <f t="shared" si="41"/>
        <v>#N/A</v>
      </c>
      <c r="AJ518" t="e">
        <f t="shared" si="42"/>
        <v>#N/A</v>
      </c>
      <c r="AK518" t="str">
        <f t="shared" si="38"/>
        <v/>
      </c>
    </row>
    <row r="519" spans="1:37" ht="15" customHeight="1">
      <c r="A519" s="122">
        <v>8</v>
      </c>
      <c r="B519" s="59">
        <v>513</v>
      </c>
      <c r="C519" t="s">
        <v>4747</v>
      </c>
      <c r="D519" t="s">
        <v>4748</v>
      </c>
      <c r="E519">
        <v>325</v>
      </c>
      <c r="F519" t="s">
        <v>1984</v>
      </c>
      <c r="G519" t="s">
        <v>89</v>
      </c>
      <c r="H519" s="119">
        <f t="shared" si="39"/>
        <v>180.99547511312218</v>
      </c>
      <c r="I519" s="117">
        <v>43217</v>
      </c>
      <c r="J519">
        <v>2210</v>
      </c>
      <c r="L519">
        <v>2210</v>
      </c>
      <c r="M519">
        <v>1982</v>
      </c>
      <c r="P519" t="s">
        <v>3682</v>
      </c>
      <c r="R519" t="s">
        <v>44</v>
      </c>
      <c r="S519">
        <v>6800</v>
      </c>
      <c r="T519" s="118">
        <f t="shared" si="40"/>
        <v>3.0769230769230771</v>
      </c>
      <c r="U519" t="s">
        <v>44</v>
      </c>
      <c r="Y519">
        <v>400000</v>
      </c>
      <c r="AA519">
        <v>400000</v>
      </c>
      <c r="AC519" t="s">
        <v>4749</v>
      </c>
      <c r="AD519" t="s">
        <v>4750</v>
      </c>
      <c r="AE519" t="s">
        <v>4650</v>
      </c>
      <c r="AF519" t="s">
        <v>4751</v>
      </c>
      <c r="AI519" s="59" t="e">
        <f t="shared" si="41"/>
        <v>#N/A</v>
      </c>
      <c r="AJ519" t="e">
        <f t="shared" si="42"/>
        <v>#N/A</v>
      </c>
      <c r="AK519" t="str">
        <f t="shared" si="38"/>
        <v/>
      </c>
    </row>
    <row r="520" spans="1:37" ht="15" customHeight="1">
      <c r="A520" s="122">
        <v>8</v>
      </c>
      <c r="B520" s="59">
        <v>515</v>
      </c>
      <c r="C520" t="s">
        <v>4752</v>
      </c>
      <c r="D520" t="s">
        <v>4753</v>
      </c>
      <c r="E520">
        <v>328</v>
      </c>
      <c r="G520" t="s">
        <v>1815</v>
      </c>
      <c r="H520" s="119">
        <f t="shared" si="39"/>
        <v>46.206896551724135</v>
      </c>
      <c r="I520" s="117">
        <v>43237</v>
      </c>
      <c r="J520">
        <v>2900</v>
      </c>
      <c r="L520">
        <v>2900</v>
      </c>
      <c r="M520">
        <v>2000</v>
      </c>
      <c r="R520" t="s">
        <v>44</v>
      </c>
      <c r="T520" s="118">
        <f t="shared" si="40"/>
        <v>0</v>
      </c>
      <c r="U520" t="s">
        <v>44</v>
      </c>
      <c r="Y520">
        <v>134000</v>
      </c>
      <c r="AA520">
        <v>134000</v>
      </c>
      <c r="AC520" t="s">
        <v>4754</v>
      </c>
      <c r="AD520" t="s">
        <v>4755</v>
      </c>
      <c r="AE520" t="s">
        <v>4756</v>
      </c>
      <c r="AF520" t="s">
        <v>4757</v>
      </c>
      <c r="AI520" s="59" t="e">
        <f t="shared" si="41"/>
        <v>#N/A</v>
      </c>
      <c r="AJ520" t="e">
        <f t="shared" si="42"/>
        <v>#N/A</v>
      </c>
      <c r="AK520" t="str">
        <f t="shared" si="38"/>
        <v/>
      </c>
    </row>
    <row r="521" spans="1:37" ht="15" customHeight="1">
      <c r="A521" s="122">
        <v>8</v>
      </c>
      <c r="B521" s="59">
        <v>516</v>
      </c>
      <c r="C521" t="s">
        <v>4758</v>
      </c>
      <c r="D521" t="s">
        <v>4759</v>
      </c>
      <c r="E521">
        <v>407</v>
      </c>
      <c r="F521" t="s">
        <v>2141</v>
      </c>
      <c r="G521" t="s">
        <v>1910</v>
      </c>
      <c r="H521" s="119">
        <f t="shared" si="39"/>
        <v>138.46153846153845</v>
      </c>
      <c r="I521" s="117">
        <v>43509</v>
      </c>
      <c r="J521">
        <v>13000</v>
      </c>
      <c r="L521">
        <v>13000</v>
      </c>
      <c r="M521">
        <v>1979</v>
      </c>
      <c r="P521" t="s">
        <v>3642</v>
      </c>
      <c r="R521" t="s">
        <v>44</v>
      </c>
      <c r="S521">
        <v>32000</v>
      </c>
      <c r="T521" s="118">
        <f t="shared" si="40"/>
        <v>2.4615384615384617</v>
      </c>
      <c r="U521" t="s">
        <v>44</v>
      </c>
      <c r="Y521">
        <v>1800000</v>
      </c>
      <c r="AA521">
        <v>1800000</v>
      </c>
      <c r="AC521" t="s">
        <v>4760</v>
      </c>
      <c r="AD521" t="s">
        <v>4761</v>
      </c>
      <c r="AE521" t="s">
        <v>2538</v>
      </c>
      <c r="AF521" t="s">
        <v>4762</v>
      </c>
      <c r="AI521" s="59" t="e">
        <f t="shared" si="41"/>
        <v>#N/A</v>
      </c>
      <c r="AJ521" t="e">
        <f t="shared" si="42"/>
        <v>#N/A</v>
      </c>
      <c r="AK521" t="str">
        <f t="shared" ref="AK521:AK584" si="43">IF(AND(ISNUMBER($N521),$N521&gt;0,ISNUMBER($Y521)),$Y521/$N521,"")</f>
        <v/>
      </c>
    </row>
    <row r="522" spans="1:37" ht="15" customHeight="1">
      <c r="A522" s="122">
        <v>8</v>
      </c>
      <c r="B522" s="59">
        <v>517</v>
      </c>
      <c r="C522" t="s">
        <v>4763</v>
      </c>
      <c r="D522" t="s">
        <v>4764</v>
      </c>
      <c r="E522">
        <v>328</v>
      </c>
      <c r="G522" t="s">
        <v>88</v>
      </c>
      <c r="H522" s="119">
        <f t="shared" si="39"/>
        <v>57.192982456140349</v>
      </c>
      <c r="I522" s="117">
        <v>44128</v>
      </c>
      <c r="J522">
        <v>2850</v>
      </c>
      <c r="L522">
        <v>2850</v>
      </c>
      <c r="M522">
        <v>2001</v>
      </c>
      <c r="R522" t="s">
        <v>44</v>
      </c>
      <c r="T522" s="118">
        <f t="shared" si="40"/>
        <v>0</v>
      </c>
      <c r="U522" t="s">
        <v>44</v>
      </c>
      <c r="Y522">
        <v>163000</v>
      </c>
      <c r="AA522">
        <v>163000</v>
      </c>
      <c r="AC522" t="s">
        <v>4765</v>
      </c>
      <c r="AD522" t="s">
        <v>4766</v>
      </c>
      <c r="AE522" t="s">
        <v>4767</v>
      </c>
      <c r="AF522" t="s">
        <v>4768</v>
      </c>
      <c r="AI522" s="59" t="e">
        <f t="shared" si="41"/>
        <v>#N/A</v>
      </c>
      <c r="AJ522" t="e">
        <f t="shared" si="42"/>
        <v>#N/A</v>
      </c>
      <c r="AK522" t="str">
        <f t="shared" si="43"/>
        <v/>
      </c>
    </row>
    <row r="523" spans="1:37" ht="15" customHeight="1">
      <c r="A523" s="122">
        <v>8</v>
      </c>
      <c r="B523" s="59">
        <v>518</v>
      </c>
      <c r="C523" t="s">
        <v>4769</v>
      </c>
      <c r="D523" t="s">
        <v>4770</v>
      </c>
      <c r="E523">
        <v>406</v>
      </c>
      <c r="F523" t="s">
        <v>2141</v>
      </c>
      <c r="G523" t="s">
        <v>1910</v>
      </c>
      <c r="H523" s="119">
        <f t="shared" si="39"/>
        <v>140</v>
      </c>
      <c r="I523" s="117">
        <v>43106</v>
      </c>
      <c r="J523">
        <v>4500</v>
      </c>
      <c r="L523">
        <v>4500</v>
      </c>
      <c r="M523">
        <v>2001</v>
      </c>
      <c r="R523" t="s">
        <v>44</v>
      </c>
      <c r="S523">
        <v>21675</v>
      </c>
      <c r="T523" s="118">
        <f t="shared" si="40"/>
        <v>4.8166666666666664</v>
      </c>
      <c r="U523" t="s">
        <v>44</v>
      </c>
      <c r="Y523">
        <v>630000</v>
      </c>
      <c r="AA523">
        <v>630000</v>
      </c>
      <c r="AC523" t="s">
        <v>4771</v>
      </c>
      <c r="AD523" t="s">
        <v>4772</v>
      </c>
      <c r="AE523" t="s">
        <v>4773</v>
      </c>
      <c r="AF523" t="s">
        <v>4774</v>
      </c>
      <c r="AI523" s="59" t="e">
        <f t="shared" si="41"/>
        <v>#N/A</v>
      </c>
      <c r="AJ523" t="e">
        <f t="shared" si="42"/>
        <v>#N/A</v>
      </c>
      <c r="AK523" t="str">
        <f t="shared" si="43"/>
        <v/>
      </c>
    </row>
    <row r="524" spans="1:37" ht="15" customHeight="1">
      <c r="A524" s="122">
        <v>8</v>
      </c>
      <c r="B524" s="59">
        <v>519</v>
      </c>
      <c r="C524" t="s">
        <v>4775</v>
      </c>
      <c r="D524" t="s">
        <v>4776</v>
      </c>
      <c r="E524">
        <v>1344</v>
      </c>
      <c r="F524" t="s">
        <v>1785</v>
      </c>
      <c r="G524" t="s">
        <v>1786</v>
      </c>
      <c r="H524" s="119">
        <f t="shared" si="39"/>
        <v>165.43513203214695</v>
      </c>
      <c r="I524" s="117">
        <v>44568</v>
      </c>
      <c r="J524">
        <v>1742</v>
      </c>
      <c r="L524">
        <v>1742</v>
      </c>
      <c r="M524">
        <v>1984</v>
      </c>
      <c r="P524" t="s">
        <v>2791</v>
      </c>
      <c r="R524" t="s">
        <v>44</v>
      </c>
      <c r="S524">
        <v>1108</v>
      </c>
      <c r="T524" s="118">
        <f t="shared" si="40"/>
        <v>0.63605051664753154</v>
      </c>
      <c r="U524" t="s">
        <v>44</v>
      </c>
      <c r="Y524">
        <v>288188</v>
      </c>
      <c r="AA524">
        <v>288188</v>
      </c>
      <c r="AC524" t="s">
        <v>4777</v>
      </c>
      <c r="AD524" t="s">
        <v>4778</v>
      </c>
      <c r="AE524" t="s">
        <v>4779</v>
      </c>
      <c r="AF524" t="s">
        <v>4780</v>
      </c>
      <c r="AI524" s="59" t="e">
        <f t="shared" si="41"/>
        <v>#N/A</v>
      </c>
      <c r="AJ524" t="e">
        <f t="shared" si="42"/>
        <v>#N/A</v>
      </c>
      <c r="AK524" t="str">
        <f t="shared" si="43"/>
        <v/>
      </c>
    </row>
    <row r="525" spans="1:37" ht="15" customHeight="1">
      <c r="A525" s="122">
        <v>8</v>
      </c>
      <c r="B525" s="59">
        <v>520</v>
      </c>
      <c r="C525" t="s">
        <v>4781</v>
      </c>
      <c r="D525" t="s">
        <v>4782</v>
      </c>
      <c r="E525">
        <v>325</v>
      </c>
      <c r="F525" t="s">
        <v>1785</v>
      </c>
      <c r="G525" t="s">
        <v>1786</v>
      </c>
      <c r="H525" s="119">
        <f t="shared" si="39"/>
        <v>110.66843736166446</v>
      </c>
      <c r="I525" s="117">
        <v>44182</v>
      </c>
      <c r="J525">
        <v>9036</v>
      </c>
      <c r="L525">
        <v>9036</v>
      </c>
      <c r="M525">
        <v>1964</v>
      </c>
      <c r="P525" t="s">
        <v>4783</v>
      </c>
      <c r="R525" t="s">
        <v>44</v>
      </c>
      <c r="S525">
        <v>26250</v>
      </c>
      <c r="T525" s="118">
        <f t="shared" si="40"/>
        <v>2.905046480743692</v>
      </c>
      <c r="U525" t="s">
        <v>44</v>
      </c>
      <c r="Y525">
        <v>1000000</v>
      </c>
      <c r="AA525">
        <v>1000000</v>
      </c>
      <c r="AC525" t="s">
        <v>4784</v>
      </c>
      <c r="AD525" t="s">
        <v>4785</v>
      </c>
      <c r="AE525" t="s">
        <v>4786</v>
      </c>
      <c r="AF525" t="s">
        <v>4787</v>
      </c>
      <c r="AI525" s="59" t="e">
        <f t="shared" si="41"/>
        <v>#N/A</v>
      </c>
      <c r="AJ525" t="e">
        <f t="shared" si="42"/>
        <v>#N/A</v>
      </c>
      <c r="AK525" t="str">
        <f t="shared" si="43"/>
        <v/>
      </c>
    </row>
    <row r="526" spans="1:37" ht="15" customHeight="1">
      <c r="A526" s="122">
        <v>8</v>
      </c>
      <c r="B526" s="59">
        <v>521</v>
      </c>
      <c r="C526" t="s">
        <v>4788</v>
      </c>
      <c r="D526" t="s">
        <v>4789</v>
      </c>
      <c r="E526">
        <v>344</v>
      </c>
      <c r="F526" t="s">
        <v>1896</v>
      </c>
      <c r="G526" t="s">
        <v>1786</v>
      </c>
      <c r="H526" s="119">
        <f t="shared" si="39"/>
        <v>67.598017124831003</v>
      </c>
      <c r="I526" s="117">
        <v>43880</v>
      </c>
      <c r="J526">
        <v>26628</v>
      </c>
      <c r="L526">
        <v>26628</v>
      </c>
      <c r="M526">
        <v>1982</v>
      </c>
      <c r="P526" t="s">
        <v>4790</v>
      </c>
      <c r="R526" t="s">
        <v>44</v>
      </c>
      <c r="S526">
        <v>91780.92</v>
      </c>
      <c r="T526" s="118">
        <f t="shared" si="40"/>
        <v>3.4467823343848578</v>
      </c>
      <c r="U526" t="s">
        <v>302</v>
      </c>
      <c r="Y526">
        <v>1800000</v>
      </c>
      <c r="AA526">
        <v>1800000</v>
      </c>
      <c r="AC526" t="s">
        <v>4791</v>
      </c>
      <c r="AD526" t="s">
        <v>4792</v>
      </c>
      <c r="AE526" t="s">
        <v>4793</v>
      </c>
      <c r="AF526" t="s">
        <v>4794</v>
      </c>
      <c r="AI526" s="59" t="e">
        <f t="shared" si="41"/>
        <v>#N/A</v>
      </c>
      <c r="AJ526" t="e">
        <f t="shared" si="42"/>
        <v>#N/A</v>
      </c>
      <c r="AK526" t="str">
        <f t="shared" si="43"/>
        <v/>
      </c>
    </row>
    <row r="527" spans="1:37" ht="15" customHeight="1">
      <c r="A527" s="122">
        <v>8</v>
      </c>
      <c r="B527" s="59">
        <v>522</v>
      </c>
      <c r="C527" t="s">
        <v>4795</v>
      </c>
      <c r="D527" t="s">
        <v>4796</v>
      </c>
      <c r="E527">
        <v>344</v>
      </c>
      <c r="F527" t="s">
        <v>1800</v>
      </c>
      <c r="G527" t="s">
        <v>1786</v>
      </c>
      <c r="H527" s="119">
        <f t="shared" si="39"/>
        <v>238.0952380952381</v>
      </c>
      <c r="I527" s="117">
        <v>43528</v>
      </c>
      <c r="J527">
        <v>840</v>
      </c>
      <c r="L527">
        <v>840</v>
      </c>
      <c r="M527">
        <v>1984</v>
      </c>
      <c r="P527" t="s">
        <v>3629</v>
      </c>
      <c r="R527" t="s">
        <v>44</v>
      </c>
      <c r="S527">
        <v>3842</v>
      </c>
      <c r="T527" s="118">
        <f t="shared" si="40"/>
        <v>4.5738095238095235</v>
      </c>
      <c r="U527" t="s">
        <v>44</v>
      </c>
      <c r="Y527">
        <v>200000</v>
      </c>
      <c r="AA527">
        <v>200000</v>
      </c>
      <c r="AC527" t="s">
        <v>4797</v>
      </c>
      <c r="AD527" t="s">
        <v>4798</v>
      </c>
      <c r="AE527" t="s">
        <v>4799</v>
      </c>
      <c r="AF527" t="s">
        <v>4800</v>
      </c>
      <c r="AI527" s="59" t="e">
        <f t="shared" si="41"/>
        <v>#N/A</v>
      </c>
      <c r="AJ527" t="e">
        <f t="shared" si="42"/>
        <v>#N/A</v>
      </c>
      <c r="AK527" t="str">
        <f t="shared" si="43"/>
        <v/>
      </c>
    </row>
    <row r="528" spans="1:37" ht="15" customHeight="1">
      <c r="A528" s="122">
        <v>8</v>
      </c>
      <c r="B528" s="59">
        <v>523</v>
      </c>
      <c r="C528" t="s">
        <v>4801</v>
      </c>
      <c r="D528" t="s">
        <v>4802</v>
      </c>
      <c r="E528">
        <v>406</v>
      </c>
      <c r="F528" t="s">
        <v>1814</v>
      </c>
      <c r="G528" t="s">
        <v>1815</v>
      </c>
      <c r="H528" s="119">
        <f t="shared" si="39"/>
        <v>145.00537056928033</v>
      </c>
      <c r="I528" s="117">
        <v>43430</v>
      </c>
      <c r="J528">
        <v>9310</v>
      </c>
      <c r="L528">
        <v>9310</v>
      </c>
      <c r="M528">
        <v>1969</v>
      </c>
      <c r="R528" t="s">
        <v>44</v>
      </c>
      <c r="S528">
        <v>20000</v>
      </c>
      <c r="T528" s="118">
        <f t="shared" si="40"/>
        <v>2.1482277121374866</v>
      </c>
      <c r="U528" t="s">
        <v>44</v>
      </c>
      <c r="Y528">
        <v>1350000</v>
      </c>
      <c r="AA528">
        <v>1350000</v>
      </c>
      <c r="AC528" t="s">
        <v>4803</v>
      </c>
      <c r="AD528" t="s">
        <v>4804</v>
      </c>
      <c r="AE528" t="s">
        <v>4805</v>
      </c>
      <c r="AF528" t="s">
        <v>4806</v>
      </c>
      <c r="AI528" s="59" t="e">
        <f t="shared" si="41"/>
        <v>#N/A</v>
      </c>
      <c r="AJ528" t="e">
        <f t="shared" si="42"/>
        <v>#N/A</v>
      </c>
      <c r="AK528" t="str">
        <f t="shared" si="43"/>
        <v/>
      </c>
    </row>
    <row r="529" spans="1:37" ht="15" customHeight="1">
      <c r="A529" s="122">
        <v>8</v>
      </c>
      <c r="B529" s="59">
        <v>524</v>
      </c>
      <c r="C529" t="s">
        <v>4807</v>
      </c>
      <c r="D529" t="s">
        <v>4808</v>
      </c>
      <c r="E529">
        <v>407</v>
      </c>
      <c r="F529" t="s">
        <v>2141</v>
      </c>
      <c r="G529" t="s">
        <v>1910</v>
      </c>
      <c r="H529" s="119">
        <f t="shared" si="39"/>
        <v>161.26818556135055</v>
      </c>
      <c r="I529" s="117">
        <v>43738</v>
      </c>
      <c r="J529">
        <v>14572</v>
      </c>
      <c r="L529">
        <v>14572</v>
      </c>
      <c r="M529">
        <v>1980</v>
      </c>
      <c r="P529" t="s">
        <v>2515</v>
      </c>
      <c r="R529" t="s">
        <v>44</v>
      </c>
      <c r="S529">
        <v>72000</v>
      </c>
      <c r="T529" s="118">
        <f t="shared" si="40"/>
        <v>4.9409827065605274</v>
      </c>
      <c r="U529" t="s">
        <v>44</v>
      </c>
      <c r="Y529">
        <v>2350000</v>
      </c>
      <c r="AA529">
        <v>2350000</v>
      </c>
      <c r="AC529" t="s">
        <v>4809</v>
      </c>
      <c r="AD529" t="s">
        <v>4810</v>
      </c>
      <c r="AE529" t="s">
        <v>4811</v>
      </c>
      <c r="AF529" t="s">
        <v>4812</v>
      </c>
      <c r="AI529" s="59" t="e">
        <f t="shared" si="41"/>
        <v>#N/A</v>
      </c>
      <c r="AJ529" t="e">
        <f t="shared" si="42"/>
        <v>#N/A</v>
      </c>
      <c r="AK529" t="str">
        <f t="shared" si="43"/>
        <v/>
      </c>
    </row>
    <row r="530" spans="1:37" ht="15" customHeight="1">
      <c r="A530" s="122">
        <v>8</v>
      </c>
      <c r="B530" s="59">
        <v>525</v>
      </c>
      <c r="C530" t="s">
        <v>4813</v>
      </c>
      <c r="D530" t="s">
        <v>4814</v>
      </c>
      <c r="E530">
        <v>384</v>
      </c>
      <c r="F530" t="s">
        <v>1984</v>
      </c>
      <c r="G530" t="s">
        <v>89</v>
      </c>
      <c r="H530" s="119">
        <f t="shared" si="39"/>
        <v>400</v>
      </c>
      <c r="I530" s="117">
        <v>44351</v>
      </c>
      <c r="J530">
        <v>600</v>
      </c>
      <c r="L530">
        <v>600</v>
      </c>
      <c r="M530">
        <v>1964</v>
      </c>
      <c r="P530" t="s">
        <v>2722</v>
      </c>
      <c r="R530" t="s">
        <v>44</v>
      </c>
      <c r="S530">
        <v>6500</v>
      </c>
      <c r="T530" s="118">
        <f t="shared" si="40"/>
        <v>10.833333333333334</v>
      </c>
      <c r="U530" t="s">
        <v>44</v>
      </c>
      <c r="Y530">
        <v>240000</v>
      </c>
      <c r="AA530">
        <v>240000</v>
      </c>
      <c r="AC530" t="s">
        <v>4815</v>
      </c>
      <c r="AD530" t="s">
        <v>4816</v>
      </c>
      <c r="AE530" t="s">
        <v>4817</v>
      </c>
      <c r="AF530" t="s">
        <v>4818</v>
      </c>
      <c r="AI530" s="59" t="e">
        <f t="shared" si="41"/>
        <v>#N/A</v>
      </c>
      <c r="AJ530" t="e">
        <f t="shared" si="42"/>
        <v>#N/A</v>
      </c>
      <c r="AK530" t="str">
        <f t="shared" si="43"/>
        <v/>
      </c>
    </row>
    <row r="531" spans="1:37" ht="15" customHeight="1">
      <c r="A531" s="122">
        <v>8</v>
      </c>
      <c r="B531" s="59">
        <v>526</v>
      </c>
      <c r="C531" t="s">
        <v>4819</v>
      </c>
      <c r="D531" t="s">
        <v>4820</v>
      </c>
      <c r="E531">
        <v>344</v>
      </c>
      <c r="F531" t="s">
        <v>1800</v>
      </c>
      <c r="G531" t="s">
        <v>88</v>
      </c>
      <c r="H531" s="119">
        <f t="shared" si="39"/>
        <v>89.590443686006822</v>
      </c>
      <c r="I531" s="117">
        <v>43404</v>
      </c>
      <c r="J531">
        <v>11720</v>
      </c>
      <c r="L531">
        <v>11720</v>
      </c>
      <c r="M531">
        <v>1983</v>
      </c>
      <c r="P531" t="s">
        <v>3629</v>
      </c>
      <c r="R531" t="s">
        <v>229</v>
      </c>
      <c r="S531">
        <v>28467</v>
      </c>
      <c r="T531" s="118">
        <f t="shared" si="40"/>
        <v>2.4289249146757679</v>
      </c>
      <c r="U531" t="s">
        <v>44</v>
      </c>
      <c r="Y531">
        <v>1050000</v>
      </c>
      <c r="AA531">
        <v>1050000</v>
      </c>
      <c r="AC531" t="s">
        <v>4821</v>
      </c>
      <c r="AD531" t="s">
        <v>4822</v>
      </c>
      <c r="AE531" t="s">
        <v>4823</v>
      </c>
      <c r="AF531" t="s">
        <v>4824</v>
      </c>
      <c r="AI531" s="59" t="e">
        <f t="shared" si="41"/>
        <v>#N/A</v>
      </c>
      <c r="AJ531" t="e">
        <f t="shared" si="42"/>
        <v>#N/A</v>
      </c>
      <c r="AK531" t="str">
        <f t="shared" si="43"/>
        <v/>
      </c>
    </row>
    <row r="532" spans="1:37" ht="15" customHeight="1">
      <c r="A532" s="122">
        <v>8</v>
      </c>
      <c r="B532" s="59">
        <v>527</v>
      </c>
      <c r="C532" t="s">
        <v>4825</v>
      </c>
      <c r="D532" t="s">
        <v>4826</v>
      </c>
      <c r="E532">
        <v>353</v>
      </c>
      <c r="F532" t="s">
        <v>1984</v>
      </c>
      <c r="G532" t="s">
        <v>89</v>
      </c>
      <c r="H532" s="119">
        <f t="shared" si="39"/>
        <v>80.581761006289312</v>
      </c>
      <c r="I532" s="117">
        <v>43168</v>
      </c>
      <c r="J532">
        <v>5088</v>
      </c>
      <c r="L532">
        <v>5088</v>
      </c>
      <c r="M532">
        <v>1902</v>
      </c>
      <c r="P532" t="s">
        <v>3682</v>
      </c>
      <c r="R532" t="s">
        <v>302</v>
      </c>
      <c r="S532">
        <v>4000</v>
      </c>
      <c r="T532" s="118">
        <f t="shared" si="40"/>
        <v>0.78616352201257866</v>
      </c>
      <c r="U532" t="s">
        <v>44</v>
      </c>
      <c r="Y532">
        <v>410000</v>
      </c>
      <c r="AA532">
        <v>410000</v>
      </c>
      <c r="AC532" t="s">
        <v>4827</v>
      </c>
      <c r="AD532" t="s">
        <v>4828</v>
      </c>
      <c r="AE532" t="s">
        <v>4829</v>
      </c>
      <c r="AF532" t="s">
        <v>4830</v>
      </c>
      <c r="AI532" s="59" t="e">
        <f t="shared" si="41"/>
        <v>#N/A</v>
      </c>
      <c r="AJ532" t="e">
        <f t="shared" si="42"/>
        <v>#N/A</v>
      </c>
      <c r="AK532" t="str">
        <f t="shared" si="43"/>
        <v/>
      </c>
    </row>
    <row r="533" spans="1:37" ht="15" customHeight="1">
      <c r="A533" s="122">
        <v>8</v>
      </c>
      <c r="B533" s="59">
        <v>528</v>
      </c>
      <c r="C533" t="s">
        <v>2159</v>
      </c>
      <c r="D533" t="s">
        <v>2160</v>
      </c>
      <c r="E533">
        <v>334</v>
      </c>
      <c r="G533" t="s">
        <v>1910</v>
      </c>
      <c r="H533" s="119">
        <f t="shared" si="39"/>
        <v>174.07407407407408</v>
      </c>
      <c r="I533" s="117">
        <v>43530</v>
      </c>
      <c r="J533">
        <v>13500</v>
      </c>
      <c r="L533">
        <v>13500</v>
      </c>
      <c r="M533">
        <v>1989</v>
      </c>
      <c r="P533" t="s">
        <v>1911</v>
      </c>
      <c r="R533" t="s">
        <v>44</v>
      </c>
      <c r="S533">
        <v>80781</v>
      </c>
      <c r="T533" s="118">
        <f t="shared" si="40"/>
        <v>5.9837777777777781</v>
      </c>
      <c r="U533" t="s">
        <v>44</v>
      </c>
      <c r="Y533">
        <v>2350000</v>
      </c>
      <c r="AA533">
        <v>2350000</v>
      </c>
      <c r="AC533" t="s">
        <v>2161</v>
      </c>
      <c r="AD533" t="s">
        <v>4831</v>
      </c>
      <c r="AE533" t="s">
        <v>4832</v>
      </c>
      <c r="AF533" t="s">
        <v>2163</v>
      </c>
      <c r="AI533" s="59" t="e">
        <f t="shared" si="41"/>
        <v>#N/A</v>
      </c>
      <c r="AJ533" t="e">
        <f t="shared" si="42"/>
        <v>#N/A</v>
      </c>
      <c r="AK533" t="str">
        <f t="shared" si="43"/>
        <v/>
      </c>
    </row>
    <row r="534" spans="1:37" ht="15" customHeight="1">
      <c r="A534" s="122">
        <v>8</v>
      </c>
      <c r="B534" s="59">
        <v>529</v>
      </c>
      <c r="C534" t="s">
        <v>4833</v>
      </c>
      <c r="D534" t="s">
        <v>4834</v>
      </c>
      <c r="E534">
        <v>406</v>
      </c>
      <c r="F534" t="s">
        <v>2141</v>
      </c>
      <c r="G534" t="s">
        <v>1910</v>
      </c>
      <c r="H534" s="119">
        <f t="shared" si="39"/>
        <v>395.83333333333331</v>
      </c>
      <c r="I534" s="117">
        <v>44603</v>
      </c>
      <c r="J534">
        <v>1200</v>
      </c>
      <c r="L534">
        <v>1200</v>
      </c>
      <c r="M534">
        <v>2001</v>
      </c>
      <c r="P534" t="s">
        <v>2515</v>
      </c>
      <c r="R534" t="s">
        <v>302</v>
      </c>
      <c r="S534">
        <v>11080</v>
      </c>
      <c r="T534" s="118">
        <f t="shared" si="40"/>
        <v>9.2333333333333325</v>
      </c>
      <c r="U534" t="s">
        <v>44</v>
      </c>
      <c r="Y534">
        <v>475000</v>
      </c>
      <c r="AA534">
        <v>475000</v>
      </c>
      <c r="AC534" t="s">
        <v>4835</v>
      </c>
      <c r="AD534" t="s">
        <v>4836</v>
      </c>
      <c r="AE534" t="s">
        <v>4837</v>
      </c>
      <c r="AF534" t="s">
        <v>4838</v>
      </c>
      <c r="AI534" s="59" t="e">
        <f t="shared" si="41"/>
        <v>#N/A</v>
      </c>
      <c r="AJ534" t="e">
        <f t="shared" si="42"/>
        <v>#N/A</v>
      </c>
      <c r="AK534" t="str">
        <f t="shared" si="43"/>
        <v/>
      </c>
    </row>
    <row r="535" spans="1:37" ht="15" customHeight="1">
      <c r="A535" s="122">
        <v>8</v>
      </c>
      <c r="B535" s="59">
        <v>530</v>
      </c>
      <c r="C535" t="s">
        <v>4839</v>
      </c>
      <c r="D535" t="s">
        <v>4840</v>
      </c>
      <c r="E535">
        <v>350</v>
      </c>
      <c r="F535" t="s">
        <v>1896</v>
      </c>
      <c r="G535" t="s">
        <v>1786</v>
      </c>
      <c r="H535" s="119">
        <f t="shared" si="39"/>
        <v>263.0540576088386</v>
      </c>
      <c r="I535" s="117">
        <v>43748</v>
      </c>
      <c r="J535">
        <v>7603</v>
      </c>
      <c r="L535">
        <v>7603</v>
      </c>
      <c r="M535">
        <v>1998</v>
      </c>
      <c r="P535" t="s">
        <v>2529</v>
      </c>
      <c r="R535" t="s">
        <v>229</v>
      </c>
      <c r="S535">
        <v>78843.601599999995</v>
      </c>
      <c r="T535" s="118">
        <f t="shared" si="40"/>
        <v>10.37006465868736</v>
      </c>
      <c r="U535" t="s">
        <v>229</v>
      </c>
      <c r="Y535">
        <v>2000000</v>
      </c>
      <c r="AA535">
        <v>2000000</v>
      </c>
      <c r="AC535" t="s">
        <v>4841</v>
      </c>
      <c r="AD535" t="s">
        <v>4842</v>
      </c>
      <c r="AE535" t="s">
        <v>4843</v>
      </c>
      <c r="AF535" t="s">
        <v>4844</v>
      </c>
      <c r="AI535" s="59" t="e">
        <f t="shared" si="41"/>
        <v>#N/A</v>
      </c>
      <c r="AJ535" t="e">
        <f t="shared" si="42"/>
        <v>#N/A</v>
      </c>
      <c r="AK535" t="str">
        <f t="shared" si="43"/>
        <v/>
      </c>
    </row>
    <row r="536" spans="1:37" ht="15" customHeight="1">
      <c r="A536" s="122">
        <v>8</v>
      </c>
      <c r="B536" s="59">
        <v>531</v>
      </c>
      <c r="C536" t="s">
        <v>4845</v>
      </c>
      <c r="D536" t="s">
        <v>4846</v>
      </c>
      <c r="E536">
        <v>1344</v>
      </c>
      <c r="G536" t="s">
        <v>1786</v>
      </c>
      <c r="H536" s="119">
        <f t="shared" si="39"/>
        <v>257.95356835769559</v>
      </c>
      <c r="I536" s="117">
        <v>44246</v>
      </c>
      <c r="J536">
        <v>1163</v>
      </c>
      <c r="L536">
        <v>1163</v>
      </c>
      <c r="M536">
        <v>2002</v>
      </c>
      <c r="P536" t="s">
        <v>1925</v>
      </c>
      <c r="R536" t="s">
        <v>44</v>
      </c>
      <c r="S536">
        <v>4954.3599999999997</v>
      </c>
      <c r="T536" s="118">
        <f t="shared" si="40"/>
        <v>4.2599828030954425</v>
      </c>
      <c r="U536" t="s">
        <v>44</v>
      </c>
      <c r="Y536">
        <v>300000</v>
      </c>
      <c r="AA536">
        <v>300000</v>
      </c>
      <c r="AC536" t="s">
        <v>4847</v>
      </c>
      <c r="AD536" t="s">
        <v>4848</v>
      </c>
      <c r="AE536" t="s">
        <v>4849</v>
      </c>
      <c r="AF536" t="s">
        <v>4850</v>
      </c>
      <c r="AI536" s="59" t="e">
        <f t="shared" si="41"/>
        <v>#N/A</v>
      </c>
      <c r="AJ536" t="e">
        <f t="shared" si="42"/>
        <v>#N/A</v>
      </c>
      <c r="AK536" t="str">
        <f t="shared" si="43"/>
        <v/>
      </c>
    </row>
    <row r="537" spans="1:37" ht="15" customHeight="1">
      <c r="A537" s="122">
        <v>8</v>
      </c>
      <c r="B537" s="59">
        <v>532</v>
      </c>
      <c r="C537" t="s">
        <v>4851</v>
      </c>
      <c r="D537" t="s">
        <v>4852</v>
      </c>
      <c r="E537">
        <v>392</v>
      </c>
      <c r="F537" t="s">
        <v>2141</v>
      </c>
      <c r="G537" t="s">
        <v>1910</v>
      </c>
      <c r="H537" s="119">
        <f t="shared" si="39"/>
        <v>71.039382026346644</v>
      </c>
      <c r="I537" s="117">
        <v>43465</v>
      </c>
      <c r="J537">
        <v>14499</v>
      </c>
      <c r="L537">
        <v>14499</v>
      </c>
      <c r="M537">
        <v>1922</v>
      </c>
      <c r="P537" t="s">
        <v>3642</v>
      </c>
      <c r="R537" t="s">
        <v>1258</v>
      </c>
      <c r="S537">
        <v>63713</v>
      </c>
      <c r="T537" s="118">
        <f t="shared" si="40"/>
        <v>4.3943030553831299</v>
      </c>
      <c r="U537" t="s">
        <v>1258</v>
      </c>
      <c r="Y537">
        <v>1030000</v>
      </c>
      <c r="AA537">
        <v>1030000</v>
      </c>
      <c r="AC537" t="s">
        <v>4853</v>
      </c>
      <c r="AD537" t="s">
        <v>4854</v>
      </c>
      <c r="AE537" t="s">
        <v>4855</v>
      </c>
      <c r="AF537" t="s">
        <v>4856</v>
      </c>
      <c r="AI537" s="59" t="e">
        <f t="shared" si="41"/>
        <v>#N/A</v>
      </c>
      <c r="AJ537" t="e">
        <f t="shared" si="42"/>
        <v>#N/A</v>
      </c>
      <c r="AK537" t="str">
        <f t="shared" si="43"/>
        <v/>
      </c>
    </row>
    <row r="538" spans="1:37" ht="15" customHeight="1">
      <c r="A538" s="122">
        <v>8</v>
      </c>
      <c r="B538" s="59">
        <v>533</v>
      </c>
      <c r="C538" t="s">
        <v>4857</v>
      </c>
      <c r="D538" t="s">
        <v>4858</v>
      </c>
      <c r="E538">
        <v>344</v>
      </c>
      <c r="F538" t="s">
        <v>1785</v>
      </c>
      <c r="G538" t="s">
        <v>1786</v>
      </c>
      <c r="H538" s="119">
        <f t="shared" si="39"/>
        <v>176.17449664429529</v>
      </c>
      <c r="I538" s="117">
        <v>43279</v>
      </c>
      <c r="J538">
        <v>1192</v>
      </c>
      <c r="L538">
        <v>1192</v>
      </c>
      <c r="M538">
        <v>2000</v>
      </c>
      <c r="R538" t="s">
        <v>229</v>
      </c>
      <c r="S538">
        <v>3100</v>
      </c>
      <c r="T538" s="118">
        <f t="shared" si="40"/>
        <v>2.6006711409395975</v>
      </c>
      <c r="U538" t="s">
        <v>229</v>
      </c>
      <c r="Y538">
        <v>210000</v>
      </c>
      <c r="AA538">
        <v>210000</v>
      </c>
      <c r="AC538" t="s">
        <v>4859</v>
      </c>
      <c r="AD538" t="s">
        <v>4860</v>
      </c>
      <c r="AE538" t="s">
        <v>4861</v>
      </c>
      <c r="AF538" t="s">
        <v>4862</v>
      </c>
      <c r="AI538" s="59" t="e">
        <f t="shared" si="41"/>
        <v>#N/A</v>
      </c>
      <c r="AJ538" t="e">
        <f t="shared" si="42"/>
        <v>#N/A</v>
      </c>
      <c r="AK538" t="str">
        <f t="shared" si="43"/>
        <v/>
      </c>
    </row>
    <row r="539" spans="1:37" ht="15" customHeight="1">
      <c r="A539" s="122">
        <v>8</v>
      </c>
      <c r="B539" s="59">
        <v>534</v>
      </c>
      <c r="C539" t="s">
        <v>4863</v>
      </c>
      <c r="D539" t="s">
        <v>4864</v>
      </c>
      <c r="E539">
        <v>425</v>
      </c>
      <c r="G539" t="s">
        <v>1910</v>
      </c>
      <c r="H539" s="119">
        <f t="shared" si="39"/>
        <v>306.87022900763361</v>
      </c>
      <c r="I539" s="117">
        <v>44497</v>
      </c>
      <c r="J539">
        <v>1310</v>
      </c>
      <c r="L539">
        <v>1310</v>
      </c>
      <c r="M539">
        <v>2003</v>
      </c>
      <c r="P539" t="s">
        <v>1969</v>
      </c>
      <c r="R539" t="s">
        <v>229</v>
      </c>
      <c r="S539">
        <v>4402</v>
      </c>
      <c r="T539" s="118">
        <f t="shared" si="40"/>
        <v>3.3603053435114503</v>
      </c>
      <c r="U539" t="s">
        <v>229</v>
      </c>
      <c r="Y539">
        <v>402000</v>
      </c>
      <c r="AA539">
        <v>402000</v>
      </c>
      <c r="AC539" t="s">
        <v>4865</v>
      </c>
      <c r="AD539" t="s">
        <v>4866</v>
      </c>
      <c r="AE539" t="s">
        <v>4867</v>
      </c>
      <c r="AF539" t="s">
        <v>4868</v>
      </c>
      <c r="AI539" s="59" t="e">
        <f t="shared" si="41"/>
        <v>#N/A</v>
      </c>
      <c r="AJ539" t="e">
        <f t="shared" si="42"/>
        <v>#N/A</v>
      </c>
      <c r="AK539" t="str">
        <f t="shared" si="43"/>
        <v/>
      </c>
    </row>
    <row r="540" spans="1:37" ht="15" customHeight="1">
      <c r="A540" s="122">
        <v>8</v>
      </c>
      <c r="B540" s="59">
        <v>535</v>
      </c>
      <c r="C540" t="s">
        <v>4869</v>
      </c>
      <c r="D540" t="s">
        <v>4870</v>
      </c>
      <c r="E540">
        <v>442</v>
      </c>
      <c r="F540" t="s">
        <v>2141</v>
      </c>
      <c r="G540" t="s">
        <v>1910</v>
      </c>
      <c r="H540" s="119">
        <f t="shared" si="39"/>
        <v>260.15680684248042</v>
      </c>
      <c r="I540" s="117">
        <v>44356</v>
      </c>
      <c r="J540">
        <v>1403</v>
      </c>
      <c r="L540">
        <v>1403</v>
      </c>
      <c r="M540">
        <v>1955</v>
      </c>
      <c r="P540" t="s">
        <v>2230</v>
      </c>
      <c r="R540" t="s">
        <v>44</v>
      </c>
      <c r="S540">
        <v>15008</v>
      </c>
      <c r="T540" s="118">
        <f t="shared" si="40"/>
        <v>10.697077690662866</v>
      </c>
      <c r="U540" t="s">
        <v>44</v>
      </c>
      <c r="Y540">
        <v>365000</v>
      </c>
      <c r="AA540">
        <v>365000</v>
      </c>
      <c r="AC540" t="s">
        <v>4871</v>
      </c>
      <c r="AD540" t="s">
        <v>4872</v>
      </c>
      <c r="AE540" t="s">
        <v>4873</v>
      </c>
      <c r="AF540" t="s">
        <v>4874</v>
      </c>
      <c r="AI540" s="59" t="e">
        <f t="shared" si="41"/>
        <v>#N/A</v>
      </c>
      <c r="AJ540" t="e">
        <f t="shared" si="42"/>
        <v>#N/A</v>
      </c>
      <c r="AK540" t="str">
        <f t="shared" si="43"/>
        <v/>
      </c>
    </row>
    <row r="541" spans="1:37" ht="15" customHeight="1">
      <c r="A541" s="122">
        <v>8</v>
      </c>
      <c r="B541" s="59">
        <v>536</v>
      </c>
      <c r="C541" t="s">
        <v>2601</v>
      </c>
      <c r="D541" t="s">
        <v>4875</v>
      </c>
      <c r="E541">
        <v>386</v>
      </c>
      <c r="F541" t="s">
        <v>1814</v>
      </c>
      <c r="G541" t="s">
        <v>1815</v>
      </c>
      <c r="H541" s="119">
        <f t="shared" si="39"/>
        <v>64.080944350758855</v>
      </c>
      <c r="I541" s="117">
        <v>44539</v>
      </c>
      <c r="J541">
        <v>29650</v>
      </c>
      <c r="L541">
        <v>29650</v>
      </c>
      <c r="M541">
        <v>1985</v>
      </c>
      <c r="P541" t="s">
        <v>2603</v>
      </c>
      <c r="R541" t="s">
        <v>44</v>
      </c>
      <c r="S541">
        <v>62929</v>
      </c>
      <c r="T541" s="118">
        <f t="shared" si="40"/>
        <v>2.1223946037099495</v>
      </c>
      <c r="U541" t="s">
        <v>44</v>
      </c>
      <c r="Y541">
        <v>1900000</v>
      </c>
      <c r="AA541">
        <v>1900000</v>
      </c>
      <c r="AC541" t="s">
        <v>2604</v>
      </c>
      <c r="AD541" t="s">
        <v>4876</v>
      </c>
      <c r="AE541" t="s">
        <v>4877</v>
      </c>
      <c r="AF541" t="s">
        <v>4878</v>
      </c>
      <c r="AI541" s="59" t="e">
        <f t="shared" si="41"/>
        <v>#N/A</v>
      </c>
      <c r="AJ541" t="e">
        <f t="shared" si="42"/>
        <v>#N/A</v>
      </c>
      <c r="AK541" t="str">
        <f t="shared" si="43"/>
        <v/>
      </c>
    </row>
    <row r="542" spans="1:37" ht="15" customHeight="1">
      <c r="A542" s="122">
        <v>8</v>
      </c>
      <c r="B542" s="59">
        <v>537</v>
      </c>
      <c r="C542" t="s">
        <v>4879</v>
      </c>
      <c r="D542" t="s">
        <v>4880</v>
      </c>
      <c r="E542">
        <v>210</v>
      </c>
      <c r="F542" t="s">
        <v>1800</v>
      </c>
      <c r="G542" t="s">
        <v>90</v>
      </c>
      <c r="H542" s="119">
        <f t="shared" si="39"/>
        <v>127.89289650199322</v>
      </c>
      <c r="I542" s="117">
        <v>44117</v>
      </c>
      <c r="J542">
        <v>73499</v>
      </c>
      <c r="L542">
        <v>73499</v>
      </c>
      <c r="M542">
        <v>1994</v>
      </c>
      <c r="P542" t="s">
        <v>1807</v>
      </c>
      <c r="R542" t="s">
        <v>250</v>
      </c>
      <c r="S542">
        <v>888615.98496000003</v>
      </c>
      <c r="T542" s="118">
        <f t="shared" si="40"/>
        <v>12.090177893032559</v>
      </c>
      <c r="U542" t="s">
        <v>229</v>
      </c>
      <c r="Y542">
        <v>9400000</v>
      </c>
      <c r="AA542">
        <v>9400000</v>
      </c>
      <c r="AC542" t="s">
        <v>4881</v>
      </c>
      <c r="AD542" t="s">
        <v>4882</v>
      </c>
      <c r="AE542" t="s">
        <v>4883</v>
      </c>
      <c r="AF542" t="s">
        <v>4884</v>
      </c>
      <c r="AI542" s="59" t="e">
        <f t="shared" si="41"/>
        <v>#N/A</v>
      </c>
      <c r="AJ542" t="e">
        <f t="shared" si="42"/>
        <v>#N/A</v>
      </c>
      <c r="AK542" t="str">
        <f t="shared" si="43"/>
        <v/>
      </c>
    </row>
    <row r="543" spans="1:37" ht="15" customHeight="1">
      <c r="A543" s="122">
        <v>8</v>
      </c>
      <c r="B543" s="59">
        <v>538</v>
      </c>
      <c r="C543" t="s">
        <v>4885</v>
      </c>
      <c r="D543" t="s">
        <v>4886</v>
      </c>
      <c r="E543">
        <v>1344</v>
      </c>
      <c r="F543" t="s">
        <v>1896</v>
      </c>
      <c r="G543" t="s">
        <v>90</v>
      </c>
      <c r="H543" s="119">
        <f t="shared" si="39"/>
        <v>256.67351129363448</v>
      </c>
      <c r="I543" s="117">
        <v>44253</v>
      </c>
      <c r="J543">
        <v>974</v>
      </c>
      <c r="L543">
        <v>974</v>
      </c>
      <c r="M543">
        <v>2000</v>
      </c>
      <c r="P543" t="s">
        <v>1897</v>
      </c>
      <c r="R543" t="s">
        <v>44</v>
      </c>
      <c r="S543">
        <v>3838.69</v>
      </c>
      <c r="T543" s="118">
        <f t="shared" si="40"/>
        <v>3.9411601642710474</v>
      </c>
      <c r="U543" t="s">
        <v>44</v>
      </c>
      <c r="Y543">
        <v>250000</v>
      </c>
      <c r="AA543">
        <v>250000</v>
      </c>
      <c r="AC543" t="s">
        <v>4887</v>
      </c>
      <c r="AD543" t="s">
        <v>4888</v>
      </c>
      <c r="AE543" t="s">
        <v>4889</v>
      </c>
      <c r="AF543" t="s">
        <v>4890</v>
      </c>
      <c r="AI543" s="59" t="e">
        <f t="shared" si="41"/>
        <v>#N/A</v>
      </c>
      <c r="AJ543" t="e">
        <f t="shared" si="42"/>
        <v>#N/A</v>
      </c>
      <c r="AK543" t="str">
        <f t="shared" si="43"/>
        <v/>
      </c>
    </row>
    <row r="544" spans="1:37" ht="15" customHeight="1">
      <c r="A544" s="122">
        <v>8</v>
      </c>
      <c r="B544" s="59">
        <v>539</v>
      </c>
      <c r="C544" t="s">
        <v>4891</v>
      </c>
      <c r="D544" t="s">
        <v>4892</v>
      </c>
      <c r="E544">
        <v>425</v>
      </c>
      <c r="F544" t="s">
        <v>1814</v>
      </c>
      <c r="G544" t="s">
        <v>1815</v>
      </c>
      <c r="H544" s="119">
        <f t="shared" si="39"/>
        <v>338.46153846153845</v>
      </c>
      <c r="I544" s="117">
        <v>44726</v>
      </c>
      <c r="J544">
        <v>1625</v>
      </c>
      <c r="L544">
        <v>1625</v>
      </c>
      <c r="M544">
        <v>2004</v>
      </c>
      <c r="P544" t="s">
        <v>2027</v>
      </c>
      <c r="R544" t="s">
        <v>44</v>
      </c>
      <c r="S544">
        <v>4740</v>
      </c>
      <c r="T544" s="118">
        <f t="shared" si="40"/>
        <v>2.916923076923077</v>
      </c>
      <c r="U544" t="s">
        <v>44</v>
      </c>
      <c r="Y544">
        <v>550000</v>
      </c>
      <c r="AA544">
        <v>550000</v>
      </c>
      <c r="AC544" t="s">
        <v>4893</v>
      </c>
      <c r="AD544" t="s">
        <v>4894</v>
      </c>
      <c r="AE544" t="s">
        <v>4895</v>
      </c>
      <c r="AF544" t="s">
        <v>4896</v>
      </c>
      <c r="AI544" s="59" t="e">
        <f t="shared" si="41"/>
        <v>#N/A</v>
      </c>
      <c r="AJ544" t="e">
        <f t="shared" si="42"/>
        <v>#N/A</v>
      </c>
      <c r="AK544" t="str">
        <f t="shared" si="43"/>
        <v/>
      </c>
    </row>
    <row r="545" spans="1:37" ht="15" customHeight="1">
      <c r="A545" s="122">
        <v>8</v>
      </c>
      <c r="B545" s="59">
        <v>540</v>
      </c>
      <c r="C545" t="s">
        <v>4897</v>
      </c>
      <c r="D545" t="s">
        <v>4898</v>
      </c>
      <c r="E545">
        <v>344</v>
      </c>
      <c r="F545" t="s">
        <v>1785</v>
      </c>
      <c r="G545" t="s">
        <v>1786</v>
      </c>
      <c r="H545" s="119">
        <f t="shared" si="39"/>
        <v>222.97297297297297</v>
      </c>
      <c r="I545" s="117">
        <v>44077</v>
      </c>
      <c r="J545">
        <v>1480</v>
      </c>
      <c r="L545">
        <v>1480</v>
      </c>
      <c r="M545">
        <v>2001</v>
      </c>
      <c r="P545" t="s">
        <v>1877</v>
      </c>
      <c r="R545" t="s">
        <v>229</v>
      </c>
      <c r="S545">
        <v>5862</v>
      </c>
      <c r="T545" s="118">
        <f t="shared" si="40"/>
        <v>3.9608108108108109</v>
      </c>
      <c r="U545" t="s">
        <v>229</v>
      </c>
      <c r="Y545">
        <v>330000</v>
      </c>
      <c r="AA545">
        <v>330000</v>
      </c>
      <c r="AC545" t="s">
        <v>4899</v>
      </c>
      <c r="AD545" t="s">
        <v>4900</v>
      </c>
      <c r="AE545" t="s">
        <v>2042</v>
      </c>
      <c r="AF545" t="s">
        <v>4901</v>
      </c>
      <c r="AI545" s="59" t="e">
        <f t="shared" si="41"/>
        <v>#N/A</v>
      </c>
      <c r="AJ545" t="e">
        <f t="shared" si="42"/>
        <v>#N/A</v>
      </c>
      <c r="AK545" t="str">
        <f t="shared" si="43"/>
        <v/>
      </c>
    </row>
    <row r="546" spans="1:37" ht="15" customHeight="1">
      <c r="A546" s="122">
        <v>8</v>
      </c>
      <c r="B546" s="59">
        <v>541</v>
      </c>
      <c r="C546" t="s">
        <v>4902</v>
      </c>
      <c r="D546" t="s">
        <v>4903</v>
      </c>
      <c r="E546">
        <v>325</v>
      </c>
      <c r="F546" t="s">
        <v>1785</v>
      </c>
      <c r="G546" t="s">
        <v>1786</v>
      </c>
      <c r="H546" s="119">
        <f t="shared" ref="H546:H609" si="44">Y546/J546</f>
        <v>264.56378454996457</v>
      </c>
      <c r="I546" s="117">
        <v>44560</v>
      </c>
      <c r="J546">
        <v>11288</v>
      </c>
      <c r="L546">
        <v>11288</v>
      </c>
      <c r="M546">
        <v>2000</v>
      </c>
      <c r="P546" t="s">
        <v>2822</v>
      </c>
      <c r="R546" t="s">
        <v>44</v>
      </c>
      <c r="S546">
        <v>40262</v>
      </c>
      <c r="T546" s="118">
        <f t="shared" si="40"/>
        <v>3.5667965981573353</v>
      </c>
      <c r="U546" t="s">
        <v>44</v>
      </c>
      <c r="Y546">
        <v>2986396</v>
      </c>
      <c r="AA546">
        <v>2986396</v>
      </c>
      <c r="AC546" t="s">
        <v>4904</v>
      </c>
      <c r="AD546" t="s">
        <v>4905</v>
      </c>
      <c r="AE546" t="s">
        <v>4906</v>
      </c>
      <c r="AF546" t="s">
        <v>4907</v>
      </c>
      <c r="AI546" s="59" t="e">
        <f t="shared" si="41"/>
        <v>#N/A</v>
      </c>
      <c r="AJ546" t="e">
        <f t="shared" si="42"/>
        <v>#N/A</v>
      </c>
      <c r="AK546" t="str">
        <f t="shared" si="43"/>
        <v/>
      </c>
    </row>
    <row r="547" spans="1:37" ht="15" customHeight="1">
      <c r="A547" s="122">
        <v>8</v>
      </c>
      <c r="B547" s="59">
        <v>542</v>
      </c>
      <c r="C547" t="s">
        <v>4908</v>
      </c>
      <c r="D547" t="s">
        <v>4909</v>
      </c>
      <c r="E547">
        <v>319</v>
      </c>
      <c r="F547" t="s">
        <v>1785</v>
      </c>
      <c r="G547" t="s">
        <v>1786</v>
      </c>
      <c r="H547" s="119">
        <f t="shared" si="44"/>
        <v>153.83608274417386</v>
      </c>
      <c r="I547" s="117">
        <v>44582</v>
      </c>
      <c r="J547">
        <v>15276</v>
      </c>
      <c r="L547">
        <v>15276</v>
      </c>
      <c r="M547">
        <v>1964</v>
      </c>
      <c r="P547" t="s">
        <v>2522</v>
      </c>
      <c r="R547" t="s">
        <v>1258</v>
      </c>
      <c r="S547">
        <v>69391.078099999999</v>
      </c>
      <c r="T547" s="118">
        <f t="shared" si="40"/>
        <v>4.5424900562974599</v>
      </c>
      <c r="U547" t="s">
        <v>44</v>
      </c>
      <c r="Y547">
        <v>2350000</v>
      </c>
      <c r="AA547">
        <v>2350000</v>
      </c>
      <c r="AC547" t="s">
        <v>4910</v>
      </c>
      <c r="AD547" t="s">
        <v>4911</v>
      </c>
      <c r="AE547" t="s">
        <v>4912</v>
      </c>
      <c r="AF547" t="s">
        <v>4913</v>
      </c>
      <c r="AI547" s="59" t="e">
        <f t="shared" si="41"/>
        <v>#N/A</v>
      </c>
      <c r="AJ547" t="e">
        <f t="shared" si="42"/>
        <v>#N/A</v>
      </c>
      <c r="AK547" t="str">
        <f t="shared" si="43"/>
        <v/>
      </c>
    </row>
    <row r="548" spans="1:37" ht="15" customHeight="1">
      <c r="A548" s="122">
        <v>8</v>
      </c>
      <c r="B548" s="59">
        <v>543</v>
      </c>
      <c r="C548" t="s">
        <v>2727</v>
      </c>
      <c r="D548" t="s">
        <v>2728</v>
      </c>
      <c r="E548">
        <v>407</v>
      </c>
      <c r="F548" t="s">
        <v>1814</v>
      </c>
      <c r="G548" t="s">
        <v>1815</v>
      </c>
      <c r="H548" s="119">
        <f t="shared" si="44"/>
        <v>95</v>
      </c>
      <c r="I548" s="117">
        <v>43951</v>
      </c>
      <c r="J548">
        <v>75000</v>
      </c>
      <c r="L548">
        <v>75000</v>
      </c>
      <c r="M548">
        <v>2003</v>
      </c>
      <c r="P548" t="s">
        <v>2729</v>
      </c>
      <c r="R548" t="s">
        <v>44</v>
      </c>
      <c r="S548">
        <v>415287.97</v>
      </c>
      <c r="T548" s="118">
        <f t="shared" si="40"/>
        <v>5.5371729333333333</v>
      </c>
      <c r="U548" t="s">
        <v>44</v>
      </c>
      <c r="Y548">
        <v>7125000</v>
      </c>
      <c r="AA548">
        <v>7125000</v>
      </c>
      <c r="AC548" t="s">
        <v>2730</v>
      </c>
      <c r="AD548" t="s">
        <v>4914</v>
      </c>
      <c r="AE548" t="s">
        <v>4915</v>
      </c>
      <c r="AF548" t="s">
        <v>2732</v>
      </c>
      <c r="AI548" s="59" t="e">
        <f t="shared" si="41"/>
        <v>#N/A</v>
      </c>
      <c r="AJ548" t="e">
        <f t="shared" si="42"/>
        <v>#N/A</v>
      </c>
      <c r="AK548" t="str">
        <f t="shared" si="43"/>
        <v/>
      </c>
    </row>
    <row r="549" spans="1:37" ht="15" customHeight="1">
      <c r="A549" s="122">
        <v>8</v>
      </c>
      <c r="B549" s="59">
        <v>544</v>
      </c>
      <c r="C549" t="s">
        <v>4916</v>
      </c>
      <c r="D549" t="s">
        <v>4917</v>
      </c>
      <c r="E549">
        <v>353</v>
      </c>
      <c r="F549" t="s">
        <v>2494</v>
      </c>
      <c r="G549" t="s">
        <v>1786</v>
      </c>
      <c r="H549" s="119">
        <f t="shared" si="44"/>
        <v>180.625</v>
      </c>
      <c r="I549" s="117">
        <v>44335</v>
      </c>
      <c r="J549">
        <v>8000</v>
      </c>
      <c r="L549">
        <v>8000</v>
      </c>
      <c r="M549">
        <v>2011</v>
      </c>
      <c r="P549" t="s">
        <v>2495</v>
      </c>
      <c r="R549" t="s">
        <v>44</v>
      </c>
      <c r="S549">
        <v>53023</v>
      </c>
      <c r="T549" s="118">
        <f t="shared" ref="T549:T612" si="45">S549/J549</f>
        <v>6.6278750000000004</v>
      </c>
      <c r="U549" t="s">
        <v>44</v>
      </c>
      <c r="Y549">
        <v>1445000</v>
      </c>
      <c r="AA549">
        <v>1445000</v>
      </c>
      <c r="AC549" t="s">
        <v>4918</v>
      </c>
      <c r="AD549" t="s">
        <v>4919</v>
      </c>
      <c r="AE549" t="s">
        <v>4920</v>
      </c>
      <c r="AF549" t="s">
        <v>4921</v>
      </c>
      <c r="AI549" s="59" t="e">
        <f t="shared" si="41"/>
        <v>#N/A</v>
      </c>
      <c r="AJ549" t="e">
        <f t="shared" si="42"/>
        <v>#N/A</v>
      </c>
      <c r="AK549" t="str">
        <f t="shared" si="43"/>
        <v/>
      </c>
    </row>
    <row r="550" spans="1:37" ht="15" customHeight="1">
      <c r="A550" s="122">
        <v>8</v>
      </c>
      <c r="B550" s="59">
        <v>545</v>
      </c>
      <c r="C550" t="s">
        <v>4922</v>
      </c>
      <c r="D550" t="s">
        <v>4923</v>
      </c>
      <c r="E550">
        <v>341</v>
      </c>
      <c r="F550" t="s">
        <v>1896</v>
      </c>
      <c r="G550" t="s">
        <v>90</v>
      </c>
      <c r="H550" s="119">
        <f t="shared" si="44"/>
        <v>139.28571428571428</v>
      </c>
      <c r="I550" s="117">
        <v>43273</v>
      </c>
      <c r="J550">
        <v>1400</v>
      </c>
      <c r="L550">
        <v>1400</v>
      </c>
      <c r="M550">
        <v>1986</v>
      </c>
      <c r="P550" t="s">
        <v>3590</v>
      </c>
      <c r="R550" t="s">
        <v>44</v>
      </c>
      <c r="S550">
        <v>692</v>
      </c>
      <c r="T550" s="118">
        <f t="shared" si="45"/>
        <v>0.49428571428571427</v>
      </c>
      <c r="U550" t="s">
        <v>44</v>
      </c>
      <c r="Y550">
        <v>195000</v>
      </c>
      <c r="AA550">
        <v>195000</v>
      </c>
      <c r="AC550" t="s">
        <v>4924</v>
      </c>
      <c r="AD550" t="s">
        <v>4925</v>
      </c>
      <c r="AE550" t="s">
        <v>4926</v>
      </c>
      <c r="AF550" t="s">
        <v>4927</v>
      </c>
      <c r="AI550" s="59" t="e">
        <f t="shared" si="41"/>
        <v>#N/A</v>
      </c>
      <c r="AJ550" t="e">
        <f t="shared" si="42"/>
        <v>#N/A</v>
      </c>
      <c r="AK550" t="str">
        <f t="shared" si="43"/>
        <v/>
      </c>
    </row>
    <row r="551" spans="1:37" ht="15" customHeight="1">
      <c r="A551" s="122">
        <v>8</v>
      </c>
      <c r="B551" s="59">
        <v>546</v>
      </c>
      <c r="C551" t="s">
        <v>4928</v>
      </c>
      <c r="D551" t="s">
        <v>4929</v>
      </c>
      <c r="E551">
        <v>406</v>
      </c>
      <c r="F551" t="s">
        <v>1814</v>
      </c>
      <c r="G551" t="s">
        <v>1815</v>
      </c>
      <c r="H551" s="119">
        <f t="shared" si="44"/>
        <v>200.32051282051282</v>
      </c>
      <c r="I551" s="117">
        <v>43462</v>
      </c>
      <c r="J551">
        <v>19968</v>
      </c>
      <c r="L551">
        <v>19968</v>
      </c>
      <c r="M551">
        <v>2006</v>
      </c>
      <c r="R551" t="s">
        <v>44</v>
      </c>
      <c r="S551">
        <v>130617</v>
      </c>
      <c r="T551" s="118">
        <f t="shared" si="45"/>
        <v>6.5413161057692308</v>
      </c>
      <c r="U551" t="s">
        <v>44</v>
      </c>
      <c r="Y551">
        <v>4000000</v>
      </c>
      <c r="AA551">
        <v>4000000</v>
      </c>
      <c r="AC551" t="s">
        <v>4930</v>
      </c>
      <c r="AD551" t="s">
        <v>4931</v>
      </c>
      <c r="AE551" t="s">
        <v>4932</v>
      </c>
      <c r="AF551" t="s">
        <v>4933</v>
      </c>
      <c r="AI551" s="59" t="e">
        <f t="shared" si="41"/>
        <v>#N/A</v>
      </c>
      <c r="AJ551" t="e">
        <f t="shared" si="42"/>
        <v>#N/A</v>
      </c>
      <c r="AK551" t="str">
        <f t="shared" si="43"/>
        <v/>
      </c>
    </row>
    <row r="552" spans="1:37" ht="15" customHeight="1">
      <c r="A552" s="122">
        <v>8</v>
      </c>
      <c r="B552" s="59">
        <v>547</v>
      </c>
      <c r="C552" t="s">
        <v>4934</v>
      </c>
      <c r="D552" t="s">
        <v>4935</v>
      </c>
      <c r="E552">
        <v>3441</v>
      </c>
      <c r="F552" t="s">
        <v>1984</v>
      </c>
      <c r="G552" t="s">
        <v>89</v>
      </c>
      <c r="H552" s="119">
        <f t="shared" si="44"/>
        <v>248.29545454545453</v>
      </c>
      <c r="I552" s="117">
        <v>43213</v>
      </c>
      <c r="J552">
        <v>1056</v>
      </c>
      <c r="L552">
        <v>1056</v>
      </c>
      <c r="M552">
        <v>1949</v>
      </c>
      <c r="R552" t="s">
        <v>44</v>
      </c>
      <c r="S552">
        <v>7624</v>
      </c>
      <c r="T552" s="118">
        <f t="shared" si="45"/>
        <v>7.2196969696969697</v>
      </c>
      <c r="U552" t="s">
        <v>229</v>
      </c>
      <c r="Y552">
        <v>262200</v>
      </c>
      <c r="AA552">
        <v>262200</v>
      </c>
      <c r="AC552" t="s">
        <v>4936</v>
      </c>
      <c r="AD552" t="s">
        <v>4937</v>
      </c>
      <c r="AE552" t="s">
        <v>4938</v>
      </c>
      <c r="AF552" t="s">
        <v>4939</v>
      </c>
      <c r="AI552" s="59" t="e">
        <f t="shared" si="41"/>
        <v>#N/A</v>
      </c>
      <c r="AJ552" t="e">
        <f t="shared" si="42"/>
        <v>#N/A</v>
      </c>
      <c r="AK552" t="str">
        <f t="shared" si="43"/>
        <v/>
      </c>
    </row>
    <row r="553" spans="1:37" ht="15" customHeight="1">
      <c r="A553" s="122">
        <v>8</v>
      </c>
      <c r="B553" s="59">
        <v>548</v>
      </c>
      <c r="C553" t="s">
        <v>4940</v>
      </c>
      <c r="D553" t="s">
        <v>4941</v>
      </c>
      <c r="E553">
        <v>425</v>
      </c>
      <c r="G553" t="s">
        <v>1910</v>
      </c>
      <c r="H553" s="119">
        <f t="shared" si="44"/>
        <v>182.07726409119695</v>
      </c>
      <c r="I553" s="117">
        <v>43838</v>
      </c>
      <c r="J553">
        <v>3158</v>
      </c>
      <c r="L553">
        <v>3158</v>
      </c>
      <c r="M553">
        <v>1985</v>
      </c>
      <c r="P553" t="s">
        <v>1911</v>
      </c>
      <c r="R553" t="s">
        <v>44</v>
      </c>
      <c r="S553">
        <v>7920</v>
      </c>
      <c r="T553" s="118">
        <f t="shared" si="45"/>
        <v>2.5079164027865737</v>
      </c>
      <c r="U553" t="s">
        <v>44</v>
      </c>
      <c r="Y553">
        <v>575000</v>
      </c>
      <c r="AA553">
        <v>575000</v>
      </c>
      <c r="AC553" t="s">
        <v>4942</v>
      </c>
      <c r="AD553" t="s">
        <v>4943</v>
      </c>
      <c r="AE553" t="s">
        <v>4944</v>
      </c>
      <c r="AF553" t="s">
        <v>4945</v>
      </c>
      <c r="AI553" s="59" t="e">
        <f t="shared" si="41"/>
        <v>#N/A</v>
      </c>
      <c r="AJ553" t="e">
        <f t="shared" si="42"/>
        <v>#N/A</v>
      </c>
      <c r="AK553" t="str">
        <f t="shared" si="43"/>
        <v/>
      </c>
    </row>
    <row r="554" spans="1:37" ht="15" customHeight="1">
      <c r="A554" s="122">
        <v>8</v>
      </c>
      <c r="B554" s="59">
        <v>549</v>
      </c>
      <c r="C554" t="s">
        <v>2177</v>
      </c>
      <c r="D554" t="s">
        <v>4946</v>
      </c>
      <c r="E554">
        <v>425</v>
      </c>
      <c r="G554" t="s">
        <v>1910</v>
      </c>
      <c r="H554" s="119">
        <f t="shared" si="44"/>
        <v>178.11906269791007</v>
      </c>
      <c r="I554" s="117">
        <v>44384</v>
      </c>
      <c r="J554">
        <v>3158</v>
      </c>
      <c r="L554">
        <v>3158</v>
      </c>
      <c r="M554">
        <v>1985</v>
      </c>
      <c r="P554" t="s">
        <v>1911</v>
      </c>
      <c r="R554" t="s">
        <v>44</v>
      </c>
      <c r="S554">
        <v>7920</v>
      </c>
      <c r="T554" s="118">
        <f t="shared" si="45"/>
        <v>2.5079164027865737</v>
      </c>
      <c r="U554" t="s">
        <v>44</v>
      </c>
      <c r="Y554">
        <v>562500</v>
      </c>
      <c r="AA554">
        <v>562500</v>
      </c>
      <c r="AC554" t="s">
        <v>2179</v>
      </c>
      <c r="AD554" t="s">
        <v>4947</v>
      </c>
      <c r="AE554" t="s">
        <v>4948</v>
      </c>
      <c r="AF554" t="s">
        <v>2181</v>
      </c>
      <c r="AI554" s="59" t="e">
        <f t="shared" si="41"/>
        <v>#N/A</v>
      </c>
      <c r="AJ554" t="e">
        <f t="shared" si="42"/>
        <v>#N/A</v>
      </c>
      <c r="AK554" t="str">
        <f t="shared" si="43"/>
        <v/>
      </c>
    </row>
    <row r="555" spans="1:37" ht="15" customHeight="1">
      <c r="A555" s="122">
        <v>8</v>
      </c>
      <c r="B555" s="59">
        <v>550</v>
      </c>
      <c r="C555" t="s">
        <v>4949</v>
      </c>
      <c r="D555" t="s">
        <v>4950</v>
      </c>
      <c r="E555">
        <v>213</v>
      </c>
      <c r="G555" t="s">
        <v>1910</v>
      </c>
      <c r="H555" s="119">
        <f t="shared" si="44"/>
        <v>411.71875</v>
      </c>
      <c r="I555" s="117">
        <v>43116</v>
      </c>
      <c r="J555">
        <v>1920</v>
      </c>
      <c r="L555">
        <v>1920</v>
      </c>
      <c r="M555">
        <v>2003</v>
      </c>
      <c r="P555" t="s">
        <v>1911</v>
      </c>
      <c r="R555" t="s">
        <v>302</v>
      </c>
      <c r="S555">
        <v>75794</v>
      </c>
      <c r="T555" s="118">
        <f t="shared" si="45"/>
        <v>39.476041666666667</v>
      </c>
      <c r="U555" t="s">
        <v>44</v>
      </c>
      <c r="Y555">
        <v>790500</v>
      </c>
      <c r="AA555">
        <v>790500</v>
      </c>
      <c r="AC555" t="s">
        <v>4951</v>
      </c>
      <c r="AD555" t="s">
        <v>4952</v>
      </c>
      <c r="AE555" t="s">
        <v>4953</v>
      </c>
      <c r="AF555" t="s">
        <v>4954</v>
      </c>
      <c r="AI555" s="59" t="e">
        <f t="shared" si="41"/>
        <v>#N/A</v>
      </c>
      <c r="AJ555" t="e">
        <f t="shared" si="42"/>
        <v>#N/A</v>
      </c>
      <c r="AK555" t="str">
        <f t="shared" si="43"/>
        <v/>
      </c>
    </row>
    <row r="556" spans="1:37" ht="15" customHeight="1">
      <c r="A556" s="122">
        <v>8</v>
      </c>
      <c r="B556" s="59">
        <v>551</v>
      </c>
      <c r="C556" t="s">
        <v>4955</v>
      </c>
      <c r="D556" t="s">
        <v>4956</v>
      </c>
      <c r="E556">
        <v>353</v>
      </c>
      <c r="F556" t="s">
        <v>1984</v>
      </c>
      <c r="G556" t="s">
        <v>89</v>
      </c>
      <c r="H556" s="119">
        <f t="shared" si="44"/>
        <v>92.173913043478265</v>
      </c>
      <c r="I556" s="117">
        <v>43271</v>
      </c>
      <c r="J556">
        <v>5750</v>
      </c>
      <c r="L556">
        <v>5750</v>
      </c>
      <c r="M556">
        <v>1966</v>
      </c>
      <c r="P556" t="s">
        <v>3682</v>
      </c>
      <c r="R556" t="s">
        <v>44</v>
      </c>
      <c r="S556">
        <v>10150</v>
      </c>
      <c r="T556" s="118">
        <f t="shared" si="45"/>
        <v>1.7652173913043478</v>
      </c>
      <c r="U556" t="s">
        <v>44</v>
      </c>
      <c r="Y556">
        <v>530000</v>
      </c>
      <c r="AA556">
        <v>530000</v>
      </c>
      <c r="AC556" t="s">
        <v>4957</v>
      </c>
      <c r="AD556" t="s">
        <v>4958</v>
      </c>
      <c r="AE556" t="s">
        <v>4959</v>
      </c>
      <c r="AF556" t="s">
        <v>4960</v>
      </c>
      <c r="AI556" s="59" t="e">
        <f t="shared" si="41"/>
        <v>#N/A</v>
      </c>
      <c r="AJ556" t="e">
        <f t="shared" si="42"/>
        <v>#N/A</v>
      </c>
      <c r="AK556" t="str">
        <f t="shared" si="43"/>
        <v/>
      </c>
    </row>
    <row r="557" spans="1:37" ht="15" customHeight="1">
      <c r="A557" s="122">
        <v>8</v>
      </c>
      <c r="B557" s="59">
        <v>552</v>
      </c>
      <c r="C557" t="s">
        <v>4961</v>
      </c>
      <c r="D557" t="s">
        <v>4962</v>
      </c>
      <c r="E557">
        <v>339</v>
      </c>
      <c r="F557" t="s">
        <v>1984</v>
      </c>
      <c r="G557" t="s">
        <v>89</v>
      </c>
      <c r="H557" s="119">
        <f t="shared" si="44"/>
        <v>180.55555555555554</v>
      </c>
      <c r="I557" s="117">
        <v>43199</v>
      </c>
      <c r="J557">
        <v>7200</v>
      </c>
      <c r="L557">
        <v>7200</v>
      </c>
      <c r="M557">
        <v>1983</v>
      </c>
      <c r="P557" t="s">
        <v>3682</v>
      </c>
      <c r="R557" t="s">
        <v>1258</v>
      </c>
      <c r="S557">
        <v>96965</v>
      </c>
      <c r="T557" s="118">
        <f t="shared" si="45"/>
        <v>13.467361111111112</v>
      </c>
      <c r="U557" t="s">
        <v>44</v>
      </c>
      <c r="Y557">
        <v>1300000</v>
      </c>
      <c r="AA557">
        <v>1300000</v>
      </c>
      <c r="AC557" t="s">
        <v>4963</v>
      </c>
      <c r="AD557" t="s">
        <v>4964</v>
      </c>
      <c r="AE557" t="s">
        <v>4965</v>
      </c>
      <c r="AF557" t="s">
        <v>4966</v>
      </c>
      <c r="AI557" s="59" t="e">
        <f t="shared" si="41"/>
        <v>#N/A</v>
      </c>
      <c r="AJ557" t="e">
        <f t="shared" si="42"/>
        <v>#N/A</v>
      </c>
      <c r="AK557" t="str">
        <f t="shared" si="43"/>
        <v/>
      </c>
    </row>
    <row r="558" spans="1:37" ht="15" customHeight="1">
      <c r="A558" s="122">
        <v>8</v>
      </c>
      <c r="B558" s="59">
        <v>553</v>
      </c>
      <c r="C558" t="s">
        <v>4961</v>
      </c>
      <c r="D558" t="s">
        <v>4962</v>
      </c>
      <c r="E558">
        <v>353</v>
      </c>
      <c r="F558" t="s">
        <v>1984</v>
      </c>
      <c r="G558" t="s">
        <v>89</v>
      </c>
      <c r="H558" s="119">
        <f t="shared" si="44"/>
        <v>194.44444444444446</v>
      </c>
      <c r="I558" s="117">
        <v>44182</v>
      </c>
      <c r="J558">
        <v>7200</v>
      </c>
      <c r="L558">
        <v>7200</v>
      </c>
      <c r="M558">
        <v>1983</v>
      </c>
      <c r="P558" t="s">
        <v>1985</v>
      </c>
      <c r="R558" t="s">
        <v>1258</v>
      </c>
      <c r="S558">
        <v>96965</v>
      </c>
      <c r="T558" s="118">
        <f t="shared" si="45"/>
        <v>13.467361111111112</v>
      </c>
      <c r="U558" t="s">
        <v>44</v>
      </c>
      <c r="Y558">
        <v>1400000</v>
      </c>
      <c r="AA558">
        <v>1400000</v>
      </c>
      <c r="AC558" t="s">
        <v>4963</v>
      </c>
      <c r="AD558" t="s">
        <v>4967</v>
      </c>
      <c r="AE558" t="s">
        <v>4966</v>
      </c>
      <c r="AF558" t="s">
        <v>4968</v>
      </c>
      <c r="AI558" s="59" t="e">
        <f t="shared" si="41"/>
        <v>#N/A</v>
      </c>
      <c r="AJ558" t="e">
        <f t="shared" si="42"/>
        <v>#N/A</v>
      </c>
      <c r="AK558" t="str">
        <f t="shared" si="43"/>
        <v/>
      </c>
    </row>
    <row r="559" spans="1:37" ht="15" customHeight="1">
      <c r="A559" s="122">
        <v>8</v>
      </c>
      <c r="B559" s="59">
        <v>554</v>
      </c>
      <c r="C559" t="s">
        <v>4969</v>
      </c>
      <c r="D559" t="s">
        <v>4970</v>
      </c>
      <c r="E559">
        <v>325</v>
      </c>
      <c r="G559" t="s">
        <v>1910</v>
      </c>
      <c r="H559" s="119">
        <f t="shared" si="44"/>
        <v>89.303836005682967</v>
      </c>
      <c r="I559" s="117">
        <v>43874</v>
      </c>
      <c r="J559">
        <v>4927</v>
      </c>
      <c r="L559">
        <v>4927</v>
      </c>
      <c r="M559">
        <v>1950</v>
      </c>
      <c r="P559" t="s">
        <v>1925</v>
      </c>
      <c r="R559" t="s">
        <v>44</v>
      </c>
      <c r="S559">
        <v>30492</v>
      </c>
      <c r="T559" s="118">
        <f t="shared" si="45"/>
        <v>6.1887558351938301</v>
      </c>
      <c r="U559" t="s">
        <v>44</v>
      </c>
      <c r="Y559">
        <v>440000</v>
      </c>
      <c r="AA559">
        <v>440000</v>
      </c>
      <c r="AC559" t="s">
        <v>4971</v>
      </c>
      <c r="AD559" t="s">
        <v>4972</v>
      </c>
      <c r="AE559" t="s">
        <v>4973</v>
      </c>
      <c r="AF559" t="s">
        <v>4974</v>
      </c>
      <c r="AI559" s="59" t="e">
        <f t="shared" si="41"/>
        <v>#N/A</v>
      </c>
      <c r="AJ559" t="e">
        <f t="shared" si="42"/>
        <v>#N/A</v>
      </c>
      <c r="AK559" t="str">
        <f t="shared" si="43"/>
        <v/>
      </c>
    </row>
    <row r="560" spans="1:37" ht="15" customHeight="1">
      <c r="A560" s="122">
        <v>8</v>
      </c>
      <c r="B560" s="59">
        <v>555</v>
      </c>
      <c r="C560" t="s">
        <v>4975</v>
      </c>
      <c r="D560" t="s">
        <v>4976</v>
      </c>
      <c r="E560">
        <v>407</v>
      </c>
      <c r="G560" t="s">
        <v>1910</v>
      </c>
      <c r="H560" s="119">
        <f t="shared" si="44"/>
        <v>141.80672268907563</v>
      </c>
      <c r="I560" s="117">
        <v>43189</v>
      </c>
      <c r="J560">
        <v>9520</v>
      </c>
      <c r="L560">
        <v>9520</v>
      </c>
      <c r="M560">
        <v>1997</v>
      </c>
      <c r="P560" t="s">
        <v>1911</v>
      </c>
      <c r="R560" t="s">
        <v>44</v>
      </c>
      <c r="S560">
        <v>30056</v>
      </c>
      <c r="T560" s="118">
        <f t="shared" si="45"/>
        <v>3.157142857142857</v>
      </c>
      <c r="U560" t="s">
        <v>44</v>
      </c>
      <c r="Y560">
        <v>1350000</v>
      </c>
      <c r="AA560">
        <v>1350000</v>
      </c>
      <c r="AC560" t="s">
        <v>4977</v>
      </c>
      <c r="AD560" t="s">
        <v>4978</v>
      </c>
      <c r="AE560" t="s">
        <v>4979</v>
      </c>
      <c r="AF560" t="s">
        <v>4980</v>
      </c>
      <c r="AI560" s="59" t="e">
        <f t="shared" si="41"/>
        <v>#N/A</v>
      </c>
      <c r="AJ560" t="e">
        <f t="shared" si="42"/>
        <v>#N/A</v>
      </c>
      <c r="AK560" t="str">
        <f t="shared" si="43"/>
        <v/>
      </c>
    </row>
    <row r="561" spans="1:37" ht="15" customHeight="1">
      <c r="A561" s="122">
        <v>8</v>
      </c>
      <c r="B561" s="59">
        <v>556</v>
      </c>
      <c r="C561" t="s">
        <v>4981</v>
      </c>
      <c r="D561" t="s">
        <v>4982</v>
      </c>
      <c r="E561">
        <v>406</v>
      </c>
      <c r="G561" t="s">
        <v>1910</v>
      </c>
      <c r="H561" s="119">
        <f t="shared" si="44"/>
        <v>185</v>
      </c>
      <c r="I561" s="117">
        <v>43259</v>
      </c>
      <c r="J561">
        <v>5000</v>
      </c>
      <c r="L561">
        <v>5000</v>
      </c>
      <c r="M561">
        <v>1999</v>
      </c>
      <c r="P561" t="s">
        <v>1911</v>
      </c>
      <c r="R561" t="s">
        <v>44</v>
      </c>
      <c r="S561">
        <v>35250</v>
      </c>
      <c r="T561" s="118">
        <f t="shared" si="45"/>
        <v>7.05</v>
      </c>
      <c r="U561" t="s">
        <v>44</v>
      </c>
      <c r="Y561">
        <v>925000</v>
      </c>
      <c r="AA561">
        <v>925000</v>
      </c>
      <c r="AC561" t="s">
        <v>4983</v>
      </c>
      <c r="AD561" t="s">
        <v>4984</v>
      </c>
      <c r="AE561" t="s">
        <v>4985</v>
      </c>
      <c r="AF561" t="s">
        <v>4986</v>
      </c>
      <c r="AI561" s="59" t="e">
        <f t="shared" si="41"/>
        <v>#N/A</v>
      </c>
      <c r="AJ561" t="e">
        <f t="shared" si="42"/>
        <v>#N/A</v>
      </c>
      <c r="AK561" t="str">
        <f t="shared" si="43"/>
        <v/>
      </c>
    </row>
    <row r="562" spans="1:37" ht="15" customHeight="1">
      <c r="A562" s="122">
        <v>8</v>
      </c>
      <c r="B562" s="59">
        <v>557</v>
      </c>
      <c r="C562" t="s">
        <v>4987</v>
      </c>
      <c r="D562" t="s">
        <v>4988</v>
      </c>
      <c r="E562">
        <v>100</v>
      </c>
      <c r="F562" t="s">
        <v>1984</v>
      </c>
      <c r="G562" t="s">
        <v>418</v>
      </c>
      <c r="H562" s="119">
        <f t="shared" si="44"/>
        <v>228.6280487804878</v>
      </c>
      <c r="I562" s="117">
        <v>43105</v>
      </c>
      <c r="J562">
        <v>3280</v>
      </c>
      <c r="L562">
        <v>3280</v>
      </c>
      <c r="M562">
        <v>1957</v>
      </c>
      <c r="P562" t="s">
        <v>3682</v>
      </c>
      <c r="R562" t="s">
        <v>302</v>
      </c>
      <c r="S562">
        <v>255958.56</v>
      </c>
      <c r="T562" s="118">
        <f t="shared" si="45"/>
        <v>78.036146341463407</v>
      </c>
      <c r="U562" t="s">
        <v>302</v>
      </c>
      <c r="Y562">
        <v>749900</v>
      </c>
      <c r="AA562">
        <v>749900</v>
      </c>
      <c r="AC562" t="s">
        <v>4989</v>
      </c>
      <c r="AD562" t="s">
        <v>4990</v>
      </c>
      <c r="AE562" t="s">
        <v>4991</v>
      </c>
      <c r="AF562" t="s">
        <v>4992</v>
      </c>
      <c r="AI562" s="59" t="e">
        <f t="shared" si="41"/>
        <v>#N/A</v>
      </c>
      <c r="AJ562" t="e">
        <f t="shared" si="42"/>
        <v>#N/A</v>
      </c>
      <c r="AK562" t="str">
        <f t="shared" si="43"/>
        <v/>
      </c>
    </row>
    <row r="563" spans="1:37" ht="15" customHeight="1">
      <c r="A563" s="122">
        <v>8</v>
      </c>
      <c r="B563" s="59">
        <v>558</v>
      </c>
      <c r="C563" t="s">
        <v>4993</v>
      </c>
      <c r="D563" t="s">
        <v>4994</v>
      </c>
      <c r="E563">
        <v>531</v>
      </c>
      <c r="G563" t="s">
        <v>1786</v>
      </c>
      <c r="H563" s="119">
        <f t="shared" si="44"/>
        <v>1339.6584440227705</v>
      </c>
      <c r="I563" s="117">
        <v>44560</v>
      </c>
      <c r="J563">
        <v>1054</v>
      </c>
      <c r="L563">
        <v>1054</v>
      </c>
      <c r="M563">
        <v>1966</v>
      </c>
      <c r="P563" t="s">
        <v>1925</v>
      </c>
      <c r="R563" t="s">
        <v>44</v>
      </c>
      <c r="S563">
        <v>18750</v>
      </c>
      <c r="T563" s="118">
        <f t="shared" si="45"/>
        <v>17.789373814041745</v>
      </c>
      <c r="U563" t="s">
        <v>44</v>
      </c>
      <c r="Y563">
        <v>1412000</v>
      </c>
      <c r="AA563">
        <v>1412000</v>
      </c>
      <c r="AC563" t="s">
        <v>4995</v>
      </c>
      <c r="AD563" t="s">
        <v>4996</v>
      </c>
      <c r="AE563" t="s">
        <v>4503</v>
      </c>
      <c r="AF563" t="s">
        <v>4997</v>
      </c>
      <c r="AI563" s="59" t="e">
        <f t="shared" si="41"/>
        <v>#N/A</v>
      </c>
      <c r="AJ563" t="e">
        <f t="shared" si="42"/>
        <v>#N/A</v>
      </c>
      <c r="AK563" t="str">
        <f t="shared" si="43"/>
        <v/>
      </c>
    </row>
    <row r="564" spans="1:37" ht="15" customHeight="1">
      <c r="A564" s="122">
        <v>8</v>
      </c>
      <c r="B564" s="59">
        <v>559</v>
      </c>
      <c r="C564" t="s">
        <v>4998</v>
      </c>
      <c r="D564" t="s">
        <v>4999</v>
      </c>
      <c r="E564">
        <v>413</v>
      </c>
      <c r="F564" t="s">
        <v>2141</v>
      </c>
      <c r="G564" t="s">
        <v>90</v>
      </c>
      <c r="H564" s="119">
        <f t="shared" si="44"/>
        <v>285.54778554778557</v>
      </c>
      <c r="I564" s="117">
        <v>43364</v>
      </c>
      <c r="J564">
        <v>17160</v>
      </c>
      <c r="L564">
        <v>17160</v>
      </c>
      <c r="M564">
        <v>2007</v>
      </c>
      <c r="R564" t="s">
        <v>44</v>
      </c>
      <c r="S564">
        <v>89445</v>
      </c>
      <c r="T564" s="118">
        <f t="shared" si="45"/>
        <v>5.2124125874125875</v>
      </c>
      <c r="U564" t="s">
        <v>44</v>
      </c>
      <c r="Y564">
        <v>4900000</v>
      </c>
      <c r="AA564">
        <v>4900000</v>
      </c>
      <c r="AC564" t="s">
        <v>5000</v>
      </c>
      <c r="AD564" t="s">
        <v>5001</v>
      </c>
      <c r="AE564" t="s">
        <v>5002</v>
      </c>
      <c r="AF564" t="s">
        <v>5003</v>
      </c>
      <c r="AI564" s="59" t="e">
        <f t="shared" si="41"/>
        <v>#N/A</v>
      </c>
      <c r="AJ564" t="e">
        <f t="shared" si="42"/>
        <v>#N/A</v>
      </c>
      <c r="AK564" t="str">
        <f t="shared" si="43"/>
        <v/>
      </c>
    </row>
    <row r="565" spans="1:37" ht="15" customHeight="1">
      <c r="A565" s="122">
        <v>8</v>
      </c>
      <c r="B565" s="59">
        <v>560</v>
      </c>
      <c r="C565" t="s">
        <v>5004</v>
      </c>
      <c r="D565" t="s">
        <v>5005</v>
      </c>
      <c r="E565">
        <v>328</v>
      </c>
      <c r="F565" t="s">
        <v>2542</v>
      </c>
      <c r="G565" t="s">
        <v>88</v>
      </c>
      <c r="H565" s="119">
        <f t="shared" si="44"/>
        <v>108.88888888888889</v>
      </c>
      <c r="I565" s="117">
        <v>44544</v>
      </c>
      <c r="J565">
        <v>4500</v>
      </c>
      <c r="L565">
        <v>4500</v>
      </c>
      <c r="M565">
        <v>2006</v>
      </c>
      <c r="R565" t="s">
        <v>44</v>
      </c>
      <c r="T565" s="118">
        <f t="shared" si="45"/>
        <v>0</v>
      </c>
      <c r="U565" t="s">
        <v>44</v>
      </c>
      <c r="Y565">
        <v>490000</v>
      </c>
      <c r="AA565">
        <v>490000</v>
      </c>
      <c r="AC565" t="s">
        <v>5006</v>
      </c>
      <c r="AD565" t="s">
        <v>5007</v>
      </c>
      <c r="AE565" t="s">
        <v>2538</v>
      </c>
      <c r="AF565" t="s">
        <v>5008</v>
      </c>
      <c r="AI565" s="59" t="e">
        <f t="shared" si="41"/>
        <v>#N/A</v>
      </c>
      <c r="AJ565" t="e">
        <f t="shared" si="42"/>
        <v>#N/A</v>
      </c>
      <c r="AK565" t="str">
        <f t="shared" si="43"/>
        <v/>
      </c>
    </row>
    <row r="566" spans="1:37" ht="15" customHeight="1">
      <c r="A566" s="122">
        <v>8</v>
      </c>
      <c r="B566" s="59">
        <v>561</v>
      </c>
      <c r="C566" t="s">
        <v>5009</v>
      </c>
      <c r="D566" t="s">
        <v>5010</v>
      </c>
      <c r="E566">
        <v>328</v>
      </c>
      <c r="G566" t="s">
        <v>88</v>
      </c>
      <c r="H566" s="119">
        <f t="shared" si="44"/>
        <v>77.777777777777771</v>
      </c>
      <c r="I566" s="117">
        <v>44105</v>
      </c>
      <c r="J566">
        <v>4500</v>
      </c>
      <c r="L566">
        <v>4500</v>
      </c>
      <c r="M566">
        <v>2006</v>
      </c>
      <c r="R566" t="s">
        <v>44</v>
      </c>
      <c r="T566" s="118">
        <f t="shared" si="45"/>
        <v>0</v>
      </c>
      <c r="U566" t="s">
        <v>44</v>
      </c>
      <c r="Y566">
        <v>350000</v>
      </c>
      <c r="AA566">
        <v>350000</v>
      </c>
      <c r="AC566" t="s">
        <v>5011</v>
      </c>
      <c r="AD566" t="s">
        <v>5012</v>
      </c>
      <c r="AE566" t="s">
        <v>5013</v>
      </c>
      <c r="AF566" t="s">
        <v>2984</v>
      </c>
      <c r="AI566" s="59" t="e">
        <f t="shared" si="41"/>
        <v>#N/A</v>
      </c>
      <c r="AJ566" t="e">
        <f t="shared" si="42"/>
        <v>#N/A</v>
      </c>
      <c r="AK566" t="str">
        <f t="shared" si="43"/>
        <v/>
      </c>
    </row>
    <row r="567" spans="1:37" ht="15" customHeight="1">
      <c r="A567" s="122">
        <v>8</v>
      </c>
      <c r="B567" s="59">
        <v>562</v>
      </c>
      <c r="C567" t="s">
        <v>5014</v>
      </c>
      <c r="D567" t="s">
        <v>5015</v>
      </c>
      <c r="E567">
        <v>328</v>
      </c>
      <c r="G567" t="s">
        <v>88</v>
      </c>
      <c r="H567" s="119">
        <f t="shared" si="44"/>
        <v>77.777777777777771</v>
      </c>
      <c r="I567" s="117">
        <v>44287</v>
      </c>
      <c r="J567">
        <v>4500</v>
      </c>
      <c r="L567">
        <v>4500</v>
      </c>
      <c r="M567">
        <v>2006</v>
      </c>
      <c r="R567" t="s">
        <v>44</v>
      </c>
      <c r="T567" s="118">
        <f t="shared" si="45"/>
        <v>0</v>
      </c>
      <c r="U567" t="s">
        <v>44</v>
      </c>
      <c r="Y567">
        <v>350000</v>
      </c>
      <c r="AA567">
        <v>350000</v>
      </c>
      <c r="AC567" t="s">
        <v>5016</v>
      </c>
      <c r="AD567" t="s">
        <v>5017</v>
      </c>
      <c r="AE567" t="s">
        <v>5013</v>
      </c>
      <c r="AF567" t="s">
        <v>5018</v>
      </c>
      <c r="AI567" s="59" t="e">
        <f t="shared" si="41"/>
        <v>#N/A</v>
      </c>
      <c r="AJ567" t="e">
        <f t="shared" si="42"/>
        <v>#N/A</v>
      </c>
      <c r="AK567" t="str">
        <f t="shared" si="43"/>
        <v/>
      </c>
    </row>
    <row r="568" spans="1:37" ht="15" customHeight="1">
      <c r="A568" s="122">
        <v>8</v>
      </c>
      <c r="B568" s="59">
        <v>563</v>
      </c>
      <c r="C568" t="s">
        <v>1961</v>
      </c>
      <c r="D568" t="s">
        <v>5019</v>
      </c>
      <c r="E568">
        <v>407</v>
      </c>
      <c r="G568" t="s">
        <v>1910</v>
      </c>
      <c r="H568" s="119">
        <f t="shared" si="44"/>
        <v>177.5</v>
      </c>
      <c r="I568" s="117">
        <v>44666</v>
      </c>
      <c r="J568">
        <v>30000</v>
      </c>
      <c r="L568">
        <v>30000</v>
      </c>
      <c r="M568">
        <v>2001</v>
      </c>
      <c r="P568" t="s">
        <v>1911</v>
      </c>
      <c r="R568" t="s">
        <v>44</v>
      </c>
      <c r="S568">
        <v>96703.2</v>
      </c>
      <c r="T568" s="118">
        <f t="shared" si="45"/>
        <v>3.2234400000000001</v>
      </c>
      <c r="U568" t="s">
        <v>44</v>
      </c>
      <c r="Y568">
        <v>5325000</v>
      </c>
      <c r="AA568">
        <v>5325000</v>
      </c>
      <c r="AC568" t="s">
        <v>1963</v>
      </c>
      <c r="AD568" t="s">
        <v>5020</v>
      </c>
      <c r="AE568" t="s">
        <v>5021</v>
      </c>
      <c r="AF568" t="s">
        <v>5022</v>
      </c>
      <c r="AI568" s="59" t="e">
        <f t="shared" si="41"/>
        <v>#N/A</v>
      </c>
      <c r="AJ568" t="e">
        <f t="shared" si="42"/>
        <v>#N/A</v>
      </c>
      <c r="AK568" t="str">
        <f t="shared" si="43"/>
        <v/>
      </c>
    </row>
    <row r="569" spans="1:37" ht="15" customHeight="1">
      <c r="A569" s="122">
        <v>8</v>
      </c>
      <c r="B569" s="59">
        <v>564</v>
      </c>
      <c r="C569" t="s">
        <v>2189</v>
      </c>
      <c r="D569" t="s">
        <v>5023</v>
      </c>
      <c r="E569">
        <v>442</v>
      </c>
      <c r="G569" t="s">
        <v>1786</v>
      </c>
      <c r="H569" s="119">
        <f t="shared" si="44"/>
        <v>212.5</v>
      </c>
      <c r="I569" s="117">
        <v>44501</v>
      </c>
      <c r="J569">
        <v>2000</v>
      </c>
      <c r="L569">
        <v>2000</v>
      </c>
      <c r="M569">
        <v>1974</v>
      </c>
      <c r="P569" t="s">
        <v>1925</v>
      </c>
      <c r="R569" t="s">
        <v>44</v>
      </c>
      <c r="S569">
        <v>27934</v>
      </c>
      <c r="T569" s="118">
        <f t="shared" si="45"/>
        <v>13.967000000000001</v>
      </c>
      <c r="U569" t="s">
        <v>44</v>
      </c>
      <c r="Y569">
        <v>425000</v>
      </c>
      <c r="AA569">
        <v>425000</v>
      </c>
      <c r="AC569" t="s">
        <v>2191</v>
      </c>
      <c r="AD569" t="s">
        <v>5024</v>
      </c>
      <c r="AE569" t="s">
        <v>5025</v>
      </c>
      <c r="AF569" t="s">
        <v>2193</v>
      </c>
      <c r="AI569" s="59" t="e">
        <f t="shared" si="41"/>
        <v>#N/A</v>
      </c>
      <c r="AJ569" t="e">
        <f t="shared" si="42"/>
        <v>#N/A</v>
      </c>
      <c r="AK569" t="str">
        <f t="shared" si="43"/>
        <v/>
      </c>
    </row>
    <row r="570" spans="1:37" ht="15" customHeight="1">
      <c r="A570" s="122">
        <v>8</v>
      </c>
      <c r="B570" s="59">
        <v>565</v>
      </c>
      <c r="C570" t="s">
        <v>5026</v>
      </c>
      <c r="D570" t="s">
        <v>5027</v>
      </c>
      <c r="E570">
        <v>407</v>
      </c>
      <c r="F570" t="s">
        <v>1814</v>
      </c>
      <c r="G570" t="s">
        <v>1815</v>
      </c>
      <c r="H570" s="119">
        <f t="shared" si="44"/>
        <v>165.36827195467421</v>
      </c>
      <c r="I570" s="117">
        <v>43966</v>
      </c>
      <c r="J570">
        <v>14120</v>
      </c>
      <c r="L570">
        <v>14120</v>
      </c>
      <c r="M570">
        <v>2005</v>
      </c>
      <c r="P570" t="s">
        <v>1932</v>
      </c>
      <c r="R570" t="s">
        <v>44</v>
      </c>
      <c r="S570">
        <v>56361</v>
      </c>
      <c r="T570" s="118">
        <f t="shared" si="45"/>
        <v>3.99157223796034</v>
      </c>
      <c r="U570" t="s">
        <v>44</v>
      </c>
      <c r="Y570">
        <v>2335000</v>
      </c>
      <c r="AA570">
        <v>2335000</v>
      </c>
      <c r="AC570" t="s">
        <v>5028</v>
      </c>
      <c r="AD570" t="s">
        <v>5029</v>
      </c>
      <c r="AE570" t="s">
        <v>5030</v>
      </c>
      <c r="AF570" t="s">
        <v>5031</v>
      </c>
      <c r="AI570" s="59" t="e">
        <f t="shared" si="41"/>
        <v>#N/A</v>
      </c>
      <c r="AJ570" t="e">
        <f t="shared" si="42"/>
        <v>#N/A</v>
      </c>
      <c r="AK570" t="str">
        <f t="shared" si="43"/>
        <v/>
      </c>
    </row>
    <row r="571" spans="1:37" ht="15" customHeight="1">
      <c r="A571" s="122">
        <v>8</v>
      </c>
      <c r="B571" s="59">
        <v>566</v>
      </c>
      <c r="C571" t="s">
        <v>5032</v>
      </c>
      <c r="D571" t="s">
        <v>5033</v>
      </c>
      <c r="E571">
        <v>344</v>
      </c>
      <c r="F571" t="s">
        <v>1984</v>
      </c>
      <c r="G571" t="s">
        <v>89</v>
      </c>
      <c r="H571" s="119">
        <f t="shared" si="44"/>
        <v>100</v>
      </c>
      <c r="I571" s="117">
        <v>43213</v>
      </c>
      <c r="J571">
        <v>7500</v>
      </c>
      <c r="L571">
        <v>7500</v>
      </c>
      <c r="M571">
        <v>2005</v>
      </c>
      <c r="R571" t="s">
        <v>44</v>
      </c>
      <c r="S571">
        <v>50033</v>
      </c>
      <c r="T571" s="118">
        <f t="shared" si="45"/>
        <v>6.6710666666666665</v>
      </c>
      <c r="U571" t="s">
        <v>44</v>
      </c>
      <c r="Y571">
        <v>750000</v>
      </c>
      <c r="AA571">
        <v>750000</v>
      </c>
      <c r="AC571" t="s">
        <v>5034</v>
      </c>
      <c r="AD571" t="s">
        <v>5035</v>
      </c>
      <c r="AE571" t="s">
        <v>5036</v>
      </c>
      <c r="AF571" t="s">
        <v>5037</v>
      </c>
      <c r="AI571" s="59" t="e">
        <f t="shared" si="41"/>
        <v>#N/A</v>
      </c>
      <c r="AJ571" t="e">
        <f t="shared" si="42"/>
        <v>#N/A</v>
      </c>
      <c r="AK571" t="str">
        <f t="shared" si="43"/>
        <v/>
      </c>
    </row>
    <row r="572" spans="1:37" ht="15" customHeight="1">
      <c r="A572" s="122">
        <v>8</v>
      </c>
      <c r="B572" s="59">
        <v>567</v>
      </c>
      <c r="C572" t="s">
        <v>5038</v>
      </c>
      <c r="D572" t="s">
        <v>5039</v>
      </c>
      <c r="E572">
        <v>3441</v>
      </c>
      <c r="F572" t="s">
        <v>2542</v>
      </c>
      <c r="G572" t="s">
        <v>88</v>
      </c>
      <c r="H572" s="119">
        <f t="shared" si="44"/>
        <v>100.33444816053512</v>
      </c>
      <c r="I572" s="117">
        <v>43329</v>
      </c>
      <c r="J572">
        <v>2990</v>
      </c>
      <c r="L572">
        <v>2990</v>
      </c>
      <c r="M572">
        <v>1901</v>
      </c>
      <c r="P572" t="s">
        <v>3739</v>
      </c>
      <c r="R572" t="s">
        <v>44</v>
      </c>
      <c r="S572">
        <v>17750</v>
      </c>
      <c r="T572" s="118">
        <f t="shared" si="45"/>
        <v>5.936454849498328</v>
      </c>
      <c r="U572" t="s">
        <v>229</v>
      </c>
      <c r="Y572">
        <v>300000</v>
      </c>
      <c r="AA572">
        <v>300000</v>
      </c>
      <c r="AC572" t="s">
        <v>5040</v>
      </c>
      <c r="AD572" t="s">
        <v>5041</v>
      </c>
      <c r="AE572" t="s">
        <v>5042</v>
      </c>
      <c r="AF572" t="s">
        <v>5043</v>
      </c>
      <c r="AI572" s="59" t="e">
        <f t="shared" si="41"/>
        <v>#N/A</v>
      </c>
      <c r="AJ572" t="e">
        <f t="shared" si="42"/>
        <v>#N/A</v>
      </c>
      <c r="AK572" t="str">
        <f t="shared" si="43"/>
        <v/>
      </c>
    </row>
    <row r="573" spans="1:37" ht="15" customHeight="1">
      <c r="A573" s="122">
        <v>8</v>
      </c>
      <c r="B573" s="59">
        <v>568</v>
      </c>
      <c r="C573" t="s">
        <v>5044</v>
      </c>
      <c r="D573" t="s">
        <v>5045</v>
      </c>
      <c r="E573">
        <v>353</v>
      </c>
      <c r="F573" t="s">
        <v>1984</v>
      </c>
      <c r="G573" t="s">
        <v>89</v>
      </c>
      <c r="H573" s="119">
        <f t="shared" si="44"/>
        <v>207.18232044198896</v>
      </c>
      <c r="I573" s="117">
        <v>43616</v>
      </c>
      <c r="J573">
        <v>1810</v>
      </c>
      <c r="L573">
        <v>1810</v>
      </c>
      <c r="M573">
        <v>1910</v>
      </c>
      <c r="P573" t="s">
        <v>3682</v>
      </c>
      <c r="R573" t="s">
        <v>44</v>
      </c>
      <c r="S573">
        <v>9000</v>
      </c>
      <c r="T573" s="118">
        <f t="shared" si="45"/>
        <v>4.972375690607735</v>
      </c>
      <c r="U573" t="s">
        <v>44</v>
      </c>
      <c r="Y573">
        <v>375000</v>
      </c>
      <c r="AA573">
        <v>375000</v>
      </c>
      <c r="AC573" t="s">
        <v>5046</v>
      </c>
      <c r="AD573" t="s">
        <v>5047</v>
      </c>
      <c r="AE573" t="s">
        <v>5048</v>
      </c>
      <c r="AF573" t="s">
        <v>5049</v>
      </c>
      <c r="AI573" s="59" t="e">
        <f t="shared" si="41"/>
        <v>#N/A</v>
      </c>
      <c r="AJ573" t="e">
        <f t="shared" si="42"/>
        <v>#N/A</v>
      </c>
      <c r="AK573" t="str">
        <f t="shared" si="43"/>
        <v/>
      </c>
    </row>
    <row r="574" spans="1:37" ht="15" customHeight="1">
      <c r="A574" s="122">
        <v>8</v>
      </c>
      <c r="B574" s="59">
        <v>569</v>
      </c>
      <c r="C574" t="s">
        <v>5050</v>
      </c>
      <c r="D574" t="s">
        <v>5051</v>
      </c>
      <c r="E574">
        <v>1332</v>
      </c>
      <c r="F574" t="s">
        <v>1800</v>
      </c>
      <c r="G574" t="s">
        <v>90</v>
      </c>
      <c r="H574" s="119">
        <f t="shared" si="44"/>
        <v>124.85392720306514</v>
      </c>
      <c r="I574" s="117">
        <v>44691</v>
      </c>
      <c r="J574">
        <v>56376</v>
      </c>
      <c r="L574">
        <v>56376</v>
      </c>
      <c r="M574">
        <v>2008</v>
      </c>
      <c r="P574" t="s">
        <v>1807</v>
      </c>
      <c r="R574" t="s">
        <v>44</v>
      </c>
      <c r="S574">
        <v>128502</v>
      </c>
      <c r="T574" s="118">
        <f t="shared" si="45"/>
        <v>2.279374201787995</v>
      </c>
      <c r="U574" t="s">
        <v>44</v>
      </c>
      <c r="Y574">
        <v>7038765</v>
      </c>
      <c r="AA574">
        <v>7038765</v>
      </c>
      <c r="AC574" t="s">
        <v>5052</v>
      </c>
      <c r="AD574" t="s">
        <v>5053</v>
      </c>
      <c r="AE574" t="s">
        <v>5054</v>
      </c>
      <c r="AF574" t="s">
        <v>5055</v>
      </c>
      <c r="AI574" s="59" t="e">
        <f t="shared" si="41"/>
        <v>#N/A</v>
      </c>
      <c r="AJ574" t="e">
        <f t="shared" si="42"/>
        <v>#N/A</v>
      </c>
      <c r="AK574" t="str">
        <f t="shared" si="43"/>
        <v/>
      </c>
    </row>
    <row r="575" spans="1:37" ht="15" customHeight="1">
      <c r="A575" s="122">
        <v>8</v>
      </c>
      <c r="B575" s="59">
        <v>570</v>
      </c>
      <c r="C575" t="s">
        <v>5056</v>
      </c>
      <c r="D575" t="s">
        <v>5057</v>
      </c>
      <c r="E575">
        <v>425</v>
      </c>
      <c r="G575" t="s">
        <v>1910</v>
      </c>
      <c r="H575" s="119">
        <f t="shared" si="44"/>
        <v>170</v>
      </c>
      <c r="I575" s="117">
        <v>44336</v>
      </c>
      <c r="J575">
        <v>2500</v>
      </c>
      <c r="L575">
        <v>2500</v>
      </c>
      <c r="M575">
        <v>2000</v>
      </c>
      <c r="P575" t="s">
        <v>2402</v>
      </c>
      <c r="R575" t="s">
        <v>44</v>
      </c>
      <c r="S575">
        <v>7949</v>
      </c>
      <c r="T575" s="118">
        <f t="shared" si="45"/>
        <v>3.1796000000000002</v>
      </c>
      <c r="U575" t="s">
        <v>44</v>
      </c>
      <c r="Y575">
        <v>425000</v>
      </c>
      <c r="AA575">
        <v>425000</v>
      </c>
      <c r="AC575" t="s">
        <v>5058</v>
      </c>
      <c r="AD575" t="s">
        <v>5059</v>
      </c>
      <c r="AE575" t="s">
        <v>5060</v>
      </c>
      <c r="AF575" t="s">
        <v>5061</v>
      </c>
      <c r="AI575" s="59" t="e">
        <f t="shared" si="41"/>
        <v>#N/A</v>
      </c>
      <c r="AJ575" t="e">
        <f t="shared" si="42"/>
        <v>#N/A</v>
      </c>
      <c r="AK575" t="str">
        <f t="shared" si="43"/>
        <v/>
      </c>
    </row>
    <row r="576" spans="1:37" ht="15" customHeight="1">
      <c r="A576" s="122">
        <v>8</v>
      </c>
      <c r="B576" s="59">
        <v>571</v>
      </c>
      <c r="C576" t="s">
        <v>5062</v>
      </c>
      <c r="D576" t="s">
        <v>5063</v>
      </c>
      <c r="E576">
        <v>425</v>
      </c>
      <c r="G576" t="s">
        <v>1910</v>
      </c>
      <c r="H576" s="119">
        <f t="shared" si="44"/>
        <v>252</v>
      </c>
      <c r="I576" s="117">
        <v>44742</v>
      </c>
      <c r="J576">
        <v>2500</v>
      </c>
      <c r="L576">
        <v>2500</v>
      </c>
      <c r="M576">
        <v>2000</v>
      </c>
      <c r="P576" t="s">
        <v>2402</v>
      </c>
      <c r="R576" t="s">
        <v>44</v>
      </c>
      <c r="S576">
        <v>7949</v>
      </c>
      <c r="T576" s="118">
        <f t="shared" si="45"/>
        <v>3.1796000000000002</v>
      </c>
      <c r="U576" t="s">
        <v>44</v>
      </c>
      <c r="Y576">
        <v>630000</v>
      </c>
      <c r="AA576">
        <v>630000</v>
      </c>
      <c r="AC576" t="s">
        <v>5064</v>
      </c>
      <c r="AD576" t="s">
        <v>5065</v>
      </c>
      <c r="AE576" t="s">
        <v>5066</v>
      </c>
      <c r="AF576" t="s">
        <v>5067</v>
      </c>
      <c r="AI576" s="59" t="e">
        <f t="shared" si="41"/>
        <v>#N/A</v>
      </c>
      <c r="AJ576" t="e">
        <f t="shared" si="42"/>
        <v>#N/A</v>
      </c>
      <c r="AK576" t="str">
        <f t="shared" si="43"/>
        <v/>
      </c>
    </row>
    <row r="577" spans="1:37" ht="15" customHeight="1">
      <c r="A577" s="122">
        <v>8</v>
      </c>
      <c r="B577" s="59">
        <v>572</v>
      </c>
      <c r="C577" t="s">
        <v>5068</v>
      </c>
      <c r="D577" t="s">
        <v>5069</v>
      </c>
      <c r="E577">
        <v>406</v>
      </c>
      <c r="G577" t="s">
        <v>89</v>
      </c>
      <c r="H577" s="119">
        <f t="shared" si="44"/>
        <v>220</v>
      </c>
      <c r="I577" s="117">
        <v>43727</v>
      </c>
      <c r="J577">
        <v>10000</v>
      </c>
      <c r="L577">
        <v>10000</v>
      </c>
      <c r="M577">
        <v>1983</v>
      </c>
      <c r="P577" t="s">
        <v>2402</v>
      </c>
      <c r="R577" t="s">
        <v>44</v>
      </c>
      <c r="S577">
        <v>87120</v>
      </c>
      <c r="T577" s="118">
        <f t="shared" si="45"/>
        <v>8.7119999999999997</v>
      </c>
      <c r="U577" t="s">
        <v>44</v>
      </c>
      <c r="Y577">
        <v>2200000</v>
      </c>
      <c r="AA577">
        <v>2200000</v>
      </c>
      <c r="AC577" t="s">
        <v>5070</v>
      </c>
      <c r="AD577" t="s">
        <v>5071</v>
      </c>
      <c r="AE577" t="s">
        <v>5072</v>
      </c>
      <c r="AF577" t="s">
        <v>5073</v>
      </c>
      <c r="AI577" s="59" t="e">
        <f t="shared" si="41"/>
        <v>#N/A</v>
      </c>
      <c r="AJ577" t="e">
        <f t="shared" si="42"/>
        <v>#N/A</v>
      </c>
      <c r="AK577" t="str">
        <f t="shared" si="43"/>
        <v/>
      </c>
    </row>
    <row r="578" spans="1:37" ht="15" customHeight="1">
      <c r="A578" s="122">
        <v>8</v>
      </c>
      <c r="B578" s="59">
        <v>573</v>
      </c>
      <c r="C578" t="s">
        <v>5074</v>
      </c>
      <c r="D578" t="s">
        <v>5075</v>
      </c>
      <c r="E578">
        <v>3441</v>
      </c>
      <c r="F578" t="s">
        <v>1984</v>
      </c>
      <c r="G578" t="s">
        <v>89</v>
      </c>
      <c r="H578" s="119">
        <f t="shared" si="44"/>
        <v>376.56903765690379</v>
      </c>
      <c r="I578" s="117">
        <v>44063</v>
      </c>
      <c r="J578">
        <v>1195</v>
      </c>
      <c r="L578">
        <v>1195</v>
      </c>
      <c r="M578">
        <v>1919</v>
      </c>
      <c r="P578" t="s">
        <v>3669</v>
      </c>
      <c r="R578" t="s">
        <v>44</v>
      </c>
      <c r="S578">
        <v>7500</v>
      </c>
      <c r="T578" s="118">
        <f t="shared" si="45"/>
        <v>6.2761506276150625</v>
      </c>
      <c r="U578" t="s">
        <v>44</v>
      </c>
      <c r="Y578">
        <v>450000</v>
      </c>
      <c r="AA578">
        <v>450000</v>
      </c>
      <c r="AC578" t="s">
        <v>5076</v>
      </c>
      <c r="AD578" t="s">
        <v>5077</v>
      </c>
      <c r="AE578" t="s">
        <v>5078</v>
      </c>
      <c r="AF578" t="s">
        <v>5079</v>
      </c>
      <c r="AI578" s="59" t="e">
        <f t="shared" ref="AI578:AI641" si="46">IF(AND($E578=Subj_OccCode,Subj_BldgSF&gt;0,ABS($L578-Subj_BldgSF)&lt;=Subj_BldgSF*Subj_SizeTol),ABS($L578-Subj_BldgSF),NA())</f>
        <v>#N/A</v>
      </c>
      <c r="AJ578" t="e">
        <f t="shared" ref="AJ578:AJ641" si="47">IF(ISNA(AI578),NA(),AI578+ROW()/10000000)</f>
        <v>#N/A</v>
      </c>
      <c r="AK578" t="str">
        <f t="shared" si="43"/>
        <v/>
      </c>
    </row>
    <row r="579" spans="1:37" ht="15" customHeight="1">
      <c r="A579" s="122">
        <v>8</v>
      </c>
      <c r="B579" s="59">
        <v>574</v>
      </c>
      <c r="C579" t="s">
        <v>5080</v>
      </c>
      <c r="D579" t="s">
        <v>5081</v>
      </c>
      <c r="E579">
        <v>341</v>
      </c>
      <c r="F579" t="s">
        <v>1785</v>
      </c>
      <c r="G579" t="s">
        <v>1786</v>
      </c>
      <c r="H579" s="119">
        <f t="shared" si="44"/>
        <v>243.47826086956522</v>
      </c>
      <c r="I579" s="117">
        <v>44739</v>
      </c>
      <c r="J579">
        <v>5750</v>
      </c>
      <c r="L579">
        <v>5750</v>
      </c>
      <c r="M579">
        <v>1972</v>
      </c>
      <c r="P579" t="s">
        <v>1877</v>
      </c>
      <c r="R579" t="s">
        <v>44</v>
      </c>
      <c r="S579">
        <v>38180</v>
      </c>
      <c r="T579" s="118">
        <f t="shared" si="45"/>
        <v>6.64</v>
      </c>
      <c r="U579" t="s">
        <v>44</v>
      </c>
      <c r="Y579">
        <v>1400000</v>
      </c>
      <c r="AA579">
        <v>1400000</v>
      </c>
      <c r="AC579" t="s">
        <v>5082</v>
      </c>
      <c r="AD579" t="s">
        <v>5083</v>
      </c>
      <c r="AE579" t="s">
        <v>5084</v>
      </c>
      <c r="AF579" t="s">
        <v>3609</v>
      </c>
      <c r="AI579" s="59" t="e">
        <f t="shared" si="46"/>
        <v>#N/A</v>
      </c>
      <c r="AJ579" t="e">
        <f t="shared" si="47"/>
        <v>#N/A</v>
      </c>
      <c r="AK579" t="str">
        <f t="shared" si="43"/>
        <v/>
      </c>
    </row>
    <row r="580" spans="1:37" ht="15" customHeight="1">
      <c r="A580" s="122">
        <v>8</v>
      </c>
      <c r="B580" s="59">
        <v>575</v>
      </c>
      <c r="C580" t="s">
        <v>5085</v>
      </c>
      <c r="D580" t="s">
        <v>5086</v>
      </c>
      <c r="E580">
        <v>406</v>
      </c>
      <c r="G580" t="s">
        <v>1910</v>
      </c>
      <c r="H580" s="119">
        <f t="shared" si="44"/>
        <v>217.77777777777777</v>
      </c>
      <c r="I580" s="117">
        <v>43791</v>
      </c>
      <c r="J580">
        <v>11250</v>
      </c>
      <c r="L580">
        <v>11250</v>
      </c>
      <c r="M580">
        <v>2003</v>
      </c>
      <c r="P580" t="s">
        <v>1969</v>
      </c>
      <c r="R580" t="s">
        <v>44</v>
      </c>
      <c r="S580">
        <v>80716.679999999993</v>
      </c>
      <c r="T580" s="118">
        <f t="shared" si="45"/>
        <v>7.174815999999999</v>
      </c>
      <c r="U580" t="s">
        <v>44</v>
      </c>
      <c r="Y580">
        <v>2450000</v>
      </c>
      <c r="AA580">
        <v>2450000</v>
      </c>
      <c r="AC580" t="s">
        <v>5087</v>
      </c>
      <c r="AD580" t="s">
        <v>5088</v>
      </c>
      <c r="AE580" t="s">
        <v>5089</v>
      </c>
      <c r="AF580" t="s">
        <v>5090</v>
      </c>
      <c r="AI580" s="59">
        <f t="shared" si="46"/>
        <v>3150</v>
      </c>
      <c r="AJ580">
        <f t="shared" si="47"/>
        <v>3150.0000580000001</v>
      </c>
      <c r="AK580" t="str">
        <f t="shared" si="43"/>
        <v/>
      </c>
    </row>
    <row r="581" spans="1:37" ht="15" customHeight="1">
      <c r="A581" s="122">
        <v>8</v>
      </c>
      <c r="B581" s="59">
        <v>576</v>
      </c>
      <c r="C581" t="s">
        <v>5091</v>
      </c>
      <c r="D581" t="s">
        <v>5092</v>
      </c>
      <c r="E581">
        <v>425</v>
      </c>
      <c r="F581" t="s">
        <v>1814</v>
      </c>
      <c r="G581" t="s">
        <v>1815</v>
      </c>
      <c r="H581" s="119">
        <f t="shared" si="44"/>
        <v>144</v>
      </c>
      <c r="I581" s="117">
        <v>44134</v>
      </c>
      <c r="J581">
        <v>1500</v>
      </c>
      <c r="L581">
        <v>1500</v>
      </c>
      <c r="M581">
        <v>1984</v>
      </c>
      <c r="P581" t="s">
        <v>1932</v>
      </c>
      <c r="R581" t="s">
        <v>229</v>
      </c>
      <c r="S581">
        <v>5227</v>
      </c>
      <c r="T581" s="118">
        <f t="shared" si="45"/>
        <v>3.4846666666666666</v>
      </c>
      <c r="U581" t="s">
        <v>44</v>
      </c>
      <c r="Y581">
        <v>216000</v>
      </c>
      <c r="AA581">
        <v>216000</v>
      </c>
      <c r="AC581" t="s">
        <v>5093</v>
      </c>
      <c r="AD581" t="s">
        <v>5094</v>
      </c>
      <c r="AE581" t="s">
        <v>5095</v>
      </c>
      <c r="AF581" t="s">
        <v>5096</v>
      </c>
      <c r="AI581" s="59" t="e">
        <f t="shared" si="46"/>
        <v>#N/A</v>
      </c>
      <c r="AJ581" t="e">
        <f t="shared" si="47"/>
        <v>#N/A</v>
      </c>
      <c r="AK581" t="str">
        <f t="shared" si="43"/>
        <v/>
      </c>
    </row>
    <row r="582" spans="1:37" ht="15" customHeight="1">
      <c r="A582" s="122">
        <v>8</v>
      </c>
      <c r="B582" s="59">
        <v>577</v>
      </c>
      <c r="C582" t="s">
        <v>5097</v>
      </c>
      <c r="D582" t="s">
        <v>5098</v>
      </c>
      <c r="E582">
        <v>407</v>
      </c>
      <c r="G582" t="s">
        <v>1910</v>
      </c>
      <c r="H582" s="119">
        <f t="shared" si="44"/>
        <v>197.66777023671577</v>
      </c>
      <c r="I582" s="117">
        <v>44498</v>
      </c>
      <c r="J582">
        <v>6041</v>
      </c>
      <c r="L582">
        <v>6041</v>
      </c>
      <c r="M582">
        <v>2001</v>
      </c>
      <c r="P582" t="s">
        <v>1969</v>
      </c>
      <c r="R582" t="s">
        <v>44</v>
      </c>
      <c r="S582">
        <v>43560</v>
      </c>
      <c r="T582" s="118">
        <f t="shared" si="45"/>
        <v>7.2107267008773386</v>
      </c>
      <c r="U582" t="s">
        <v>229</v>
      </c>
      <c r="Y582">
        <v>1194111</v>
      </c>
      <c r="AA582">
        <v>1194111</v>
      </c>
      <c r="AC582" t="s">
        <v>5099</v>
      </c>
      <c r="AD582" t="s">
        <v>5100</v>
      </c>
      <c r="AE582" t="s">
        <v>5101</v>
      </c>
      <c r="AF582" t="s">
        <v>5102</v>
      </c>
      <c r="AI582" s="59" t="e">
        <f t="shared" si="46"/>
        <v>#N/A</v>
      </c>
      <c r="AJ582" t="e">
        <f t="shared" si="47"/>
        <v>#N/A</v>
      </c>
      <c r="AK582" t="str">
        <f t="shared" si="43"/>
        <v/>
      </c>
    </row>
    <row r="583" spans="1:37" ht="15" customHeight="1">
      <c r="A583" s="122">
        <v>8</v>
      </c>
      <c r="B583" s="59">
        <v>578</v>
      </c>
      <c r="C583" t="s">
        <v>5103</v>
      </c>
      <c r="D583" t="s">
        <v>5104</v>
      </c>
      <c r="E583">
        <v>407</v>
      </c>
      <c r="F583" t="s">
        <v>1814</v>
      </c>
      <c r="G583" t="s">
        <v>1815</v>
      </c>
      <c r="H583" s="119">
        <f t="shared" si="44"/>
        <v>92.592592592592595</v>
      </c>
      <c r="I583" s="117">
        <v>44650</v>
      </c>
      <c r="J583">
        <v>16200</v>
      </c>
      <c r="L583">
        <v>16200</v>
      </c>
      <c r="M583">
        <v>1975</v>
      </c>
      <c r="P583" t="s">
        <v>1932</v>
      </c>
      <c r="R583" t="s">
        <v>44</v>
      </c>
      <c r="S583">
        <v>57847.68</v>
      </c>
      <c r="T583" s="118">
        <f t="shared" si="45"/>
        <v>3.5708444444444445</v>
      </c>
      <c r="U583" t="s">
        <v>44</v>
      </c>
      <c r="Y583">
        <v>1500000</v>
      </c>
      <c r="AA583">
        <v>1500000</v>
      </c>
      <c r="AC583" t="s">
        <v>5105</v>
      </c>
      <c r="AD583" t="s">
        <v>5106</v>
      </c>
      <c r="AE583" t="s">
        <v>5107</v>
      </c>
      <c r="AF583" t="s">
        <v>5108</v>
      </c>
      <c r="AI583" s="59" t="e">
        <f t="shared" si="46"/>
        <v>#N/A</v>
      </c>
      <c r="AJ583" t="e">
        <f t="shared" si="47"/>
        <v>#N/A</v>
      </c>
      <c r="AK583" t="str">
        <f t="shared" si="43"/>
        <v/>
      </c>
    </row>
    <row r="584" spans="1:37" ht="15" customHeight="1">
      <c r="A584" s="122">
        <v>8</v>
      </c>
      <c r="B584" s="59">
        <v>579</v>
      </c>
      <c r="C584" t="s">
        <v>5109</v>
      </c>
      <c r="D584" t="s">
        <v>5110</v>
      </c>
      <c r="E584">
        <v>334</v>
      </c>
      <c r="G584" t="s">
        <v>1910</v>
      </c>
      <c r="H584" s="119">
        <f t="shared" si="44"/>
        <v>206.5934065934066</v>
      </c>
      <c r="I584" s="117">
        <v>44538</v>
      </c>
      <c r="J584">
        <v>11375</v>
      </c>
      <c r="L584">
        <v>11375</v>
      </c>
      <c r="M584">
        <v>2000</v>
      </c>
      <c r="P584" t="s">
        <v>1969</v>
      </c>
      <c r="R584" t="s">
        <v>44</v>
      </c>
      <c r="S584">
        <v>43995.6</v>
      </c>
      <c r="T584" s="118">
        <f t="shared" si="45"/>
        <v>3.8677450549450549</v>
      </c>
      <c r="U584" t="s">
        <v>44</v>
      </c>
      <c r="Y584">
        <v>2350000</v>
      </c>
      <c r="AA584">
        <v>2350000</v>
      </c>
      <c r="AC584" t="s">
        <v>5111</v>
      </c>
      <c r="AD584" t="s">
        <v>5112</v>
      </c>
      <c r="AE584" t="s">
        <v>5113</v>
      </c>
      <c r="AF584" t="s">
        <v>5114</v>
      </c>
      <c r="AI584" s="59" t="e">
        <f t="shared" si="46"/>
        <v>#N/A</v>
      </c>
      <c r="AJ584" t="e">
        <f t="shared" si="47"/>
        <v>#N/A</v>
      </c>
      <c r="AK584" t="str">
        <f t="shared" si="43"/>
        <v/>
      </c>
    </row>
    <row r="585" spans="1:37" ht="15" customHeight="1">
      <c r="A585" s="122">
        <v>8</v>
      </c>
      <c r="B585" s="59">
        <v>580</v>
      </c>
      <c r="C585" t="s">
        <v>5115</v>
      </c>
      <c r="D585" t="s">
        <v>5116</v>
      </c>
      <c r="E585">
        <v>336</v>
      </c>
      <c r="G585" t="s">
        <v>1910</v>
      </c>
      <c r="H585" s="119">
        <f t="shared" si="44"/>
        <v>106.66666666666667</v>
      </c>
      <c r="I585" s="117">
        <v>43495</v>
      </c>
      <c r="J585">
        <v>1500</v>
      </c>
      <c r="L585">
        <v>1500</v>
      </c>
      <c r="M585">
        <v>1960</v>
      </c>
      <c r="P585" t="s">
        <v>1925</v>
      </c>
      <c r="R585" t="s">
        <v>44</v>
      </c>
      <c r="S585">
        <v>6250</v>
      </c>
      <c r="T585" s="118">
        <f t="shared" si="45"/>
        <v>4.166666666666667</v>
      </c>
      <c r="U585" t="s">
        <v>44</v>
      </c>
      <c r="Y585">
        <v>160000</v>
      </c>
      <c r="AA585">
        <v>160000</v>
      </c>
      <c r="AC585" t="s">
        <v>5117</v>
      </c>
      <c r="AD585" t="s">
        <v>5118</v>
      </c>
      <c r="AE585" t="s">
        <v>5119</v>
      </c>
      <c r="AF585" t="s">
        <v>5120</v>
      </c>
      <c r="AI585" s="59" t="e">
        <f t="shared" si="46"/>
        <v>#N/A</v>
      </c>
      <c r="AJ585" t="e">
        <f t="shared" si="47"/>
        <v>#N/A</v>
      </c>
      <c r="AK585" t="str">
        <f t="shared" ref="AK585:AK648" si="48">IF(AND(ISNUMBER($N585),$N585&gt;0,ISNUMBER($Y585)),$Y585/$N585,"")</f>
        <v/>
      </c>
    </row>
    <row r="586" spans="1:37" ht="15" customHeight="1">
      <c r="A586" s="122">
        <v>8</v>
      </c>
      <c r="B586" s="59">
        <v>581</v>
      </c>
      <c r="C586" t="s">
        <v>5121</v>
      </c>
      <c r="D586" t="s">
        <v>5122</v>
      </c>
      <c r="E586">
        <v>353</v>
      </c>
      <c r="G586" t="s">
        <v>1786</v>
      </c>
      <c r="H586" s="119">
        <f t="shared" si="44"/>
        <v>112.25444340505145</v>
      </c>
      <c r="I586" s="117">
        <v>43759</v>
      </c>
      <c r="J586">
        <v>5345</v>
      </c>
      <c r="L586">
        <v>5345</v>
      </c>
      <c r="M586">
        <v>1971</v>
      </c>
      <c r="P586" t="s">
        <v>1969</v>
      </c>
      <c r="R586" t="s">
        <v>44</v>
      </c>
      <c r="S586">
        <v>5192</v>
      </c>
      <c r="T586" s="118">
        <f t="shared" si="45"/>
        <v>0.97137511693171186</v>
      </c>
      <c r="U586" t="s">
        <v>44</v>
      </c>
      <c r="Y586">
        <v>600000</v>
      </c>
      <c r="AA586">
        <v>600000</v>
      </c>
      <c r="AC586" t="s">
        <v>5123</v>
      </c>
      <c r="AD586" t="s">
        <v>5124</v>
      </c>
      <c r="AE586" t="s">
        <v>5125</v>
      </c>
      <c r="AF586" t="s">
        <v>5126</v>
      </c>
      <c r="AI586" s="59" t="e">
        <f t="shared" si="46"/>
        <v>#N/A</v>
      </c>
      <c r="AJ586" t="e">
        <f t="shared" si="47"/>
        <v>#N/A</v>
      </c>
      <c r="AK586" t="str">
        <f t="shared" si="48"/>
        <v/>
      </c>
    </row>
    <row r="587" spans="1:37" ht="15" customHeight="1">
      <c r="A587" s="122">
        <v>8</v>
      </c>
      <c r="B587" s="59">
        <v>582</v>
      </c>
      <c r="C587" t="s">
        <v>5127</v>
      </c>
      <c r="D587" t="s">
        <v>5128</v>
      </c>
      <c r="E587">
        <v>325</v>
      </c>
      <c r="G587" t="s">
        <v>1910</v>
      </c>
      <c r="H587" s="119">
        <f t="shared" si="44"/>
        <v>124.22907488986785</v>
      </c>
      <c r="I587" s="117">
        <v>43133</v>
      </c>
      <c r="J587">
        <v>11350</v>
      </c>
      <c r="L587">
        <v>11350</v>
      </c>
      <c r="M587">
        <v>1978</v>
      </c>
      <c r="R587" t="s">
        <v>44</v>
      </c>
      <c r="S587">
        <v>47916</v>
      </c>
      <c r="T587" s="118">
        <f t="shared" si="45"/>
        <v>4.2216740088105729</v>
      </c>
      <c r="U587" t="s">
        <v>44</v>
      </c>
      <c r="Y587">
        <v>1410000</v>
      </c>
      <c r="AA587">
        <v>1410000</v>
      </c>
      <c r="AC587" t="s">
        <v>5129</v>
      </c>
      <c r="AD587" t="s">
        <v>5130</v>
      </c>
      <c r="AE587" t="s">
        <v>5131</v>
      </c>
      <c r="AF587" t="s">
        <v>5132</v>
      </c>
      <c r="AI587" s="59" t="e">
        <f t="shared" si="46"/>
        <v>#N/A</v>
      </c>
      <c r="AJ587" t="e">
        <f t="shared" si="47"/>
        <v>#N/A</v>
      </c>
      <c r="AK587" t="str">
        <f t="shared" si="48"/>
        <v/>
      </c>
    </row>
    <row r="588" spans="1:37" ht="15" customHeight="1">
      <c r="A588" s="122">
        <v>8</v>
      </c>
      <c r="B588" s="59">
        <v>583</v>
      </c>
      <c r="C588" t="s">
        <v>5133</v>
      </c>
      <c r="D588" t="s">
        <v>5134</v>
      </c>
      <c r="E588">
        <v>325</v>
      </c>
      <c r="F588" t="s">
        <v>1800</v>
      </c>
      <c r="G588" t="s">
        <v>1786</v>
      </c>
      <c r="H588" s="119">
        <f t="shared" si="44"/>
        <v>187.5</v>
      </c>
      <c r="I588" s="117">
        <v>43922</v>
      </c>
      <c r="J588">
        <v>6000</v>
      </c>
      <c r="L588">
        <v>6000</v>
      </c>
      <c r="M588">
        <v>1990</v>
      </c>
      <c r="P588" t="s">
        <v>2708</v>
      </c>
      <c r="R588" t="s">
        <v>44</v>
      </c>
      <c r="S588">
        <v>17564</v>
      </c>
      <c r="T588" s="118">
        <f t="shared" si="45"/>
        <v>2.9273333333333333</v>
      </c>
      <c r="U588" t="s">
        <v>44</v>
      </c>
      <c r="Y588">
        <v>1125000</v>
      </c>
      <c r="AA588">
        <v>1125000</v>
      </c>
      <c r="AC588" t="s">
        <v>5135</v>
      </c>
      <c r="AD588" t="s">
        <v>5136</v>
      </c>
      <c r="AE588" t="s">
        <v>5137</v>
      </c>
      <c r="AF588" t="s">
        <v>5138</v>
      </c>
      <c r="AI588" s="59" t="e">
        <f t="shared" si="46"/>
        <v>#N/A</v>
      </c>
      <c r="AJ588" t="e">
        <f t="shared" si="47"/>
        <v>#N/A</v>
      </c>
      <c r="AK588" t="str">
        <f t="shared" si="48"/>
        <v/>
      </c>
    </row>
    <row r="589" spans="1:37" ht="15" customHeight="1">
      <c r="A589" s="122">
        <v>8</v>
      </c>
      <c r="B589" s="59">
        <v>584</v>
      </c>
      <c r="C589" t="s">
        <v>5139</v>
      </c>
      <c r="D589" t="s">
        <v>5140</v>
      </c>
      <c r="E589">
        <v>341</v>
      </c>
      <c r="F589" t="s">
        <v>1896</v>
      </c>
      <c r="G589" t="s">
        <v>90</v>
      </c>
      <c r="H589" s="119">
        <f t="shared" si="44"/>
        <v>142.04338130954795</v>
      </c>
      <c r="I589" s="117">
        <v>43455</v>
      </c>
      <c r="J589">
        <v>4933</v>
      </c>
      <c r="L589">
        <v>4933</v>
      </c>
      <c r="M589">
        <v>2004</v>
      </c>
      <c r="R589" t="s">
        <v>44</v>
      </c>
      <c r="S589">
        <v>22563</v>
      </c>
      <c r="T589" s="118">
        <f t="shared" si="45"/>
        <v>4.5738901277113317</v>
      </c>
      <c r="U589" t="s">
        <v>44</v>
      </c>
      <c r="Y589">
        <v>700700</v>
      </c>
      <c r="AA589">
        <v>700700</v>
      </c>
      <c r="AC589" t="s">
        <v>5141</v>
      </c>
      <c r="AD589" t="s">
        <v>5142</v>
      </c>
      <c r="AE589" t="s">
        <v>5143</v>
      </c>
      <c r="AF589" t="s">
        <v>5144</v>
      </c>
      <c r="AI589" s="59" t="e">
        <f t="shared" si="46"/>
        <v>#N/A</v>
      </c>
      <c r="AJ589" t="e">
        <f t="shared" si="47"/>
        <v>#N/A</v>
      </c>
      <c r="AK589" t="str">
        <f t="shared" si="48"/>
        <v/>
      </c>
    </row>
    <row r="590" spans="1:37" ht="15" customHeight="1">
      <c r="A590" s="122">
        <v>8</v>
      </c>
      <c r="B590" s="59">
        <v>585</v>
      </c>
      <c r="C590" t="s">
        <v>5145</v>
      </c>
      <c r="D590" t="s">
        <v>5146</v>
      </c>
      <c r="E590">
        <v>425</v>
      </c>
      <c r="G590" t="s">
        <v>89</v>
      </c>
      <c r="H590" s="119">
        <f t="shared" si="44"/>
        <v>170</v>
      </c>
      <c r="I590" s="117">
        <v>43395</v>
      </c>
      <c r="J590">
        <v>2500</v>
      </c>
      <c r="L590">
        <v>2500</v>
      </c>
      <c r="M590">
        <v>2000</v>
      </c>
      <c r="R590" t="s">
        <v>44</v>
      </c>
      <c r="S590">
        <v>7949</v>
      </c>
      <c r="T590" s="118">
        <f t="shared" si="45"/>
        <v>3.1796000000000002</v>
      </c>
      <c r="U590" t="s">
        <v>44</v>
      </c>
      <c r="Y590">
        <v>425000</v>
      </c>
      <c r="AA590">
        <v>425000</v>
      </c>
      <c r="AC590" t="s">
        <v>5147</v>
      </c>
      <c r="AD590" t="s">
        <v>5148</v>
      </c>
      <c r="AE590" t="s">
        <v>5149</v>
      </c>
      <c r="AF590" t="s">
        <v>5150</v>
      </c>
      <c r="AI590" s="59" t="e">
        <f t="shared" si="46"/>
        <v>#N/A</v>
      </c>
      <c r="AJ590" t="e">
        <f t="shared" si="47"/>
        <v>#N/A</v>
      </c>
      <c r="AK590" t="str">
        <f t="shared" si="48"/>
        <v/>
      </c>
    </row>
    <row r="591" spans="1:37" ht="15" customHeight="1">
      <c r="A591" s="122">
        <v>8</v>
      </c>
      <c r="B591" s="59">
        <v>586</v>
      </c>
      <c r="C591" t="s">
        <v>5062</v>
      </c>
      <c r="D591" t="s">
        <v>5151</v>
      </c>
      <c r="E591">
        <v>425</v>
      </c>
      <c r="G591" t="s">
        <v>89</v>
      </c>
      <c r="H591" s="119">
        <f t="shared" si="44"/>
        <v>168</v>
      </c>
      <c r="I591" s="117">
        <v>43433</v>
      </c>
      <c r="J591">
        <v>2500</v>
      </c>
      <c r="L591">
        <v>2500</v>
      </c>
      <c r="M591">
        <v>2000</v>
      </c>
      <c r="R591" t="s">
        <v>44</v>
      </c>
      <c r="S591">
        <v>7949</v>
      </c>
      <c r="T591" s="118">
        <f t="shared" si="45"/>
        <v>3.1796000000000002</v>
      </c>
      <c r="U591" t="s">
        <v>44</v>
      </c>
      <c r="Y591">
        <v>420000</v>
      </c>
      <c r="AA591">
        <v>420000</v>
      </c>
      <c r="AC591" t="s">
        <v>5064</v>
      </c>
      <c r="AD591" t="s">
        <v>5152</v>
      </c>
      <c r="AE591" t="s">
        <v>5153</v>
      </c>
      <c r="AF591" t="s">
        <v>5154</v>
      </c>
      <c r="AI591" s="59" t="e">
        <f t="shared" si="46"/>
        <v>#N/A</v>
      </c>
      <c r="AJ591" t="e">
        <f t="shared" si="47"/>
        <v>#N/A</v>
      </c>
      <c r="AK591" t="str">
        <f t="shared" si="48"/>
        <v/>
      </c>
    </row>
    <row r="592" spans="1:37" ht="15" customHeight="1">
      <c r="A592" s="122">
        <v>8</v>
      </c>
      <c r="B592" s="59">
        <v>587</v>
      </c>
      <c r="C592" t="s">
        <v>5155</v>
      </c>
      <c r="D592" t="s">
        <v>5156</v>
      </c>
      <c r="E592">
        <v>419</v>
      </c>
      <c r="F592" t="s">
        <v>1984</v>
      </c>
      <c r="G592" t="s">
        <v>89</v>
      </c>
      <c r="H592" s="119">
        <f t="shared" si="44"/>
        <v>937.5</v>
      </c>
      <c r="I592" s="117">
        <v>44369</v>
      </c>
      <c r="J592">
        <v>3456</v>
      </c>
      <c r="L592">
        <v>3456</v>
      </c>
      <c r="M592">
        <v>2008</v>
      </c>
      <c r="P592" t="s">
        <v>2722</v>
      </c>
      <c r="R592" t="s">
        <v>44</v>
      </c>
      <c r="S592">
        <v>76534.92</v>
      </c>
      <c r="T592" s="118">
        <f t="shared" si="45"/>
        <v>22.145520833333332</v>
      </c>
      <c r="U592" t="s">
        <v>44</v>
      </c>
      <c r="Y592">
        <v>3240000</v>
      </c>
      <c r="AA592">
        <v>3240000</v>
      </c>
      <c r="AC592" t="s">
        <v>5157</v>
      </c>
      <c r="AD592" t="s">
        <v>5158</v>
      </c>
      <c r="AE592" t="s">
        <v>5159</v>
      </c>
      <c r="AF592" t="s">
        <v>5160</v>
      </c>
      <c r="AI592" s="59" t="e">
        <f t="shared" si="46"/>
        <v>#N/A</v>
      </c>
      <c r="AJ592" t="e">
        <f t="shared" si="47"/>
        <v>#N/A</v>
      </c>
      <c r="AK592" t="str">
        <f t="shared" si="48"/>
        <v/>
      </c>
    </row>
    <row r="593" spans="1:37" ht="15" customHeight="1">
      <c r="A593" s="122">
        <v>8</v>
      </c>
      <c r="B593" s="59">
        <v>588</v>
      </c>
      <c r="C593" t="s">
        <v>5161</v>
      </c>
      <c r="D593" t="s">
        <v>5162</v>
      </c>
      <c r="E593">
        <v>325</v>
      </c>
      <c r="F593" t="s">
        <v>1814</v>
      </c>
      <c r="G593" t="s">
        <v>1815</v>
      </c>
      <c r="H593" s="119">
        <f t="shared" si="44"/>
        <v>199.84508133230054</v>
      </c>
      <c r="I593" s="117">
        <v>43866</v>
      </c>
      <c r="J593">
        <v>6455</v>
      </c>
      <c r="L593">
        <v>6455</v>
      </c>
      <c r="M593">
        <v>1962</v>
      </c>
      <c r="P593" t="s">
        <v>2715</v>
      </c>
      <c r="R593" t="s">
        <v>44</v>
      </c>
      <c r="S593">
        <v>18335</v>
      </c>
      <c r="T593" s="118">
        <f t="shared" si="45"/>
        <v>2.8404337722695585</v>
      </c>
      <c r="U593" t="s">
        <v>44</v>
      </c>
      <c r="Y593">
        <v>1290000</v>
      </c>
      <c r="AA593">
        <v>1290000</v>
      </c>
      <c r="AC593" t="s">
        <v>5163</v>
      </c>
      <c r="AD593" t="s">
        <v>5164</v>
      </c>
      <c r="AE593" t="s">
        <v>4436</v>
      </c>
      <c r="AF593" t="s">
        <v>5165</v>
      </c>
      <c r="AI593" s="59" t="e">
        <f t="shared" si="46"/>
        <v>#N/A</v>
      </c>
      <c r="AJ593" t="e">
        <f t="shared" si="47"/>
        <v>#N/A</v>
      </c>
      <c r="AK593" t="str">
        <f t="shared" si="48"/>
        <v/>
      </c>
    </row>
    <row r="594" spans="1:37" ht="15" customHeight="1">
      <c r="A594" s="122">
        <v>8</v>
      </c>
      <c r="B594" s="59">
        <v>589</v>
      </c>
      <c r="C594" t="s">
        <v>5166</v>
      </c>
      <c r="D594" t="s">
        <v>5167</v>
      </c>
      <c r="E594">
        <v>425</v>
      </c>
      <c r="G594" t="s">
        <v>1910</v>
      </c>
      <c r="H594" s="119">
        <f t="shared" si="44"/>
        <v>146.66666666666666</v>
      </c>
      <c r="I594" s="117">
        <v>44042</v>
      </c>
      <c r="J594">
        <v>5625</v>
      </c>
      <c r="L594">
        <v>5625</v>
      </c>
      <c r="M594">
        <v>2006</v>
      </c>
      <c r="P594" t="s">
        <v>1911</v>
      </c>
      <c r="R594" t="s">
        <v>44</v>
      </c>
      <c r="S594">
        <v>21888</v>
      </c>
      <c r="T594" s="118">
        <f t="shared" si="45"/>
        <v>3.8912</v>
      </c>
      <c r="U594" t="s">
        <v>44</v>
      </c>
      <c r="Y594">
        <v>825000</v>
      </c>
      <c r="AA594">
        <v>825000</v>
      </c>
      <c r="AC594" t="s">
        <v>5168</v>
      </c>
      <c r="AD594" t="s">
        <v>5169</v>
      </c>
      <c r="AE594" t="s">
        <v>5170</v>
      </c>
      <c r="AF594" t="s">
        <v>5171</v>
      </c>
      <c r="AI594" s="59" t="e">
        <f t="shared" si="46"/>
        <v>#N/A</v>
      </c>
      <c r="AJ594" t="e">
        <f t="shared" si="47"/>
        <v>#N/A</v>
      </c>
      <c r="AK594" t="str">
        <f t="shared" si="48"/>
        <v/>
      </c>
    </row>
    <row r="595" spans="1:37" ht="15" customHeight="1">
      <c r="A595" s="122">
        <v>8</v>
      </c>
      <c r="B595" s="59">
        <v>590</v>
      </c>
      <c r="C595" t="s">
        <v>5172</v>
      </c>
      <c r="D595" t="s">
        <v>5173</v>
      </c>
      <c r="E595">
        <v>419</v>
      </c>
      <c r="F595" t="s">
        <v>1984</v>
      </c>
      <c r="G595" t="s">
        <v>89</v>
      </c>
      <c r="H595" s="119">
        <f t="shared" si="44"/>
        <v>1495.1631872978535</v>
      </c>
      <c r="I595" s="117">
        <v>44559</v>
      </c>
      <c r="J595">
        <v>3401</v>
      </c>
      <c r="L595">
        <v>3401</v>
      </c>
      <c r="M595">
        <v>2009</v>
      </c>
      <c r="P595" t="s">
        <v>2116</v>
      </c>
      <c r="R595" t="s">
        <v>44</v>
      </c>
      <c r="S595">
        <v>59440</v>
      </c>
      <c r="T595" s="118">
        <f t="shared" si="45"/>
        <v>17.477212584533962</v>
      </c>
      <c r="U595" t="s">
        <v>44</v>
      </c>
      <c r="Y595">
        <v>5085050</v>
      </c>
      <c r="AA595">
        <v>5085050</v>
      </c>
      <c r="AC595" t="s">
        <v>5174</v>
      </c>
      <c r="AD595" t="s">
        <v>5175</v>
      </c>
      <c r="AE595" t="s">
        <v>5176</v>
      </c>
      <c r="AF595" t="s">
        <v>2570</v>
      </c>
      <c r="AI595" s="59" t="e">
        <f t="shared" si="46"/>
        <v>#N/A</v>
      </c>
      <c r="AJ595" t="e">
        <f t="shared" si="47"/>
        <v>#N/A</v>
      </c>
      <c r="AK595" t="str">
        <f t="shared" si="48"/>
        <v/>
      </c>
    </row>
    <row r="596" spans="1:37" ht="15" customHeight="1">
      <c r="A596" s="122">
        <v>8</v>
      </c>
      <c r="B596" s="59">
        <v>591</v>
      </c>
      <c r="C596" t="s">
        <v>5177</v>
      </c>
      <c r="D596" t="s">
        <v>5178</v>
      </c>
      <c r="E596">
        <v>325</v>
      </c>
      <c r="F596" t="s">
        <v>2141</v>
      </c>
      <c r="G596" t="s">
        <v>1910</v>
      </c>
      <c r="H596" s="119">
        <f t="shared" si="44"/>
        <v>246.34146341463415</v>
      </c>
      <c r="I596" s="117">
        <v>43294</v>
      </c>
      <c r="J596">
        <v>2050</v>
      </c>
      <c r="L596">
        <v>2050</v>
      </c>
      <c r="M596">
        <v>1968</v>
      </c>
      <c r="P596" t="s">
        <v>3642</v>
      </c>
      <c r="R596" t="s">
        <v>44</v>
      </c>
      <c r="S596">
        <v>15540</v>
      </c>
      <c r="T596" s="118">
        <f t="shared" si="45"/>
        <v>7.5804878048780484</v>
      </c>
      <c r="U596" t="s">
        <v>44</v>
      </c>
      <c r="Y596">
        <v>505000</v>
      </c>
      <c r="AA596">
        <v>505000</v>
      </c>
      <c r="AC596" t="s">
        <v>5179</v>
      </c>
      <c r="AD596" t="s">
        <v>5180</v>
      </c>
      <c r="AE596" t="s">
        <v>5181</v>
      </c>
      <c r="AF596" t="s">
        <v>5182</v>
      </c>
      <c r="AI596" s="59" t="e">
        <f t="shared" si="46"/>
        <v>#N/A</v>
      </c>
      <c r="AJ596" t="e">
        <f t="shared" si="47"/>
        <v>#N/A</v>
      </c>
      <c r="AK596" t="str">
        <f t="shared" si="48"/>
        <v/>
      </c>
    </row>
    <row r="597" spans="1:37" ht="15" customHeight="1">
      <c r="A597" s="122">
        <v>8</v>
      </c>
      <c r="B597" s="59">
        <v>592</v>
      </c>
      <c r="C597" t="s">
        <v>5183</v>
      </c>
      <c r="D597" t="s">
        <v>5184</v>
      </c>
      <c r="E597">
        <v>1344</v>
      </c>
      <c r="F597" t="s">
        <v>1785</v>
      </c>
      <c r="G597" t="s">
        <v>1786</v>
      </c>
      <c r="H597" s="119">
        <f t="shared" si="44"/>
        <v>151.34837644468905</v>
      </c>
      <c r="I597" s="117">
        <v>44298</v>
      </c>
      <c r="J597">
        <v>1817</v>
      </c>
      <c r="L597">
        <v>1817</v>
      </c>
      <c r="M597">
        <v>1984</v>
      </c>
      <c r="P597" t="s">
        <v>2791</v>
      </c>
      <c r="R597" t="s">
        <v>44</v>
      </c>
      <c r="S597">
        <v>1108</v>
      </c>
      <c r="T597" s="118">
        <f t="shared" si="45"/>
        <v>0.60979636763896528</v>
      </c>
      <c r="U597" t="s">
        <v>44</v>
      </c>
      <c r="Y597">
        <v>275000</v>
      </c>
      <c r="AA597">
        <v>275000</v>
      </c>
      <c r="AC597" t="s">
        <v>5185</v>
      </c>
      <c r="AD597" t="s">
        <v>5186</v>
      </c>
      <c r="AE597" t="s">
        <v>5187</v>
      </c>
      <c r="AF597" t="s">
        <v>5188</v>
      </c>
      <c r="AI597" s="59" t="e">
        <f t="shared" si="46"/>
        <v>#N/A</v>
      </c>
      <c r="AJ597" t="e">
        <f t="shared" si="47"/>
        <v>#N/A</v>
      </c>
      <c r="AK597" t="str">
        <f t="shared" si="48"/>
        <v/>
      </c>
    </row>
    <row r="598" spans="1:37" ht="15" customHeight="1">
      <c r="A598" s="122">
        <v>8</v>
      </c>
      <c r="B598" s="59">
        <v>593</v>
      </c>
      <c r="C598" t="s">
        <v>5189</v>
      </c>
      <c r="D598" t="s">
        <v>5190</v>
      </c>
      <c r="E598">
        <v>353</v>
      </c>
      <c r="G598" t="s">
        <v>1910</v>
      </c>
      <c r="H598" s="119">
        <f t="shared" si="44"/>
        <v>136.00782778864971</v>
      </c>
      <c r="I598" s="117">
        <v>43167</v>
      </c>
      <c r="J598">
        <v>10220</v>
      </c>
      <c r="L598">
        <v>10220</v>
      </c>
      <c r="M598">
        <v>1983</v>
      </c>
      <c r="R598" t="s">
        <v>44</v>
      </c>
      <c r="S598">
        <v>44938</v>
      </c>
      <c r="T598" s="118">
        <f t="shared" si="45"/>
        <v>4.3970645792563605</v>
      </c>
      <c r="U598" t="s">
        <v>44</v>
      </c>
      <c r="Y598">
        <v>1390000</v>
      </c>
      <c r="AA598">
        <v>1390000</v>
      </c>
      <c r="AC598" t="s">
        <v>5191</v>
      </c>
      <c r="AD598" t="s">
        <v>5192</v>
      </c>
      <c r="AE598" t="s">
        <v>5193</v>
      </c>
      <c r="AF598" t="s">
        <v>5194</v>
      </c>
      <c r="AI598" s="59" t="e">
        <f t="shared" si="46"/>
        <v>#N/A</v>
      </c>
      <c r="AJ598" t="e">
        <f t="shared" si="47"/>
        <v>#N/A</v>
      </c>
      <c r="AK598" t="str">
        <f t="shared" si="48"/>
        <v/>
      </c>
    </row>
    <row r="599" spans="1:37" ht="15" customHeight="1">
      <c r="A599" s="122">
        <v>8</v>
      </c>
      <c r="B599" s="59">
        <v>594</v>
      </c>
      <c r="C599" t="s">
        <v>2467</v>
      </c>
      <c r="D599" t="s">
        <v>5195</v>
      </c>
      <c r="E599">
        <v>406</v>
      </c>
      <c r="F599" t="s">
        <v>1785</v>
      </c>
      <c r="G599" t="s">
        <v>1786</v>
      </c>
      <c r="H599" s="119">
        <f t="shared" si="44"/>
        <v>215</v>
      </c>
      <c r="I599" s="117">
        <v>43448</v>
      </c>
      <c r="J599">
        <v>4000</v>
      </c>
      <c r="L599">
        <v>4000</v>
      </c>
      <c r="M599">
        <v>1974</v>
      </c>
      <c r="R599" t="s">
        <v>44</v>
      </c>
      <c r="S599">
        <v>35086</v>
      </c>
      <c r="T599" s="118">
        <f t="shared" si="45"/>
        <v>8.7714999999999996</v>
      </c>
      <c r="U599" t="s">
        <v>44</v>
      </c>
      <c r="Y599">
        <v>860000</v>
      </c>
      <c r="AA599">
        <v>860000</v>
      </c>
      <c r="AC599" t="s">
        <v>2469</v>
      </c>
      <c r="AD599" t="s">
        <v>5196</v>
      </c>
      <c r="AE599" t="s">
        <v>5197</v>
      </c>
      <c r="AF599" t="s">
        <v>2471</v>
      </c>
      <c r="AI599" s="59" t="e">
        <f t="shared" si="46"/>
        <v>#N/A</v>
      </c>
      <c r="AJ599" t="e">
        <f t="shared" si="47"/>
        <v>#N/A</v>
      </c>
      <c r="AK599" t="str">
        <f t="shared" si="48"/>
        <v/>
      </c>
    </row>
    <row r="600" spans="1:37" ht="15" customHeight="1">
      <c r="A600" s="122">
        <v>8</v>
      </c>
      <c r="B600" s="59">
        <v>595</v>
      </c>
      <c r="C600" t="s">
        <v>5198</v>
      </c>
      <c r="D600" t="s">
        <v>5199</v>
      </c>
      <c r="E600">
        <v>319</v>
      </c>
      <c r="F600" t="s">
        <v>2141</v>
      </c>
      <c r="G600" t="s">
        <v>1910</v>
      </c>
      <c r="H600" s="119">
        <f t="shared" si="44"/>
        <v>169.41624365482232</v>
      </c>
      <c r="I600" s="117">
        <v>43654</v>
      </c>
      <c r="J600">
        <v>7880</v>
      </c>
      <c r="L600">
        <v>7880</v>
      </c>
      <c r="M600">
        <v>2004</v>
      </c>
      <c r="R600" t="s">
        <v>229</v>
      </c>
      <c r="S600">
        <v>33671.879999999997</v>
      </c>
      <c r="T600" s="118">
        <f t="shared" si="45"/>
        <v>4.2730812182741111</v>
      </c>
      <c r="U600" t="s">
        <v>44</v>
      </c>
      <c r="Y600">
        <v>1335000</v>
      </c>
      <c r="AA600">
        <v>1335000</v>
      </c>
      <c r="AC600" t="s">
        <v>5200</v>
      </c>
      <c r="AD600" t="s">
        <v>5201</v>
      </c>
      <c r="AE600" t="s">
        <v>5202</v>
      </c>
      <c r="AF600" t="s">
        <v>5194</v>
      </c>
      <c r="AI600" s="59" t="e">
        <f t="shared" si="46"/>
        <v>#N/A</v>
      </c>
      <c r="AJ600" t="e">
        <f t="shared" si="47"/>
        <v>#N/A</v>
      </c>
      <c r="AK600" t="str">
        <f t="shared" si="48"/>
        <v/>
      </c>
    </row>
    <row r="601" spans="1:37" ht="15" customHeight="1">
      <c r="A601" s="122">
        <v>8</v>
      </c>
      <c r="B601" s="59">
        <v>596</v>
      </c>
      <c r="C601" t="s">
        <v>5203</v>
      </c>
      <c r="D601" t="s">
        <v>5204</v>
      </c>
      <c r="E601">
        <v>406</v>
      </c>
      <c r="G601" t="s">
        <v>1910</v>
      </c>
      <c r="H601" s="119">
        <f t="shared" si="44"/>
        <v>238.51945514110005</v>
      </c>
      <c r="I601" s="117">
        <v>43250</v>
      </c>
      <c r="J601">
        <v>17399</v>
      </c>
      <c r="L601">
        <v>17399</v>
      </c>
      <c r="M601">
        <v>2004</v>
      </c>
      <c r="R601" t="s">
        <v>44</v>
      </c>
      <c r="S601">
        <v>321860.47999999998</v>
      </c>
      <c r="T601" s="118">
        <f t="shared" si="45"/>
        <v>18.498791884591068</v>
      </c>
      <c r="U601" t="s">
        <v>44</v>
      </c>
      <c r="Y601">
        <v>4150000</v>
      </c>
      <c r="AA601">
        <v>4150000</v>
      </c>
      <c r="AC601" t="s">
        <v>5205</v>
      </c>
      <c r="AD601" t="s">
        <v>5206</v>
      </c>
      <c r="AE601" t="s">
        <v>5207</v>
      </c>
      <c r="AF601" t="s">
        <v>5208</v>
      </c>
      <c r="AI601" s="59">
        <f t="shared" si="46"/>
        <v>2999</v>
      </c>
      <c r="AJ601">
        <f t="shared" si="47"/>
        <v>2999.0000601000002</v>
      </c>
      <c r="AK601" t="str">
        <f t="shared" si="48"/>
        <v/>
      </c>
    </row>
    <row r="602" spans="1:37" ht="15" customHeight="1">
      <c r="A602" s="122">
        <v>8</v>
      </c>
      <c r="B602" s="59">
        <v>597</v>
      </c>
      <c r="C602" t="s">
        <v>5209</v>
      </c>
      <c r="D602" t="s">
        <v>5210</v>
      </c>
      <c r="E602">
        <v>426</v>
      </c>
      <c r="F602" t="s">
        <v>1896</v>
      </c>
      <c r="G602" t="s">
        <v>1786</v>
      </c>
      <c r="H602" s="119">
        <f t="shared" si="44"/>
        <v>134.67874794069192</v>
      </c>
      <c r="I602" s="117">
        <v>43675</v>
      </c>
      <c r="J602">
        <v>2428</v>
      </c>
      <c r="L602">
        <v>2428</v>
      </c>
      <c r="M602">
        <v>1954</v>
      </c>
      <c r="P602" t="s">
        <v>5211</v>
      </c>
      <c r="R602" t="s">
        <v>44</v>
      </c>
      <c r="S602">
        <v>6500</v>
      </c>
      <c r="T602" s="118">
        <f t="shared" si="45"/>
        <v>2.6771004942339376</v>
      </c>
      <c r="U602" t="s">
        <v>302</v>
      </c>
      <c r="Y602">
        <v>327000</v>
      </c>
      <c r="AA602">
        <v>327000</v>
      </c>
      <c r="AC602" t="s">
        <v>5212</v>
      </c>
      <c r="AD602" t="s">
        <v>5213</v>
      </c>
      <c r="AE602" t="s">
        <v>5214</v>
      </c>
      <c r="AF602" t="s">
        <v>5215</v>
      </c>
      <c r="AI602" s="59" t="e">
        <f t="shared" si="46"/>
        <v>#N/A</v>
      </c>
      <c r="AJ602" t="e">
        <f t="shared" si="47"/>
        <v>#N/A</v>
      </c>
      <c r="AK602" t="str">
        <f t="shared" si="48"/>
        <v/>
      </c>
    </row>
    <row r="603" spans="1:37" ht="15" customHeight="1">
      <c r="A603" s="122">
        <v>8</v>
      </c>
      <c r="B603" s="59">
        <v>598</v>
      </c>
      <c r="C603" t="s">
        <v>5216</v>
      </c>
      <c r="D603" t="s">
        <v>5217</v>
      </c>
      <c r="E603">
        <v>328</v>
      </c>
      <c r="G603" t="s">
        <v>88</v>
      </c>
      <c r="H603" s="119">
        <f t="shared" si="44"/>
        <v>86.206896551724142</v>
      </c>
      <c r="I603" s="117">
        <v>44715</v>
      </c>
      <c r="J603">
        <v>2900</v>
      </c>
      <c r="L603">
        <v>2900</v>
      </c>
      <c r="M603">
        <v>2001</v>
      </c>
      <c r="R603" t="s">
        <v>44</v>
      </c>
      <c r="T603" s="118">
        <f t="shared" si="45"/>
        <v>0</v>
      </c>
      <c r="U603" t="s">
        <v>44</v>
      </c>
      <c r="Y603">
        <v>250000</v>
      </c>
      <c r="AA603">
        <v>250000</v>
      </c>
      <c r="AC603" t="s">
        <v>5218</v>
      </c>
      <c r="AD603" t="s">
        <v>5219</v>
      </c>
      <c r="AE603" t="s">
        <v>5220</v>
      </c>
      <c r="AF603" t="s">
        <v>5221</v>
      </c>
      <c r="AI603" s="59" t="e">
        <f t="shared" si="46"/>
        <v>#N/A</v>
      </c>
      <c r="AJ603" t="e">
        <f t="shared" si="47"/>
        <v>#N/A</v>
      </c>
      <c r="AK603" t="str">
        <f t="shared" si="48"/>
        <v/>
      </c>
    </row>
    <row r="604" spans="1:37" ht="15" customHeight="1">
      <c r="A604" s="122">
        <v>8</v>
      </c>
      <c r="B604" s="59">
        <v>600</v>
      </c>
      <c r="C604" t="s">
        <v>5222</v>
      </c>
      <c r="D604" t="s">
        <v>5223</v>
      </c>
      <c r="E604">
        <v>419</v>
      </c>
      <c r="F604" t="s">
        <v>1785</v>
      </c>
      <c r="G604" t="s">
        <v>1786</v>
      </c>
      <c r="H604" s="119">
        <f t="shared" si="44"/>
        <v>734.55759599332225</v>
      </c>
      <c r="I604" s="117">
        <v>44182</v>
      </c>
      <c r="J604">
        <v>2995</v>
      </c>
      <c r="L604">
        <v>2995</v>
      </c>
      <c r="M604">
        <v>1989</v>
      </c>
      <c r="P604" t="s">
        <v>4783</v>
      </c>
      <c r="R604" t="s">
        <v>44</v>
      </c>
      <c r="S604">
        <v>22500</v>
      </c>
      <c r="T604" s="118">
        <f t="shared" si="45"/>
        <v>7.5125208681135227</v>
      </c>
      <c r="U604" t="s">
        <v>44</v>
      </c>
      <c r="Y604">
        <v>2200000</v>
      </c>
      <c r="AA604">
        <v>2200000</v>
      </c>
      <c r="AC604" t="s">
        <v>5224</v>
      </c>
      <c r="AD604" t="s">
        <v>5225</v>
      </c>
      <c r="AE604" t="s">
        <v>4786</v>
      </c>
      <c r="AF604" t="s">
        <v>4787</v>
      </c>
      <c r="AI604" s="59" t="e">
        <f t="shared" si="46"/>
        <v>#N/A</v>
      </c>
      <c r="AJ604" t="e">
        <f t="shared" si="47"/>
        <v>#N/A</v>
      </c>
      <c r="AK604" t="str">
        <f t="shared" si="48"/>
        <v/>
      </c>
    </row>
    <row r="605" spans="1:37" ht="15" customHeight="1">
      <c r="A605" s="122">
        <v>8</v>
      </c>
      <c r="B605" s="59">
        <v>601</v>
      </c>
      <c r="C605" t="s">
        <v>5226</v>
      </c>
      <c r="D605" t="s">
        <v>5227</v>
      </c>
      <c r="E605">
        <v>353</v>
      </c>
      <c r="F605" t="s">
        <v>1896</v>
      </c>
      <c r="G605" t="s">
        <v>1786</v>
      </c>
      <c r="H605" s="119">
        <f t="shared" si="44"/>
        <v>519.56275033377835</v>
      </c>
      <c r="I605" s="117">
        <v>44595</v>
      </c>
      <c r="J605">
        <v>14980</v>
      </c>
      <c r="L605">
        <v>14980</v>
      </c>
      <c r="M605">
        <v>2009</v>
      </c>
      <c r="P605" t="s">
        <v>2529</v>
      </c>
      <c r="R605" t="s">
        <v>1258</v>
      </c>
      <c r="S605">
        <v>90147</v>
      </c>
      <c r="T605" s="118">
        <f t="shared" si="45"/>
        <v>6.0178237650200268</v>
      </c>
      <c r="U605" t="s">
        <v>44</v>
      </c>
      <c r="Y605">
        <v>7783050</v>
      </c>
      <c r="AA605">
        <v>7783050</v>
      </c>
      <c r="AC605" t="s">
        <v>5228</v>
      </c>
      <c r="AD605" t="s">
        <v>5229</v>
      </c>
      <c r="AE605" t="s">
        <v>5230</v>
      </c>
      <c r="AF605" t="s">
        <v>5231</v>
      </c>
      <c r="AI605" s="59" t="e">
        <f t="shared" si="46"/>
        <v>#N/A</v>
      </c>
      <c r="AJ605" t="e">
        <f t="shared" si="47"/>
        <v>#N/A</v>
      </c>
      <c r="AK605" t="str">
        <f t="shared" si="48"/>
        <v/>
      </c>
    </row>
    <row r="606" spans="1:37" ht="15" customHeight="1">
      <c r="A606" s="122">
        <v>8</v>
      </c>
      <c r="B606" s="59">
        <v>602</v>
      </c>
      <c r="C606" t="s">
        <v>5232</v>
      </c>
      <c r="D606" t="s">
        <v>5233</v>
      </c>
      <c r="E606">
        <v>353</v>
      </c>
      <c r="F606" t="s">
        <v>2141</v>
      </c>
      <c r="G606" t="s">
        <v>89</v>
      </c>
      <c r="H606" s="119">
        <f t="shared" si="44"/>
        <v>550.84745762711862</v>
      </c>
      <c r="I606" s="117">
        <v>44225</v>
      </c>
      <c r="J606">
        <v>4720</v>
      </c>
      <c r="L606">
        <v>4720</v>
      </c>
      <c r="M606">
        <v>2007</v>
      </c>
      <c r="P606" t="s">
        <v>3269</v>
      </c>
      <c r="R606" t="s">
        <v>44</v>
      </c>
      <c r="S606">
        <v>53215</v>
      </c>
      <c r="T606" s="118">
        <f t="shared" si="45"/>
        <v>11.274364406779661</v>
      </c>
      <c r="U606" t="s">
        <v>44</v>
      </c>
      <c r="Y606">
        <v>2600000</v>
      </c>
      <c r="AA606">
        <v>2600000</v>
      </c>
      <c r="AC606" t="s">
        <v>5234</v>
      </c>
      <c r="AD606" t="s">
        <v>5235</v>
      </c>
      <c r="AE606" t="s">
        <v>5236</v>
      </c>
      <c r="AF606" t="s">
        <v>5237</v>
      </c>
      <c r="AI606" s="59" t="e">
        <f t="shared" si="46"/>
        <v>#N/A</v>
      </c>
      <c r="AJ606" t="e">
        <f t="shared" si="47"/>
        <v>#N/A</v>
      </c>
      <c r="AK606" t="str">
        <f t="shared" si="48"/>
        <v/>
      </c>
    </row>
    <row r="607" spans="1:37" ht="15" customHeight="1">
      <c r="A607" s="122">
        <v>8</v>
      </c>
      <c r="B607" s="59">
        <v>603</v>
      </c>
      <c r="C607" t="s">
        <v>5238</v>
      </c>
      <c r="D607" t="s">
        <v>5239</v>
      </c>
      <c r="E607">
        <v>406</v>
      </c>
      <c r="G607" t="s">
        <v>1910</v>
      </c>
      <c r="H607" s="119">
        <f t="shared" si="44"/>
        <v>116</v>
      </c>
      <c r="I607" s="117">
        <v>43249</v>
      </c>
      <c r="J607">
        <v>3500</v>
      </c>
      <c r="L607">
        <v>3500</v>
      </c>
      <c r="M607">
        <v>2008</v>
      </c>
      <c r="R607" t="s">
        <v>44</v>
      </c>
      <c r="S607">
        <v>30759</v>
      </c>
      <c r="T607" s="118">
        <f t="shared" si="45"/>
        <v>8.7882857142857151</v>
      </c>
      <c r="U607" t="s">
        <v>44</v>
      </c>
      <c r="Y607">
        <v>406000</v>
      </c>
      <c r="AA607">
        <v>406000</v>
      </c>
      <c r="AC607" t="s">
        <v>5240</v>
      </c>
      <c r="AD607" t="s">
        <v>5241</v>
      </c>
      <c r="AE607" t="s">
        <v>5242</v>
      </c>
      <c r="AF607" t="s">
        <v>1920</v>
      </c>
      <c r="AI607" s="59" t="e">
        <f t="shared" si="46"/>
        <v>#N/A</v>
      </c>
      <c r="AJ607" t="e">
        <f t="shared" si="47"/>
        <v>#N/A</v>
      </c>
      <c r="AK607" t="str">
        <f t="shared" si="48"/>
        <v/>
      </c>
    </row>
    <row r="608" spans="1:37" ht="15" customHeight="1">
      <c r="A608" s="122">
        <v>8</v>
      </c>
      <c r="B608" s="59">
        <v>604</v>
      </c>
      <c r="C608" t="s">
        <v>5243</v>
      </c>
      <c r="D608" t="s">
        <v>5244</v>
      </c>
      <c r="E608">
        <v>425</v>
      </c>
      <c r="F608" t="s">
        <v>1896</v>
      </c>
      <c r="G608" t="s">
        <v>90</v>
      </c>
      <c r="H608" s="119">
        <f t="shared" si="44"/>
        <v>33.744697261858853</v>
      </c>
      <c r="I608" s="117">
        <v>44218</v>
      </c>
      <c r="J608">
        <v>10372</v>
      </c>
      <c r="L608">
        <v>10372</v>
      </c>
      <c r="M608">
        <v>2007</v>
      </c>
      <c r="P608" t="s">
        <v>2197</v>
      </c>
      <c r="R608" t="s">
        <v>44</v>
      </c>
      <c r="S608">
        <v>9086.3799999999992</v>
      </c>
      <c r="T608" s="118">
        <f t="shared" si="45"/>
        <v>0.87604897801773995</v>
      </c>
      <c r="U608" t="s">
        <v>44</v>
      </c>
      <c r="Y608">
        <v>350000</v>
      </c>
      <c r="AA608">
        <v>350000</v>
      </c>
      <c r="AC608" t="s">
        <v>5245</v>
      </c>
      <c r="AD608" t="s">
        <v>5246</v>
      </c>
      <c r="AE608" t="s">
        <v>5247</v>
      </c>
      <c r="AF608" t="s">
        <v>5248</v>
      </c>
      <c r="AI608" s="59" t="e">
        <f t="shared" si="46"/>
        <v>#N/A</v>
      </c>
      <c r="AJ608" t="e">
        <f t="shared" si="47"/>
        <v>#N/A</v>
      </c>
      <c r="AK608" t="str">
        <f t="shared" si="48"/>
        <v/>
      </c>
    </row>
    <row r="609" spans="1:37" ht="15" customHeight="1">
      <c r="A609" s="122">
        <v>8</v>
      </c>
      <c r="B609" s="59">
        <v>605</v>
      </c>
      <c r="C609" t="s">
        <v>1833</v>
      </c>
      <c r="D609" t="s">
        <v>1834</v>
      </c>
      <c r="E609">
        <v>353</v>
      </c>
      <c r="F609" t="s">
        <v>1800</v>
      </c>
      <c r="G609" t="s">
        <v>90</v>
      </c>
      <c r="H609" s="119">
        <f t="shared" si="44"/>
        <v>260.22835394862034</v>
      </c>
      <c r="I609" s="117">
        <v>44050</v>
      </c>
      <c r="J609">
        <v>6306</v>
      </c>
      <c r="L609">
        <v>6306</v>
      </c>
      <c r="M609">
        <v>2006</v>
      </c>
      <c r="P609" t="s">
        <v>1807</v>
      </c>
      <c r="R609" t="s">
        <v>229</v>
      </c>
      <c r="S609">
        <v>40087</v>
      </c>
      <c r="T609" s="118">
        <f t="shared" si="45"/>
        <v>6.3569616238503013</v>
      </c>
      <c r="U609" t="s">
        <v>44</v>
      </c>
      <c r="Y609">
        <v>1641000</v>
      </c>
      <c r="AA609">
        <v>1641000</v>
      </c>
      <c r="AC609" t="s">
        <v>1835</v>
      </c>
      <c r="AD609" t="s">
        <v>5249</v>
      </c>
      <c r="AE609" t="s">
        <v>5250</v>
      </c>
      <c r="AF609" t="s">
        <v>1837</v>
      </c>
      <c r="AI609" s="59" t="e">
        <f t="shared" si="46"/>
        <v>#N/A</v>
      </c>
      <c r="AJ609" t="e">
        <f t="shared" si="47"/>
        <v>#N/A</v>
      </c>
      <c r="AK609" t="str">
        <f t="shared" si="48"/>
        <v/>
      </c>
    </row>
    <row r="610" spans="1:37" ht="15" customHeight="1">
      <c r="A610" s="122">
        <v>8</v>
      </c>
      <c r="B610" s="59">
        <v>606</v>
      </c>
      <c r="C610" t="s">
        <v>5251</v>
      </c>
      <c r="D610" t="s">
        <v>5252</v>
      </c>
      <c r="E610">
        <v>409</v>
      </c>
      <c r="G610" t="s">
        <v>88</v>
      </c>
      <c r="H610" s="119">
        <f t="shared" ref="H610:H673" si="49">Y610/J610</f>
        <v>52.674230145867099</v>
      </c>
      <c r="I610" s="117">
        <v>44244</v>
      </c>
      <c r="J610">
        <v>1234</v>
      </c>
      <c r="L610">
        <v>1234</v>
      </c>
      <c r="M610">
        <v>2002</v>
      </c>
      <c r="R610" t="s">
        <v>44</v>
      </c>
      <c r="T610" s="118">
        <f t="shared" si="45"/>
        <v>0</v>
      </c>
      <c r="U610" t="s">
        <v>44</v>
      </c>
      <c r="Y610">
        <v>65000</v>
      </c>
      <c r="AA610">
        <v>65000</v>
      </c>
      <c r="AC610" t="s">
        <v>5253</v>
      </c>
      <c r="AD610" t="s">
        <v>5254</v>
      </c>
      <c r="AE610" t="s">
        <v>5255</v>
      </c>
      <c r="AF610" t="s">
        <v>5256</v>
      </c>
      <c r="AI610" s="59" t="e">
        <f t="shared" si="46"/>
        <v>#N/A</v>
      </c>
      <c r="AJ610" t="e">
        <f t="shared" si="47"/>
        <v>#N/A</v>
      </c>
      <c r="AK610" t="str">
        <f t="shared" si="48"/>
        <v/>
      </c>
    </row>
    <row r="611" spans="1:37" ht="15" customHeight="1">
      <c r="A611" s="122">
        <v>8</v>
      </c>
      <c r="B611" s="59">
        <v>607</v>
      </c>
      <c r="C611" t="s">
        <v>5257</v>
      </c>
      <c r="D611" t="s">
        <v>5258</v>
      </c>
      <c r="E611">
        <v>419</v>
      </c>
      <c r="F611" t="s">
        <v>1896</v>
      </c>
      <c r="G611" t="s">
        <v>1786</v>
      </c>
      <c r="H611" s="119">
        <f t="shared" si="49"/>
        <v>1322.8254524226504</v>
      </c>
      <c r="I611" s="117">
        <v>43118</v>
      </c>
      <c r="J611">
        <v>1713</v>
      </c>
      <c r="L611">
        <v>1713</v>
      </c>
      <c r="M611">
        <v>1971</v>
      </c>
      <c r="P611" t="s">
        <v>3590</v>
      </c>
      <c r="R611" t="s">
        <v>44</v>
      </c>
      <c r="S611">
        <v>41411</v>
      </c>
      <c r="T611" s="118">
        <f t="shared" si="45"/>
        <v>24.174547577349678</v>
      </c>
      <c r="U611" t="s">
        <v>44</v>
      </c>
      <c r="Y611">
        <v>2266000</v>
      </c>
      <c r="AA611">
        <v>2266000</v>
      </c>
      <c r="AC611" t="s">
        <v>5259</v>
      </c>
      <c r="AD611" t="s">
        <v>5260</v>
      </c>
      <c r="AE611" t="s">
        <v>5261</v>
      </c>
      <c r="AF611" t="s">
        <v>5262</v>
      </c>
      <c r="AI611" s="59" t="e">
        <f t="shared" si="46"/>
        <v>#N/A</v>
      </c>
      <c r="AJ611" t="e">
        <f t="shared" si="47"/>
        <v>#N/A</v>
      </c>
      <c r="AK611" t="str">
        <f t="shared" si="48"/>
        <v/>
      </c>
    </row>
    <row r="612" spans="1:37" ht="15" customHeight="1">
      <c r="A612" s="122">
        <v>8</v>
      </c>
      <c r="B612" s="59">
        <v>608</v>
      </c>
      <c r="C612" t="s">
        <v>5257</v>
      </c>
      <c r="D612" t="s">
        <v>5258</v>
      </c>
      <c r="E612">
        <v>419</v>
      </c>
      <c r="F612" t="s">
        <v>1896</v>
      </c>
      <c r="G612" t="s">
        <v>1786</v>
      </c>
      <c r="H612" s="119">
        <f t="shared" si="49"/>
        <v>1456.5090484530065</v>
      </c>
      <c r="I612" s="117">
        <v>44592</v>
      </c>
      <c r="J612">
        <v>1713</v>
      </c>
      <c r="L612">
        <v>1713</v>
      </c>
      <c r="M612">
        <v>1971</v>
      </c>
      <c r="P612" t="s">
        <v>2529</v>
      </c>
      <c r="R612" t="s">
        <v>44</v>
      </c>
      <c r="S612">
        <v>41411</v>
      </c>
      <c r="T612" s="118">
        <f t="shared" si="45"/>
        <v>24.174547577349678</v>
      </c>
      <c r="U612" t="s">
        <v>44</v>
      </c>
      <c r="Y612">
        <v>2495000</v>
      </c>
      <c r="AA612">
        <v>2495000</v>
      </c>
      <c r="AC612" t="s">
        <v>5259</v>
      </c>
      <c r="AD612" t="s">
        <v>5263</v>
      </c>
      <c r="AE612" t="s">
        <v>4503</v>
      </c>
      <c r="AF612" t="s">
        <v>5264</v>
      </c>
      <c r="AI612" s="59" t="e">
        <f t="shared" si="46"/>
        <v>#N/A</v>
      </c>
      <c r="AJ612" t="e">
        <f t="shared" si="47"/>
        <v>#N/A</v>
      </c>
      <c r="AK612" t="str">
        <f t="shared" si="48"/>
        <v/>
      </c>
    </row>
    <row r="613" spans="1:37" ht="15" customHeight="1">
      <c r="A613" s="122">
        <v>8</v>
      </c>
      <c r="B613" s="59">
        <v>609</v>
      </c>
      <c r="C613" t="s">
        <v>5265</v>
      </c>
      <c r="D613" t="s">
        <v>5266</v>
      </c>
      <c r="E613">
        <v>1344</v>
      </c>
      <c r="F613" t="s">
        <v>1800</v>
      </c>
      <c r="G613" t="s">
        <v>90</v>
      </c>
      <c r="H613" s="119">
        <f t="shared" si="49"/>
        <v>374.48194197750149</v>
      </c>
      <c r="I613" s="117">
        <v>44659</v>
      </c>
      <c r="J613">
        <v>1689</v>
      </c>
      <c r="L613">
        <v>1689</v>
      </c>
      <c r="M613">
        <v>2006</v>
      </c>
      <c r="P613" t="s">
        <v>1807</v>
      </c>
      <c r="R613" t="s">
        <v>44</v>
      </c>
      <c r="S613">
        <v>7699.56</v>
      </c>
      <c r="T613" s="118">
        <f t="shared" ref="T613:T676" si="50">S613/J613</f>
        <v>4.558650088809947</v>
      </c>
      <c r="U613" t="s">
        <v>44</v>
      </c>
      <c r="Y613">
        <v>632500</v>
      </c>
      <c r="AA613">
        <v>632500</v>
      </c>
      <c r="AC613" t="s">
        <v>5267</v>
      </c>
      <c r="AD613" t="s">
        <v>5268</v>
      </c>
      <c r="AE613" t="s">
        <v>5269</v>
      </c>
      <c r="AF613" t="s">
        <v>5270</v>
      </c>
      <c r="AI613" s="59" t="e">
        <f t="shared" si="46"/>
        <v>#N/A</v>
      </c>
      <c r="AJ613" t="e">
        <f t="shared" si="47"/>
        <v>#N/A</v>
      </c>
      <c r="AK613" t="str">
        <f t="shared" si="48"/>
        <v/>
      </c>
    </row>
    <row r="614" spans="1:37" ht="15" customHeight="1">
      <c r="A614" s="122">
        <v>8</v>
      </c>
      <c r="B614" s="59">
        <v>610</v>
      </c>
      <c r="C614" t="s">
        <v>5271</v>
      </c>
      <c r="D614" t="s">
        <v>5272</v>
      </c>
      <c r="E614">
        <v>1344</v>
      </c>
      <c r="F614" t="s">
        <v>1800</v>
      </c>
      <c r="G614" t="s">
        <v>90</v>
      </c>
      <c r="H614" s="119">
        <f t="shared" si="49"/>
        <v>286.62589736772134</v>
      </c>
      <c r="I614" s="117">
        <v>44533</v>
      </c>
      <c r="J614">
        <v>3761</v>
      </c>
      <c r="L614">
        <v>3761</v>
      </c>
      <c r="M614">
        <v>2006</v>
      </c>
      <c r="P614" t="s">
        <v>1807</v>
      </c>
      <c r="R614" t="s">
        <v>44</v>
      </c>
      <c r="S614">
        <v>17499</v>
      </c>
      <c r="T614" s="118">
        <f t="shared" si="50"/>
        <v>4.6527519276788087</v>
      </c>
      <c r="U614" t="s">
        <v>44</v>
      </c>
      <c r="Y614">
        <v>1078000</v>
      </c>
      <c r="AA614">
        <v>1078000</v>
      </c>
      <c r="AC614" t="s">
        <v>5273</v>
      </c>
      <c r="AD614" t="s">
        <v>5274</v>
      </c>
      <c r="AE614" t="s">
        <v>1892</v>
      </c>
      <c r="AF614" t="s">
        <v>5275</v>
      </c>
      <c r="AI614" s="59" t="e">
        <f t="shared" si="46"/>
        <v>#N/A</v>
      </c>
      <c r="AJ614" t="e">
        <f t="shared" si="47"/>
        <v>#N/A</v>
      </c>
      <c r="AK614" t="str">
        <f t="shared" si="48"/>
        <v/>
      </c>
    </row>
    <row r="615" spans="1:37" ht="15" customHeight="1">
      <c r="A615" s="122">
        <v>8</v>
      </c>
      <c r="B615" s="59">
        <v>611</v>
      </c>
      <c r="C615" t="s">
        <v>5276</v>
      </c>
      <c r="D615" t="s">
        <v>5277</v>
      </c>
      <c r="E615">
        <v>344</v>
      </c>
      <c r="F615" t="s">
        <v>1984</v>
      </c>
      <c r="G615" t="s">
        <v>89</v>
      </c>
      <c r="H615" s="119">
        <f t="shared" si="49"/>
        <v>167.76315789473685</v>
      </c>
      <c r="I615" s="117">
        <v>43145</v>
      </c>
      <c r="J615">
        <v>912</v>
      </c>
      <c r="L615">
        <v>912</v>
      </c>
      <c r="M615">
        <v>1918</v>
      </c>
      <c r="P615" t="s">
        <v>3682</v>
      </c>
      <c r="R615" t="s">
        <v>44</v>
      </c>
      <c r="S615">
        <v>6250</v>
      </c>
      <c r="T615" s="118">
        <f t="shared" si="50"/>
        <v>6.8530701754385968</v>
      </c>
      <c r="U615" t="s">
        <v>44</v>
      </c>
      <c r="Y615">
        <v>153000</v>
      </c>
      <c r="AA615">
        <v>153000</v>
      </c>
      <c r="AC615" t="s">
        <v>5278</v>
      </c>
      <c r="AD615" t="s">
        <v>5279</v>
      </c>
      <c r="AE615" t="s">
        <v>5280</v>
      </c>
      <c r="AF615" t="s">
        <v>5281</v>
      </c>
      <c r="AI615" s="59" t="e">
        <f t="shared" si="46"/>
        <v>#N/A</v>
      </c>
      <c r="AJ615" t="e">
        <f t="shared" si="47"/>
        <v>#N/A</v>
      </c>
      <c r="AK615" t="str">
        <f t="shared" si="48"/>
        <v/>
      </c>
    </row>
    <row r="616" spans="1:37" ht="15" customHeight="1">
      <c r="A616" s="122">
        <v>8</v>
      </c>
      <c r="B616" s="59">
        <v>612</v>
      </c>
      <c r="C616" t="s">
        <v>5282</v>
      </c>
      <c r="D616" t="s">
        <v>5283</v>
      </c>
      <c r="E616">
        <v>344</v>
      </c>
      <c r="G616" t="s">
        <v>88</v>
      </c>
      <c r="H616" s="119">
        <f t="shared" si="49"/>
        <v>231.0924369747899</v>
      </c>
      <c r="I616" s="117">
        <v>44012</v>
      </c>
      <c r="J616">
        <v>952</v>
      </c>
      <c r="L616">
        <v>952</v>
      </c>
      <c r="M616">
        <v>1954</v>
      </c>
      <c r="P616" t="s">
        <v>1925</v>
      </c>
      <c r="R616" t="s">
        <v>44</v>
      </c>
      <c r="S616">
        <v>9375</v>
      </c>
      <c r="T616" s="118">
        <f t="shared" si="50"/>
        <v>9.8476890756302513</v>
      </c>
      <c r="U616" t="s">
        <v>44</v>
      </c>
      <c r="Y616">
        <v>220000</v>
      </c>
      <c r="AA616">
        <v>220000</v>
      </c>
      <c r="AC616" t="s">
        <v>5284</v>
      </c>
      <c r="AD616" t="s">
        <v>5285</v>
      </c>
      <c r="AE616" t="s">
        <v>5286</v>
      </c>
      <c r="AF616" t="s">
        <v>5287</v>
      </c>
      <c r="AI616" s="59" t="e">
        <f t="shared" si="46"/>
        <v>#N/A</v>
      </c>
      <c r="AJ616" t="e">
        <f t="shared" si="47"/>
        <v>#N/A</v>
      </c>
      <c r="AK616" t="str">
        <f t="shared" si="48"/>
        <v/>
      </c>
    </row>
    <row r="617" spans="1:37" ht="15" customHeight="1">
      <c r="A617" s="122">
        <v>8</v>
      </c>
      <c r="B617" s="59">
        <v>613</v>
      </c>
      <c r="C617" t="s">
        <v>5288</v>
      </c>
      <c r="D617" t="s">
        <v>5289</v>
      </c>
      <c r="E617">
        <v>334</v>
      </c>
      <c r="F617" t="s">
        <v>1976</v>
      </c>
      <c r="G617" t="s">
        <v>1910</v>
      </c>
      <c r="H617" s="119">
        <f t="shared" si="49"/>
        <v>111.60714285714286</v>
      </c>
      <c r="I617" s="117">
        <v>44733</v>
      </c>
      <c r="J617">
        <v>80640</v>
      </c>
      <c r="L617">
        <v>80640</v>
      </c>
      <c r="M617">
        <v>2000</v>
      </c>
      <c r="P617" t="s">
        <v>1977</v>
      </c>
      <c r="R617" t="s">
        <v>229</v>
      </c>
      <c r="S617">
        <v>230428</v>
      </c>
      <c r="T617" s="118">
        <f t="shared" si="50"/>
        <v>2.8574900793650793</v>
      </c>
      <c r="U617" t="s">
        <v>44</v>
      </c>
      <c r="Y617">
        <v>9000000</v>
      </c>
      <c r="AA617">
        <v>9000000</v>
      </c>
      <c r="AC617" t="s">
        <v>5290</v>
      </c>
      <c r="AD617" t="s">
        <v>5291</v>
      </c>
      <c r="AE617" t="s">
        <v>5292</v>
      </c>
      <c r="AF617" t="s">
        <v>5293</v>
      </c>
      <c r="AI617" s="59" t="e">
        <f t="shared" si="46"/>
        <v>#N/A</v>
      </c>
      <c r="AJ617" t="e">
        <f t="shared" si="47"/>
        <v>#N/A</v>
      </c>
      <c r="AK617" t="str">
        <f t="shared" si="48"/>
        <v/>
      </c>
    </row>
    <row r="618" spans="1:37" ht="15" customHeight="1">
      <c r="A618" s="122">
        <v>8</v>
      </c>
      <c r="B618" s="59">
        <v>614</v>
      </c>
      <c r="C618" t="s">
        <v>5294</v>
      </c>
      <c r="D618" t="s">
        <v>5295</v>
      </c>
      <c r="E618">
        <v>325</v>
      </c>
      <c r="F618" t="s">
        <v>1896</v>
      </c>
      <c r="G618" t="s">
        <v>1786</v>
      </c>
      <c r="H618" s="119">
        <f t="shared" si="49"/>
        <v>286.97571743929359</v>
      </c>
      <c r="I618" s="117">
        <v>44516</v>
      </c>
      <c r="J618">
        <v>4530</v>
      </c>
      <c r="L618">
        <v>4530</v>
      </c>
      <c r="M618">
        <v>1962</v>
      </c>
      <c r="P618" t="s">
        <v>1897</v>
      </c>
      <c r="R618" t="s">
        <v>44</v>
      </c>
      <c r="S618">
        <v>13650</v>
      </c>
      <c r="T618" s="118">
        <f t="shared" si="50"/>
        <v>3.0132450331125828</v>
      </c>
      <c r="U618" t="s">
        <v>44</v>
      </c>
      <c r="Y618">
        <v>1300000</v>
      </c>
      <c r="AA618">
        <v>1300000</v>
      </c>
      <c r="AC618" t="s">
        <v>5296</v>
      </c>
      <c r="AD618" t="s">
        <v>5297</v>
      </c>
      <c r="AE618" t="s">
        <v>5298</v>
      </c>
      <c r="AF618" t="s">
        <v>5299</v>
      </c>
      <c r="AI618" s="59" t="e">
        <f t="shared" si="46"/>
        <v>#N/A</v>
      </c>
      <c r="AJ618" t="e">
        <f t="shared" si="47"/>
        <v>#N/A</v>
      </c>
      <c r="AK618" t="str">
        <f t="shared" si="48"/>
        <v/>
      </c>
    </row>
    <row r="619" spans="1:37" ht="15" customHeight="1">
      <c r="A619" s="122">
        <v>8</v>
      </c>
      <c r="B619" s="59">
        <v>615</v>
      </c>
      <c r="C619" t="s">
        <v>5300</v>
      </c>
      <c r="D619" t="s">
        <v>5301</v>
      </c>
      <c r="E619">
        <v>1344</v>
      </c>
      <c r="F619" t="s">
        <v>1785</v>
      </c>
      <c r="G619" t="s">
        <v>1786</v>
      </c>
      <c r="H619" s="119">
        <f t="shared" si="49"/>
        <v>223.33333333333334</v>
      </c>
      <c r="I619" s="117">
        <v>44523</v>
      </c>
      <c r="J619">
        <v>1500</v>
      </c>
      <c r="L619">
        <v>1500</v>
      </c>
      <c r="M619">
        <v>2001</v>
      </c>
      <c r="P619" t="s">
        <v>1877</v>
      </c>
      <c r="R619" t="s">
        <v>44</v>
      </c>
      <c r="S619">
        <v>5862</v>
      </c>
      <c r="T619" s="118">
        <f t="shared" si="50"/>
        <v>3.9079999999999999</v>
      </c>
      <c r="U619" t="s">
        <v>44</v>
      </c>
      <c r="Y619">
        <v>335000</v>
      </c>
      <c r="AA619">
        <v>335000</v>
      </c>
      <c r="AC619" t="s">
        <v>5302</v>
      </c>
      <c r="AD619" t="s">
        <v>5303</v>
      </c>
      <c r="AE619" t="s">
        <v>5304</v>
      </c>
      <c r="AF619" t="s">
        <v>5305</v>
      </c>
      <c r="AI619" s="59" t="e">
        <f t="shared" si="46"/>
        <v>#N/A</v>
      </c>
      <c r="AJ619" t="e">
        <f t="shared" si="47"/>
        <v>#N/A</v>
      </c>
      <c r="AK619" t="str">
        <f t="shared" si="48"/>
        <v/>
      </c>
    </row>
    <row r="620" spans="1:37" ht="15" customHeight="1">
      <c r="A620" s="122">
        <v>8</v>
      </c>
      <c r="B620" s="59">
        <v>616</v>
      </c>
      <c r="C620" t="s">
        <v>5306</v>
      </c>
      <c r="D620" t="s">
        <v>5307</v>
      </c>
      <c r="E620">
        <v>1344</v>
      </c>
      <c r="F620" t="s">
        <v>1785</v>
      </c>
      <c r="G620" t="s">
        <v>1786</v>
      </c>
      <c r="H620" s="119">
        <f t="shared" si="49"/>
        <v>180.42646254784034</v>
      </c>
      <c r="I620" s="117">
        <v>44470</v>
      </c>
      <c r="J620">
        <v>1829</v>
      </c>
      <c r="L620">
        <v>1829</v>
      </c>
      <c r="M620">
        <v>2001</v>
      </c>
      <c r="P620" t="s">
        <v>1877</v>
      </c>
      <c r="R620" t="s">
        <v>44</v>
      </c>
      <c r="S620">
        <v>5862</v>
      </c>
      <c r="T620" s="118">
        <f t="shared" si="50"/>
        <v>3.2050300710770911</v>
      </c>
      <c r="U620" t="s">
        <v>44</v>
      </c>
      <c r="Y620">
        <v>330000</v>
      </c>
      <c r="AA620">
        <v>330000</v>
      </c>
      <c r="AC620" t="s">
        <v>5308</v>
      </c>
      <c r="AD620" t="s">
        <v>5309</v>
      </c>
      <c r="AE620" t="s">
        <v>5304</v>
      </c>
      <c r="AF620" t="s">
        <v>5310</v>
      </c>
      <c r="AI620" s="59" t="e">
        <f t="shared" si="46"/>
        <v>#N/A</v>
      </c>
      <c r="AJ620" t="e">
        <f t="shared" si="47"/>
        <v>#N/A</v>
      </c>
      <c r="AK620" t="str">
        <f t="shared" si="48"/>
        <v/>
      </c>
    </row>
    <row r="621" spans="1:37" ht="15" customHeight="1">
      <c r="A621" s="122">
        <v>8</v>
      </c>
      <c r="B621" s="59">
        <v>617</v>
      </c>
      <c r="C621" t="s">
        <v>2432</v>
      </c>
      <c r="D621" t="s">
        <v>2433</v>
      </c>
      <c r="E621">
        <v>425</v>
      </c>
      <c r="G621" t="s">
        <v>1910</v>
      </c>
      <c r="H621" s="119">
        <f t="shared" si="49"/>
        <v>197.0074812967581</v>
      </c>
      <c r="I621" s="117">
        <v>44315</v>
      </c>
      <c r="J621">
        <v>2005</v>
      </c>
      <c r="L621">
        <v>2005</v>
      </c>
      <c r="M621">
        <v>2005</v>
      </c>
      <c r="P621" t="s">
        <v>1911</v>
      </c>
      <c r="R621" t="s">
        <v>44</v>
      </c>
      <c r="S621">
        <v>10924</v>
      </c>
      <c r="T621" s="118">
        <f t="shared" si="50"/>
        <v>5.4483790523690772</v>
      </c>
      <c r="U621" t="s">
        <v>44</v>
      </c>
      <c r="Y621">
        <v>395000</v>
      </c>
      <c r="AA621">
        <v>395000</v>
      </c>
      <c r="AC621" t="s">
        <v>2434</v>
      </c>
      <c r="AD621" t="s">
        <v>5311</v>
      </c>
      <c r="AE621" t="s">
        <v>5312</v>
      </c>
      <c r="AF621" t="s">
        <v>2436</v>
      </c>
      <c r="AI621" s="59" t="e">
        <f t="shared" si="46"/>
        <v>#N/A</v>
      </c>
      <c r="AJ621" t="e">
        <f t="shared" si="47"/>
        <v>#N/A</v>
      </c>
      <c r="AK621" t="str">
        <f t="shared" si="48"/>
        <v/>
      </c>
    </row>
    <row r="622" spans="1:37" ht="15" customHeight="1">
      <c r="A622" s="122">
        <v>8</v>
      </c>
      <c r="B622" s="59">
        <v>618</v>
      </c>
      <c r="C622" t="s">
        <v>5313</v>
      </c>
      <c r="D622" t="s">
        <v>5314</v>
      </c>
      <c r="E622">
        <v>534</v>
      </c>
      <c r="F622" t="s">
        <v>2141</v>
      </c>
      <c r="G622" t="s">
        <v>89</v>
      </c>
      <c r="H622" s="119">
        <f t="shared" si="49"/>
        <v>166.66666666666666</v>
      </c>
      <c r="I622" s="117">
        <v>43328</v>
      </c>
      <c r="J622">
        <v>1500</v>
      </c>
      <c r="L622">
        <v>1500</v>
      </c>
      <c r="M622">
        <v>2002</v>
      </c>
      <c r="R622" t="s">
        <v>44</v>
      </c>
      <c r="S622">
        <v>6448</v>
      </c>
      <c r="T622" s="118">
        <f t="shared" si="50"/>
        <v>4.2986666666666666</v>
      </c>
      <c r="U622" t="s">
        <v>44</v>
      </c>
      <c r="Y622">
        <v>250000</v>
      </c>
      <c r="AA622">
        <v>250000</v>
      </c>
      <c r="AC622" t="s">
        <v>5315</v>
      </c>
      <c r="AD622" t="s">
        <v>5316</v>
      </c>
      <c r="AE622" t="s">
        <v>5317</v>
      </c>
      <c r="AF622" t="s">
        <v>5318</v>
      </c>
      <c r="AI622" s="59" t="e">
        <f t="shared" si="46"/>
        <v>#N/A</v>
      </c>
      <c r="AJ622" t="e">
        <f t="shared" si="47"/>
        <v>#N/A</v>
      </c>
      <c r="AK622" t="str">
        <f t="shared" si="48"/>
        <v/>
      </c>
    </row>
    <row r="623" spans="1:37" ht="15" customHeight="1">
      <c r="A623" s="122">
        <v>8</v>
      </c>
      <c r="B623" s="59">
        <v>619</v>
      </c>
      <c r="C623" t="s">
        <v>5319</v>
      </c>
      <c r="D623" t="s">
        <v>5320</v>
      </c>
      <c r="E623">
        <v>425</v>
      </c>
      <c r="G623" t="s">
        <v>1910</v>
      </c>
      <c r="H623" s="119">
        <f t="shared" si="49"/>
        <v>301.52671755725191</v>
      </c>
      <c r="I623" s="117">
        <v>43539</v>
      </c>
      <c r="J623">
        <v>1310</v>
      </c>
      <c r="L623">
        <v>1310</v>
      </c>
      <c r="M623">
        <v>2003</v>
      </c>
      <c r="R623" t="s">
        <v>229</v>
      </c>
      <c r="S623">
        <v>4402</v>
      </c>
      <c r="T623" s="118">
        <f t="shared" si="50"/>
        <v>3.3603053435114503</v>
      </c>
      <c r="U623" t="s">
        <v>229</v>
      </c>
      <c r="Y623">
        <v>395000</v>
      </c>
      <c r="AA623">
        <v>395000</v>
      </c>
      <c r="AC623" t="s">
        <v>5321</v>
      </c>
      <c r="AD623" t="s">
        <v>5322</v>
      </c>
      <c r="AE623" t="s">
        <v>5323</v>
      </c>
      <c r="AF623" t="s">
        <v>5324</v>
      </c>
      <c r="AI623" s="59" t="e">
        <f t="shared" si="46"/>
        <v>#N/A</v>
      </c>
      <c r="AJ623" t="e">
        <f t="shared" si="47"/>
        <v>#N/A</v>
      </c>
      <c r="AK623" t="str">
        <f t="shared" si="48"/>
        <v/>
      </c>
    </row>
    <row r="624" spans="1:37" ht="15" customHeight="1">
      <c r="A624" s="122">
        <v>8</v>
      </c>
      <c r="B624" s="59">
        <v>620</v>
      </c>
      <c r="C624" t="s">
        <v>5325</v>
      </c>
      <c r="D624" t="s">
        <v>5326</v>
      </c>
      <c r="E624">
        <v>382</v>
      </c>
      <c r="F624" t="s">
        <v>1896</v>
      </c>
      <c r="G624" t="s">
        <v>1786</v>
      </c>
      <c r="H624" s="119">
        <f t="shared" si="49"/>
        <v>212.94276513971124</v>
      </c>
      <c r="I624" s="117">
        <v>43731</v>
      </c>
      <c r="J624">
        <v>19254</v>
      </c>
      <c r="L624">
        <v>19254</v>
      </c>
      <c r="M624">
        <v>2007</v>
      </c>
      <c r="P624" t="s">
        <v>2529</v>
      </c>
      <c r="R624" t="s">
        <v>44</v>
      </c>
      <c r="S624">
        <v>100440</v>
      </c>
      <c r="T624" s="118">
        <f t="shared" si="50"/>
        <v>5.2165783733250235</v>
      </c>
      <c r="U624" t="s">
        <v>44</v>
      </c>
      <c r="Y624">
        <v>4100000</v>
      </c>
      <c r="AA624">
        <v>4100000</v>
      </c>
      <c r="AC624" t="s">
        <v>5327</v>
      </c>
      <c r="AD624" t="s">
        <v>5328</v>
      </c>
      <c r="AE624" t="s">
        <v>5329</v>
      </c>
      <c r="AF624" t="s">
        <v>5330</v>
      </c>
      <c r="AI624" s="59" t="e">
        <f t="shared" si="46"/>
        <v>#N/A</v>
      </c>
      <c r="AJ624" t="e">
        <f t="shared" si="47"/>
        <v>#N/A</v>
      </c>
      <c r="AK624" t="str">
        <f t="shared" si="48"/>
        <v/>
      </c>
    </row>
    <row r="625" spans="1:37" ht="15" customHeight="1">
      <c r="A625" s="122">
        <v>8</v>
      </c>
      <c r="B625" s="59">
        <v>621</v>
      </c>
      <c r="C625" t="s">
        <v>5331</v>
      </c>
      <c r="D625" t="s">
        <v>5332</v>
      </c>
      <c r="E625">
        <v>353</v>
      </c>
      <c r="F625" t="s">
        <v>1785</v>
      </c>
      <c r="G625" t="s">
        <v>1786</v>
      </c>
      <c r="H625" s="119">
        <f t="shared" si="49"/>
        <v>208.65671641791045</v>
      </c>
      <c r="I625" s="117">
        <v>44348</v>
      </c>
      <c r="J625">
        <v>4020</v>
      </c>
      <c r="L625">
        <v>4020</v>
      </c>
      <c r="M625">
        <v>1978</v>
      </c>
      <c r="P625" t="s">
        <v>2522</v>
      </c>
      <c r="R625" t="s">
        <v>44</v>
      </c>
      <c r="S625">
        <v>36199</v>
      </c>
      <c r="T625" s="118">
        <f t="shared" si="50"/>
        <v>9.0047263681592042</v>
      </c>
      <c r="U625" t="s">
        <v>44</v>
      </c>
      <c r="Y625">
        <v>838800</v>
      </c>
      <c r="AA625">
        <v>838800</v>
      </c>
      <c r="AC625" t="s">
        <v>5333</v>
      </c>
      <c r="AD625" t="s">
        <v>5334</v>
      </c>
      <c r="AE625" t="s">
        <v>5335</v>
      </c>
      <c r="AF625" t="s">
        <v>5336</v>
      </c>
      <c r="AI625" s="59" t="e">
        <f t="shared" si="46"/>
        <v>#N/A</v>
      </c>
      <c r="AJ625" t="e">
        <f t="shared" si="47"/>
        <v>#N/A</v>
      </c>
      <c r="AK625" t="str">
        <f t="shared" si="48"/>
        <v/>
      </c>
    </row>
    <row r="626" spans="1:37" ht="15" customHeight="1">
      <c r="A626" s="122">
        <v>8</v>
      </c>
      <c r="B626" s="59">
        <v>622</v>
      </c>
      <c r="C626" t="s">
        <v>5337</v>
      </c>
      <c r="D626" t="s">
        <v>5338</v>
      </c>
      <c r="E626">
        <v>406</v>
      </c>
      <c r="F626" t="s">
        <v>2141</v>
      </c>
      <c r="G626" t="s">
        <v>1910</v>
      </c>
      <c r="H626" s="119">
        <f t="shared" si="49"/>
        <v>190.99051633298208</v>
      </c>
      <c r="I626" s="117">
        <v>44687</v>
      </c>
      <c r="J626">
        <v>18980</v>
      </c>
      <c r="L626">
        <v>18980</v>
      </c>
      <c r="M626">
        <v>1972</v>
      </c>
      <c r="P626" t="s">
        <v>2515</v>
      </c>
      <c r="R626" t="s">
        <v>44</v>
      </c>
      <c r="S626">
        <v>53025.588000000003</v>
      </c>
      <c r="T626" s="118">
        <f t="shared" si="50"/>
        <v>2.7937612223393047</v>
      </c>
      <c r="U626" t="s">
        <v>44</v>
      </c>
      <c r="Y626">
        <v>3625000</v>
      </c>
      <c r="AA626">
        <v>3625000</v>
      </c>
      <c r="AC626" t="s">
        <v>5339</v>
      </c>
      <c r="AD626" t="s">
        <v>5340</v>
      </c>
      <c r="AE626" t="s">
        <v>5341</v>
      </c>
      <c r="AF626" t="s">
        <v>5342</v>
      </c>
      <c r="AI626" s="59" t="e">
        <f t="shared" si="46"/>
        <v>#N/A</v>
      </c>
      <c r="AJ626" t="e">
        <f t="shared" si="47"/>
        <v>#N/A</v>
      </c>
      <c r="AK626" t="str">
        <f t="shared" si="48"/>
        <v/>
      </c>
    </row>
    <row r="627" spans="1:37" ht="15" customHeight="1">
      <c r="A627" s="122">
        <v>8</v>
      </c>
      <c r="B627" s="59">
        <v>623</v>
      </c>
      <c r="C627" t="s">
        <v>5343</v>
      </c>
      <c r="D627" t="s">
        <v>5344</v>
      </c>
      <c r="E627">
        <v>407</v>
      </c>
      <c r="F627" t="s">
        <v>2141</v>
      </c>
      <c r="G627" t="s">
        <v>1910</v>
      </c>
      <c r="H627" s="119">
        <f t="shared" si="49"/>
        <v>185.51724137931035</v>
      </c>
      <c r="I627" s="117">
        <v>43983</v>
      </c>
      <c r="J627">
        <v>14500</v>
      </c>
      <c r="L627">
        <v>14500</v>
      </c>
      <c r="M627">
        <v>1999</v>
      </c>
      <c r="P627" t="s">
        <v>3269</v>
      </c>
      <c r="R627" t="s">
        <v>229</v>
      </c>
      <c r="S627">
        <v>93252</v>
      </c>
      <c r="T627" s="118">
        <f t="shared" si="50"/>
        <v>6.431172413793103</v>
      </c>
      <c r="U627" t="s">
        <v>44</v>
      </c>
      <c r="Y627">
        <v>2690000</v>
      </c>
      <c r="AA627">
        <v>2690000</v>
      </c>
      <c r="AC627" t="s">
        <v>5345</v>
      </c>
      <c r="AD627" t="s">
        <v>5346</v>
      </c>
      <c r="AE627" t="s">
        <v>5347</v>
      </c>
      <c r="AF627" t="s">
        <v>5348</v>
      </c>
      <c r="AI627" s="59" t="e">
        <f t="shared" si="46"/>
        <v>#N/A</v>
      </c>
      <c r="AJ627" t="e">
        <f t="shared" si="47"/>
        <v>#N/A</v>
      </c>
      <c r="AK627" t="str">
        <f t="shared" si="48"/>
        <v/>
      </c>
    </row>
    <row r="628" spans="1:37" ht="15" customHeight="1">
      <c r="A628" s="122">
        <v>8</v>
      </c>
      <c r="B628" s="59">
        <v>624</v>
      </c>
      <c r="C628" t="s">
        <v>5349</v>
      </c>
      <c r="D628" t="s">
        <v>5350</v>
      </c>
      <c r="E628">
        <v>344</v>
      </c>
      <c r="F628" t="s">
        <v>2141</v>
      </c>
      <c r="G628" t="s">
        <v>89</v>
      </c>
      <c r="H628" s="119">
        <f t="shared" si="49"/>
        <v>85.845097291110264</v>
      </c>
      <c r="I628" s="117">
        <v>43900</v>
      </c>
      <c r="J628">
        <v>2621</v>
      </c>
      <c r="L628">
        <v>2624</v>
      </c>
      <c r="M628">
        <v>2010</v>
      </c>
      <c r="P628" t="s">
        <v>3269</v>
      </c>
      <c r="R628" t="s">
        <v>44</v>
      </c>
      <c r="S628">
        <v>10132</v>
      </c>
      <c r="T628" s="118">
        <f t="shared" si="50"/>
        <v>3.8657001144601297</v>
      </c>
      <c r="U628" t="s">
        <v>44</v>
      </c>
      <c r="Y628">
        <v>225000</v>
      </c>
      <c r="AA628">
        <v>225000</v>
      </c>
      <c r="AC628" t="s">
        <v>5351</v>
      </c>
      <c r="AD628" t="s">
        <v>5352</v>
      </c>
      <c r="AE628" t="s">
        <v>5353</v>
      </c>
      <c r="AF628" t="s">
        <v>5354</v>
      </c>
      <c r="AI628" s="59" t="e">
        <f t="shared" si="46"/>
        <v>#N/A</v>
      </c>
      <c r="AJ628" t="e">
        <f t="shared" si="47"/>
        <v>#N/A</v>
      </c>
      <c r="AK628" t="str">
        <f t="shared" si="48"/>
        <v/>
      </c>
    </row>
    <row r="629" spans="1:37" ht="15" customHeight="1">
      <c r="A629" s="122">
        <v>8</v>
      </c>
      <c r="B629" s="59">
        <v>625</v>
      </c>
      <c r="C629" t="s">
        <v>5355</v>
      </c>
      <c r="D629" t="s">
        <v>5356</v>
      </c>
      <c r="E629">
        <v>436</v>
      </c>
      <c r="F629" t="s">
        <v>1785</v>
      </c>
      <c r="G629" t="s">
        <v>1786</v>
      </c>
      <c r="H629" s="119">
        <f t="shared" si="49"/>
        <v>175.40620384047267</v>
      </c>
      <c r="I629" s="117">
        <v>43147</v>
      </c>
      <c r="J629">
        <v>5416</v>
      </c>
      <c r="L629">
        <v>5416</v>
      </c>
      <c r="M629">
        <v>2006</v>
      </c>
      <c r="R629" t="s">
        <v>44</v>
      </c>
      <c r="S629">
        <v>35777</v>
      </c>
      <c r="T629" s="118">
        <f t="shared" si="50"/>
        <v>6.6057976366322011</v>
      </c>
      <c r="U629" t="s">
        <v>44</v>
      </c>
      <c r="Y629">
        <v>950000</v>
      </c>
      <c r="AA629">
        <v>950000</v>
      </c>
      <c r="AC629" t="s">
        <v>5357</v>
      </c>
      <c r="AD629" t="s">
        <v>5358</v>
      </c>
      <c r="AE629" t="s">
        <v>5359</v>
      </c>
      <c r="AF629" t="s">
        <v>5360</v>
      </c>
      <c r="AI629" s="59" t="e">
        <f t="shared" si="46"/>
        <v>#N/A</v>
      </c>
      <c r="AJ629" t="e">
        <f t="shared" si="47"/>
        <v>#N/A</v>
      </c>
      <c r="AK629" t="str">
        <f t="shared" si="48"/>
        <v/>
      </c>
    </row>
    <row r="630" spans="1:37" ht="15" customHeight="1">
      <c r="A630" s="122">
        <v>8</v>
      </c>
      <c r="B630" s="59">
        <v>626</v>
      </c>
      <c r="C630" t="s">
        <v>5361</v>
      </c>
      <c r="D630" t="s">
        <v>5362</v>
      </c>
      <c r="E630">
        <v>425</v>
      </c>
      <c r="G630" t="s">
        <v>1910</v>
      </c>
      <c r="H630" s="119">
        <f t="shared" si="49"/>
        <v>179.79062357760583</v>
      </c>
      <c r="I630" s="117">
        <v>44153</v>
      </c>
      <c r="J630">
        <v>2197</v>
      </c>
      <c r="L630">
        <v>2197</v>
      </c>
      <c r="M630">
        <v>2003</v>
      </c>
      <c r="P630" t="s">
        <v>1969</v>
      </c>
      <c r="R630" t="s">
        <v>229</v>
      </c>
      <c r="S630">
        <v>4402</v>
      </c>
      <c r="T630" s="118">
        <f t="shared" si="50"/>
        <v>2.0036413290851161</v>
      </c>
      <c r="U630" t="s">
        <v>229</v>
      </c>
      <c r="Y630">
        <v>395000</v>
      </c>
      <c r="AA630">
        <v>395000</v>
      </c>
      <c r="AC630" t="s">
        <v>5363</v>
      </c>
      <c r="AD630" t="s">
        <v>5364</v>
      </c>
      <c r="AE630" t="s">
        <v>5365</v>
      </c>
      <c r="AF630" t="s">
        <v>5366</v>
      </c>
      <c r="AI630" s="59" t="e">
        <f t="shared" si="46"/>
        <v>#N/A</v>
      </c>
      <c r="AJ630" t="e">
        <f t="shared" si="47"/>
        <v>#N/A</v>
      </c>
      <c r="AK630" t="str">
        <f t="shared" si="48"/>
        <v/>
      </c>
    </row>
    <row r="631" spans="1:37" ht="15" customHeight="1">
      <c r="A631" s="122">
        <v>8</v>
      </c>
      <c r="B631" s="59">
        <v>627</v>
      </c>
      <c r="C631" t="s">
        <v>5367</v>
      </c>
      <c r="D631" t="s">
        <v>5368</v>
      </c>
      <c r="E631">
        <v>353</v>
      </c>
      <c r="F631" t="s">
        <v>2141</v>
      </c>
      <c r="G631" t="s">
        <v>89</v>
      </c>
      <c r="H631" s="119">
        <f t="shared" si="49"/>
        <v>166.08996539792386</v>
      </c>
      <c r="I631" s="117">
        <v>43441</v>
      </c>
      <c r="J631">
        <v>7225</v>
      </c>
      <c r="L631">
        <v>7225</v>
      </c>
      <c r="M631">
        <v>2007</v>
      </c>
      <c r="R631" t="s">
        <v>44</v>
      </c>
      <c r="S631">
        <v>24968</v>
      </c>
      <c r="T631" s="118">
        <f t="shared" si="50"/>
        <v>3.4557785467128026</v>
      </c>
      <c r="U631" t="s">
        <v>44</v>
      </c>
      <c r="Y631">
        <v>1200000</v>
      </c>
      <c r="AA631">
        <v>1200000</v>
      </c>
      <c r="AC631" t="s">
        <v>5369</v>
      </c>
      <c r="AD631" t="s">
        <v>5370</v>
      </c>
      <c r="AE631" t="s">
        <v>5371</v>
      </c>
      <c r="AF631" t="s">
        <v>5372</v>
      </c>
      <c r="AI631" s="59" t="e">
        <f t="shared" si="46"/>
        <v>#N/A</v>
      </c>
      <c r="AJ631" t="e">
        <f t="shared" si="47"/>
        <v>#N/A</v>
      </c>
      <c r="AK631" t="str">
        <f t="shared" si="48"/>
        <v/>
      </c>
    </row>
    <row r="632" spans="1:37" ht="15" customHeight="1">
      <c r="A632" s="122">
        <v>8</v>
      </c>
      <c r="B632" s="59">
        <v>628</v>
      </c>
      <c r="C632" t="s">
        <v>5373</v>
      </c>
      <c r="D632" t="s">
        <v>5374</v>
      </c>
      <c r="E632">
        <v>412</v>
      </c>
      <c r="F632" t="s">
        <v>1984</v>
      </c>
      <c r="G632" t="s">
        <v>89</v>
      </c>
      <c r="H632" s="119">
        <f t="shared" si="49"/>
        <v>207.79220779220779</v>
      </c>
      <c r="I632" s="117">
        <v>43103</v>
      </c>
      <c r="J632">
        <v>15400</v>
      </c>
      <c r="L632">
        <v>15400</v>
      </c>
      <c r="M632">
        <v>2004</v>
      </c>
      <c r="R632" t="s">
        <v>44</v>
      </c>
      <c r="S632">
        <v>14512</v>
      </c>
      <c r="T632" s="118">
        <f t="shared" si="50"/>
        <v>0.94233766233766236</v>
      </c>
      <c r="U632" t="s">
        <v>44</v>
      </c>
      <c r="Y632">
        <v>3200000</v>
      </c>
      <c r="AA632">
        <v>3200000</v>
      </c>
      <c r="AC632" t="s">
        <v>5375</v>
      </c>
      <c r="AD632" t="s">
        <v>5376</v>
      </c>
      <c r="AE632" t="s">
        <v>5377</v>
      </c>
      <c r="AF632" t="s">
        <v>5378</v>
      </c>
      <c r="AI632" s="59" t="e">
        <f t="shared" si="46"/>
        <v>#N/A</v>
      </c>
      <c r="AJ632" t="e">
        <f t="shared" si="47"/>
        <v>#N/A</v>
      </c>
      <c r="AK632" t="str">
        <f t="shared" si="48"/>
        <v/>
      </c>
    </row>
    <row r="633" spans="1:37" ht="15" customHeight="1">
      <c r="A633" s="122">
        <v>8</v>
      </c>
      <c r="B633" s="59">
        <v>629</v>
      </c>
      <c r="C633" t="s">
        <v>5379</v>
      </c>
      <c r="D633" t="s">
        <v>5380</v>
      </c>
      <c r="E633">
        <v>434</v>
      </c>
      <c r="F633" t="s">
        <v>1896</v>
      </c>
      <c r="G633" t="s">
        <v>1910</v>
      </c>
      <c r="H633" s="119">
        <f t="shared" si="49"/>
        <v>252.65957446808511</v>
      </c>
      <c r="I633" s="117">
        <v>43767</v>
      </c>
      <c r="J633">
        <v>3760</v>
      </c>
      <c r="L633">
        <v>3760</v>
      </c>
      <c r="M633">
        <v>2009</v>
      </c>
      <c r="P633" t="s">
        <v>2529</v>
      </c>
      <c r="R633" t="s">
        <v>44</v>
      </c>
      <c r="S633">
        <v>55756.800000000003</v>
      </c>
      <c r="T633" s="118">
        <f t="shared" si="50"/>
        <v>14.828936170212767</v>
      </c>
      <c r="U633" t="s">
        <v>44</v>
      </c>
      <c r="Y633">
        <v>950000</v>
      </c>
      <c r="AA633">
        <v>950000</v>
      </c>
      <c r="AC633" t="s">
        <v>5381</v>
      </c>
      <c r="AD633" t="s">
        <v>5382</v>
      </c>
      <c r="AE633" t="s">
        <v>5383</v>
      </c>
      <c r="AF633" t="s">
        <v>5384</v>
      </c>
      <c r="AI633" s="59" t="e">
        <f t="shared" si="46"/>
        <v>#N/A</v>
      </c>
      <c r="AJ633" t="e">
        <f t="shared" si="47"/>
        <v>#N/A</v>
      </c>
      <c r="AK633" t="str">
        <f t="shared" si="48"/>
        <v/>
      </c>
    </row>
    <row r="634" spans="1:37" ht="15" customHeight="1">
      <c r="A634" s="122">
        <v>8</v>
      </c>
      <c r="B634" s="59">
        <v>630</v>
      </c>
      <c r="C634" t="s">
        <v>5385</v>
      </c>
      <c r="D634" t="s">
        <v>5386</v>
      </c>
      <c r="E634">
        <v>353</v>
      </c>
      <c r="F634" t="s">
        <v>2141</v>
      </c>
      <c r="G634" t="s">
        <v>1910</v>
      </c>
      <c r="H634" s="119">
        <f t="shared" si="49"/>
        <v>833.33333333333337</v>
      </c>
      <c r="I634" s="117">
        <v>43801</v>
      </c>
      <c r="J634">
        <v>360</v>
      </c>
      <c r="L634">
        <v>360</v>
      </c>
      <c r="M634">
        <v>1967</v>
      </c>
      <c r="P634" t="s">
        <v>2610</v>
      </c>
      <c r="R634" t="s">
        <v>44</v>
      </c>
      <c r="S634">
        <v>13869</v>
      </c>
      <c r="T634" s="118">
        <f t="shared" si="50"/>
        <v>38.524999999999999</v>
      </c>
      <c r="U634" t="s">
        <v>44</v>
      </c>
      <c r="Y634">
        <v>300000</v>
      </c>
      <c r="AA634">
        <v>300000</v>
      </c>
      <c r="AC634" t="s">
        <v>5387</v>
      </c>
      <c r="AD634" t="s">
        <v>5388</v>
      </c>
      <c r="AE634" t="s">
        <v>5389</v>
      </c>
      <c r="AF634" t="s">
        <v>5390</v>
      </c>
      <c r="AI634" s="59" t="e">
        <f t="shared" si="46"/>
        <v>#N/A</v>
      </c>
      <c r="AJ634" t="e">
        <f t="shared" si="47"/>
        <v>#N/A</v>
      </c>
      <c r="AK634" t="str">
        <f t="shared" si="48"/>
        <v/>
      </c>
    </row>
    <row r="635" spans="1:37" ht="15" customHeight="1">
      <c r="A635" s="122">
        <v>8</v>
      </c>
      <c r="B635" s="59">
        <v>631</v>
      </c>
      <c r="C635" t="s">
        <v>5391</v>
      </c>
      <c r="D635" t="s">
        <v>5392</v>
      </c>
      <c r="E635">
        <v>325</v>
      </c>
      <c r="F635" t="s">
        <v>2141</v>
      </c>
      <c r="G635" t="s">
        <v>1910</v>
      </c>
      <c r="H635" s="119">
        <f t="shared" si="49"/>
        <v>174.07407407407408</v>
      </c>
      <c r="I635" s="117">
        <v>44273</v>
      </c>
      <c r="J635">
        <v>4320</v>
      </c>
      <c r="L635">
        <v>4320</v>
      </c>
      <c r="M635">
        <v>1970</v>
      </c>
      <c r="P635" t="s">
        <v>2243</v>
      </c>
      <c r="R635" t="s">
        <v>44</v>
      </c>
      <c r="S635">
        <v>12075</v>
      </c>
      <c r="T635" s="118">
        <f t="shared" si="50"/>
        <v>2.7951388888888888</v>
      </c>
      <c r="U635" t="s">
        <v>44</v>
      </c>
      <c r="Y635">
        <v>752000</v>
      </c>
      <c r="AA635">
        <v>752000</v>
      </c>
      <c r="AC635" t="s">
        <v>5393</v>
      </c>
      <c r="AD635" t="s">
        <v>5394</v>
      </c>
      <c r="AE635" t="s">
        <v>5395</v>
      </c>
      <c r="AF635" t="s">
        <v>5396</v>
      </c>
      <c r="AI635" s="59" t="e">
        <f t="shared" si="46"/>
        <v>#N/A</v>
      </c>
      <c r="AJ635" t="e">
        <f t="shared" si="47"/>
        <v>#N/A</v>
      </c>
      <c r="AK635" t="str">
        <f t="shared" si="48"/>
        <v/>
      </c>
    </row>
    <row r="636" spans="1:37" ht="15" customHeight="1">
      <c r="A636" s="122">
        <v>8</v>
      </c>
      <c r="B636" s="59">
        <v>632</v>
      </c>
      <c r="C636" t="s">
        <v>5397</v>
      </c>
      <c r="D636" t="s">
        <v>5398</v>
      </c>
      <c r="E636">
        <v>353</v>
      </c>
      <c r="F636" t="s">
        <v>1800</v>
      </c>
      <c r="G636" t="s">
        <v>1786</v>
      </c>
      <c r="H636" s="119">
        <f t="shared" si="49"/>
        <v>227.40524781341108</v>
      </c>
      <c r="I636" s="117">
        <v>43112</v>
      </c>
      <c r="J636">
        <v>5145</v>
      </c>
      <c r="L636">
        <v>5145</v>
      </c>
      <c r="M636">
        <v>1962</v>
      </c>
      <c r="P636" t="s">
        <v>3629</v>
      </c>
      <c r="R636" t="s">
        <v>44</v>
      </c>
      <c r="S636">
        <v>14761</v>
      </c>
      <c r="T636" s="118">
        <f t="shared" si="50"/>
        <v>2.8689990281827016</v>
      </c>
      <c r="U636" t="s">
        <v>44</v>
      </c>
      <c r="Y636">
        <v>1170000</v>
      </c>
      <c r="AA636">
        <v>1170000</v>
      </c>
      <c r="AC636" t="s">
        <v>5399</v>
      </c>
      <c r="AD636" t="s">
        <v>5400</v>
      </c>
      <c r="AE636" t="s">
        <v>5401</v>
      </c>
      <c r="AF636" t="s">
        <v>5402</v>
      </c>
      <c r="AI636" s="59" t="e">
        <f t="shared" si="46"/>
        <v>#N/A</v>
      </c>
      <c r="AJ636" t="e">
        <f t="shared" si="47"/>
        <v>#N/A</v>
      </c>
      <c r="AK636" t="str">
        <f t="shared" si="48"/>
        <v/>
      </c>
    </row>
    <row r="637" spans="1:37" ht="15" customHeight="1">
      <c r="A637" s="122">
        <v>8</v>
      </c>
      <c r="B637" s="59">
        <v>633</v>
      </c>
      <c r="C637" t="s">
        <v>5403</v>
      </c>
      <c r="D637" t="s">
        <v>5404</v>
      </c>
      <c r="E637">
        <v>325</v>
      </c>
      <c r="G637" t="s">
        <v>1786</v>
      </c>
      <c r="H637" s="119">
        <f t="shared" si="49"/>
        <v>215.51724137931035</v>
      </c>
      <c r="I637" s="117">
        <v>44685</v>
      </c>
      <c r="J637">
        <v>2204</v>
      </c>
      <c r="L637">
        <v>2204</v>
      </c>
      <c r="M637">
        <v>1967</v>
      </c>
      <c r="P637" t="s">
        <v>1925</v>
      </c>
      <c r="R637" t="s">
        <v>44</v>
      </c>
      <c r="S637">
        <v>14941.080099999999</v>
      </c>
      <c r="T637" s="118">
        <f t="shared" si="50"/>
        <v>6.7790744555353895</v>
      </c>
      <c r="U637" t="s">
        <v>44</v>
      </c>
      <c r="Y637">
        <v>475000</v>
      </c>
      <c r="AA637">
        <v>475000</v>
      </c>
      <c r="AC637" t="s">
        <v>5405</v>
      </c>
      <c r="AD637" t="s">
        <v>5406</v>
      </c>
      <c r="AE637" t="s">
        <v>5407</v>
      </c>
      <c r="AF637" t="s">
        <v>5408</v>
      </c>
      <c r="AI637" s="59" t="e">
        <f t="shared" si="46"/>
        <v>#N/A</v>
      </c>
      <c r="AJ637" t="e">
        <f t="shared" si="47"/>
        <v>#N/A</v>
      </c>
      <c r="AK637" t="str">
        <f t="shared" si="48"/>
        <v/>
      </c>
    </row>
    <row r="638" spans="1:37" ht="15" customHeight="1">
      <c r="A638" s="122">
        <v>8</v>
      </c>
      <c r="B638" s="59">
        <v>634</v>
      </c>
      <c r="C638" t="s">
        <v>5409</v>
      </c>
      <c r="D638" t="s">
        <v>5410</v>
      </c>
      <c r="E638">
        <v>407</v>
      </c>
      <c r="G638" t="s">
        <v>1910</v>
      </c>
      <c r="H638" s="119">
        <f t="shared" si="49"/>
        <v>235.37735849056602</v>
      </c>
      <c r="I638" s="117">
        <v>44427</v>
      </c>
      <c r="J638">
        <v>10600</v>
      </c>
      <c r="L638">
        <v>10600</v>
      </c>
      <c r="M638">
        <v>2005</v>
      </c>
      <c r="P638" t="s">
        <v>3746</v>
      </c>
      <c r="R638" t="s">
        <v>44</v>
      </c>
      <c r="S638">
        <v>68389.2</v>
      </c>
      <c r="T638" s="118">
        <f t="shared" si="50"/>
        <v>6.4518113207547163</v>
      </c>
      <c r="U638" t="s">
        <v>44</v>
      </c>
      <c r="Y638">
        <v>2495000</v>
      </c>
      <c r="AA638">
        <v>2495000</v>
      </c>
      <c r="AC638" t="s">
        <v>5411</v>
      </c>
      <c r="AD638" t="s">
        <v>5412</v>
      </c>
      <c r="AE638" t="s">
        <v>5413</v>
      </c>
      <c r="AF638" t="s">
        <v>5414</v>
      </c>
      <c r="AI638" s="59" t="e">
        <f t="shared" si="46"/>
        <v>#N/A</v>
      </c>
      <c r="AJ638" t="e">
        <f t="shared" si="47"/>
        <v>#N/A</v>
      </c>
      <c r="AK638" t="str">
        <f t="shared" si="48"/>
        <v/>
      </c>
    </row>
    <row r="639" spans="1:37" ht="15" customHeight="1">
      <c r="A639" s="122">
        <v>8</v>
      </c>
      <c r="B639" s="59">
        <v>635</v>
      </c>
      <c r="C639" t="s">
        <v>5415</v>
      </c>
      <c r="D639" t="s">
        <v>5416</v>
      </c>
      <c r="E639">
        <v>425</v>
      </c>
      <c r="F639" t="s">
        <v>1814</v>
      </c>
      <c r="G639" t="s">
        <v>1815</v>
      </c>
      <c r="H639" s="119">
        <f t="shared" si="49"/>
        <v>162.66666666666666</v>
      </c>
      <c r="I639" s="117">
        <v>44459</v>
      </c>
      <c r="J639">
        <v>1500</v>
      </c>
      <c r="L639">
        <v>1500</v>
      </c>
      <c r="M639">
        <v>1984</v>
      </c>
      <c r="P639" t="s">
        <v>1932</v>
      </c>
      <c r="R639" t="s">
        <v>229</v>
      </c>
      <c r="S639">
        <v>5227</v>
      </c>
      <c r="T639" s="118">
        <f t="shared" si="50"/>
        <v>3.4846666666666666</v>
      </c>
      <c r="U639" t="s">
        <v>44</v>
      </c>
      <c r="Y639">
        <v>244000</v>
      </c>
      <c r="AA639">
        <v>244000</v>
      </c>
      <c r="AC639" t="s">
        <v>5417</v>
      </c>
      <c r="AD639" t="s">
        <v>5418</v>
      </c>
      <c r="AE639" t="s">
        <v>5419</v>
      </c>
      <c r="AF639" t="s">
        <v>4102</v>
      </c>
      <c r="AI639" s="59" t="e">
        <f t="shared" si="46"/>
        <v>#N/A</v>
      </c>
      <c r="AJ639" t="e">
        <f t="shared" si="47"/>
        <v>#N/A</v>
      </c>
      <c r="AK639" t="str">
        <f t="shared" si="48"/>
        <v/>
      </c>
    </row>
    <row r="640" spans="1:37" ht="15" customHeight="1">
      <c r="A640" s="122">
        <v>8</v>
      </c>
      <c r="B640" s="59">
        <v>636</v>
      </c>
      <c r="C640" t="s">
        <v>5420</v>
      </c>
      <c r="D640" t="s">
        <v>5421</v>
      </c>
      <c r="E640">
        <v>407</v>
      </c>
      <c r="F640" t="s">
        <v>2141</v>
      </c>
      <c r="G640" t="s">
        <v>1910</v>
      </c>
      <c r="H640" s="119">
        <f t="shared" si="49"/>
        <v>176.20627881706852</v>
      </c>
      <c r="I640" s="117">
        <v>44222</v>
      </c>
      <c r="J640">
        <v>34051</v>
      </c>
      <c r="L640">
        <v>34051</v>
      </c>
      <c r="M640">
        <v>2003</v>
      </c>
      <c r="P640" t="s">
        <v>3269</v>
      </c>
      <c r="R640" t="s">
        <v>44</v>
      </c>
      <c r="S640">
        <v>217800</v>
      </c>
      <c r="T640" s="118">
        <f t="shared" si="50"/>
        <v>6.3962879210595869</v>
      </c>
      <c r="U640" t="s">
        <v>44</v>
      </c>
      <c r="Y640">
        <v>6000000</v>
      </c>
      <c r="AA640">
        <v>6000000</v>
      </c>
      <c r="AC640" t="s">
        <v>5422</v>
      </c>
      <c r="AD640" t="s">
        <v>5423</v>
      </c>
      <c r="AE640" t="s">
        <v>5424</v>
      </c>
      <c r="AF640" t="s">
        <v>5425</v>
      </c>
      <c r="AI640" s="59" t="e">
        <f t="shared" si="46"/>
        <v>#N/A</v>
      </c>
      <c r="AJ640" t="e">
        <f t="shared" si="47"/>
        <v>#N/A</v>
      </c>
      <c r="AK640" t="str">
        <f t="shared" si="48"/>
        <v/>
      </c>
    </row>
    <row r="641" spans="1:37" ht="15" customHeight="1">
      <c r="A641" s="122">
        <v>8</v>
      </c>
      <c r="B641" s="59">
        <v>637</v>
      </c>
      <c r="C641" t="s">
        <v>5426</v>
      </c>
      <c r="D641" t="s">
        <v>5427</v>
      </c>
      <c r="E641">
        <v>353</v>
      </c>
      <c r="F641" t="s">
        <v>1785</v>
      </c>
      <c r="G641" t="s">
        <v>1786</v>
      </c>
      <c r="H641" s="119">
        <f t="shared" si="49"/>
        <v>257.71428571428572</v>
      </c>
      <c r="I641" s="117">
        <v>44651</v>
      </c>
      <c r="J641">
        <v>7000</v>
      </c>
      <c r="L641">
        <v>7000</v>
      </c>
      <c r="M641">
        <v>1995</v>
      </c>
      <c r="P641" t="s">
        <v>2522</v>
      </c>
      <c r="R641" t="s">
        <v>44</v>
      </c>
      <c r="S641">
        <v>41427</v>
      </c>
      <c r="T641" s="118">
        <f t="shared" si="50"/>
        <v>5.9181428571428567</v>
      </c>
      <c r="U641" t="s">
        <v>44</v>
      </c>
      <c r="Y641">
        <v>1804000</v>
      </c>
      <c r="AA641">
        <v>1804000</v>
      </c>
      <c r="AC641" t="s">
        <v>5428</v>
      </c>
      <c r="AD641" t="s">
        <v>5429</v>
      </c>
      <c r="AE641" t="s">
        <v>5430</v>
      </c>
      <c r="AF641" t="s">
        <v>5431</v>
      </c>
      <c r="AI641" s="59" t="e">
        <f t="shared" si="46"/>
        <v>#N/A</v>
      </c>
      <c r="AJ641" t="e">
        <f t="shared" si="47"/>
        <v>#N/A</v>
      </c>
      <c r="AK641" t="str">
        <f t="shared" si="48"/>
        <v/>
      </c>
    </row>
    <row r="642" spans="1:37" ht="15" customHeight="1">
      <c r="A642" s="122">
        <v>8</v>
      </c>
      <c r="B642" s="59">
        <v>638</v>
      </c>
      <c r="C642" t="s">
        <v>5432</v>
      </c>
      <c r="D642" t="s">
        <v>5433</v>
      </c>
      <c r="E642">
        <v>407</v>
      </c>
      <c r="F642" t="s">
        <v>1814</v>
      </c>
      <c r="G642" t="s">
        <v>1815</v>
      </c>
      <c r="H642" s="119">
        <f t="shared" si="49"/>
        <v>139.18629550321199</v>
      </c>
      <c r="I642" s="117">
        <v>43522</v>
      </c>
      <c r="J642">
        <v>18680</v>
      </c>
      <c r="L642">
        <v>18680</v>
      </c>
      <c r="M642">
        <v>2005</v>
      </c>
      <c r="R642" t="s">
        <v>44</v>
      </c>
      <c r="S642">
        <v>73617</v>
      </c>
      <c r="T642" s="118">
        <f t="shared" si="50"/>
        <v>3.9409528907922913</v>
      </c>
      <c r="U642" t="s">
        <v>44</v>
      </c>
      <c r="Y642">
        <v>2600000</v>
      </c>
      <c r="AA642">
        <v>2600000</v>
      </c>
      <c r="AC642" t="s">
        <v>5434</v>
      </c>
      <c r="AD642" t="s">
        <v>5435</v>
      </c>
      <c r="AE642" t="s">
        <v>5436</v>
      </c>
      <c r="AF642" t="s">
        <v>5437</v>
      </c>
      <c r="AI642" s="59" t="e">
        <f t="shared" ref="AI642:AI705" si="51">IF(AND($E642=Subj_OccCode,Subj_BldgSF&gt;0,ABS($L642-Subj_BldgSF)&lt;=Subj_BldgSF*Subj_SizeTol),ABS($L642-Subj_BldgSF),NA())</f>
        <v>#N/A</v>
      </c>
      <c r="AJ642" t="e">
        <f t="shared" ref="AJ642:AJ705" si="52">IF(ISNA(AI642),NA(),AI642+ROW()/10000000)</f>
        <v>#N/A</v>
      </c>
      <c r="AK642" t="str">
        <f t="shared" si="48"/>
        <v/>
      </c>
    </row>
    <row r="643" spans="1:37" ht="15" customHeight="1">
      <c r="A643" s="122">
        <v>8</v>
      </c>
      <c r="B643" s="59">
        <v>639</v>
      </c>
      <c r="C643" t="s">
        <v>5438</v>
      </c>
      <c r="D643" t="s">
        <v>5439</v>
      </c>
      <c r="E643">
        <v>328</v>
      </c>
      <c r="G643" t="s">
        <v>88</v>
      </c>
      <c r="H643" s="119">
        <f t="shared" si="49"/>
        <v>108.88888888888889</v>
      </c>
      <c r="I643" s="117">
        <v>44669</v>
      </c>
      <c r="J643">
        <v>4500</v>
      </c>
      <c r="L643">
        <v>4500</v>
      </c>
      <c r="M643">
        <v>2006</v>
      </c>
      <c r="R643" t="s">
        <v>44</v>
      </c>
      <c r="T643" s="118">
        <f t="shared" si="50"/>
        <v>0</v>
      </c>
      <c r="U643" t="s">
        <v>44</v>
      </c>
      <c r="Y643">
        <v>490000</v>
      </c>
      <c r="AA643">
        <v>490000</v>
      </c>
      <c r="AC643" t="s">
        <v>5440</v>
      </c>
      <c r="AD643" t="s">
        <v>5441</v>
      </c>
      <c r="AE643" t="s">
        <v>2538</v>
      </c>
      <c r="AF643" t="s">
        <v>5442</v>
      </c>
      <c r="AI643" s="59" t="e">
        <f t="shared" si="51"/>
        <v>#N/A</v>
      </c>
      <c r="AJ643" t="e">
        <f t="shared" si="52"/>
        <v>#N/A</v>
      </c>
      <c r="AK643" t="str">
        <f t="shared" si="48"/>
        <v/>
      </c>
    </row>
    <row r="644" spans="1:37" ht="15" customHeight="1">
      <c r="A644" s="122">
        <v>8</v>
      </c>
      <c r="B644" s="59">
        <v>640</v>
      </c>
      <c r="C644" t="s">
        <v>5443</v>
      </c>
      <c r="D644" t="s">
        <v>5444</v>
      </c>
      <c r="E644">
        <v>407</v>
      </c>
      <c r="F644" t="s">
        <v>1814</v>
      </c>
      <c r="G644" t="s">
        <v>88</v>
      </c>
      <c r="H644" s="119">
        <f t="shared" si="49"/>
        <v>153.01188596330164</v>
      </c>
      <c r="I644" s="117">
        <v>44357</v>
      </c>
      <c r="J644">
        <v>163386</v>
      </c>
      <c r="L644">
        <v>163386</v>
      </c>
      <c r="M644">
        <v>2019</v>
      </c>
      <c r="P644" t="s">
        <v>5445</v>
      </c>
      <c r="R644" t="s">
        <v>44</v>
      </c>
      <c r="S644">
        <v>436488.62400000001</v>
      </c>
      <c r="T644" s="118">
        <f t="shared" si="50"/>
        <v>2.6715179023906579</v>
      </c>
      <c r="U644" t="s">
        <v>44</v>
      </c>
      <c r="Y644">
        <v>25000000</v>
      </c>
      <c r="AA644">
        <v>25000000</v>
      </c>
      <c r="AC644" t="s">
        <v>5446</v>
      </c>
      <c r="AD644" t="s">
        <v>5447</v>
      </c>
      <c r="AE644" t="s">
        <v>5448</v>
      </c>
      <c r="AF644" t="s">
        <v>5449</v>
      </c>
      <c r="AI644" s="59" t="e">
        <f t="shared" si="51"/>
        <v>#N/A</v>
      </c>
      <c r="AJ644" t="e">
        <f t="shared" si="52"/>
        <v>#N/A</v>
      </c>
      <c r="AK644" t="str">
        <f t="shared" si="48"/>
        <v/>
      </c>
    </row>
    <row r="645" spans="1:37" ht="15" customHeight="1">
      <c r="A645" s="122">
        <v>8</v>
      </c>
      <c r="B645" s="59">
        <v>641</v>
      </c>
      <c r="C645" t="s">
        <v>5450</v>
      </c>
      <c r="D645" t="s">
        <v>5451</v>
      </c>
      <c r="E645">
        <v>1344</v>
      </c>
      <c r="F645" t="s">
        <v>1800</v>
      </c>
      <c r="G645" t="s">
        <v>1786</v>
      </c>
      <c r="H645" s="119">
        <f t="shared" si="49"/>
        <v>132.27513227513228</v>
      </c>
      <c r="I645" s="117">
        <v>44452</v>
      </c>
      <c r="J645">
        <v>3780</v>
      </c>
      <c r="L645">
        <v>3780</v>
      </c>
      <c r="M645">
        <v>1982</v>
      </c>
      <c r="P645" t="s">
        <v>2211</v>
      </c>
      <c r="R645" t="s">
        <v>44</v>
      </c>
      <c r="T645" s="118">
        <f t="shared" si="50"/>
        <v>0</v>
      </c>
      <c r="U645" t="s">
        <v>44</v>
      </c>
      <c r="Y645">
        <v>500000</v>
      </c>
      <c r="AA645">
        <v>500000</v>
      </c>
      <c r="AC645" t="s">
        <v>5452</v>
      </c>
      <c r="AD645" t="s">
        <v>5453</v>
      </c>
      <c r="AE645" t="s">
        <v>5454</v>
      </c>
      <c r="AF645" t="s">
        <v>5455</v>
      </c>
      <c r="AI645" s="59" t="e">
        <f t="shared" si="51"/>
        <v>#N/A</v>
      </c>
      <c r="AJ645" t="e">
        <f t="shared" si="52"/>
        <v>#N/A</v>
      </c>
      <c r="AK645" t="str">
        <f t="shared" si="48"/>
        <v/>
      </c>
    </row>
    <row r="646" spans="1:37" ht="15" customHeight="1">
      <c r="A646" s="122">
        <v>8</v>
      </c>
      <c r="B646" s="59">
        <v>642</v>
      </c>
      <c r="C646" t="s">
        <v>5456</v>
      </c>
      <c r="D646" t="s">
        <v>5457</v>
      </c>
      <c r="E646">
        <v>407</v>
      </c>
      <c r="F646" t="s">
        <v>2141</v>
      </c>
      <c r="G646" t="s">
        <v>1910</v>
      </c>
      <c r="H646" s="119">
        <f t="shared" si="49"/>
        <v>193.52124526714346</v>
      </c>
      <c r="I646" s="117">
        <v>44641</v>
      </c>
      <c r="J646">
        <v>23770</v>
      </c>
      <c r="L646">
        <v>23770</v>
      </c>
      <c r="M646">
        <v>2010</v>
      </c>
      <c r="P646" t="s">
        <v>3269</v>
      </c>
      <c r="R646" t="s">
        <v>44</v>
      </c>
      <c r="S646">
        <v>73703.523400000005</v>
      </c>
      <c r="T646" s="118">
        <f t="shared" si="50"/>
        <v>3.1006951367269671</v>
      </c>
      <c r="U646" t="s">
        <v>44</v>
      </c>
      <c r="Y646">
        <v>4600000</v>
      </c>
      <c r="AA646">
        <v>4600000</v>
      </c>
      <c r="AC646" t="s">
        <v>5458</v>
      </c>
      <c r="AD646" t="s">
        <v>5459</v>
      </c>
      <c r="AE646" t="s">
        <v>5460</v>
      </c>
      <c r="AF646" t="s">
        <v>5461</v>
      </c>
      <c r="AI646" s="59" t="e">
        <f t="shared" si="51"/>
        <v>#N/A</v>
      </c>
      <c r="AJ646" t="e">
        <f t="shared" si="52"/>
        <v>#N/A</v>
      </c>
      <c r="AK646" t="str">
        <f t="shared" si="48"/>
        <v/>
      </c>
    </row>
    <row r="647" spans="1:37" ht="15" customHeight="1">
      <c r="A647" s="122">
        <v>8</v>
      </c>
      <c r="B647" s="59">
        <v>643</v>
      </c>
      <c r="C647" t="s">
        <v>5462</v>
      </c>
      <c r="D647" t="s">
        <v>5463</v>
      </c>
      <c r="E647">
        <v>426</v>
      </c>
      <c r="F647" t="s">
        <v>1896</v>
      </c>
      <c r="G647" t="s">
        <v>1786</v>
      </c>
      <c r="H647" s="119">
        <f t="shared" si="49"/>
        <v>199.68051118210863</v>
      </c>
      <c r="I647" s="117">
        <v>43917</v>
      </c>
      <c r="J647">
        <v>5008</v>
      </c>
      <c r="L647">
        <v>5008</v>
      </c>
      <c r="M647">
        <v>2007</v>
      </c>
      <c r="P647" t="s">
        <v>4790</v>
      </c>
      <c r="R647" t="s">
        <v>44</v>
      </c>
      <c r="S647">
        <v>19283</v>
      </c>
      <c r="T647" s="118">
        <f t="shared" si="50"/>
        <v>3.8504392971246006</v>
      </c>
      <c r="U647" t="s">
        <v>44</v>
      </c>
      <c r="Y647">
        <v>1000000</v>
      </c>
      <c r="AA647">
        <v>1000000</v>
      </c>
      <c r="AC647" t="s">
        <v>5464</v>
      </c>
      <c r="AD647" t="s">
        <v>5465</v>
      </c>
      <c r="AE647" t="s">
        <v>5466</v>
      </c>
      <c r="AF647" t="s">
        <v>5467</v>
      </c>
      <c r="AI647" s="59" t="e">
        <f t="shared" si="51"/>
        <v>#N/A</v>
      </c>
      <c r="AJ647" t="e">
        <f t="shared" si="52"/>
        <v>#N/A</v>
      </c>
      <c r="AK647" t="str">
        <f t="shared" si="48"/>
        <v/>
      </c>
    </row>
    <row r="648" spans="1:37" ht="15" customHeight="1">
      <c r="A648" s="122">
        <v>8</v>
      </c>
      <c r="B648" s="59">
        <v>644</v>
      </c>
      <c r="C648" t="s">
        <v>5468</v>
      </c>
      <c r="D648" t="s">
        <v>5469</v>
      </c>
      <c r="E648">
        <v>343</v>
      </c>
      <c r="F648" t="s">
        <v>1800</v>
      </c>
      <c r="G648" t="s">
        <v>1786</v>
      </c>
      <c r="H648" s="119">
        <f t="shared" si="49"/>
        <v>261.54196042756422</v>
      </c>
      <c r="I648" s="117">
        <v>44729</v>
      </c>
      <c r="J648">
        <v>13191</v>
      </c>
      <c r="L648">
        <v>13191</v>
      </c>
      <c r="M648">
        <v>2014</v>
      </c>
      <c r="P648" t="s">
        <v>2268</v>
      </c>
      <c r="R648" t="s">
        <v>44</v>
      </c>
      <c r="S648">
        <v>43799</v>
      </c>
      <c r="T648" s="118">
        <f t="shared" si="50"/>
        <v>3.3203699492077932</v>
      </c>
      <c r="U648" t="s">
        <v>44</v>
      </c>
      <c r="Y648">
        <v>3450000</v>
      </c>
      <c r="AA648">
        <v>3450000</v>
      </c>
      <c r="AC648" t="s">
        <v>5470</v>
      </c>
      <c r="AD648" t="s">
        <v>5471</v>
      </c>
      <c r="AE648" t="s">
        <v>5472</v>
      </c>
      <c r="AF648" t="s">
        <v>5473</v>
      </c>
      <c r="AI648" s="59" t="e">
        <f t="shared" si="51"/>
        <v>#N/A</v>
      </c>
      <c r="AJ648" t="e">
        <f t="shared" si="52"/>
        <v>#N/A</v>
      </c>
      <c r="AK648" t="str">
        <f t="shared" si="48"/>
        <v/>
      </c>
    </row>
    <row r="649" spans="1:37" ht="15" customHeight="1">
      <c r="A649" s="122">
        <v>8</v>
      </c>
      <c r="B649" s="59">
        <v>645</v>
      </c>
      <c r="C649" t="s">
        <v>5474</v>
      </c>
      <c r="D649" t="s">
        <v>5475</v>
      </c>
      <c r="E649">
        <v>325</v>
      </c>
      <c r="F649" t="s">
        <v>1800</v>
      </c>
      <c r="G649" t="s">
        <v>1786</v>
      </c>
      <c r="H649" s="119">
        <f t="shared" si="49"/>
        <v>110.46511627906976</v>
      </c>
      <c r="I649" s="117">
        <v>44007</v>
      </c>
      <c r="J649">
        <v>17200</v>
      </c>
      <c r="L649">
        <v>17200</v>
      </c>
      <c r="M649">
        <v>1960</v>
      </c>
      <c r="P649" t="s">
        <v>2268</v>
      </c>
      <c r="R649" t="s">
        <v>44</v>
      </c>
      <c r="S649">
        <v>89210.880000000005</v>
      </c>
      <c r="T649" s="118">
        <f t="shared" si="50"/>
        <v>5.1866790697674423</v>
      </c>
      <c r="U649" t="s">
        <v>302</v>
      </c>
      <c r="Y649">
        <v>1900000</v>
      </c>
      <c r="AA649">
        <v>1900000</v>
      </c>
      <c r="AC649" t="s">
        <v>5476</v>
      </c>
      <c r="AD649" t="s">
        <v>5477</v>
      </c>
      <c r="AE649" t="s">
        <v>5478</v>
      </c>
      <c r="AF649" t="s">
        <v>5479</v>
      </c>
      <c r="AI649" s="59" t="e">
        <f t="shared" si="51"/>
        <v>#N/A</v>
      </c>
      <c r="AJ649" t="e">
        <f t="shared" si="52"/>
        <v>#N/A</v>
      </c>
      <c r="AK649" t="str">
        <f t="shared" ref="AK649:AK712" si="53">IF(AND(ISNUMBER($N649),$N649&gt;0,ISNUMBER($Y649)),$Y649/$N649,"")</f>
        <v/>
      </c>
    </row>
    <row r="650" spans="1:37" ht="15" customHeight="1">
      <c r="A650" s="122">
        <v>8</v>
      </c>
      <c r="B650" s="59">
        <v>646</v>
      </c>
      <c r="C650" t="s">
        <v>5480</v>
      </c>
      <c r="D650" t="s">
        <v>5481</v>
      </c>
      <c r="E650">
        <v>584</v>
      </c>
      <c r="F650" t="s">
        <v>1814</v>
      </c>
      <c r="G650" t="s">
        <v>88</v>
      </c>
      <c r="H650" s="119">
        <f t="shared" si="49"/>
        <v>164.31818181818181</v>
      </c>
      <c r="I650" s="117">
        <v>44459</v>
      </c>
      <c r="J650">
        <v>220000</v>
      </c>
      <c r="L650">
        <v>220000</v>
      </c>
      <c r="M650">
        <v>2012</v>
      </c>
      <c r="P650" t="s">
        <v>5445</v>
      </c>
      <c r="R650" t="s">
        <v>44</v>
      </c>
      <c r="S650">
        <v>750297</v>
      </c>
      <c r="T650" s="118">
        <f t="shared" si="50"/>
        <v>3.4104409090909091</v>
      </c>
      <c r="U650" t="s">
        <v>44</v>
      </c>
      <c r="Y650">
        <v>36150000</v>
      </c>
      <c r="AA650">
        <v>36150000</v>
      </c>
      <c r="AC650" t="s">
        <v>5482</v>
      </c>
      <c r="AD650" t="s">
        <v>5483</v>
      </c>
      <c r="AE650" t="s">
        <v>5484</v>
      </c>
      <c r="AF650" t="s">
        <v>5485</v>
      </c>
      <c r="AI650" s="59" t="e">
        <f t="shared" si="51"/>
        <v>#N/A</v>
      </c>
      <c r="AJ650" t="e">
        <f t="shared" si="52"/>
        <v>#N/A</v>
      </c>
      <c r="AK650" t="str">
        <f t="shared" si="53"/>
        <v/>
      </c>
    </row>
    <row r="651" spans="1:37" ht="15" customHeight="1">
      <c r="A651" s="122">
        <v>8</v>
      </c>
      <c r="B651" s="59">
        <v>647</v>
      </c>
      <c r="C651" t="s">
        <v>5486</v>
      </c>
      <c r="D651" t="s">
        <v>5487</v>
      </c>
      <c r="E651">
        <v>406</v>
      </c>
      <c r="F651" t="s">
        <v>2542</v>
      </c>
      <c r="G651" t="s">
        <v>88</v>
      </c>
      <c r="H651" s="119">
        <f t="shared" si="49"/>
        <v>166.66666666666666</v>
      </c>
      <c r="I651" s="117">
        <v>43934</v>
      </c>
      <c r="J651">
        <v>1500</v>
      </c>
      <c r="L651">
        <v>1500</v>
      </c>
      <c r="M651">
        <v>1986</v>
      </c>
      <c r="P651" t="s">
        <v>3739</v>
      </c>
      <c r="R651" t="s">
        <v>44</v>
      </c>
      <c r="S651">
        <v>65340</v>
      </c>
      <c r="T651" s="118">
        <f t="shared" si="50"/>
        <v>43.56</v>
      </c>
      <c r="U651" t="s">
        <v>44</v>
      </c>
      <c r="Y651">
        <v>250000</v>
      </c>
      <c r="AA651">
        <v>250000</v>
      </c>
      <c r="AC651" t="s">
        <v>5488</v>
      </c>
      <c r="AD651" t="s">
        <v>5489</v>
      </c>
      <c r="AE651" t="s">
        <v>5490</v>
      </c>
      <c r="AF651" t="s">
        <v>5491</v>
      </c>
      <c r="AI651" s="59" t="e">
        <f t="shared" si="51"/>
        <v>#N/A</v>
      </c>
      <c r="AJ651" t="e">
        <f t="shared" si="52"/>
        <v>#N/A</v>
      </c>
      <c r="AK651" t="str">
        <f t="shared" si="53"/>
        <v/>
      </c>
    </row>
    <row r="652" spans="1:37" ht="15" customHeight="1">
      <c r="A652" s="122">
        <v>8</v>
      </c>
      <c r="B652" s="59">
        <v>648</v>
      </c>
      <c r="C652" t="s">
        <v>5492</v>
      </c>
      <c r="D652" t="s">
        <v>5493</v>
      </c>
      <c r="E652">
        <v>425</v>
      </c>
      <c r="F652" t="s">
        <v>1800</v>
      </c>
      <c r="G652" t="s">
        <v>90</v>
      </c>
      <c r="H652" s="119">
        <f t="shared" si="49"/>
        <v>264.09826912339474</v>
      </c>
      <c r="I652" s="117">
        <v>43882</v>
      </c>
      <c r="J652">
        <v>1791</v>
      </c>
      <c r="L652">
        <v>1791</v>
      </c>
      <c r="M652">
        <v>2016</v>
      </c>
      <c r="P652" t="s">
        <v>1807</v>
      </c>
      <c r="R652" t="s">
        <v>229</v>
      </c>
      <c r="S652">
        <v>5569</v>
      </c>
      <c r="T652" s="118">
        <f t="shared" si="50"/>
        <v>3.109436069235064</v>
      </c>
      <c r="U652" t="s">
        <v>229</v>
      </c>
      <c r="Y652">
        <v>473000</v>
      </c>
      <c r="AA652">
        <v>473000</v>
      </c>
      <c r="AC652" t="s">
        <v>5494</v>
      </c>
      <c r="AD652" t="s">
        <v>5495</v>
      </c>
      <c r="AE652" t="s">
        <v>5496</v>
      </c>
      <c r="AF652" t="s">
        <v>5497</v>
      </c>
      <c r="AI652" s="59" t="e">
        <f t="shared" si="51"/>
        <v>#N/A</v>
      </c>
      <c r="AJ652" t="e">
        <f t="shared" si="52"/>
        <v>#N/A</v>
      </c>
      <c r="AK652" t="str">
        <f t="shared" si="53"/>
        <v/>
      </c>
    </row>
    <row r="653" spans="1:37" ht="15" customHeight="1">
      <c r="A653" s="122">
        <v>8</v>
      </c>
      <c r="B653" s="59">
        <v>649</v>
      </c>
      <c r="C653" t="s">
        <v>5498</v>
      </c>
      <c r="D653" t="s">
        <v>5499</v>
      </c>
      <c r="E653">
        <v>425</v>
      </c>
      <c r="F653" t="s">
        <v>1800</v>
      </c>
      <c r="G653" t="s">
        <v>90</v>
      </c>
      <c r="H653" s="119">
        <f t="shared" si="49"/>
        <v>390.84310441094362</v>
      </c>
      <c r="I653" s="117">
        <v>44610</v>
      </c>
      <c r="J653">
        <v>1791</v>
      </c>
      <c r="L653">
        <v>1791</v>
      </c>
      <c r="M653">
        <v>2016</v>
      </c>
      <c r="P653" t="s">
        <v>1807</v>
      </c>
      <c r="R653" t="s">
        <v>229</v>
      </c>
      <c r="S653">
        <v>5569</v>
      </c>
      <c r="T653" s="118">
        <f t="shared" si="50"/>
        <v>3.109436069235064</v>
      </c>
      <c r="U653" t="s">
        <v>229</v>
      </c>
      <c r="Y653">
        <v>700000</v>
      </c>
      <c r="AA653">
        <v>700000</v>
      </c>
      <c r="AC653" t="s">
        <v>5500</v>
      </c>
      <c r="AD653" t="s">
        <v>5501</v>
      </c>
      <c r="AE653" t="s">
        <v>5502</v>
      </c>
      <c r="AF653" t="s">
        <v>5503</v>
      </c>
      <c r="AI653" s="59" t="e">
        <f t="shared" si="51"/>
        <v>#N/A</v>
      </c>
      <c r="AJ653" t="e">
        <f t="shared" si="52"/>
        <v>#N/A</v>
      </c>
      <c r="AK653" t="str">
        <f t="shared" si="53"/>
        <v/>
      </c>
    </row>
    <row r="654" spans="1:37" ht="15" customHeight="1">
      <c r="A654" s="122">
        <v>8</v>
      </c>
      <c r="B654" s="59">
        <v>650</v>
      </c>
      <c r="C654" t="s">
        <v>5504</v>
      </c>
      <c r="D654" t="s">
        <v>5505</v>
      </c>
      <c r="E654">
        <v>353</v>
      </c>
      <c r="F654" t="s">
        <v>2141</v>
      </c>
      <c r="G654" t="s">
        <v>89</v>
      </c>
      <c r="H654" s="119">
        <f t="shared" si="49"/>
        <v>426.20555284948853</v>
      </c>
      <c r="I654" s="117">
        <v>43178</v>
      </c>
      <c r="J654">
        <v>8212</v>
      </c>
      <c r="L654">
        <v>8212</v>
      </c>
      <c r="M654">
        <v>2013</v>
      </c>
      <c r="R654" t="s">
        <v>44</v>
      </c>
      <c r="S654">
        <v>60653</v>
      </c>
      <c r="T654" s="118">
        <f t="shared" si="50"/>
        <v>7.385898684851437</v>
      </c>
      <c r="U654" t="s">
        <v>44</v>
      </c>
      <c r="Y654">
        <v>3500000</v>
      </c>
      <c r="AA654">
        <v>3500000</v>
      </c>
      <c r="AC654" t="s">
        <v>5506</v>
      </c>
      <c r="AD654" t="s">
        <v>5507</v>
      </c>
      <c r="AE654" t="s">
        <v>5508</v>
      </c>
      <c r="AF654" t="s">
        <v>5509</v>
      </c>
      <c r="AI654" s="59" t="e">
        <f t="shared" si="51"/>
        <v>#N/A</v>
      </c>
      <c r="AJ654" t="e">
        <f t="shared" si="52"/>
        <v>#N/A</v>
      </c>
      <c r="AK654" t="str">
        <f t="shared" si="53"/>
        <v/>
      </c>
    </row>
    <row r="655" spans="1:37" ht="15" customHeight="1">
      <c r="A655" s="122">
        <v>8</v>
      </c>
      <c r="B655" s="59">
        <v>651</v>
      </c>
      <c r="C655" t="s">
        <v>5510</v>
      </c>
      <c r="D655" t="s">
        <v>5511</v>
      </c>
      <c r="E655">
        <v>353</v>
      </c>
      <c r="F655" t="s">
        <v>1896</v>
      </c>
      <c r="G655" t="s">
        <v>89</v>
      </c>
      <c r="H655" s="119">
        <f t="shared" si="49"/>
        <v>321.83908045977012</v>
      </c>
      <c r="I655" s="117">
        <v>43385</v>
      </c>
      <c r="J655">
        <v>10875</v>
      </c>
      <c r="L655">
        <v>10875</v>
      </c>
      <c r="M655">
        <v>2008</v>
      </c>
      <c r="R655" t="s">
        <v>44</v>
      </c>
      <c r="S655">
        <v>52970</v>
      </c>
      <c r="T655" s="118">
        <f t="shared" si="50"/>
        <v>4.8708045977011496</v>
      </c>
      <c r="U655" t="s">
        <v>44</v>
      </c>
      <c r="Y655">
        <v>3500000</v>
      </c>
      <c r="AA655">
        <v>3500000</v>
      </c>
      <c r="AC655" t="s">
        <v>5512</v>
      </c>
      <c r="AD655" t="s">
        <v>5513</v>
      </c>
      <c r="AE655" t="s">
        <v>5514</v>
      </c>
      <c r="AF655" t="s">
        <v>5515</v>
      </c>
      <c r="AI655" s="59" t="e">
        <f t="shared" si="51"/>
        <v>#N/A</v>
      </c>
      <c r="AJ655" t="e">
        <f t="shared" si="52"/>
        <v>#N/A</v>
      </c>
      <c r="AK655" t="str">
        <f t="shared" si="53"/>
        <v/>
      </c>
    </row>
    <row r="656" spans="1:37" ht="15" customHeight="1">
      <c r="A656" s="122">
        <v>8</v>
      </c>
      <c r="B656" s="59">
        <v>652</v>
      </c>
      <c r="C656" t="s">
        <v>5516</v>
      </c>
      <c r="D656" t="s">
        <v>5517</v>
      </c>
      <c r="E656">
        <v>407</v>
      </c>
      <c r="F656" t="s">
        <v>1814</v>
      </c>
      <c r="G656" t="s">
        <v>1815</v>
      </c>
      <c r="H656" s="119">
        <f t="shared" si="49"/>
        <v>148.56208903333081</v>
      </c>
      <c r="I656" s="117">
        <v>43245</v>
      </c>
      <c r="J656">
        <v>105848</v>
      </c>
      <c r="L656">
        <v>105848</v>
      </c>
      <c r="M656">
        <v>2016</v>
      </c>
      <c r="P656" t="s">
        <v>1932</v>
      </c>
      <c r="R656" t="s">
        <v>44</v>
      </c>
      <c r="S656">
        <v>268481</v>
      </c>
      <c r="T656" s="118">
        <f t="shared" si="50"/>
        <v>2.5364768347063715</v>
      </c>
      <c r="U656" t="s">
        <v>44</v>
      </c>
      <c r="Y656">
        <v>15725000</v>
      </c>
      <c r="AA656">
        <v>15725000</v>
      </c>
      <c r="AC656" t="s">
        <v>5518</v>
      </c>
      <c r="AD656" t="s">
        <v>5519</v>
      </c>
      <c r="AE656" t="s">
        <v>5520</v>
      </c>
      <c r="AF656" t="s">
        <v>5521</v>
      </c>
      <c r="AI656" s="59" t="e">
        <f t="shared" si="51"/>
        <v>#N/A</v>
      </c>
      <c r="AJ656" t="e">
        <f t="shared" si="52"/>
        <v>#N/A</v>
      </c>
      <c r="AK656" t="str">
        <f t="shared" si="53"/>
        <v/>
      </c>
    </row>
    <row r="657" spans="1:37" ht="15" customHeight="1">
      <c r="A657" s="122">
        <v>8</v>
      </c>
      <c r="B657" s="59">
        <v>653</v>
      </c>
      <c r="C657" t="s">
        <v>5522</v>
      </c>
      <c r="D657" t="s">
        <v>5523</v>
      </c>
      <c r="E657">
        <v>353</v>
      </c>
      <c r="F657" t="s">
        <v>1800</v>
      </c>
      <c r="G657" t="s">
        <v>90</v>
      </c>
      <c r="H657" s="119">
        <f t="shared" si="49"/>
        <v>554.7968589962444</v>
      </c>
      <c r="I657" s="117">
        <v>43278</v>
      </c>
      <c r="J657">
        <v>5858</v>
      </c>
      <c r="L657">
        <v>5858</v>
      </c>
      <c r="M657">
        <v>2015</v>
      </c>
      <c r="R657" t="s">
        <v>229</v>
      </c>
      <c r="S657">
        <v>50016</v>
      </c>
      <c r="T657" s="118">
        <f t="shared" si="50"/>
        <v>8.5380675998634352</v>
      </c>
      <c r="U657" t="s">
        <v>229</v>
      </c>
      <c r="Y657">
        <v>3250000</v>
      </c>
      <c r="AA657">
        <v>3250000</v>
      </c>
      <c r="AC657" t="s">
        <v>5524</v>
      </c>
      <c r="AD657" t="s">
        <v>5525</v>
      </c>
      <c r="AE657" t="s">
        <v>5526</v>
      </c>
      <c r="AF657" t="s">
        <v>5527</v>
      </c>
      <c r="AI657" s="59" t="e">
        <f t="shared" si="51"/>
        <v>#N/A</v>
      </c>
      <c r="AJ657" t="e">
        <f t="shared" si="52"/>
        <v>#N/A</v>
      </c>
      <c r="AK657" t="str">
        <f t="shared" si="53"/>
        <v/>
      </c>
    </row>
    <row r="658" spans="1:37" ht="15" customHeight="1">
      <c r="A658" s="122">
        <v>8</v>
      </c>
      <c r="B658" s="59">
        <v>654</v>
      </c>
      <c r="C658" t="s">
        <v>5528</v>
      </c>
      <c r="D658" t="s">
        <v>5529</v>
      </c>
      <c r="E658">
        <v>344</v>
      </c>
      <c r="F658" t="s">
        <v>1984</v>
      </c>
      <c r="G658" t="s">
        <v>89</v>
      </c>
      <c r="H658" s="119">
        <f t="shared" si="49"/>
        <v>398.72408293460927</v>
      </c>
      <c r="I658" s="117">
        <v>44620</v>
      </c>
      <c r="J658">
        <v>2508</v>
      </c>
      <c r="L658">
        <v>2508</v>
      </c>
      <c r="M658">
        <v>2014</v>
      </c>
      <c r="P658" t="s">
        <v>2487</v>
      </c>
      <c r="R658" t="s">
        <v>44</v>
      </c>
      <c r="S658">
        <v>46843</v>
      </c>
      <c r="T658" s="118">
        <f t="shared" si="50"/>
        <v>18.677432216905903</v>
      </c>
      <c r="U658" t="s">
        <v>44</v>
      </c>
      <c r="Y658">
        <v>1000000</v>
      </c>
      <c r="AA658">
        <v>1000000</v>
      </c>
      <c r="AC658" t="s">
        <v>5530</v>
      </c>
      <c r="AD658" t="s">
        <v>5531</v>
      </c>
      <c r="AE658" t="s">
        <v>5532</v>
      </c>
      <c r="AF658" t="s">
        <v>5533</v>
      </c>
      <c r="AI658" s="59" t="e">
        <f t="shared" si="51"/>
        <v>#N/A</v>
      </c>
      <c r="AJ658" t="e">
        <f t="shared" si="52"/>
        <v>#N/A</v>
      </c>
      <c r="AK658" t="str">
        <f t="shared" si="53"/>
        <v/>
      </c>
    </row>
    <row r="659" spans="1:37" ht="15" customHeight="1">
      <c r="A659" s="122">
        <v>8</v>
      </c>
      <c r="B659" s="59">
        <v>655</v>
      </c>
      <c r="C659" t="s">
        <v>5534</v>
      </c>
      <c r="D659" t="s">
        <v>5535</v>
      </c>
      <c r="E659">
        <v>341</v>
      </c>
      <c r="F659" t="s">
        <v>1984</v>
      </c>
      <c r="G659" t="s">
        <v>89</v>
      </c>
      <c r="H659" s="119">
        <f t="shared" si="49"/>
        <v>324.72966963151208</v>
      </c>
      <c r="I659" s="117">
        <v>44414</v>
      </c>
      <c r="J659">
        <v>9444</v>
      </c>
      <c r="L659">
        <v>9444</v>
      </c>
      <c r="M659">
        <v>2016</v>
      </c>
      <c r="P659" t="s">
        <v>1985</v>
      </c>
      <c r="R659" t="s">
        <v>44</v>
      </c>
      <c r="S659">
        <v>45271</v>
      </c>
      <c r="T659" s="118">
        <f t="shared" si="50"/>
        <v>4.7936255823803471</v>
      </c>
      <c r="U659" t="s">
        <v>44</v>
      </c>
      <c r="Y659">
        <v>3066747</v>
      </c>
      <c r="AA659">
        <v>3066747</v>
      </c>
      <c r="AC659" t="s">
        <v>5536</v>
      </c>
      <c r="AD659" t="s">
        <v>5537</v>
      </c>
      <c r="AE659" t="s">
        <v>5538</v>
      </c>
      <c r="AF659" t="s">
        <v>5539</v>
      </c>
      <c r="AI659" s="59" t="e">
        <f t="shared" si="51"/>
        <v>#N/A</v>
      </c>
      <c r="AJ659" t="e">
        <f t="shared" si="52"/>
        <v>#N/A</v>
      </c>
      <c r="AK659" t="str">
        <f t="shared" si="53"/>
        <v/>
      </c>
    </row>
    <row r="660" spans="1:37" ht="15" customHeight="1">
      <c r="A660" s="122">
        <v>8</v>
      </c>
      <c r="B660" s="59">
        <v>656</v>
      </c>
      <c r="C660" t="s">
        <v>5540</v>
      </c>
      <c r="D660" t="s">
        <v>5541</v>
      </c>
      <c r="E660">
        <v>325</v>
      </c>
      <c r="F660" t="s">
        <v>1785</v>
      </c>
      <c r="G660" t="s">
        <v>1786</v>
      </c>
      <c r="H660" s="119">
        <f t="shared" si="49"/>
        <v>264.56374542496951</v>
      </c>
      <c r="I660" s="117">
        <v>44560</v>
      </c>
      <c r="J660">
        <v>9836</v>
      </c>
      <c r="L660">
        <v>9836</v>
      </c>
      <c r="M660">
        <v>2014</v>
      </c>
      <c r="P660" t="s">
        <v>2822</v>
      </c>
      <c r="R660" t="s">
        <v>44</v>
      </c>
      <c r="S660">
        <v>49222.8</v>
      </c>
      <c r="T660" s="118">
        <f t="shared" si="50"/>
        <v>5.0043513623424163</v>
      </c>
      <c r="U660" t="s">
        <v>44</v>
      </c>
      <c r="Y660">
        <v>2602249</v>
      </c>
      <c r="AA660">
        <v>2602249</v>
      </c>
      <c r="AC660" t="s">
        <v>5542</v>
      </c>
      <c r="AD660" t="s">
        <v>5543</v>
      </c>
      <c r="AE660" t="s">
        <v>5544</v>
      </c>
      <c r="AF660" t="s">
        <v>4907</v>
      </c>
      <c r="AI660" s="59" t="e">
        <f t="shared" si="51"/>
        <v>#N/A</v>
      </c>
      <c r="AJ660" t="e">
        <f t="shared" si="52"/>
        <v>#N/A</v>
      </c>
      <c r="AK660" t="str">
        <f t="shared" si="53"/>
        <v/>
      </c>
    </row>
    <row r="661" spans="1:37" ht="15" customHeight="1">
      <c r="A661" s="122">
        <v>8</v>
      </c>
      <c r="B661" s="59">
        <v>657</v>
      </c>
      <c r="C661" t="s">
        <v>5545</v>
      </c>
      <c r="D661" t="s">
        <v>5546</v>
      </c>
      <c r="E661">
        <v>407</v>
      </c>
      <c r="G661" t="s">
        <v>1910</v>
      </c>
      <c r="H661" s="119">
        <f t="shared" si="49"/>
        <v>176.29751396681317</v>
      </c>
      <c r="I661" s="117">
        <v>43230</v>
      </c>
      <c r="J661">
        <v>419745</v>
      </c>
      <c r="L661">
        <v>419745</v>
      </c>
      <c r="M661">
        <v>2016</v>
      </c>
      <c r="R661" t="s">
        <v>44</v>
      </c>
      <c r="S661">
        <v>1078261</v>
      </c>
      <c r="T661" s="118">
        <f t="shared" si="50"/>
        <v>2.5688477528022968</v>
      </c>
      <c r="U661" t="s">
        <v>44</v>
      </c>
      <c r="Y661">
        <v>74000000</v>
      </c>
      <c r="AA661">
        <v>74000000</v>
      </c>
      <c r="AC661" t="s">
        <v>5547</v>
      </c>
      <c r="AD661" t="s">
        <v>5548</v>
      </c>
      <c r="AE661" t="s">
        <v>5549</v>
      </c>
      <c r="AF661" t="s">
        <v>5550</v>
      </c>
      <c r="AI661" s="59" t="e">
        <f t="shared" si="51"/>
        <v>#N/A</v>
      </c>
      <c r="AJ661" t="e">
        <f t="shared" si="52"/>
        <v>#N/A</v>
      </c>
      <c r="AK661" t="str">
        <f t="shared" si="53"/>
        <v/>
      </c>
    </row>
    <row r="662" spans="1:37" ht="15" customHeight="1">
      <c r="A662" s="122">
        <v>8</v>
      </c>
      <c r="B662" s="59">
        <v>658</v>
      </c>
      <c r="C662" t="s">
        <v>5551</v>
      </c>
      <c r="D662" t="s">
        <v>5552</v>
      </c>
      <c r="E662">
        <v>353</v>
      </c>
      <c r="F662" t="s">
        <v>1800</v>
      </c>
      <c r="G662" t="s">
        <v>1786</v>
      </c>
      <c r="H662" s="119">
        <f t="shared" si="49"/>
        <v>283.5164835164835</v>
      </c>
      <c r="I662" s="117">
        <v>44179</v>
      </c>
      <c r="J662">
        <v>2275</v>
      </c>
      <c r="L662">
        <v>2275</v>
      </c>
      <c r="M662">
        <v>1971</v>
      </c>
      <c r="P662" t="s">
        <v>1807</v>
      </c>
      <c r="R662" t="s">
        <v>44</v>
      </c>
      <c r="S662">
        <v>20140</v>
      </c>
      <c r="T662" s="118">
        <f t="shared" si="50"/>
        <v>8.8527472527472533</v>
      </c>
      <c r="U662" t="s">
        <v>44</v>
      </c>
      <c r="Y662">
        <v>645000</v>
      </c>
      <c r="AA662">
        <v>645000</v>
      </c>
      <c r="AC662" t="s">
        <v>5553</v>
      </c>
      <c r="AD662" t="s">
        <v>5554</v>
      </c>
      <c r="AE662" t="s">
        <v>5555</v>
      </c>
      <c r="AF662" t="s">
        <v>5556</v>
      </c>
      <c r="AI662" s="59" t="e">
        <f t="shared" si="51"/>
        <v>#N/A</v>
      </c>
      <c r="AJ662" t="e">
        <f t="shared" si="52"/>
        <v>#N/A</v>
      </c>
      <c r="AK662" t="str">
        <f t="shared" si="53"/>
        <v/>
      </c>
    </row>
    <row r="663" spans="1:37" ht="15" customHeight="1">
      <c r="A663" s="122">
        <v>8</v>
      </c>
      <c r="B663" s="59">
        <v>659</v>
      </c>
      <c r="C663" t="s">
        <v>5557</v>
      </c>
      <c r="D663" t="s">
        <v>5558</v>
      </c>
      <c r="E663">
        <v>406</v>
      </c>
      <c r="F663" t="s">
        <v>1814</v>
      </c>
      <c r="G663" t="s">
        <v>1815</v>
      </c>
      <c r="H663" s="119">
        <f t="shared" si="49"/>
        <v>184.95965900441468</v>
      </c>
      <c r="I663" s="117">
        <v>44351</v>
      </c>
      <c r="J663">
        <v>32845</v>
      </c>
      <c r="L663">
        <v>32845</v>
      </c>
      <c r="M663">
        <v>2013</v>
      </c>
      <c r="P663" t="s">
        <v>1932</v>
      </c>
      <c r="R663" t="s">
        <v>44</v>
      </c>
      <c r="S663">
        <v>297945</v>
      </c>
      <c r="T663" s="118">
        <f t="shared" si="50"/>
        <v>9.0712437205054037</v>
      </c>
      <c r="U663" t="s">
        <v>44</v>
      </c>
      <c r="Y663">
        <v>6075000</v>
      </c>
      <c r="AA663">
        <v>6075000</v>
      </c>
      <c r="AC663" t="s">
        <v>5559</v>
      </c>
      <c r="AD663" t="s">
        <v>5560</v>
      </c>
      <c r="AE663" t="s">
        <v>5561</v>
      </c>
      <c r="AF663" t="s">
        <v>5562</v>
      </c>
      <c r="AI663" s="59" t="e">
        <f t="shared" si="51"/>
        <v>#N/A</v>
      </c>
      <c r="AJ663" t="e">
        <f t="shared" si="52"/>
        <v>#N/A</v>
      </c>
      <c r="AK663" t="str">
        <f t="shared" si="53"/>
        <v/>
      </c>
    </row>
    <row r="664" spans="1:37" ht="15" customHeight="1">
      <c r="A664" s="122">
        <v>8</v>
      </c>
      <c r="B664" s="59">
        <v>660</v>
      </c>
      <c r="C664" t="s">
        <v>5563</v>
      </c>
      <c r="D664" t="s">
        <v>5564</v>
      </c>
      <c r="E664">
        <v>344</v>
      </c>
      <c r="F664" t="s">
        <v>1800</v>
      </c>
      <c r="G664" t="s">
        <v>1786</v>
      </c>
      <c r="H664" s="119">
        <f t="shared" si="49"/>
        <v>352.69709543568467</v>
      </c>
      <c r="I664" s="117">
        <v>44091</v>
      </c>
      <c r="J664">
        <v>2410</v>
      </c>
      <c r="L664">
        <v>2410</v>
      </c>
      <c r="M664">
        <v>1971</v>
      </c>
      <c r="P664" t="s">
        <v>2708</v>
      </c>
      <c r="R664" t="s">
        <v>44</v>
      </c>
      <c r="S664">
        <v>23139</v>
      </c>
      <c r="T664" s="118">
        <f t="shared" si="50"/>
        <v>9.6012448132780079</v>
      </c>
      <c r="U664" t="s">
        <v>44</v>
      </c>
      <c r="Y664">
        <v>850000</v>
      </c>
      <c r="AA664">
        <v>850000</v>
      </c>
      <c r="AC664" t="s">
        <v>5565</v>
      </c>
      <c r="AD664" t="s">
        <v>5566</v>
      </c>
      <c r="AE664" t="s">
        <v>5567</v>
      </c>
      <c r="AF664" t="s">
        <v>5568</v>
      </c>
      <c r="AI664" s="59" t="e">
        <f t="shared" si="51"/>
        <v>#N/A</v>
      </c>
      <c r="AJ664" t="e">
        <f t="shared" si="52"/>
        <v>#N/A</v>
      </c>
      <c r="AK664" t="str">
        <f t="shared" si="53"/>
        <v/>
      </c>
    </row>
    <row r="665" spans="1:37" ht="15" customHeight="1">
      <c r="A665" s="122">
        <v>8</v>
      </c>
      <c r="B665" s="59">
        <v>661</v>
      </c>
      <c r="C665" t="s">
        <v>5569</v>
      </c>
      <c r="D665" t="s">
        <v>5570</v>
      </c>
      <c r="E665">
        <v>444</v>
      </c>
      <c r="F665" t="s">
        <v>2494</v>
      </c>
      <c r="G665" t="s">
        <v>1786</v>
      </c>
      <c r="H665" s="119">
        <f t="shared" si="49"/>
        <v>469.8920988513749</v>
      </c>
      <c r="I665" s="117">
        <v>44523</v>
      </c>
      <c r="J665">
        <v>2873</v>
      </c>
      <c r="L665">
        <v>2873</v>
      </c>
      <c r="M665">
        <v>2001</v>
      </c>
      <c r="P665" t="s">
        <v>2495</v>
      </c>
      <c r="R665" t="s">
        <v>229</v>
      </c>
      <c r="S665">
        <v>3588</v>
      </c>
      <c r="T665" s="118">
        <f t="shared" si="50"/>
        <v>1.248868778280543</v>
      </c>
      <c r="U665" t="s">
        <v>229</v>
      </c>
      <c r="Y665">
        <v>1350000</v>
      </c>
      <c r="AA665">
        <v>1350000</v>
      </c>
      <c r="AC665" t="s">
        <v>5571</v>
      </c>
      <c r="AD665" t="s">
        <v>5572</v>
      </c>
      <c r="AE665" t="s">
        <v>5573</v>
      </c>
      <c r="AF665" t="s">
        <v>5574</v>
      </c>
      <c r="AI665" s="59" t="e">
        <f t="shared" si="51"/>
        <v>#N/A</v>
      </c>
      <c r="AJ665" t="e">
        <f t="shared" si="52"/>
        <v>#N/A</v>
      </c>
      <c r="AK665" t="str">
        <f t="shared" si="53"/>
        <v/>
      </c>
    </row>
    <row r="666" spans="1:37" ht="15" customHeight="1">
      <c r="A666" s="122">
        <v>8</v>
      </c>
      <c r="B666" s="59">
        <v>662</v>
      </c>
      <c r="C666" t="s">
        <v>5575</v>
      </c>
      <c r="D666" t="s">
        <v>5576</v>
      </c>
      <c r="E666">
        <v>442</v>
      </c>
      <c r="F666" t="s">
        <v>2141</v>
      </c>
      <c r="G666" t="s">
        <v>1910</v>
      </c>
      <c r="H666" s="119">
        <f t="shared" si="49"/>
        <v>150.51834130781498</v>
      </c>
      <c r="I666" s="117">
        <v>43159</v>
      </c>
      <c r="J666">
        <v>5016</v>
      </c>
      <c r="L666">
        <v>5016</v>
      </c>
      <c r="M666">
        <v>1941</v>
      </c>
      <c r="R666" t="s">
        <v>44</v>
      </c>
      <c r="S666">
        <v>42636</v>
      </c>
      <c r="T666" s="118">
        <f t="shared" si="50"/>
        <v>8.5</v>
      </c>
      <c r="U666" t="s">
        <v>44</v>
      </c>
      <c r="Y666">
        <v>755000</v>
      </c>
      <c r="AA666">
        <v>755000</v>
      </c>
      <c r="AC666" t="s">
        <v>5577</v>
      </c>
      <c r="AD666" t="s">
        <v>5578</v>
      </c>
      <c r="AE666" t="s">
        <v>5579</v>
      </c>
      <c r="AF666" t="s">
        <v>5580</v>
      </c>
      <c r="AI666" s="59" t="e">
        <f t="shared" si="51"/>
        <v>#N/A</v>
      </c>
      <c r="AJ666" t="e">
        <f t="shared" si="52"/>
        <v>#N/A</v>
      </c>
      <c r="AK666" t="str">
        <f t="shared" si="53"/>
        <v/>
      </c>
    </row>
    <row r="667" spans="1:37" ht="15" customHeight="1">
      <c r="A667" s="122">
        <v>8</v>
      </c>
      <c r="B667" s="59">
        <v>663</v>
      </c>
      <c r="C667" t="s">
        <v>5581</v>
      </c>
      <c r="D667" t="s">
        <v>5582</v>
      </c>
      <c r="E667">
        <v>386</v>
      </c>
      <c r="F667" t="s">
        <v>1785</v>
      </c>
      <c r="G667" t="s">
        <v>1786</v>
      </c>
      <c r="H667" s="119">
        <f t="shared" si="49"/>
        <v>85.360648740930429</v>
      </c>
      <c r="I667" s="117">
        <v>44545</v>
      </c>
      <c r="J667">
        <v>11715</v>
      </c>
      <c r="L667">
        <v>11715</v>
      </c>
      <c r="M667">
        <v>2016</v>
      </c>
      <c r="P667" t="s">
        <v>2822</v>
      </c>
      <c r="R667" t="s">
        <v>44</v>
      </c>
      <c r="S667">
        <v>34033</v>
      </c>
      <c r="T667" s="118">
        <f t="shared" si="50"/>
        <v>2.9050789586000856</v>
      </c>
      <c r="U667" t="s">
        <v>44</v>
      </c>
      <c r="Y667">
        <v>1000000</v>
      </c>
      <c r="AA667">
        <v>1000000</v>
      </c>
      <c r="AC667" t="s">
        <v>5583</v>
      </c>
      <c r="AD667" t="s">
        <v>5584</v>
      </c>
      <c r="AE667" t="s">
        <v>5585</v>
      </c>
      <c r="AF667" t="s">
        <v>5586</v>
      </c>
      <c r="AI667" s="59" t="e">
        <f t="shared" si="51"/>
        <v>#N/A</v>
      </c>
      <c r="AJ667" t="e">
        <f t="shared" si="52"/>
        <v>#N/A</v>
      </c>
      <c r="AK667" t="str">
        <f t="shared" si="53"/>
        <v/>
      </c>
    </row>
    <row r="668" spans="1:37" ht="15" customHeight="1">
      <c r="A668" s="122">
        <v>8</v>
      </c>
      <c r="B668" s="59">
        <v>664</v>
      </c>
      <c r="C668" t="s">
        <v>5587</v>
      </c>
      <c r="D668" t="s">
        <v>5588</v>
      </c>
      <c r="E668">
        <v>425</v>
      </c>
      <c r="F668" t="s">
        <v>1800</v>
      </c>
      <c r="G668" t="s">
        <v>90</v>
      </c>
      <c r="H668" s="119">
        <f t="shared" si="49"/>
        <v>150</v>
      </c>
      <c r="I668" s="117">
        <v>43920</v>
      </c>
      <c r="J668">
        <v>4000</v>
      </c>
      <c r="L668">
        <v>4000</v>
      </c>
      <c r="M668">
        <v>2016</v>
      </c>
      <c r="P668" t="s">
        <v>1807</v>
      </c>
      <c r="R668" t="s">
        <v>229</v>
      </c>
      <c r="S668">
        <v>5569</v>
      </c>
      <c r="T668" s="118">
        <f t="shared" si="50"/>
        <v>1.39225</v>
      </c>
      <c r="U668" t="s">
        <v>229</v>
      </c>
      <c r="Y668">
        <v>600000</v>
      </c>
      <c r="AA668">
        <v>600000</v>
      </c>
      <c r="AC668" t="s">
        <v>5589</v>
      </c>
      <c r="AD668" t="s">
        <v>5590</v>
      </c>
      <c r="AE668" t="s">
        <v>5591</v>
      </c>
      <c r="AF668" t="s">
        <v>5592</v>
      </c>
      <c r="AI668" s="59" t="e">
        <f t="shared" si="51"/>
        <v>#N/A</v>
      </c>
      <c r="AJ668" t="e">
        <f t="shared" si="52"/>
        <v>#N/A</v>
      </c>
      <c r="AK668" t="str">
        <f t="shared" si="53"/>
        <v/>
      </c>
    </row>
    <row r="669" spans="1:37" ht="15" customHeight="1">
      <c r="A669" s="122">
        <v>8</v>
      </c>
      <c r="B669" s="59">
        <v>665</v>
      </c>
      <c r="C669" t="s">
        <v>5593</v>
      </c>
      <c r="D669" t="s">
        <v>2080</v>
      </c>
      <c r="E669">
        <v>425</v>
      </c>
      <c r="F669" t="s">
        <v>1800</v>
      </c>
      <c r="G669" t="s">
        <v>90</v>
      </c>
      <c r="H669" s="119">
        <f t="shared" si="49"/>
        <v>42.988999873561767</v>
      </c>
      <c r="I669" s="117">
        <v>44316</v>
      </c>
      <c r="J669">
        <v>15818</v>
      </c>
      <c r="L669">
        <v>15818</v>
      </c>
      <c r="M669">
        <v>2016</v>
      </c>
      <c r="P669" t="s">
        <v>1807</v>
      </c>
      <c r="R669" t="s">
        <v>229</v>
      </c>
      <c r="S669">
        <v>5569</v>
      </c>
      <c r="T669" s="118">
        <f t="shared" si="50"/>
        <v>0.35206726514097864</v>
      </c>
      <c r="U669" t="s">
        <v>229</v>
      </c>
      <c r="Y669">
        <v>680000</v>
      </c>
      <c r="AA669">
        <v>680000</v>
      </c>
      <c r="AC669" t="s">
        <v>5594</v>
      </c>
      <c r="AD669" t="s">
        <v>5595</v>
      </c>
      <c r="AE669" t="s">
        <v>5596</v>
      </c>
      <c r="AF669" t="s">
        <v>5597</v>
      </c>
      <c r="AI669" s="59" t="e">
        <f t="shared" si="51"/>
        <v>#N/A</v>
      </c>
      <c r="AJ669" t="e">
        <f t="shared" si="52"/>
        <v>#N/A</v>
      </c>
      <c r="AK669" t="str">
        <f t="shared" si="53"/>
        <v/>
      </c>
    </row>
    <row r="670" spans="1:37" ht="15" customHeight="1">
      <c r="A670" s="122">
        <v>8</v>
      </c>
      <c r="B670" s="59">
        <v>666</v>
      </c>
      <c r="C670" t="s">
        <v>5598</v>
      </c>
      <c r="D670" t="s">
        <v>5599</v>
      </c>
      <c r="E670">
        <v>406</v>
      </c>
      <c r="G670" t="s">
        <v>1910</v>
      </c>
      <c r="H670" s="119">
        <f t="shared" si="49"/>
        <v>224.61134665859075</v>
      </c>
      <c r="I670" s="117">
        <v>44679</v>
      </c>
      <c r="J670">
        <v>19812</v>
      </c>
      <c r="L670">
        <v>19812</v>
      </c>
      <c r="M670">
        <v>2016</v>
      </c>
      <c r="P670" t="s">
        <v>1911</v>
      </c>
      <c r="R670" t="s">
        <v>229</v>
      </c>
      <c r="S670">
        <v>87120</v>
      </c>
      <c r="T670" s="118">
        <f t="shared" si="50"/>
        <v>4.3973349485160504</v>
      </c>
      <c r="U670" t="s">
        <v>229</v>
      </c>
      <c r="Y670">
        <v>4450000</v>
      </c>
      <c r="AA670">
        <v>4450000</v>
      </c>
      <c r="AC670" t="s">
        <v>5600</v>
      </c>
      <c r="AD670" t="s">
        <v>5601</v>
      </c>
      <c r="AE670" t="s">
        <v>5602</v>
      </c>
      <c r="AF670" t="s">
        <v>5603</v>
      </c>
      <c r="AI670" s="59" t="e">
        <f t="shared" si="51"/>
        <v>#N/A</v>
      </c>
      <c r="AJ670" t="e">
        <f t="shared" si="52"/>
        <v>#N/A</v>
      </c>
      <c r="AK670" t="str">
        <f t="shared" si="53"/>
        <v/>
      </c>
    </row>
    <row r="671" spans="1:37" ht="15" customHeight="1">
      <c r="A671" s="122">
        <v>8</v>
      </c>
      <c r="B671" s="59">
        <v>667</v>
      </c>
      <c r="C671" t="s">
        <v>5604</v>
      </c>
      <c r="D671" t="s">
        <v>5605</v>
      </c>
      <c r="E671">
        <v>353</v>
      </c>
      <c r="F671" t="s">
        <v>1814</v>
      </c>
      <c r="G671" t="s">
        <v>1815</v>
      </c>
      <c r="H671" s="119">
        <f t="shared" si="49"/>
        <v>136.08247422680412</v>
      </c>
      <c r="I671" s="117">
        <v>43159</v>
      </c>
      <c r="J671">
        <v>4850</v>
      </c>
      <c r="L671">
        <v>4850</v>
      </c>
      <c r="M671">
        <v>1952</v>
      </c>
      <c r="R671" t="s">
        <v>44</v>
      </c>
      <c r="S671">
        <v>6282</v>
      </c>
      <c r="T671" s="118">
        <f t="shared" si="50"/>
        <v>1.2952577319587628</v>
      </c>
      <c r="U671" t="s">
        <v>44</v>
      </c>
      <c r="Y671">
        <v>660000</v>
      </c>
      <c r="AA671">
        <v>660000</v>
      </c>
      <c r="AC671" t="s">
        <v>5606</v>
      </c>
      <c r="AD671" t="s">
        <v>5607</v>
      </c>
      <c r="AE671" t="s">
        <v>5608</v>
      </c>
      <c r="AF671" t="s">
        <v>5609</v>
      </c>
      <c r="AI671" s="59" t="e">
        <f t="shared" si="51"/>
        <v>#N/A</v>
      </c>
      <c r="AJ671" t="e">
        <f t="shared" si="52"/>
        <v>#N/A</v>
      </c>
      <c r="AK671" t="str">
        <f t="shared" si="53"/>
        <v/>
      </c>
    </row>
    <row r="672" spans="1:37" ht="15" customHeight="1">
      <c r="A672" s="122">
        <v>8</v>
      </c>
      <c r="B672" s="59">
        <v>668</v>
      </c>
      <c r="C672" t="s">
        <v>5610</v>
      </c>
      <c r="D672" t="s">
        <v>5611</v>
      </c>
      <c r="E672">
        <v>325</v>
      </c>
      <c r="F672" t="s">
        <v>2141</v>
      </c>
      <c r="G672" t="s">
        <v>89</v>
      </c>
      <c r="H672" s="119">
        <f t="shared" si="49"/>
        <v>662.15420835785756</v>
      </c>
      <c r="I672" s="117">
        <v>44579</v>
      </c>
      <c r="J672">
        <v>3398</v>
      </c>
      <c r="L672">
        <v>3398</v>
      </c>
      <c r="M672">
        <v>2017</v>
      </c>
      <c r="P672" t="s">
        <v>3269</v>
      </c>
      <c r="R672" t="s">
        <v>44</v>
      </c>
      <c r="S672">
        <v>236811.9798</v>
      </c>
      <c r="T672" s="118">
        <f t="shared" si="50"/>
        <v>69.691577339611541</v>
      </c>
      <c r="U672" t="s">
        <v>44</v>
      </c>
      <c r="Y672">
        <v>2250000</v>
      </c>
      <c r="AA672">
        <v>2250000</v>
      </c>
      <c r="AC672" t="s">
        <v>5612</v>
      </c>
      <c r="AD672" t="s">
        <v>5613</v>
      </c>
      <c r="AE672" t="s">
        <v>5614</v>
      </c>
      <c r="AF672" t="s">
        <v>5615</v>
      </c>
      <c r="AI672" s="59" t="e">
        <f t="shared" si="51"/>
        <v>#N/A</v>
      </c>
      <c r="AJ672" t="e">
        <f t="shared" si="52"/>
        <v>#N/A</v>
      </c>
      <c r="AK672" t="str">
        <f t="shared" si="53"/>
        <v/>
      </c>
    </row>
    <row r="673" spans="1:37" ht="15" customHeight="1">
      <c r="A673" s="122">
        <v>8</v>
      </c>
      <c r="B673" s="59">
        <v>669</v>
      </c>
      <c r="C673" t="s">
        <v>5616</v>
      </c>
      <c r="D673" t="s">
        <v>5617</v>
      </c>
      <c r="E673">
        <v>350</v>
      </c>
      <c r="F673" t="s">
        <v>2141</v>
      </c>
      <c r="G673" t="s">
        <v>89</v>
      </c>
      <c r="H673" s="119">
        <f t="shared" si="49"/>
        <v>405.87201125175807</v>
      </c>
      <c r="I673" s="117">
        <v>44553</v>
      </c>
      <c r="J673">
        <v>5688</v>
      </c>
      <c r="L673">
        <v>5688</v>
      </c>
      <c r="M673">
        <v>2016</v>
      </c>
      <c r="P673" t="s">
        <v>3269</v>
      </c>
      <c r="R673" t="s">
        <v>229</v>
      </c>
      <c r="S673">
        <v>58589</v>
      </c>
      <c r="T673" s="118">
        <f t="shared" si="50"/>
        <v>10.300457102672292</v>
      </c>
      <c r="U673" t="s">
        <v>229</v>
      </c>
      <c r="Y673">
        <v>2308600</v>
      </c>
      <c r="AA673">
        <v>2308600</v>
      </c>
      <c r="AC673" t="s">
        <v>5618</v>
      </c>
      <c r="AD673" t="s">
        <v>5619</v>
      </c>
      <c r="AE673" t="s">
        <v>5620</v>
      </c>
      <c r="AF673" t="s">
        <v>5621</v>
      </c>
      <c r="AI673" s="59" t="e">
        <f t="shared" si="51"/>
        <v>#N/A</v>
      </c>
      <c r="AJ673" t="e">
        <f t="shared" si="52"/>
        <v>#N/A</v>
      </c>
      <c r="AK673" t="str">
        <f t="shared" si="53"/>
        <v/>
      </c>
    </row>
    <row r="674" spans="1:37" ht="15" customHeight="1">
      <c r="A674" s="122">
        <v>8</v>
      </c>
      <c r="B674" s="59">
        <v>670</v>
      </c>
      <c r="C674" t="s">
        <v>5622</v>
      </c>
      <c r="D674" t="s">
        <v>5623</v>
      </c>
      <c r="E674">
        <v>210</v>
      </c>
      <c r="F674" t="s">
        <v>2141</v>
      </c>
      <c r="G674" t="s">
        <v>1910</v>
      </c>
      <c r="H674" s="119">
        <f t="shared" ref="H674:H714" si="54">Y674/J674</f>
        <v>160</v>
      </c>
      <c r="I674" s="117">
        <v>44559</v>
      </c>
      <c r="J674">
        <v>25000</v>
      </c>
      <c r="L674">
        <v>25000</v>
      </c>
      <c r="M674">
        <v>2018</v>
      </c>
      <c r="P674" t="s">
        <v>2515</v>
      </c>
      <c r="R674" t="s">
        <v>44</v>
      </c>
      <c r="S674">
        <v>72506</v>
      </c>
      <c r="T674" s="118">
        <f t="shared" si="50"/>
        <v>2.9002400000000002</v>
      </c>
      <c r="U674" t="s">
        <v>44</v>
      </c>
      <c r="Y674">
        <v>4000000</v>
      </c>
      <c r="AA674">
        <v>4000000</v>
      </c>
      <c r="AC674" t="s">
        <v>5624</v>
      </c>
      <c r="AD674" t="s">
        <v>5625</v>
      </c>
      <c r="AE674" t="s">
        <v>5626</v>
      </c>
      <c r="AF674" t="s">
        <v>5627</v>
      </c>
      <c r="AI674" s="59" t="e">
        <f t="shared" si="51"/>
        <v>#N/A</v>
      </c>
      <c r="AJ674" t="e">
        <f t="shared" si="52"/>
        <v>#N/A</v>
      </c>
      <c r="AK674" t="str">
        <f t="shared" si="53"/>
        <v/>
      </c>
    </row>
    <row r="675" spans="1:37" ht="15" customHeight="1">
      <c r="A675" s="122">
        <v>8</v>
      </c>
      <c r="B675" s="59">
        <v>671</v>
      </c>
      <c r="C675" t="s">
        <v>5628</v>
      </c>
      <c r="D675" t="s">
        <v>5629</v>
      </c>
      <c r="E675">
        <v>334</v>
      </c>
      <c r="F675" t="s">
        <v>1800</v>
      </c>
      <c r="G675" t="s">
        <v>1786</v>
      </c>
      <c r="H675" s="119">
        <f t="shared" si="54"/>
        <v>140.07724137931035</v>
      </c>
      <c r="I675" s="117">
        <v>43420</v>
      </c>
      <c r="J675">
        <v>36250</v>
      </c>
      <c r="L675">
        <v>36250</v>
      </c>
      <c r="M675">
        <v>2018</v>
      </c>
      <c r="R675" t="s">
        <v>44</v>
      </c>
      <c r="S675">
        <v>178992</v>
      </c>
      <c r="T675" s="118">
        <f t="shared" si="50"/>
        <v>4.9377103448275861</v>
      </c>
      <c r="U675" t="s">
        <v>44</v>
      </c>
      <c r="Y675">
        <v>5077800</v>
      </c>
      <c r="AA675">
        <v>5077800</v>
      </c>
      <c r="AC675" t="s">
        <v>5630</v>
      </c>
      <c r="AD675" t="s">
        <v>5631</v>
      </c>
      <c r="AE675" t="s">
        <v>5632</v>
      </c>
      <c r="AF675" t="s">
        <v>5633</v>
      </c>
      <c r="AI675" s="59" t="e">
        <f t="shared" si="51"/>
        <v>#N/A</v>
      </c>
      <c r="AJ675" t="e">
        <f t="shared" si="52"/>
        <v>#N/A</v>
      </c>
      <c r="AK675" t="str">
        <f t="shared" si="53"/>
        <v/>
      </c>
    </row>
    <row r="676" spans="1:37" ht="15" customHeight="1">
      <c r="A676" s="122">
        <v>8</v>
      </c>
      <c r="B676" s="59">
        <v>672</v>
      </c>
      <c r="C676" t="s">
        <v>5634</v>
      </c>
      <c r="D676" t="s">
        <v>5635</v>
      </c>
      <c r="E676">
        <v>353</v>
      </c>
      <c r="F676" t="s">
        <v>1896</v>
      </c>
      <c r="G676" t="s">
        <v>1786</v>
      </c>
      <c r="H676" s="119">
        <f t="shared" si="54"/>
        <v>194.70883225872481</v>
      </c>
      <c r="I676" s="117">
        <v>44559</v>
      </c>
      <c r="J676">
        <v>9771</v>
      </c>
      <c r="L676">
        <v>9771</v>
      </c>
      <c r="M676">
        <v>2008</v>
      </c>
      <c r="P676" t="s">
        <v>2635</v>
      </c>
      <c r="R676" t="s">
        <v>44</v>
      </c>
      <c r="S676">
        <v>71500</v>
      </c>
      <c r="T676" s="118">
        <f t="shared" si="50"/>
        <v>7.3175724081465559</v>
      </c>
      <c r="U676" t="s">
        <v>44</v>
      </c>
      <c r="Y676">
        <v>1902500</v>
      </c>
      <c r="AA676">
        <v>1902500</v>
      </c>
      <c r="AC676" t="s">
        <v>5636</v>
      </c>
      <c r="AD676" t="s">
        <v>5637</v>
      </c>
      <c r="AE676" t="s">
        <v>5638</v>
      </c>
      <c r="AF676" t="s">
        <v>5639</v>
      </c>
      <c r="AI676" s="59" t="e">
        <f t="shared" si="51"/>
        <v>#N/A</v>
      </c>
      <c r="AJ676" t="e">
        <f t="shared" si="52"/>
        <v>#N/A</v>
      </c>
      <c r="AK676" t="str">
        <f t="shared" si="53"/>
        <v/>
      </c>
    </row>
    <row r="677" spans="1:37" ht="15" customHeight="1">
      <c r="A677" s="122">
        <v>8</v>
      </c>
      <c r="B677" s="59">
        <v>673</v>
      </c>
      <c r="C677" t="s">
        <v>5640</v>
      </c>
      <c r="D677" t="s">
        <v>5641</v>
      </c>
      <c r="E677">
        <v>406</v>
      </c>
      <c r="F677" t="s">
        <v>2141</v>
      </c>
      <c r="G677" t="s">
        <v>1910</v>
      </c>
      <c r="H677" s="119">
        <f t="shared" si="54"/>
        <v>168.14613651586191</v>
      </c>
      <c r="I677" s="117">
        <v>43781</v>
      </c>
      <c r="J677">
        <v>16423</v>
      </c>
      <c r="L677">
        <v>16423</v>
      </c>
      <c r="M677">
        <v>1999</v>
      </c>
      <c r="R677" t="s">
        <v>44</v>
      </c>
      <c r="S677">
        <v>80507</v>
      </c>
      <c r="T677" s="118">
        <f t="shared" ref="T677:T714" si="55">S677/J677</f>
        <v>4.9020885343725267</v>
      </c>
      <c r="U677" t="s">
        <v>44</v>
      </c>
      <c r="Y677">
        <v>2761464</v>
      </c>
      <c r="AA677">
        <v>2761464</v>
      </c>
      <c r="AC677" t="s">
        <v>5642</v>
      </c>
      <c r="AD677" t="s">
        <v>5643</v>
      </c>
      <c r="AE677" t="s">
        <v>5644</v>
      </c>
      <c r="AF677" t="s">
        <v>5645</v>
      </c>
      <c r="AI677" s="59">
        <f t="shared" si="51"/>
        <v>2023</v>
      </c>
      <c r="AJ677">
        <f t="shared" si="52"/>
        <v>2023.0000677</v>
      </c>
      <c r="AK677" t="str">
        <f t="shared" si="53"/>
        <v/>
      </c>
    </row>
    <row r="678" spans="1:37" ht="15" customHeight="1">
      <c r="A678" s="122">
        <v>8</v>
      </c>
      <c r="B678" s="59">
        <v>674</v>
      </c>
      <c r="C678" t="s">
        <v>5646</v>
      </c>
      <c r="D678" t="s">
        <v>5647</v>
      </c>
      <c r="E678">
        <v>425</v>
      </c>
      <c r="F678" t="s">
        <v>1800</v>
      </c>
      <c r="G678" t="s">
        <v>90</v>
      </c>
      <c r="H678" s="119">
        <f t="shared" si="54"/>
        <v>237.24082934609251</v>
      </c>
      <c r="I678" s="117">
        <v>43444</v>
      </c>
      <c r="J678">
        <v>2508</v>
      </c>
      <c r="L678">
        <v>2508</v>
      </c>
      <c r="M678">
        <v>2018</v>
      </c>
      <c r="R678" t="s">
        <v>229</v>
      </c>
      <c r="S678">
        <v>8986</v>
      </c>
      <c r="T678" s="118">
        <f t="shared" si="55"/>
        <v>3.5829346092503989</v>
      </c>
      <c r="U678" t="s">
        <v>44</v>
      </c>
      <c r="Y678">
        <v>595000</v>
      </c>
      <c r="AA678">
        <v>595000</v>
      </c>
      <c r="AC678" t="s">
        <v>5648</v>
      </c>
      <c r="AD678" t="s">
        <v>5649</v>
      </c>
      <c r="AE678" t="s">
        <v>5650</v>
      </c>
      <c r="AF678" t="s">
        <v>5651</v>
      </c>
      <c r="AI678" s="59" t="e">
        <f t="shared" si="51"/>
        <v>#N/A</v>
      </c>
      <c r="AJ678" t="e">
        <f t="shared" si="52"/>
        <v>#N/A</v>
      </c>
      <c r="AK678" t="str">
        <f t="shared" si="53"/>
        <v/>
      </c>
    </row>
    <row r="679" spans="1:37" ht="15" customHeight="1">
      <c r="A679" s="122">
        <v>8</v>
      </c>
      <c r="B679" s="59">
        <v>675</v>
      </c>
      <c r="C679" t="s">
        <v>5652</v>
      </c>
      <c r="D679" t="s">
        <v>5653</v>
      </c>
      <c r="E679">
        <v>426</v>
      </c>
      <c r="F679" t="s">
        <v>1896</v>
      </c>
      <c r="G679" t="s">
        <v>1786</v>
      </c>
      <c r="H679" s="119">
        <f t="shared" si="54"/>
        <v>370</v>
      </c>
      <c r="I679" s="117">
        <v>44712</v>
      </c>
      <c r="J679">
        <v>10000</v>
      </c>
      <c r="L679">
        <v>10000</v>
      </c>
      <c r="M679">
        <v>2018</v>
      </c>
      <c r="P679" t="s">
        <v>2529</v>
      </c>
      <c r="R679" t="s">
        <v>44</v>
      </c>
      <c r="S679">
        <v>50841</v>
      </c>
      <c r="T679" s="118">
        <f t="shared" si="55"/>
        <v>5.0841000000000003</v>
      </c>
      <c r="U679" t="s">
        <v>44</v>
      </c>
      <c r="Y679">
        <v>3700000</v>
      </c>
      <c r="AA679">
        <v>3700000</v>
      </c>
      <c r="AC679" t="s">
        <v>5654</v>
      </c>
      <c r="AD679" t="s">
        <v>5655</v>
      </c>
      <c r="AE679" t="s">
        <v>5656</v>
      </c>
      <c r="AF679" t="s">
        <v>5657</v>
      </c>
      <c r="AI679" s="59" t="e">
        <f t="shared" si="51"/>
        <v>#N/A</v>
      </c>
      <c r="AJ679" t="e">
        <f t="shared" si="52"/>
        <v>#N/A</v>
      </c>
      <c r="AK679" t="str">
        <f t="shared" si="53"/>
        <v/>
      </c>
    </row>
    <row r="680" spans="1:37" ht="15" customHeight="1">
      <c r="A680" s="122">
        <v>8</v>
      </c>
      <c r="B680" s="59">
        <v>676</v>
      </c>
      <c r="C680" t="s">
        <v>5652</v>
      </c>
      <c r="D680" t="s">
        <v>5653</v>
      </c>
      <c r="E680">
        <v>426</v>
      </c>
      <c r="F680" t="s">
        <v>1896</v>
      </c>
      <c r="G680" t="s">
        <v>1786</v>
      </c>
      <c r="H680" s="119">
        <f t="shared" si="54"/>
        <v>361.38888888888891</v>
      </c>
      <c r="I680" s="117">
        <v>43301</v>
      </c>
      <c r="J680">
        <v>10080</v>
      </c>
      <c r="L680">
        <v>10080</v>
      </c>
      <c r="M680">
        <v>2018</v>
      </c>
      <c r="P680" t="s">
        <v>2529</v>
      </c>
      <c r="R680" t="s">
        <v>44</v>
      </c>
      <c r="S680">
        <v>50841</v>
      </c>
      <c r="T680" s="118">
        <f t="shared" si="55"/>
        <v>5.0437500000000002</v>
      </c>
      <c r="U680" t="s">
        <v>44</v>
      </c>
      <c r="Y680">
        <v>3642800</v>
      </c>
      <c r="AA680">
        <v>3642800</v>
      </c>
      <c r="AC680" t="s">
        <v>5654</v>
      </c>
      <c r="AD680" t="s">
        <v>5658</v>
      </c>
      <c r="AE680" t="s">
        <v>5659</v>
      </c>
      <c r="AF680" t="s">
        <v>5656</v>
      </c>
      <c r="AI680" s="59" t="e">
        <f t="shared" si="51"/>
        <v>#N/A</v>
      </c>
      <c r="AJ680" t="e">
        <f t="shared" si="52"/>
        <v>#N/A</v>
      </c>
      <c r="AK680" t="str">
        <f t="shared" si="53"/>
        <v/>
      </c>
    </row>
    <row r="681" spans="1:37" ht="15" customHeight="1">
      <c r="A681" s="122">
        <v>8</v>
      </c>
      <c r="B681" s="59">
        <v>677</v>
      </c>
      <c r="C681" t="s">
        <v>5660</v>
      </c>
      <c r="D681" t="s">
        <v>5661</v>
      </c>
      <c r="E681">
        <v>325</v>
      </c>
      <c r="F681" t="s">
        <v>2141</v>
      </c>
      <c r="G681" t="s">
        <v>89</v>
      </c>
      <c r="H681" s="119">
        <f t="shared" si="54"/>
        <v>666.93613581244949</v>
      </c>
      <c r="I681" s="117">
        <v>44420</v>
      </c>
      <c r="J681">
        <v>4948</v>
      </c>
      <c r="L681">
        <v>4948</v>
      </c>
      <c r="M681">
        <v>2020</v>
      </c>
      <c r="R681" t="s">
        <v>44</v>
      </c>
      <c r="S681">
        <v>40754</v>
      </c>
      <c r="T681" s="118">
        <f t="shared" si="55"/>
        <v>8.2364591754244145</v>
      </c>
      <c r="U681" t="s">
        <v>44</v>
      </c>
      <c r="Y681">
        <v>3300000</v>
      </c>
      <c r="AA681">
        <v>3300000</v>
      </c>
      <c r="AC681" t="s">
        <v>5662</v>
      </c>
      <c r="AD681" t="s">
        <v>5663</v>
      </c>
      <c r="AE681" t="s">
        <v>5664</v>
      </c>
      <c r="AF681" t="s">
        <v>5665</v>
      </c>
      <c r="AI681" s="59" t="e">
        <f t="shared" si="51"/>
        <v>#N/A</v>
      </c>
      <c r="AJ681" t="e">
        <f t="shared" si="52"/>
        <v>#N/A</v>
      </c>
      <c r="AK681" t="str">
        <f t="shared" si="53"/>
        <v/>
      </c>
    </row>
    <row r="682" spans="1:37" ht="15" customHeight="1">
      <c r="A682" s="122">
        <v>8</v>
      </c>
      <c r="B682" s="59">
        <v>678</v>
      </c>
      <c r="C682" t="s">
        <v>5666</v>
      </c>
      <c r="D682" t="s">
        <v>5667</v>
      </c>
      <c r="E682">
        <v>1344</v>
      </c>
      <c r="F682" t="s">
        <v>1800</v>
      </c>
      <c r="G682" t="s">
        <v>90</v>
      </c>
      <c r="H682" s="119">
        <f t="shared" si="54"/>
        <v>350.55248618784532</v>
      </c>
      <c r="I682" s="117">
        <v>44027</v>
      </c>
      <c r="J682">
        <v>2353</v>
      </c>
      <c r="L682">
        <v>2353</v>
      </c>
      <c r="M682">
        <v>2020</v>
      </c>
      <c r="R682" t="s">
        <v>44</v>
      </c>
      <c r="S682">
        <v>2051</v>
      </c>
      <c r="T682" s="118">
        <f t="shared" si="55"/>
        <v>0.87165320866978324</v>
      </c>
      <c r="U682" t="s">
        <v>44</v>
      </c>
      <c r="Y682">
        <v>824850</v>
      </c>
      <c r="AA682">
        <v>824850</v>
      </c>
      <c r="AC682" t="s">
        <v>5668</v>
      </c>
      <c r="AD682" t="s">
        <v>5669</v>
      </c>
      <c r="AE682" t="s">
        <v>5670</v>
      </c>
      <c r="AF682" t="s">
        <v>5671</v>
      </c>
      <c r="AI682" s="59" t="e">
        <f t="shared" si="51"/>
        <v>#N/A</v>
      </c>
      <c r="AJ682" t="e">
        <f t="shared" si="52"/>
        <v>#N/A</v>
      </c>
      <c r="AK682" t="str">
        <f t="shared" si="53"/>
        <v/>
      </c>
    </row>
    <row r="683" spans="1:37" ht="15" customHeight="1">
      <c r="A683" s="122">
        <v>8</v>
      </c>
      <c r="B683" s="59">
        <v>679</v>
      </c>
      <c r="C683" t="s">
        <v>5672</v>
      </c>
      <c r="D683" t="s">
        <v>5673</v>
      </c>
      <c r="E683">
        <v>386</v>
      </c>
      <c r="F683" t="s">
        <v>1984</v>
      </c>
      <c r="G683" t="s">
        <v>89</v>
      </c>
      <c r="H683" s="119">
        <f t="shared" si="54"/>
        <v>168.01232090353292</v>
      </c>
      <c r="I683" s="117">
        <v>44718</v>
      </c>
      <c r="J683">
        <v>107135</v>
      </c>
      <c r="L683">
        <v>107135</v>
      </c>
      <c r="M683">
        <v>2019</v>
      </c>
      <c r="P683" t="s">
        <v>2427</v>
      </c>
      <c r="R683" t="s">
        <v>229</v>
      </c>
      <c r="S683">
        <v>161944</v>
      </c>
      <c r="T683" s="118">
        <f t="shared" si="55"/>
        <v>1.5115881831334297</v>
      </c>
      <c r="U683" t="s">
        <v>229</v>
      </c>
      <c r="Y683">
        <v>18000000</v>
      </c>
      <c r="AA683">
        <v>18000000</v>
      </c>
      <c r="AC683" t="s">
        <v>5674</v>
      </c>
      <c r="AD683" t="s">
        <v>5675</v>
      </c>
      <c r="AE683" t="s">
        <v>5676</v>
      </c>
      <c r="AF683" t="s">
        <v>5677</v>
      </c>
      <c r="AI683" s="59" t="e">
        <f t="shared" si="51"/>
        <v>#N/A</v>
      </c>
      <c r="AJ683" t="e">
        <f t="shared" si="52"/>
        <v>#N/A</v>
      </c>
      <c r="AK683" t="str">
        <f t="shared" si="53"/>
        <v/>
      </c>
    </row>
    <row r="684" spans="1:37" ht="15" customHeight="1">
      <c r="A684" s="122">
        <v>8</v>
      </c>
      <c r="B684" s="59">
        <v>680</v>
      </c>
      <c r="C684" t="s">
        <v>5678</v>
      </c>
      <c r="D684" t="s">
        <v>5679</v>
      </c>
      <c r="E684">
        <v>353</v>
      </c>
      <c r="F684" t="s">
        <v>1896</v>
      </c>
      <c r="G684" t="s">
        <v>1786</v>
      </c>
      <c r="H684" s="119">
        <f t="shared" si="54"/>
        <v>193.12760125875545</v>
      </c>
      <c r="I684" s="117">
        <v>44559</v>
      </c>
      <c r="J684">
        <v>9851</v>
      </c>
      <c r="L684">
        <v>9851</v>
      </c>
      <c r="M684">
        <v>2008</v>
      </c>
      <c r="P684" t="s">
        <v>2635</v>
      </c>
      <c r="R684" t="s">
        <v>44</v>
      </c>
      <c r="S684">
        <v>91611</v>
      </c>
      <c r="T684" s="118">
        <f t="shared" si="55"/>
        <v>9.2996650086285655</v>
      </c>
      <c r="U684" t="s">
        <v>44</v>
      </c>
      <c r="Y684">
        <v>1902500</v>
      </c>
      <c r="AA684">
        <v>1902500</v>
      </c>
      <c r="AC684" t="s">
        <v>5680</v>
      </c>
      <c r="AD684" t="s">
        <v>5681</v>
      </c>
      <c r="AE684" t="s">
        <v>5638</v>
      </c>
      <c r="AF684" t="s">
        <v>5682</v>
      </c>
      <c r="AI684" s="59" t="e">
        <f t="shared" si="51"/>
        <v>#N/A</v>
      </c>
      <c r="AJ684" t="e">
        <f t="shared" si="52"/>
        <v>#N/A</v>
      </c>
      <c r="AK684" t="str">
        <f t="shared" si="53"/>
        <v/>
      </c>
    </row>
    <row r="685" spans="1:37" ht="15" customHeight="1">
      <c r="A685" s="122">
        <v>8</v>
      </c>
      <c r="B685" s="59">
        <v>681</v>
      </c>
      <c r="C685" t="s">
        <v>5683</v>
      </c>
      <c r="D685" t="s">
        <v>5667</v>
      </c>
      <c r="E685">
        <v>1344</v>
      </c>
      <c r="F685" t="s">
        <v>1800</v>
      </c>
      <c r="G685" t="s">
        <v>90</v>
      </c>
      <c r="H685" s="119">
        <f t="shared" si="54"/>
        <v>339.14949583516</v>
      </c>
      <c r="I685" s="117">
        <v>44160</v>
      </c>
      <c r="J685">
        <v>2281</v>
      </c>
      <c r="L685">
        <v>2281</v>
      </c>
      <c r="M685">
        <v>2020</v>
      </c>
      <c r="R685" t="s">
        <v>44</v>
      </c>
      <c r="S685">
        <v>2051</v>
      </c>
      <c r="T685" s="118">
        <f t="shared" si="55"/>
        <v>0.89916703200350723</v>
      </c>
      <c r="U685" t="s">
        <v>44</v>
      </c>
      <c r="Y685">
        <v>773600</v>
      </c>
      <c r="AA685">
        <v>773600</v>
      </c>
      <c r="AC685" t="s">
        <v>5684</v>
      </c>
      <c r="AD685" t="s">
        <v>5685</v>
      </c>
      <c r="AE685" t="s">
        <v>5670</v>
      </c>
      <c r="AF685" t="s">
        <v>5686</v>
      </c>
      <c r="AI685" s="59" t="e">
        <f t="shared" si="51"/>
        <v>#N/A</v>
      </c>
      <c r="AJ685" t="e">
        <f t="shared" si="52"/>
        <v>#N/A</v>
      </c>
      <c r="AK685" t="str">
        <f t="shared" si="53"/>
        <v/>
      </c>
    </row>
    <row r="686" spans="1:37" ht="15" customHeight="1">
      <c r="A686" s="122">
        <v>8</v>
      </c>
      <c r="B686" s="59">
        <v>682</v>
      </c>
      <c r="C686" t="s">
        <v>5687</v>
      </c>
      <c r="D686" t="s">
        <v>5647</v>
      </c>
      <c r="E686">
        <v>425</v>
      </c>
      <c r="F686" t="s">
        <v>1800</v>
      </c>
      <c r="G686" t="s">
        <v>90</v>
      </c>
      <c r="H686" s="119">
        <f t="shared" si="54"/>
        <v>256.10717100078801</v>
      </c>
      <c r="I686" s="117">
        <v>43544</v>
      </c>
      <c r="J686">
        <v>2538</v>
      </c>
      <c r="L686">
        <v>2538</v>
      </c>
      <c r="M686">
        <v>2018</v>
      </c>
      <c r="R686" t="s">
        <v>229</v>
      </c>
      <c r="S686">
        <v>8986</v>
      </c>
      <c r="T686" s="118">
        <f t="shared" si="55"/>
        <v>3.5405831363278173</v>
      </c>
      <c r="U686" t="s">
        <v>44</v>
      </c>
      <c r="Y686">
        <v>650000</v>
      </c>
      <c r="AA686">
        <v>650000</v>
      </c>
      <c r="AC686" t="s">
        <v>5688</v>
      </c>
      <c r="AD686" t="s">
        <v>5689</v>
      </c>
      <c r="AE686" t="s">
        <v>5650</v>
      </c>
      <c r="AF686" t="s">
        <v>5690</v>
      </c>
      <c r="AI686" s="59" t="e">
        <f t="shared" si="51"/>
        <v>#N/A</v>
      </c>
      <c r="AJ686" t="e">
        <f t="shared" si="52"/>
        <v>#N/A</v>
      </c>
      <c r="AK686" t="str">
        <f t="shared" si="53"/>
        <v/>
      </c>
    </row>
    <row r="687" spans="1:37" ht="15" customHeight="1">
      <c r="A687" s="122">
        <v>8</v>
      </c>
      <c r="B687" s="59">
        <v>683</v>
      </c>
      <c r="C687" t="s">
        <v>5691</v>
      </c>
      <c r="D687" t="s">
        <v>5692</v>
      </c>
      <c r="E687">
        <v>1344</v>
      </c>
      <c r="F687" t="s">
        <v>1785</v>
      </c>
      <c r="G687" t="s">
        <v>1786</v>
      </c>
      <c r="H687" s="119">
        <f t="shared" si="54"/>
        <v>257.90010193679916</v>
      </c>
      <c r="I687" s="117">
        <v>43543</v>
      </c>
      <c r="J687">
        <v>981</v>
      </c>
      <c r="L687">
        <v>981</v>
      </c>
      <c r="M687">
        <v>1999</v>
      </c>
      <c r="R687" t="s">
        <v>229</v>
      </c>
      <c r="S687">
        <v>0</v>
      </c>
      <c r="T687" s="118">
        <f t="shared" si="55"/>
        <v>0</v>
      </c>
      <c r="U687" t="s">
        <v>229</v>
      </c>
      <c r="Y687">
        <v>253000</v>
      </c>
      <c r="AA687">
        <v>253000</v>
      </c>
      <c r="AC687" t="s">
        <v>5693</v>
      </c>
      <c r="AD687" t="s">
        <v>5694</v>
      </c>
      <c r="AE687" t="s">
        <v>5695</v>
      </c>
      <c r="AF687" t="s">
        <v>5696</v>
      </c>
      <c r="AI687" s="59" t="e">
        <f t="shared" si="51"/>
        <v>#N/A</v>
      </c>
      <c r="AJ687" t="e">
        <f t="shared" si="52"/>
        <v>#N/A</v>
      </c>
      <c r="AK687" t="str">
        <f t="shared" si="53"/>
        <v/>
      </c>
    </row>
    <row r="688" spans="1:37" ht="15" customHeight="1">
      <c r="A688" s="122">
        <v>8</v>
      </c>
      <c r="B688" s="59">
        <v>684</v>
      </c>
      <c r="C688" t="s">
        <v>5697</v>
      </c>
      <c r="D688" t="s">
        <v>5698</v>
      </c>
      <c r="E688">
        <v>328</v>
      </c>
      <c r="G688" t="s">
        <v>88</v>
      </c>
      <c r="H688" s="119">
        <f t="shared" si="54"/>
        <v>73.254759746146874</v>
      </c>
      <c r="I688" s="117">
        <v>44091</v>
      </c>
      <c r="J688">
        <v>1103</v>
      </c>
      <c r="L688">
        <v>1103</v>
      </c>
      <c r="R688" t="s">
        <v>44</v>
      </c>
      <c r="S688">
        <v>0</v>
      </c>
      <c r="T688" s="118">
        <f t="shared" si="55"/>
        <v>0</v>
      </c>
      <c r="U688" t="s">
        <v>44</v>
      </c>
      <c r="Y688">
        <v>80800</v>
      </c>
      <c r="AA688">
        <v>80800</v>
      </c>
      <c r="AC688" t="s">
        <v>5699</v>
      </c>
      <c r="AD688" t="s">
        <v>5700</v>
      </c>
      <c r="AE688" t="s">
        <v>5701</v>
      </c>
      <c r="AF688" t="s">
        <v>5702</v>
      </c>
      <c r="AI688" s="59" t="e">
        <f t="shared" si="51"/>
        <v>#N/A</v>
      </c>
      <c r="AJ688" t="e">
        <f t="shared" si="52"/>
        <v>#N/A</v>
      </c>
      <c r="AK688" t="str">
        <f t="shared" si="53"/>
        <v/>
      </c>
    </row>
    <row r="689" spans="1:37" ht="15" customHeight="1">
      <c r="A689" s="122">
        <v>8</v>
      </c>
      <c r="B689" s="59">
        <v>685</v>
      </c>
      <c r="C689" t="s">
        <v>5703</v>
      </c>
      <c r="D689" t="s">
        <v>5704</v>
      </c>
      <c r="E689">
        <v>328</v>
      </c>
      <c r="G689" t="s">
        <v>88</v>
      </c>
      <c r="H689" s="119">
        <f t="shared" si="54"/>
        <v>69.468267581475132</v>
      </c>
      <c r="I689" s="117">
        <v>44091</v>
      </c>
      <c r="J689">
        <v>1166</v>
      </c>
      <c r="L689">
        <v>1166</v>
      </c>
      <c r="R689" t="s">
        <v>44</v>
      </c>
      <c r="S689">
        <v>0</v>
      </c>
      <c r="T689" s="118">
        <f t="shared" si="55"/>
        <v>0</v>
      </c>
      <c r="U689" t="s">
        <v>44</v>
      </c>
      <c r="Y689">
        <v>81000</v>
      </c>
      <c r="AA689">
        <v>81000</v>
      </c>
      <c r="AC689" t="s">
        <v>5705</v>
      </c>
      <c r="AD689" t="s">
        <v>5706</v>
      </c>
      <c r="AE689" t="s">
        <v>5701</v>
      </c>
      <c r="AF689" t="s">
        <v>5707</v>
      </c>
      <c r="AI689" s="59" t="e">
        <f t="shared" si="51"/>
        <v>#N/A</v>
      </c>
      <c r="AJ689" t="e">
        <f t="shared" si="52"/>
        <v>#N/A</v>
      </c>
      <c r="AK689" t="str">
        <f t="shared" si="53"/>
        <v/>
      </c>
    </row>
    <row r="690" spans="1:37" ht="15" customHeight="1">
      <c r="A690" s="122">
        <v>8</v>
      </c>
      <c r="B690" s="59">
        <v>686</v>
      </c>
      <c r="C690" t="s">
        <v>5703</v>
      </c>
      <c r="D690" t="s">
        <v>5704</v>
      </c>
      <c r="E690">
        <v>328</v>
      </c>
      <c r="G690" t="s">
        <v>88</v>
      </c>
      <c r="H690" s="119">
        <f t="shared" si="54"/>
        <v>107.2041166380789</v>
      </c>
      <c r="I690" s="117">
        <v>44651</v>
      </c>
      <c r="J690">
        <v>1166</v>
      </c>
      <c r="L690">
        <v>1166</v>
      </c>
      <c r="R690" t="s">
        <v>44</v>
      </c>
      <c r="S690">
        <v>0</v>
      </c>
      <c r="T690" s="118">
        <f t="shared" si="55"/>
        <v>0</v>
      </c>
      <c r="U690" t="s">
        <v>44</v>
      </c>
      <c r="Y690">
        <v>125000</v>
      </c>
      <c r="AA690">
        <v>125000</v>
      </c>
      <c r="AC690" t="s">
        <v>5705</v>
      </c>
      <c r="AD690" t="s">
        <v>5708</v>
      </c>
      <c r="AE690" t="s">
        <v>5707</v>
      </c>
      <c r="AF690" t="s">
        <v>5709</v>
      </c>
      <c r="AI690" s="59" t="e">
        <f t="shared" si="51"/>
        <v>#N/A</v>
      </c>
      <c r="AJ690" t="e">
        <f t="shared" si="52"/>
        <v>#N/A</v>
      </c>
      <c r="AK690" t="str">
        <f t="shared" si="53"/>
        <v/>
      </c>
    </row>
    <row r="691" spans="1:37" ht="15" customHeight="1">
      <c r="A691" s="122">
        <v>8</v>
      </c>
      <c r="B691" s="59">
        <v>687</v>
      </c>
      <c r="C691" t="s">
        <v>5710</v>
      </c>
      <c r="D691" t="s">
        <v>5711</v>
      </c>
      <c r="E691">
        <v>447</v>
      </c>
      <c r="F691" t="s">
        <v>1984</v>
      </c>
      <c r="G691" t="s">
        <v>89</v>
      </c>
      <c r="H691" s="119">
        <f t="shared" si="54"/>
        <v>220.18728267696818</v>
      </c>
      <c r="I691" s="117">
        <v>44512</v>
      </c>
      <c r="J691">
        <v>243589</v>
      </c>
      <c r="L691">
        <v>243589</v>
      </c>
      <c r="M691">
        <v>2021</v>
      </c>
      <c r="R691" t="s">
        <v>229</v>
      </c>
      <c r="S691">
        <v>727821</v>
      </c>
      <c r="T691" s="118">
        <f t="shared" si="55"/>
        <v>2.9879058578178816</v>
      </c>
      <c r="U691" t="s">
        <v>44</v>
      </c>
      <c r="Y691">
        <v>53635200</v>
      </c>
      <c r="AA691">
        <v>53635200</v>
      </c>
      <c r="AC691" t="s">
        <v>5712</v>
      </c>
      <c r="AD691" t="s">
        <v>5713</v>
      </c>
      <c r="AE691" t="s">
        <v>5714</v>
      </c>
      <c r="AF691" t="s">
        <v>5715</v>
      </c>
      <c r="AI691" s="59" t="e">
        <f t="shared" si="51"/>
        <v>#N/A</v>
      </c>
      <c r="AJ691" t="e">
        <f t="shared" si="52"/>
        <v>#N/A</v>
      </c>
      <c r="AK691" t="str">
        <f t="shared" si="53"/>
        <v/>
      </c>
    </row>
    <row r="692" spans="1:37" ht="15" customHeight="1">
      <c r="A692" s="122">
        <v>8</v>
      </c>
      <c r="B692" s="59">
        <v>688</v>
      </c>
      <c r="C692" t="s">
        <v>5716</v>
      </c>
      <c r="D692" t="s">
        <v>5717</v>
      </c>
      <c r="E692">
        <v>425</v>
      </c>
      <c r="F692" t="s">
        <v>2141</v>
      </c>
      <c r="G692" t="s">
        <v>1910</v>
      </c>
      <c r="H692" s="119">
        <f t="shared" si="54"/>
        <v>194.96296296296296</v>
      </c>
      <c r="I692" s="117">
        <v>44735</v>
      </c>
      <c r="J692">
        <v>1350</v>
      </c>
      <c r="L692">
        <v>1350</v>
      </c>
      <c r="M692">
        <v>2022</v>
      </c>
      <c r="R692" t="s">
        <v>44</v>
      </c>
      <c r="S692">
        <v>0</v>
      </c>
      <c r="T692" s="118">
        <f t="shared" si="55"/>
        <v>0</v>
      </c>
      <c r="U692" t="s">
        <v>44</v>
      </c>
      <c r="Y692">
        <v>263200</v>
      </c>
      <c r="AA692">
        <v>263200</v>
      </c>
      <c r="AC692" t="s">
        <v>5718</v>
      </c>
      <c r="AD692" t="s">
        <v>5719</v>
      </c>
      <c r="AE692" t="s">
        <v>2392</v>
      </c>
      <c r="AF692" t="s">
        <v>5720</v>
      </c>
      <c r="AI692" s="59" t="e">
        <f t="shared" si="51"/>
        <v>#N/A</v>
      </c>
      <c r="AJ692" t="e">
        <f t="shared" si="52"/>
        <v>#N/A</v>
      </c>
      <c r="AK692" t="str">
        <f t="shared" si="53"/>
        <v/>
      </c>
    </row>
    <row r="693" spans="1:37" ht="15" customHeight="1">
      <c r="A693" s="122">
        <v>8</v>
      </c>
      <c r="B693" s="59">
        <v>689</v>
      </c>
      <c r="C693" t="s">
        <v>5721</v>
      </c>
      <c r="D693" t="s">
        <v>5722</v>
      </c>
      <c r="E693">
        <v>584</v>
      </c>
      <c r="F693" t="s">
        <v>2141</v>
      </c>
      <c r="G693" t="s">
        <v>89</v>
      </c>
      <c r="H693" s="119">
        <f t="shared" si="54"/>
        <v>107.25100942126514</v>
      </c>
      <c r="I693" s="117">
        <v>44301</v>
      </c>
      <c r="J693">
        <v>594400</v>
      </c>
      <c r="L693">
        <v>594400</v>
      </c>
      <c r="M693">
        <v>2020</v>
      </c>
      <c r="R693" t="s">
        <v>44</v>
      </c>
      <c r="S693">
        <v>1442973</v>
      </c>
      <c r="T693" s="118">
        <f t="shared" si="55"/>
        <v>2.4276127187079406</v>
      </c>
      <c r="U693" t="s">
        <v>44</v>
      </c>
      <c r="Y693">
        <v>63750000</v>
      </c>
      <c r="AA693">
        <v>63750000</v>
      </c>
      <c r="AC693" t="s">
        <v>5723</v>
      </c>
      <c r="AD693" t="s">
        <v>5724</v>
      </c>
      <c r="AE693" t="s">
        <v>5725</v>
      </c>
      <c r="AF693" t="s">
        <v>5726</v>
      </c>
      <c r="AI693" s="59" t="e">
        <f t="shared" si="51"/>
        <v>#N/A</v>
      </c>
      <c r="AJ693" t="e">
        <f t="shared" si="52"/>
        <v>#N/A</v>
      </c>
      <c r="AK693" t="str">
        <f t="shared" si="53"/>
        <v/>
      </c>
    </row>
    <row r="694" spans="1:37" ht="15" customHeight="1">
      <c r="A694" s="122">
        <v>8</v>
      </c>
      <c r="B694" s="59">
        <v>690</v>
      </c>
      <c r="C694" t="s">
        <v>2991</v>
      </c>
      <c r="D694" t="s">
        <v>5727</v>
      </c>
      <c r="E694">
        <v>353</v>
      </c>
      <c r="F694" t="s">
        <v>1785</v>
      </c>
      <c r="G694" t="s">
        <v>1786</v>
      </c>
      <c r="H694" s="119">
        <f t="shared" si="54"/>
        <v>1116.6666666666667</v>
      </c>
      <c r="I694" s="117">
        <v>44091</v>
      </c>
      <c r="J694">
        <v>1500</v>
      </c>
      <c r="L694">
        <v>1500</v>
      </c>
      <c r="M694">
        <v>1986</v>
      </c>
      <c r="R694" t="s">
        <v>1258</v>
      </c>
      <c r="S694">
        <v>42879</v>
      </c>
      <c r="T694" s="118">
        <f t="shared" si="55"/>
        <v>28.585999999999999</v>
      </c>
      <c r="U694" t="s">
        <v>302</v>
      </c>
      <c r="Y694">
        <v>1675000</v>
      </c>
      <c r="AA694">
        <v>1675000</v>
      </c>
      <c r="AC694" t="s">
        <v>2993</v>
      </c>
      <c r="AD694" t="s">
        <v>5728</v>
      </c>
      <c r="AE694" t="s">
        <v>5729</v>
      </c>
      <c r="AF694" t="s">
        <v>2995</v>
      </c>
      <c r="AI694" s="59" t="e">
        <f t="shared" si="51"/>
        <v>#N/A</v>
      </c>
      <c r="AJ694" t="e">
        <f t="shared" si="52"/>
        <v>#N/A</v>
      </c>
      <c r="AK694" t="str">
        <f t="shared" si="53"/>
        <v/>
      </c>
    </row>
    <row r="695" spans="1:37" ht="15" customHeight="1">
      <c r="A695" s="122">
        <v>8</v>
      </c>
      <c r="B695" s="59">
        <v>691</v>
      </c>
      <c r="C695" t="s">
        <v>5730</v>
      </c>
      <c r="D695" t="s">
        <v>5731</v>
      </c>
      <c r="E695">
        <v>334</v>
      </c>
      <c r="F695" t="s">
        <v>1814</v>
      </c>
      <c r="G695" t="s">
        <v>1815</v>
      </c>
      <c r="H695" s="119">
        <f t="shared" si="54"/>
        <v>153.18015318015318</v>
      </c>
      <c r="I695" s="117">
        <v>43858</v>
      </c>
      <c r="J695">
        <v>30030</v>
      </c>
      <c r="L695">
        <v>30030</v>
      </c>
      <c r="M695">
        <v>2019</v>
      </c>
      <c r="R695" t="s">
        <v>229</v>
      </c>
      <c r="S695">
        <v>96173</v>
      </c>
      <c r="T695" s="118">
        <f t="shared" si="55"/>
        <v>3.2025641025641027</v>
      </c>
      <c r="U695" t="s">
        <v>229</v>
      </c>
      <c r="Y695">
        <v>4600000</v>
      </c>
      <c r="AA695">
        <v>4600000</v>
      </c>
      <c r="AC695" t="s">
        <v>5732</v>
      </c>
      <c r="AD695" t="s">
        <v>5733</v>
      </c>
      <c r="AE695" t="s">
        <v>5734</v>
      </c>
      <c r="AF695" t="s">
        <v>5735</v>
      </c>
      <c r="AI695" s="59" t="e">
        <f t="shared" si="51"/>
        <v>#N/A</v>
      </c>
      <c r="AJ695" t="e">
        <f t="shared" si="52"/>
        <v>#N/A</v>
      </c>
      <c r="AK695" t="str">
        <f t="shared" si="53"/>
        <v/>
      </c>
    </row>
    <row r="696" spans="1:37" ht="15" customHeight="1">
      <c r="A696" s="122">
        <v>8</v>
      </c>
      <c r="B696" s="59">
        <v>692</v>
      </c>
      <c r="C696" t="s">
        <v>5736</v>
      </c>
      <c r="D696" t="s">
        <v>5647</v>
      </c>
      <c r="E696">
        <v>425</v>
      </c>
      <c r="F696" t="s">
        <v>1800</v>
      </c>
      <c r="G696" t="s">
        <v>90</v>
      </c>
      <c r="H696" s="119">
        <f t="shared" si="54"/>
        <v>266.21297037630103</v>
      </c>
      <c r="I696" s="117">
        <v>44200</v>
      </c>
      <c r="J696">
        <v>2498</v>
      </c>
      <c r="L696">
        <v>2498</v>
      </c>
      <c r="M696">
        <v>2018</v>
      </c>
      <c r="P696" t="s">
        <v>1807</v>
      </c>
      <c r="R696" t="s">
        <v>229</v>
      </c>
      <c r="S696">
        <v>8986</v>
      </c>
      <c r="T696" s="118">
        <f t="shared" si="55"/>
        <v>3.5972778222578063</v>
      </c>
      <c r="U696" t="s">
        <v>229</v>
      </c>
      <c r="Y696">
        <v>665000</v>
      </c>
      <c r="AA696">
        <v>665000</v>
      </c>
      <c r="AC696" t="s">
        <v>5737</v>
      </c>
      <c r="AD696" t="s">
        <v>5738</v>
      </c>
      <c r="AE696" t="s">
        <v>5739</v>
      </c>
      <c r="AF696" t="s">
        <v>5740</v>
      </c>
      <c r="AI696" s="59" t="e">
        <f t="shared" si="51"/>
        <v>#N/A</v>
      </c>
      <c r="AJ696" t="e">
        <f t="shared" si="52"/>
        <v>#N/A</v>
      </c>
      <c r="AK696" t="str">
        <f t="shared" si="53"/>
        <v/>
      </c>
    </row>
    <row r="697" spans="1:37" ht="15" customHeight="1">
      <c r="A697" s="122">
        <v>8</v>
      </c>
      <c r="B697" s="59">
        <v>693</v>
      </c>
      <c r="C697" t="s">
        <v>5741</v>
      </c>
      <c r="D697" t="s">
        <v>5647</v>
      </c>
      <c r="E697">
        <v>425</v>
      </c>
      <c r="F697" t="s">
        <v>1800</v>
      </c>
      <c r="G697" t="s">
        <v>90</v>
      </c>
      <c r="H697" s="119">
        <f t="shared" si="54"/>
        <v>283.09409888357254</v>
      </c>
      <c r="I697" s="117">
        <v>44494</v>
      </c>
      <c r="J697">
        <v>2508</v>
      </c>
      <c r="L697">
        <v>2508</v>
      </c>
      <c r="M697">
        <v>2018</v>
      </c>
      <c r="P697" t="s">
        <v>1807</v>
      </c>
      <c r="R697" t="s">
        <v>229</v>
      </c>
      <c r="S697">
        <v>8986</v>
      </c>
      <c r="T697" s="118">
        <f t="shared" si="55"/>
        <v>3.5829346092503989</v>
      </c>
      <c r="U697" t="s">
        <v>229</v>
      </c>
      <c r="Y697">
        <v>710000</v>
      </c>
      <c r="AA697">
        <v>710000</v>
      </c>
      <c r="AC697" t="s">
        <v>5742</v>
      </c>
      <c r="AD697" t="s">
        <v>5743</v>
      </c>
      <c r="AE697" t="s">
        <v>5744</v>
      </c>
      <c r="AF697" t="s">
        <v>5745</v>
      </c>
      <c r="AI697" s="59" t="e">
        <f t="shared" si="51"/>
        <v>#N/A</v>
      </c>
      <c r="AJ697" t="e">
        <f t="shared" si="52"/>
        <v>#N/A</v>
      </c>
      <c r="AK697" t="str">
        <f t="shared" si="53"/>
        <v/>
      </c>
    </row>
    <row r="698" spans="1:37" ht="15" customHeight="1">
      <c r="A698" s="122">
        <v>8</v>
      </c>
      <c r="B698" s="59">
        <v>694</v>
      </c>
      <c r="C698" t="s">
        <v>5746</v>
      </c>
      <c r="D698" t="s">
        <v>5747</v>
      </c>
      <c r="E698">
        <v>325</v>
      </c>
      <c r="F698" t="s">
        <v>1814</v>
      </c>
      <c r="G698" t="s">
        <v>88</v>
      </c>
      <c r="H698" s="119">
        <f t="shared" si="54"/>
        <v>914.85908218975953</v>
      </c>
      <c r="I698" s="117">
        <v>44510</v>
      </c>
      <c r="J698">
        <v>6777</v>
      </c>
      <c r="L698">
        <v>6777</v>
      </c>
      <c r="M698">
        <v>2018</v>
      </c>
      <c r="R698" t="s">
        <v>229</v>
      </c>
      <c r="S698">
        <v>175110</v>
      </c>
      <c r="T698" s="118">
        <f t="shared" si="55"/>
        <v>25.838866755201416</v>
      </c>
      <c r="U698" t="s">
        <v>229</v>
      </c>
      <c r="Y698">
        <v>6200000</v>
      </c>
      <c r="AA698">
        <v>6200000</v>
      </c>
      <c r="AC698" t="s">
        <v>5748</v>
      </c>
      <c r="AD698" t="s">
        <v>5749</v>
      </c>
      <c r="AE698" t="s">
        <v>5750</v>
      </c>
      <c r="AF698" t="s">
        <v>5751</v>
      </c>
      <c r="AI698" s="59" t="e">
        <f t="shared" si="51"/>
        <v>#N/A</v>
      </c>
      <c r="AJ698" t="e">
        <f t="shared" si="52"/>
        <v>#N/A</v>
      </c>
      <c r="AK698" t="str">
        <f t="shared" si="53"/>
        <v/>
      </c>
    </row>
    <row r="699" spans="1:37" ht="15" customHeight="1">
      <c r="A699" s="122">
        <v>8</v>
      </c>
      <c r="B699" s="59">
        <v>695</v>
      </c>
      <c r="C699" t="s">
        <v>5752</v>
      </c>
      <c r="D699" t="s">
        <v>5647</v>
      </c>
      <c r="E699">
        <v>425</v>
      </c>
      <c r="F699" t="s">
        <v>1800</v>
      </c>
      <c r="G699" t="s">
        <v>90</v>
      </c>
      <c r="H699" s="119">
        <f t="shared" si="54"/>
        <v>266.42984014209594</v>
      </c>
      <c r="I699" s="117">
        <v>43907</v>
      </c>
      <c r="J699">
        <v>2815</v>
      </c>
      <c r="L699">
        <v>2815</v>
      </c>
      <c r="M699">
        <v>2018</v>
      </c>
      <c r="P699" t="s">
        <v>1807</v>
      </c>
      <c r="R699" t="s">
        <v>229</v>
      </c>
      <c r="S699">
        <v>8986</v>
      </c>
      <c r="T699" s="118">
        <f t="shared" si="55"/>
        <v>3.1921847246891653</v>
      </c>
      <c r="U699" t="s">
        <v>229</v>
      </c>
      <c r="Y699">
        <v>750000</v>
      </c>
      <c r="AA699">
        <v>750000</v>
      </c>
      <c r="AC699" t="s">
        <v>5753</v>
      </c>
      <c r="AD699" t="s">
        <v>5754</v>
      </c>
      <c r="AE699" t="s">
        <v>5755</v>
      </c>
      <c r="AF699" t="s">
        <v>5756</v>
      </c>
      <c r="AI699" s="59" t="e">
        <f t="shared" si="51"/>
        <v>#N/A</v>
      </c>
      <c r="AJ699" t="e">
        <f t="shared" si="52"/>
        <v>#N/A</v>
      </c>
      <c r="AK699" t="str">
        <f t="shared" si="53"/>
        <v/>
      </c>
    </row>
    <row r="700" spans="1:37" ht="15" customHeight="1">
      <c r="A700" s="122">
        <v>8</v>
      </c>
      <c r="B700" s="59">
        <v>696</v>
      </c>
      <c r="C700" t="s">
        <v>5757</v>
      </c>
      <c r="D700" t="s">
        <v>5758</v>
      </c>
      <c r="E700">
        <v>406</v>
      </c>
      <c r="F700" t="s">
        <v>1814</v>
      </c>
      <c r="G700" t="s">
        <v>1815</v>
      </c>
      <c r="H700" s="119">
        <f t="shared" si="54"/>
        <v>231.24141603834403</v>
      </c>
      <c r="I700" s="117">
        <v>44553</v>
      </c>
      <c r="J700">
        <v>142708</v>
      </c>
      <c r="L700">
        <v>142708</v>
      </c>
      <c r="M700">
        <v>2020</v>
      </c>
      <c r="R700" t="s">
        <v>44</v>
      </c>
      <c r="S700">
        <v>636236</v>
      </c>
      <c r="T700" s="118">
        <f t="shared" si="55"/>
        <v>4.4583064719567229</v>
      </c>
      <c r="U700" t="s">
        <v>44</v>
      </c>
      <c r="Y700">
        <v>33000000</v>
      </c>
      <c r="AA700">
        <v>33000000</v>
      </c>
      <c r="AC700" t="s">
        <v>5759</v>
      </c>
      <c r="AD700" t="s">
        <v>5760</v>
      </c>
      <c r="AE700" t="s">
        <v>5761</v>
      </c>
      <c r="AF700" t="s">
        <v>5762</v>
      </c>
      <c r="AI700" s="59" t="e">
        <f t="shared" si="51"/>
        <v>#N/A</v>
      </c>
      <c r="AJ700" t="e">
        <f t="shared" si="52"/>
        <v>#N/A</v>
      </c>
      <c r="AK700" t="str">
        <f t="shared" si="53"/>
        <v/>
      </c>
    </row>
    <row r="701" spans="1:37" ht="15" customHeight="1">
      <c r="A701" s="122">
        <v>8</v>
      </c>
      <c r="B701" s="59">
        <v>697</v>
      </c>
      <c r="C701" t="s">
        <v>5763</v>
      </c>
      <c r="D701" t="s">
        <v>5764</v>
      </c>
      <c r="E701">
        <v>584</v>
      </c>
      <c r="F701" t="s">
        <v>2141</v>
      </c>
      <c r="G701" t="s">
        <v>89</v>
      </c>
      <c r="H701" s="119">
        <f t="shared" si="54"/>
        <v>97.58016763688012</v>
      </c>
      <c r="I701" s="117">
        <v>44547</v>
      </c>
      <c r="J701">
        <v>999780</v>
      </c>
      <c r="L701">
        <v>999780</v>
      </c>
      <c r="M701">
        <v>2021</v>
      </c>
      <c r="R701" t="s">
        <v>44</v>
      </c>
      <c r="S701">
        <v>3152070</v>
      </c>
      <c r="T701" s="118">
        <f t="shared" si="55"/>
        <v>3.1527636079937587</v>
      </c>
      <c r="U701" t="s">
        <v>44</v>
      </c>
      <c r="Y701">
        <v>97558700</v>
      </c>
      <c r="AA701">
        <v>97558700</v>
      </c>
      <c r="AC701" t="s">
        <v>5765</v>
      </c>
      <c r="AD701" t="s">
        <v>5766</v>
      </c>
      <c r="AE701" t="s">
        <v>5767</v>
      </c>
      <c r="AF701" t="s">
        <v>5768</v>
      </c>
      <c r="AI701" s="59" t="e">
        <f t="shared" si="51"/>
        <v>#N/A</v>
      </c>
      <c r="AJ701" t="e">
        <f t="shared" si="52"/>
        <v>#N/A</v>
      </c>
      <c r="AK701" t="str">
        <f t="shared" si="53"/>
        <v/>
      </c>
    </row>
    <row r="702" spans="1:37" ht="15" customHeight="1">
      <c r="A702" s="122">
        <v>8</v>
      </c>
      <c r="B702" s="59">
        <v>698</v>
      </c>
      <c r="C702" t="s">
        <v>5769</v>
      </c>
      <c r="D702" t="s">
        <v>5770</v>
      </c>
      <c r="E702">
        <v>227</v>
      </c>
      <c r="F702" t="s">
        <v>1896</v>
      </c>
      <c r="G702" t="s">
        <v>1786</v>
      </c>
      <c r="H702" s="119">
        <f t="shared" si="54"/>
        <v>281.82448838015955</v>
      </c>
      <c r="I702" s="117">
        <v>44553</v>
      </c>
      <c r="J702">
        <v>23064</v>
      </c>
      <c r="L702">
        <v>23064</v>
      </c>
      <c r="M702">
        <v>1980</v>
      </c>
      <c r="R702" t="s">
        <v>44</v>
      </c>
      <c r="S702">
        <v>1750390</v>
      </c>
      <c r="T702" s="118">
        <f t="shared" si="55"/>
        <v>75.892733263961148</v>
      </c>
      <c r="U702" t="s">
        <v>44</v>
      </c>
      <c r="Y702">
        <v>6500000</v>
      </c>
      <c r="AA702">
        <v>6500000</v>
      </c>
      <c r="AC702" t="s">
        <v>5771</v>
      </c>
      <c r="AD702" t="s">
        <v>5772</v>
      </c>
      <c r="AE702" t="s">
        <v>5773</v>
      </c>
      <c r="AF702" t="s">
        <v>5774</v>
      </c>
      <c r="AI702" s="59" t="e">
        <f t="shared" si="51"/>
        <v>#N/A</v>
      </c>
      <c r="AJ702" t="e">
        <f t="shared" si="52"/>
        <v>#N/A</v>
      </c>
      <c r="AK702" t="str">
        <f t="shared" si="53"/>
        <v/>
      </c>
    </row>
    <row r="703" spans="1:37" ht="15" customHeight="1">
      <c r="A703" s="122">
        <v>8</v>
      </c>
      <c r="B703" s="59">
        <v>699</v>
      </c>
      <c r="C703" t="s">
        <v>5775</v>
      </c>
      <c r="D703" t="s">
        <v>5776</v>
      </c>
      <c r="E703">
        <v>328</v>
      </c>
      <c r="G703" t="s">
        <v>88</v>
      </c>
      <c r="H703" s="119">
        <f t="shared" si="54"/>
        <v>91.277890466531446</v>
      </c>
      <c r="I703" s="117">
        <v>44621</v>
      </c>
      <c r="J703">
        <v>2465</v>
      </c>
      <c r="L703">
        <v>2465</v>
      </c>
      <c r="R703" t="s">
        <v>44</v>
      </c>
      <c r="S703">
        <v>0</v>
      </c>
      <c r="T703" s="118">
        <f t="shared" si="55"/>
        <v>0</v>
      </c>
      <c r="U703" t="s">
        <v>44</v>
      </c>
      <c r="Y703">
        <v>225000</v>
      </c>
      <c r="AA703">
        <v>225000</v>
      </c>
      <c r="AC703" t="s">
        <v>5777</v>
      </c>
      <c r="AD703" t="s">
        <v>5778</v>
      </c>
      <c r="AE703" t="s">
        <v>5779</v>
      </c>
      <c r="AF703" t="s">
        <v>5780</v>
      </c>
      <c r="AI703" s="59" t="e">
        <f t="shared" si="51"/>
        <v>#N/A</v>
      </c>
      <c r="AJ703" t="e">
        <f t="shared" si="52"/>
        <v>#N/A</v>
      </c>
      <c r="AK703" t="str">
        <f t="shared" si="53"/>
        <v/>
      </c>
    </row>
    <row r="704" spans="1:37" ht="15" customHeight="1">
      <c r="A704" s="122">
        <v>8</v>
      </c>
      <c r="B704" s="59">
        <v>700</v>
      </c>
      <c r="C704" t="s">
        <v>5781</v>
      </c>
      <c r="D704" t="s">
        <v>5782</v>
      </c>
      <c r="E704">
        <v>328</v>
      </c>
      <c r="G704" t="s">
        <v>88</v>
      </c>
      <c r="H704" s="119">
        <f t="shared" si="54"/>
        <v>83.807973962571197</v>
      </c>
      <c r="I704" s="117">
        <v>44178</v>
      </c>
      <c r="J704">
        <v>1229</v>
      </c>
      <c r="L704">
        <v>1229</v>
      </c>
      <c r="R704" t="s">
        <v>44</v>
      </c>
      <c r="S704">
        <v>0</v>
      </c>
      <c r="T704" s="118">
        <f t="shared" si="55"/>
        <v>0</v>
      </c>
      <c r="U704" t="s">
        <v>44</v>
      </c>
      <c r="Y704">
        <v>103000</v>
      </c>
      <c r="AA704">
        <v>103000</v>
      </c>
      <c r="AC704" t="s">
        <v>5783</v>
      </c>
      <c r="AD704" t="s">
        <v>5784</v>
      </c>
      <c r="AE704" t="s">
        <v>5785</v>
      </c>
      <c r="AF704" t="s">
        <v>5786</v>
      </c>
      <c r="AI704" s="59" t="e">
        <f t="shared" si="51"/>
        <v>#N/A</v>
      </c>
      <c r="AJ704" t="e">
        <f t="shared" si="52"/>
        <v>#N/A</v>
      </c>
      <c r="AK704" t="str">
        <f t="shared" si="53"/>
        <v/>
      </c>
    </row>
    <row r="705" spans="1:37" ht="15" customHeight="1">
      <c r="A705" s="122">
        <v>8</v>
      </c>
      <c r="B705" s="59">
        <v>701</v>
      </c>
      <c r="C705" t="s">
        <v>5787</v>
      </c>
      <c r="D705" t="s">
        <v>5788</v>
      </c>
      <c r="E705">
        <v>328</v>
      </c>
      <c r="G705" t="s">
        <v>88</v>
      </c>
      <c r="H705" s="119">
        <f t="shared" si="54"/>
        <v>75.16339869281046</v>
      </c>
      <c r="I705" s="117">
        <v>43832</v>
      </c>
      <c r="J705">
        <v>1530</v>
      </c>
      <c r="L705">
        <v>1530</v>
      </c>
      <c r="R705" t="s">
        <v>44</v>
      </c>
      <c r="S705">
        <v>0</v>
      </c>
      <c r="T705" s="118">
        <f t="shared" si="55"/>
        <v>0</v>
      </c>
      <c r="U705" t="s">
        <v>44</v>
      </c>
      <c r="Y705">
        <v>115000</v>
      </c>
      <c r="AA705">
        <v>115000</v>
      </c>
      <c r="AC705" t="s">
        <v>5789</v>
      </c>
      <c r="AD705" t="s">
        <v>5790</v>
      </c>
      <c r="AE705" t="s">
        <v>5791</v>
      </c>
      <c r="AF705" t="s">
        <v>5792</v>
      </c>
      <c r="AI705" s="59" t="e">
        <f t="shared" si="51"/>
        <v>#N/A</v>
      </c>
      <c r="AJ705" t="e">
        <f t="shared" si="52"/>
        <v>#N/A</v>
      </c>
      <c r="AK705" t="str">
        <f t="shared" si="53"/>
        <v/>
      </c>
    </row>
    <row r="706" spans="1:37" ht="15" customHeight="1">
      <c r="A706" s="122">
        <v>8</v>
      </c>
      <c r="B706" s="59">
        <v>702</v>
      </c>
      <c r="C706" t="s">
        <v>5793</v>
      </c>
      <c r="D706" t="s">
        <v>5794</v>
      </c>
      <c r="E706">
        <v>328</v>
      </c>
      <c r="G706" t="s">
        <v>88</v>
      </c>
      <c r="H706" s="119">
        <f t="shared" si="54"/>
        <v>76.908496732026137</v>
      </c>
      <c r="I706" s="117">
        <v>44091</v>
      </c>
      <c r="J706">
        <v>1530</v>
      </c>
      <c r="L706">
        <v>1530</v>
      </c>
      <c r="R706" t="s">
        <v>44</v>
      </c>
      <c r="S706">
        <v>0</v>
      </c>
      <c r="T706" s="118">
        <f t="shared" si="55"/>
        <v>0</v>
      </c>
      <c r="U706" t="s">
        <v>44</v>
      </c>
      <c r="Y706">
        <v>117670</v>
      </c>
      <c r="AA706">
        <v>117670</v>
      </c>
      <c r="AC706" t="s">
        <v>5795</v>
      </c>
      <c r="AD706" t="s">
        <v>5796</v>
      </c>
      <c r="AE706" t="s">
        <v>5701</v>
      </c>
      <c r="AF706" t="s">
        <v>5797</v>
      </c>
      <c r="AI706" s="59" t="e">
        <f t="shared" ref="AI706:AI769" si="56">IF(AND($E706=Subj_OccCode,Subj_BldgSF&gt;0,ABS($L706-Subj_BldgSF)&lt;=Subj_BldgSF*Subj_SizeTol),ABS($L706-Subj_BldgSF),NA())</f>
        <v>#N/A</v>
      </c>
      <c r="AJ706" t="e">
        <f t="shared" ref="AJ706:AJ769" si="57">IF(ISNA(AI706),NA(),AI706+ROW()/10000000)</f>
        <v>#N/A</v>
      </c>
      <c r="AK706" t="str">
        <f t="shared" si="53"/>
        <v/>
      </c>
    </row>
    <row r="707" spans="1:37" ht="15" customHeight="1">
      <c r="A707" s="122">
        <v>8</v>
      </c>
      <c r="B707" s="59">
        <v>703</v>
      </c>
      <c r="C707" t="s">
        <v>5798</v>
      </c>
      <c r="D707" t="s">
        <v>5799</v>
      </c>
      <c r="E707">
        <v>1344</v>
      </c>
      <c r="F707" t="s">
        <v>1800</v>
      </c>
      <c r="G707" t="s">
        <v>90</v>
      </c>
      <c r="H707" s="119">
        <f t="shared" si="54"/>
        <v>173.508252221752</v>
      </c>
      <c r="I707" s="117">
        <v>44426</v>
      </c>
      <c r="J707">
        <v>4726</v>
      </c>
      <c r="L707">
        <v>4726</v>
      </c>
      <c r="M707">
        <v>2020</v>
      </c>
      <c r="R707" t="s">
        <v>44</v>
      </c>
      <c r="S707">
        <v>0</v>
      </c>
      <c r="T707" s="118">
        <f t="shared" si="55"/>
        <v>0</v>
      </c>
      <c r="U707" t="s">
        <v>44</v>
      </c>
      <c r="Y707">
        <v>820000</v>
      </c>
      <c r="AA707">
        <v>820000</v>
      </c>
      <c r="AC707" t="s">
        <v>5800</v>
      </c>
      <c r="AD707" t="s">
        <v>5801</v>
      </c>
      <c r="AE707" t="s">
        <v>5670</v>
      </c>
      <c r="AF707" t="s">
        <v>5802</v>
      </c>
      <c r="AI707" s="59" t="e">
        <f t="shared" si="56"/>
        <v>#N/A</v>
      </c>
      <c r="AJ707" t="e">
        <f t="shared" si="57"/>
        <v>#N/A</v>
      </c>
      <c r="AK707" t="str">
        <f t="shared" si="53"/>
        <v/>
      </c>
    </row>
    <row r="708" spans="1:37" ht="15" customHeight="1">
      <c r="A708" s="122">
        <v>8</v>
      </c>
      <c r="B708" s="59">
        <v>704</v>
      </c>
      <c r="C708" t="s">
        <v>5803</v>
      </c>
      <c r="D708" t="s">
        <v>5667</v>
      </c>
      <c r="E708">
        <v>1344</v>
      </c>
      <c r="F708" t="s">
        <v>1800</v>
      </c>
      <c r="G708" t="s">
        <v>90</v>
      </c>
      <c r="H708" s="119">
        <f t="shared" si="54"/>
        <v>339.88018827556698</v>
      </c>
      <c r="I708" s="117">
        <v>44131</v>
      </c>
      <c r="J708">
        <v>2337</v>
      </c>
      <c r="L708">
        <v>2337</v>
      </c>
      <c r="M708">
        <v>2020</v>
      </c>
      <c r="R708" t="s">
        <v>44</v>
      </c>
      <c r="S708">
        <v>2051</v>
      </c>
      <c r="T708" s="118">
        <f t="shared" si="55"/>
        <v>0.87762088147197259</v>
      </c>
      <c r="U708" t="s">
        <v>44</v>
      </c>
      <c r="Y708">
        <v>794300</v>
      </c>
      <c r="AA708">
        <v>794300</v>
      </c>
      <c r="AC708" t="s">
        <v>5804</v>
      </c>
      <c r="AD708" t="s">
        <v>5805</v>
      </c>
      <c r="AE708" t="s">
        <v>5670</v>
      </c>
      <c r="AF708" t="s">
        <v>5806</v>
      </c>
      <c r="AI708" s="59" t="e">
        <f t="shared" si="56"/>
        <v>#N/A</v>
      </c>
      <c r="AJ708" t="e">
        <f t="shared" si="57"/>
        <v>#N/A</v>
      </c>
      <c r="AK708" t="str">
        <f t="shared" si="53"/>
        <v/>
      </c>
    </row>
    <row r="709" spans="1:37" ht="15" customHeight="1">
      <c r="A709" s="122">
        <v>8</v>
      </c>
      <c r="B709" s="59">
        <v>705</v>
      </c>
      <c r="C709" t="s">
        <v>5807</v>
      </c>
      <c r="D709" t="s">
        <v>5808</v>
      </c>
      <c r="E709">
        <v>328</v>
      </c>
      <c r="G709" t="s">
        <v>88</v>
      </c>
      <c r="H709" s="119">
        <f t="shared" si="54"/>
        <v>77.493261455525612</v>
      </c>
      <c r="I709" s="117">
        <v>43971</v>
      </c>
      <c r="J709">
        <v>2968</v>
      </c>
      <c r="L709">
        <v>2968</v>
      </c>
      <c r="R709" t="s">
        <v>44</v>
      </c>
      <c r="S709">
        <v>0</v>
      </c>
      <c r="T709" s="118">
        <f t="shared" si="55"/>
        <v>0</v>
      </c>
      <c r="U709" t="s">
        <v>44</v>
      </c>
      <c r="Y709">
        <v>230000</v>
      </c>
      <c r="AA709">
        <v>230000</v>
      </c>
      <c r="AC709" t="s">
        <v>5809</v>
      </c>
      <c r="AD709" t="s">
        <v>5810</v>
      </c>
      <c r="AE709" t="s">
        <v>5811</v>
      </c>
      <c r="AF709" t="s">
        <v>5812</v>
      </c>
      <c r="AI709" s="59" t="e">
        <f t="shared" si="56"/>
        <v>#N/A</v>
      </c>
      <c r="AJ709" t="e">
        <f t="shared" si="57"/>
        <v>#N/A</v>
      </c>
      <c r="AK709" t="str">
        <f t="shared" si="53"/>
        <v/>
      </c>
    </row>
    <row r="710" spans="1:37" ht="15" customHeight="1">
      <c r="A710" s="122">
        <v>8</v>
      </c>
      <c r="B710" s="59">
        <v>706</v>
      </c>
      <c r="C710" t="s">
        <v>5813</v>
      </c>
      <c r="D710" t="s">
        <v>5814</v>
      </c>
      <c r="E710">
        <v>328</v>
      </c>
      <c r="G710" t="s">
        <v>88</v>
      </c>
      <c r="H710" s="119">
        <f t="shared" si="54"/>
        <v>51.223934723481413</v>
      </c>
      <c r="I710" s="117">
        <v>43868</v>
      </c>
      <c r="J710">
        <v>1103</v>
      </c>
      <c r="L710">
        <v>1103</v>
      </c>
      <c r="R710" t="s">
        <v>44</v>
      </c>
      <c r="S710">
        <v>0</v>
      </c>
      <c r="T710" s="118">
        <f t="shared" si="55"/>
        <v>0</v>
      </c>
      <c r="U710" t="s">
        <v>44</v>
      </c>
      <c r="Y710">
        <v>56500</v>
      </c>
      <c r="AA710">
        <v>56500</v>
      </c>
      <c r="AC710" t="s">
        <v>5815</v>
      </c>
      <c r="AD710" t="s">
        <v>5816</v>
      </c>
      <c r="AE710" t="s">
        <v>5701</v>
      </c>
      <c r="AF710" t="s">
        <v>5817</v>
      </c>
      <c r="AI710" s="59" t="e">
        <f t="shared" si="56"/>
        <v>#N/A</v>
      </c>
      <c r="AJ710" t="e">
        <f t="shared" si="57"/>
        <v>#N/A</v>
      </c>
      <c r="AK710" t="str">
        <f t="shared" si="53"/>
        <v/>
      </c>
    </row>
    <row r="711" spans="1:37" ht="15" customHeight="1">
      <c r="A711" s="122">
        <v>8</v>
      </c>
      <c r="B711" s="59">
        <v>707</v>
      </c>
      <c r="C711" t="s">
        <v>5813</v>
      </c>
      <c r="D711" t="s">
        <v>5814</v>
      </c>
      <c r="E711">
        <v>328</v>
      </c>
      <c r="G711" t="s">
        <v>88</v>
      </c>
      <c r="H711" s="119">
        <f t="shared" si="54"/>
        <v>78.875793291024479</v>
      </c>
      <c r="I711" s="117">
        <v>44091</v>
      </c>
      <c r="J711">
        <v>1103</v>
      </c>
      <c r="L711">
        <v>1103</v>
      </c>
      <c r="R711" t="s">
        <v>44</v>
      </c>
      <c r="S711">
        <v>0</v>
      </c>
      <c r="T711" s="118">
        <f t="shared" si="55"/>
        <v>0</v>
      </c>
      <c r="U711" t="s">
        <v>44</v>
      </c>
      <c r="Y711">
        <v>87000</v>
      </c>
      <c r="AA711">
        <v>87000</v>
      </c>
      <c r="AC711" t="s">
        <v>5815</v>
      </c>
      <c r="AD711" t="s">
        <v>5818</v>
      </c>
      <c r="AE711" t="s">
        <v>5817</v>
      </c>
      <c r="AF711" t="s">
        <v>5819</v>
      </c>
      <c r="AI711" s="59" t="e">
        <f t="shared" si="56"/>
        <v>#N/A</v>
      </c>
      <c r="AJ711" t="e">
        <f t="shared" si="57"/>
        <v>#N/A</v>
      </c>
      <c r="AK711" t="str">
        <f t="shared" si="53"/>
        <v/>
      </c>
    </row>
    <row r="712" spans="1:37" ht="15" customHeight="1">
      <c r="A712" s="122">
        <v>8</v>
      </c>
      <c r="B712" s="59">
        <v>708</v>
      </c>
      <c r="C712" t="s">
        <v>5820</v>
      </c>
      <c r="D712" t="s">
        <v>5821</v>
      </c>
      <c r="E712">
        <v>436</v>
      </c>
      <c r="F712" t="s">
        <v>1984</v>
      </c>
      <c r="G712" t="s">
        <v>89</v>
      </c>
      <c r="H712" s="119">
        <f t="shared" si="54"/>
        <v>210.67415730337078</v>
      </c>
      <c r="I712" s="117">
        <v>43523</v>
      </c>
      <c r="J712">
        <v>4272</v>
      </c>
      <c r="L712">
        <v>4272</v>
      </c>
      <c r="M712">
        <v>2019</v>
      </c>
      <c r="R712" t="s">
        <v>229</v>
      </c>
      <c r="S712">
        <v>54605</v>
      </c>
      <c r="T712" s="118">
        <f t="shared" si="55"/>
        <v>12.782069288389513</v>
      </c>
      <c r="U712" t="s">
        <v>229</v>
      </c>
      <c r="Y712">
        <v>900000</v>
      </c>
      <c r="AA712">
        <v>900000</v>
      </c>
      <c r="AC712" t="s">
        <v>5822</v>
      </c>
      <c r="AD712" t="s">
        <v>5823</v>
      </c>
      <c r="AE712" t="s">
        <v>5824</v>
      </c>
      <c r="AF712" t="s">
        <v>5825</v>
      </c>
      <c r="AI712" s="59" t="e">
        <f t="shared" si="56"/>
        <v>#N/A</v>
      </c>
      <c r="AJ712" t="e">
        <f t="shared" si="57"/>
        <v>#N/A</v>
      </c>
      <c r="AK712" t="str">
        <f t="shared" si="53"/>
        <v/>
      </c>
    </row>
    <row r="713" spans="1:37" ht="15" customHeight="1">
      <c r="A713" s="122">
        <v>8</v>
      </c>
      <c r="B713" s="59">
        <v>709</v>
      </c>
      <c r="C713" t="s">
        <v>5826</v>
      </c>
      <c r="D713" t="s">
        <v>5827</v>
      </c>
      <c r="E713">
        <v>407</v>
      </c>
      <c r="F713" t="s">
        <v>2141</v>
      </c>
      <c r="G713" t="s">
        <v>1910</v>
      </c>
      <c r="H713" s="119">
        <f t="shared" si="54"/>
        <v>147.57167034206881</v>
      </c>
      <c r="I713" s="117">
        <v>44327</v>
      </c>
      <c r="J713">
        <v>19499</v>
      </c>
      <c r="L713">
        <v>19499</v>
      </c>
      <c r="M713">
        <v>2020</v>
      </c>
      <c r="P713" t="s">
        <v>3269</v>
      </c>
      <c r="R713" t="s">
        <v>44</v>
      </c>
      <c r="S713">
        <v>64459</v>
      </c>
      <c r="T713" s="118">
        <f t="shared" si="55"/>
        <v>3.3057592697061389</v>
      </c>
      <c r="U713" t="s">
        <v>44</v>
      </c>
      <c r="Y713">
        <v>2877500</v>
      </c>
      <c r="AA713">
        <v>2877500</v>
      </c>
      <c r="AC713" t="s">
        <v>5828</v>
      </c>
      <c r="AD713" t="s">
        <v>5829</v>
      </c>
      <c r="AE713" t="s">
        <v>5830</v>
      </c>
      <c r="AF713" t="s">
        <v>5831</v>
      </c>
      <c r="AI713" s="59" t="e">
        <f t="shared" si="56"/>
        <v>#N/A</v>
      </c>
      <c r="AJ713" t="e">
        <f t="shared" si="57"/>
        <v>#N/A</v>
      </c>
      <c r="AK713" t="str">
        <f t="shared" ref="AK713:AK776" si="58">IF(AND(ISNUMBER($N713),$N713&gt;0,ISNUMBER($Y713)),$Y713/$N713,"")</f>
        <v/>
      </c>
    </row>
    <row r="714" spans="1:37" ht="15" customHeight="1">
      <c r="A714" s="122">
        <v>8</v>
      </c>
      <c r="B714" s="59">
        <v>710</v>
      </c>
      <c r="C714" t="s">
        <v>5832</v>
      </c>
      <c r="D714" t="s">
        <v>5833</v>
      </c>
      <c r="E714">
        <v>328</v>
      </c>
      <c r="G714" t="s">
        <v>88</v>
      </c>
      <c r="H714" s="119">
        <f t="shared" si="54"/>
        <v>80.364372469635626</v>
      </c>
      <c r="I714" s="117">
        <v>43951</v>
      </c>
      <c r="J714">
        <v>2470</v>
      </c>
      <c r="L714">
        <v>2470</v>
      </c>
      <c r="R714" t="s">
        <v>44</v>
      </c>
      <c r="T714" s="118">
        <f t="shared" si="55"/>
        <v>0</v>
      </c>
      <c r="U714" t="s">
        <v>44</v>
      </c>
      <c r="Y714">
        <v>198500</v>
      </c>
      <c r="AA714">
        <v>198500</v>
      </c>
      <c r="AC714" t="s">
        <v>5834</v>
      </c>
      <c r="AD714" t="s">
        <v>5835</v>
      </c>
      <c r="AE714" t="s">
        <v>5811</v>
      </c>
      <c r="AF714" t="s">
        <v>5836</v>
      </c>
      <c r="AI714" s="59" t="e">
        <f t="shared" si="56"/>
        <v>#N/A</v>
      </c>
      <c r="AJ714" t="e">
        <f t="shared" si="57"/>
        <v>#N/A</v>
      </c>
      <c r="AK714" t="str">
        <f t="shared" si="58"/>
        <v/>
      </c>
    </row>
    <row r="715" spans="1:37" ht="15" customHeight="1">
      <c r="A715" s="62">
        <v>8</v>
      </c>
      <c r="B715" s="59">
        <v>711</v>
      </c>
      <c r="AI715" t="e">
        <f t="shared" si="56"/>
        <v>#N/A</v>
      </c>
      <c r="AJ715" t="e">
        <f t="shared" si="57"/>
        <v>#N/A</v>
      </c>
      <c r="AK715" t="str">
        <f t="shared" si="58"/>
        <v/>
      </c>
    </row>
    <row r="716" spans="1:37" ht="15" customHeight="1">
      <c r="A716" s="62">
        <v>8</v>
      </c>
      <c r="B716" s="59">
        <v>712</v>
      </c>
      <c r="AI716" t="e">
        <f t="shared" si="56"/>
        <v>#N/A</v>
      </c>
      <c r="AJ716" t="e">
        <f t="shared" si="57"/>
        <v>#N/A</v>
      </c>
      <c r="AK716" t="str">
        <f t="shared" si="58"/>
        <v/>
      </c>
    </row>
    <row r="717" spans="1:37" ht="15" customHeight="1">
      <c r="A717" s="62">
        <v>8</v>
      </c>
      <c r="B717" s="59">
        <v>713</v>
      </c>
      <c r="AI717" t="e">
        <f t="shared" si="56"/>
        <v>#N/A</v>
      </c>
      <c r="AJ717" t="e">
        <f t="shared" si="57"/>
        <v>#N/A</v>
      </c>
      <c r="AK717" t="str">
        <f t="shared" si="58"/>
        <v/>
      </c>
    </row>
    <row r="718" spans="1:37" ht="15" customHeight="1">
      <c r="A718" s="62">
        <v>8</v>
      </c>
      <c r="B718" s="59">
        <v>714</v>
      </c>
      <c r="AI718" t="e">
        <f t="shared" si="56"/>
        <v>#N/A</v>
      </c>
      <c r="AJ718" t="e">
        <f t="shared" si="57"/>
        <v>#N/A</v>
      </c>
      <c r="AK718" t="str">
        <f t="shared" si="58"/>
        <v/>
      </c>
    </row>
    <row r="719" spans="1:37" ht="15" customHeight="1">
      <c r="A719" s="62">
        <v>8</v>
      </c>
      <c r="B719" s="59">
        <v>715</v>
      </c>
      <c r="AI719" t="e">
        <f t="shared" si="56"/>
        <v>#N/A</v>
      </c>
      <c r="AJ719" t="e">
        <f t="shared" si="57"/>
        <v>#N/A</v>
      </c>
      <c r="AK719" t="str">
        <f t="shared" si="58"/>
        <v/>
      </c>
    </row>
    <row r="720" spans="1:37" ht="15" customHeight="1">
      <c r="A720" s="62">
        <v>8</v>
      </c>
      <c r="B720" s="59">
        <v>716</v>
      </c>
      <c r="AI720" t="e">
        <f t="shared" si="56"/>
        <v>#N/A</v>
      </c>
      <c r="AJ720" t="e">
        <f t="shared" si="57"/>
        <v>#N/A</v>
      </c>
      <c r="AK720" t="str">
        <f t="shared" si="58"/>
        <v/>
      </c>
    </row>
    <row r="721" spans="1:37" ht="15" customHeight="1">
      <c r="A721" s="62">
        <v>8</v>
      </c>
      <c r="B721" s="59">
        <v>717</v>
      </c>
      <c r="AI721" t="e">
        <f t="shared" si="56"/>
        <v>#N/A</v>
      </c>
      <c r="AJ721" t="e">
        <f t="shared" si="57"/>
        <v>#N/A</v>
      </c>
      <c r="AK721" t="str">
        <f t="shared" si="58"/>
        <v/>
      </c>
    </row>
    <row r="722" spans="1:37" ht="15" customHeight="1">
      <c r="A722" s="62">
        <v>8</v>
      </c>
      <c r="B722" s="59">
        <v>718</v>
      </c>
      <c r="AI722" t="e">
        <f t="shared" si="56"/>
        <v>#N/A</v>
      </c>
      <c r="AJ722" t="e">
        <f t="shared" si="57"/>
        <v>#N/A</v>
      </c>
      <c r="AK722" t="str">
        <f t="shared" si="58"/>
        <v/>
      </c>
    </row>
    <row r="723" spans="1:37" ht="15" customHeight="1">
      <c r="A723" s="62">
        <v>8</v>
      </c>
      <c r="B723" s="59">
        <v>719</v>
      </c>
      <c r="AI723" t="e">
        <f t="shared" si="56"/>
        <v>#N/A</v>
      </c>
      <c r="AJ723" t="e">
        <f t="shared" si="57"/>
        <v>#N/A</v>
      </c>
      <c r="AK723" t="str">
        <f t="shared" si="58"/>
        <v/>
      </c>
    </row>
    <row r="724" spans="1:37" ht="15" customHeight="1">
      <c r="A724" s="62">
        <v>8</v>
      </c>
      <c r="B724" s="59">
        <v>720</v>
      </c>
      <c r="AI724" t="e">
        <f t="shared" si="56"/>
        <v>#N/A</v>
      </c>
      <c r="AJ724" t="e">
        <f t="shared" si="57"/>
        <v>#N/A</v>
      </c>
      <c r="AK724" t="str">
        <f t="shared" si="58"/>
        <v/>
      </c>
    </row>
    <row r="725" spans="1:37" ht="15" customHeight="1">
      <c r="A725" s="62">
        <v>8</v>
      </c>
      <c r="B725" s="59">
        <v>721</v>
      </c>
      <c r="AI725" t="e">
        <f t="shared" si="56"/>
        <v>#N/A</v>
      </c>
      <c r="AJ725" t="e">
        <f t="shared" si="57"/>
        <v>#N/A</v>
      </c>
      <c r="AK725" t="str">
        <f t="shared" si="58"/>
        <v/>
      </c>
    </row>
    <row r="726" spans="1:37" ht="15" customHeight="1">
      <c r="A726" s="62">
        <v>8</v>
      </c>
      <c r="B726" s="59">
        <v>722</v>
      </c>
      <c r="AI726" t="e">
        <f t="shared" si="56"/>
        <v>#N/A</v>
      </c>
      <c r="AJ726" t="e">
        <f t="shared" si="57"/>
        <v>#N/A</v>
      </c>
      <c r="AK726" t="str">
        <f t="shared" si="58"/>
        <v/>
      </c>
    </row>
    <row r="727" spans="1:37" ht="15" customHeight="1">
      <c r="A727" s="62">
        <v>8</v>
      </c>
      <c r="B727" s="59">
        <v>723</v>
      </c>
      <c r="AI727" t="e">
        <f t="shared" si="56"/>
        <v>#N/A</v>
      </c>
      <c r="AJ727" t="e">
        <f t="shared" si="57"/>
        <v>#N/A</v>
      </c>
      <c r="AK727" t="str">
        <f t="shared" si="58"/>
        <v/>
      </c>
    </row>
    <row r="728" spans="1:37" ht="15" customHeight="1">
      <c r="A728" s="62">
        <v>8</v>
      </c>
      <c r="B728" s="59">
        <v>724</v>
      </c>
      <c r="AI728" t="e">
        <f t="shared" si="56"/>
        <v>#N/A</v>
      </c>
      <c r="AJ728" t="e">
        <f t="shared" si="57"/>
        <v>#N/A</v>
      </c>
      <c r="AK728" t="str">
        <f t="shared" si="58"/>
        <v/>
      </c>
    </row>
    <row r="729" spans="1:37" ht="15" customHeight="1">
      <c r="A729" s="62">
        <v>8</v>
      </c>
      <c r="B729" s="59">
        <v>725</v>
      </c>
      <c r="AI729" t="e">
        <f t="shared" si="56"/>
        <v>#N/A</v>
      </c>
      <c r="AJ729" t="e">
        <f t="shared" si="57"/>
        <v>#N/A</v>
      </c>
      <c r="AK729" t="str">
        <f t="shared" si="58"/>
        <v/>
      </c>
    </row>
    <row r="730" spans="1:37" ht="15" customHeight="1">
      <c r="A730" s="62">
        <v>8</v>
      </c>
      <c r="B730" s="59">
        <v>726</v>
      </c>
      <c r="AI730" t="e">
        <f t="shared" si="56"/>
        <v>#N/A</v>
      </c>
      <c r="AJ730" t="e">
        <f t="shared" si="57"/>
        <v>#N/A</v>
      </c>
      <c r="AK730" t="str">
        <f t="shared" si="58"/>
        <v/>
      </c>
    </row>
    <row r="731" spans="1:37" ht="15" customHeight="1">
      <c r="A731" s="62">
        <v>8</v>
      </c>
      <c r="B731" s="59">
        <v>727</v>
      </c>
      <c r="AI731" t="e">
        <f t="shared" si="56"/>
        <v>#N/A</v>
      </c>
      <c r="AJ731" t="e">
        <f t="shared" si="57"/>
        <v>#N/A</v>
      </c>
      <c r="AK731" t="str">
        <f t="shared" si="58"/>
        <v/>
      </c>
    </row>
    <row r="732" spans="1:37" ht="15" customHeight="1">
      <c r="A732" s="62">
        <v>8</v>
      </c>
      <c r="B732" s="59">
        <v>728</v>
      </c>
      <c r="AI732" t="e">
        <f t="shared" si="56"/>
        <v>#N/A</v>
      </c>
      <c r="AJ732" t="e">
        <f t="shared" si="57"/>
        <v>#N/A</v>
      </c>
      <c r="AK732" t="str">
        <f t="shared" si="58"/>
        <v/>
      </c>
    </row>
    <row r="733" spans="1:37" ht="15" customHeight="1">
      <c r="A733" s="62">
        <v>8</v>
      </c>
      <c r="B733" s="59">
        <v>729</v>
      </c>
      <c r="AI733" t="e">
        <f t="shared" si="56"/>
        <v>#N/A</v>
      </c>
      <c r="AJ733" t="e">
        <f t="shared" si="57"/>
        <v>#N/A</v>
      </c>
      <c r="AK733" t="str">
        <f t="shared" si="58"/>
        <v/>
      </c>
    </row>
    <row r="734" spans="1:37" ht="15" customHeight="1">
      <c r="A734" s="62">
        <v>8</v>
      </c>
      <c r="B734" s="59">
        <v>730</v>
      </c>
      <c r="AI734" t="e">
        <f t="shared" si="56"/>
        <v>#N/A</v>
      </c>
      <c r="AJ734" t="e">
        <f t="shared" si="57"/>
        <v>#N/A</v>
      </c>
      <c r="AK734" t="str">
        <f t="shared" si="58"/>
        <v/>
      </c>
    </row>
    <row r="735" spans="1:37" ht="15" customHeight="1">
      <c r="A735" s="62">
        <v>8</v>
      </c>
      <c r="B735" s="59">
        <v>731</v>
      </c>
      <c r="AI735" t="e">
        <f t="shared" si="56"/>
        <v>#N/A</v>
      </c>
      <c r="AJ735" t="e">
        <f t="shared" si="57"/>
        <v>#N/A</v>
      </c>
      <c r="AK735" t="str">
        <f t="shared" si="58"/>
        <v/>
      </c>
    </row>
    <row r="736" spans="1:37" ht="15" customHeight="1">
      <c r="A736" s="62">
        <v>8</v>
      </c>
      <c r="B736" s="59">
        <v>732</v>
      </c>
      <c r="AI736" t="e">
        <f t="shared" si="56"/>
        <v>#N/A</v>
      </c>
      <c r="AJ736" t="e">
        <f t="shared" si="57"/>
        <v>#N/A</v>
      </c>
      <c r="AK736" t="str">
        <f t="shared" si="58"/>
        <v/>
      </c>
    </row>
    <row r="737" spans="1:37" ht="15" customHeight="1">
      <c r="A737" s="62">
        <v>8</v>
      </c>
      <c r="B737" s="59">
        <v>733</v>
      </c>
      <c r="AI737" t="e">
        <f t="shared" si="56"/>
        <v>#N/A</v>
      </c>
      <c r="AJ737" t="e">
        <f t="shared" si="57"/>
        <v>#N/A</v>
      </c>
      <c r="AK737" t="str">
        <f t="shared" si="58"/>
        <v/>
      </c>
    </row>
    <row r="738" spans="1:37" ht="15" customHeight="1">
      <c r="A738" s="62">
        <v>8</v>
      </c>
      <c r="B738" s="59">
        <v>734</v>
      </c>
      <c r="AI738" t="e">
        <f t="shared" si="56"/>
        <v>#N/A</v>
      </c>
      <c r="AJ738" t="e">
        <f t="shared" si="57"/>
        <v>#N/A</v>
      </c>
      <c r="AK738" t="str">
        <f t="shared" si="58"/>
        <v/>
      </c>
    </row>
    <row r="739" spans="1:37" ht="15" customHeight="1">
      <c r="A739" s="62">
        <v>8</v>
      </c>
      <c r="B739" s="59">
        <v>735</v>
      </c>
      <c r="AI739" t="e">
        <f t="shared" si="56"/>
        <v>#N/A</v>
      </c>
      <c r="AJ739" t="e">
        <f t="shared" si="57"/>
        <v>#N/A</v>
      </c>
      <c r="AK739" t="str">
        <f t="shared" si="58"/>
        <v/>
      </c>
    </row>
    <row r="740" spans="1:37" ht="15" customHeight="1">
      <c r="A740" s="62">
        <v>8</v>
      </c>
      <c r="B740" s="59">
        <v>736</v>
      </c>
      <c r="AI740" t="e">
        <f t="shared" si="56"/>
        <v>#N/A</v>
      </c>
      <c r="AJ740" t="e">
        <f t="shared" si="57"/>
        <v>#N/A</v>
      </c>
      <c r="AK740" t="str">
        <f t="shared" si="58"/>
        <v/>
      </c>
    </row>
    <row r="741" spans="1:37" ht="15" customHeight="1">
      <c r="A741" s="62">
        <v>8</v>
      </c>
      <c r="B741" s="59">
        <v>737</v>
      </c>
      <c r="AI741" t="e">
        <f t="shared" si="56"/>
        <v>#N/A</v>
      </c>
      <c r="AJ741" t="e">
        <f t="shared" si="57"/>
        <v>#N/A</v>
      </c>
      <c r="AK741" t="str">
        <f t="shared" si="58"/>
        <v/>
      </c>
    </row>
    <row r="742" spans="1:37" ht="15" customHeight="1">
      <c r="A742" s="62">
        <v>8</v>
      </c>
      <c r="B742" s="59">
        <v>738</v>
      </c>
      <c r="AI742" t="e">
        <f t="shared" si="56"/>
        <v>#N/A</v>
      </c>
      <c r="AJ742" t="e">
        <f t="shared" si="57"/>
        <v>#N/A</v>
      </c>
      <c r="AK742" t="str">
        <f t="shared" si="58"/>
        <v/>
      </c>
    </row>
    <row r="743" spans="1:37" ht="15" customHeight="1">
      <c r="A743" s="62">
        <v>8</v>
      </c>
      <c r="B743" s="59">
        <v>739</v>
      </c>
      <c r="AI743" t="e">
        <f t="shared" si="56"/>
        <v>#N/A</v>
      </c>
      <c r="AJ743" t="e">
        <f t="shared" si="57"/>
        <v>#N/A</v>
      </c>
      <c r="AK743" t="str">
        <f t="shared" si="58"/>
        <v/>
      </c>
    </row>
    <row r="744" spans="1:37" ht="15" customHeight="1">
      <c r="A744" s="62">
        <v>8</v>
      </c>
      <c r="B744" s="59">
        <v>740</v>
      </c>
      <c r="AI744" t="e">
        <f t="shared" si="56"/>
        <v>#N/A</v>
      </c>
      <c r="AJ744" t="e">
        <f t="shared" si="57"/>
        <v>#N/A</v>
      </c>
      <c r="AK744" t="str">
        <f t="shared" si="58"/>
        <v/>
      </c>
    </row>
    <row r="745" spans="1:37" ht="15" customHeight="1">
      <c r="A745" s="62">
        <v>8</v>
      </c>
      <c r="B745" s="59">
        <v>741</v>
      </c>
      <c r="AI745" t="e">
        <f t="shared" si="56"/>
        <v>#N/A</v>
      </c>
      <c r="AJ745" t="e">
        <f t="shared" si="57"/>
        <v>#N/A</v>
      </c>
      <c r="AK745" t="str">
        <f t="shared" si="58"/>
        <v/>
      </c>
    </row>
    <row r="746" spans="1:37" ht="15" customHeight="1">
      <c r="A746" s="62">
        <v>8</v>
      </c>
      <c r="B746" s="59">
        <v>742</v>
      </c>
      <c r="AI746" t="e">
        <f t="shared" si="56"/>
        <v>#N/A</v>
      </c>
      <c r="AJ746" t="e">
        <f t="shared" si="57"/>
        <v>#N/A</v>
      </c>
      <c r="AK746" t="str">
        <f t="shared" si="58"/>
        <v/>
      </c>
    </row>
    <row r="747" spans="1:37" ht="15" customHeight="1">
      <c r="A747" s="62">
        <v>8</v>
      </c>
      <c r="B747" s="59">
        <v>743</v>
      </c>
      <c r="AI747" t="e">
        <f t="shared" si="56"/>
        <v>#N/A</v>
      </c>
      <c r="AJ747" t="e">
        <f t="shared" si="57"/>
        <v>#N/A</v>
      </c>
      <c r="AK747" t="str">
        <f t="shared" si="58"/>
        <v/>
      </c>
    </row>
    <row r="748" spans="1:37" ht="15" customHeight="1">
      <c r="A748" s="62">
        <v>8</v>
      </c>
      <c r="B748" s="59">
        <v>744</v>
      </c>
      <c r="AI748" t="e">
        <f t="shared" si="56"/>
        <v>#N/A</v>
      </c>
      <c r="AJ748" t="e">
        <f t="shared" si="57"/>
        <v>#N/A</v>
      </c>
      <c r="AK748" t="str">
        <f t="shared" si="58"/>
        <v/>
      </c>
    </row>
    <row r="749" spans="1:37" ht="15" customHeight="1">
      <c r="A749" s="62">
        <v>8</v>
      </c>
      <c r="B749" s="59">
        <v>745</v>
      </c>
      <c r="AI749" t="e">
        <f t="shared" si="56"/>
        <v>#N/A</v>
      </c>
      <c r="AJ749" t="e">
        <f t="shared" si="57"/>
        <v>#N/A</v>
      </c>
      <c r="AK749" t="str">
        <f t="shared" si="58"/>
        <v/>
      </c>
    </row>
    <row r="750" spans="1:37" ht="15" customHeight="1">
      <c r="A750" s="62">
        <v>8</v>
      </c>
      <c r="B750" s="59">
        <v>746</v>
      </c>
      <c r="AI750" t="e">
        <f t="shared" si="56"/>
        <v>#N/A</v>
      </c>
      <c r="AJ750" t="e">
        <f t="shared" si="57"/>
        <v>#N/A</v>
      </c>
      <c r="AK750" t="str">
        <f t="shared" si="58"/>
        <v/>
      </c>
    </row>
    <row r="751" spans="1:37" ht="15" customHeight="1">
      <c r="A751" s="62">
        <v>8</v>
      </c>
      <c r="B751" s="59">
        <v>747</v>
      </c>
      <c r="AI751" t="e">
        <f t="shared" si="56"/>
        <v>#N/A</v>
      </c>
      <c r="AJ751" t="e">
        <f t="shared" si="57"/>
        <v>#N/A</v>
      </c>
      <c r="AK751" t="str">
        <f t="shared" si="58"/>
        <v/>
      </c>
    </row>
    <row r="752" spans="1:37" ht="15" customHeight="1">
      <c r="A752" s="62">
        <v>8</v>
      </c>
      <c r="B752" s="59">
        <v>748</v>
      </c>
      <c r="AI752" t="e">
        <f t="shared" si="56"/>
        <v>#N/A</v>
      </c>
      <c r="AJ752" t="e">
        <f t="shared" si="57"/>
        <v>#N/A</v>
      </c>
      <c r="AK752" t="str">
        <f t="shared" si="58"/>
        <v/>
      </c>
    </row>
    <row r="753" spans="1:37" ht="15" customHeight="1">
      <c r="A753" s="62">
        <v>8</v>
      </c>
      <c r="B753" s="59">
        <v>749</v>
      </c>
      <c r="AI753" t="e">
        <f t="shared" si="56"/>
        <v>#N/A</v>
      </c>
      <c r="AJ753" t="e">
        <f t="shared" si="57"/>
        <v>#N/A</v>
      </c>
      <c r="AK753" t="str">
        <f t="shared" si="58"/>
        <v/>
      </c>
    </row>
    <row r="754" spans="1:37" ht="15" customHeight="1">
      <c r="A754" s="62">
        <v>8</v>
      </c>
      <c r="B754" s="59">
        <v>750</v>
      </c>
      <c r="AI754" t="e">
        <f t="shared" si="56"/>
        <v>#N/A</v>
      </c>
      <c r="AJ754" t="e">
        <f t="shared" si="57"/>
        <v>#N/A</v>
      </c>
      <c r="AK754" t="str">
        <f t="shared" si="58"/>
        <v/>
      </c>
    </row>
    <row r="755" spans="1:37" ht="15" customHeight="1">
      <c r="A755" s="62">
        <v>8</v>
      </c>
      <c r="B755" s="59">
        <v>751</v>
      </c>
      <c r="AI755" t="e">
        <f t="shared" si="56"/>
        <v>#N/A</v>
      </c>
      <c r="AJ755" t="e">
        <f t="shared" si="57"/>
        <v>#N/A</v>
      </c>
      <c r="AK755" t="str">
        <f t="shared" si="58"/>
        <v/>
      </c>
    </row>
    <row r="756" spans="1:37" ht="15" customHeight="1">
      <c r="A756" s="62">
        <v>8</v>
      </c>
      <c r="B756" s="59">
        <v>752</v>
      </c>
      <c r="AI756" t="e">
        <f t="shared" si="56"/>
        <v>#N/A</v>
      </c>
      <c r="AJ756" t="e">
        <f t="shared" si="57"/>
        <v>#N/A</v>
      </c>
      <c r="AK756" t="str">
        <f t="shared" si="58"/>
        <v/>
      </c>
    </row>
    <row r="757" spans="1:37" ht="15" customHeight="1">
      <c r="A757" s="62">
        <v>8</v>
      </c>
      <c r="B757" s="59">
        <v>753</v>
      </c>
      <c r="AI757" t="e">
        <f t="shared" si="56"/>
        <v>#N/A</v>
      </c>
      <c r="AJ757" t="e">
        <f t="shared" si="57"/>
        <v>#N/A</v>
      </c>
      <c r="AK757" t="str">
        <f t="shared" si="58"/>
        <v/>
      </c>
    </row>
    <row r="758" spans="1:37" ht="15" customHeight="1">
      <c r="A758" s="62">
        <v>8</v>
      </c>
      <c r="B758" s="59">
        <v>754</v>
      </c>
      <c r="AI758" t="e">
        <f t="shared" si="56"/>
        <v>#N/A</v>
      </c>
      <c r="AJ758" t="e">
        <f t="shared" si="57"/>
        <v>#N/A</v>
      </c>
      <c r="AK758" t="str">
        <f t="shared" si="58"/>
        <v/>
      </c>
    </row>
    <row r="759" spans="1:37" ht="15" customHeight="1">
      <c r="A759" s="62">
        <v>8</v>
      </c>
      <c r="B759" s="59">
        <v>755</v>
      </c>
      <c r="AI759" t="e">
        <f t="shared" si="56"/>
        <v>#N/A</v>
      </c>
      <c r="AJ759" t="e">
        <f t="shared" si="57"/>
        <v>#N/A</v>
      </c>
      <c r="AK759" t="str">
        <f t="shared" si="58"/>
        <v/>
      </c>
    </row>
    <row r="760" spans="1:37" ht="15" customHeight="1">
      <c r="A760" s="62">
        <v>8</v>
      </c>
      <c r="B760" s="59">
        <v>756</v>
      </c>
      <c r="AI760" t="e">
        <f t="shared" si="56"/>
        <v>#N/A</v>
      </c>
      <c r="AJ760" t="e">
        <f t="shared" si="57"/>
        <v>#N/A</v>
      </c>
      <c r="AK760" t="str">
        <f t="shared" si="58"/>
        <v/>
      </c>
    </row>
    <row r="761" spans="1:37" ht="15" customHeight="1">
      <c r="A761" s="62">
        <v>8</v>
      </c>
      <c r="B761" s="59">
        <v>757</v>
      </c>
      <c r="AI761" t="e">
        <f t="shared" si="56"/>
        <v>#N/A</v>
      </c>
      <c r="AJ761" t="e">
        <f t="shared" si="57"/>
        <v>#N/A</v>
      </c>
      <c r="AK761" t="str">
        <f t="shared" si="58"/>
        <v/>
      </c>
    </row>
    <row r="762" spans="1:37" ht="15" customHeight="1">
      <c r="A762" s="62">
        <v>8</v>
      </c>
      <c r="B762" s="59">
        <v>758</v>
      </c>
      <c r="AI762" t="e">
        <f t="shared" si="56"/>
        <v>#N/A</v>
      </c>
      <c r="AJ762" t="e">
        <f t="shared" si="57"/>
        <v>#N/A</v>
      </c>
      <c r="AK762" t="str">
        <f t="shared" si="58"/>
        <v/>
      </c>
    </row>
    <row r="763" spans="1:37" ht="15" customHeight="1">
      <c r="A763" s="62">
        <v>8</v>
      </c>
      <c r="B763" s="59">
        <v>759</v>
      </c>
      <c r="AI763" t="e">
        <f t="shared" si="56"/>
        <v>#N/A</v>
      </c>
      <c r="AJ763" t="e">
        <f t="shared" si="57"/>
        <v>#N/A</v>
      </c>
      <c r="AK763" t="str">
        <f t="shared" si="58"/>
        <v/>
      </c>
    </row>
    <row r="764" spans="1:37" ht="15" customHeight="1">
      <c r="A764" s="62">
        <v>8</v>
      </c>
      <c r="B764" s="59">
        <v>760</v>
      </c>
      <c r="AI764" t="e">
        <f t="shared" si="56"/>
        <v>#N/A</v>
      </c>
      <c r="AJ764" t="e">
        <f t="shared" si="57"/>
        <v>#N/A</v>
      </c>
      <c r="AK764" t="str">
        <f t="shared" si="58"/>
        <v/>
      </c>
    </row>
    <row r="765" spans="1:37" ht="15" customHeight="1">
      <c r="A765" s="62">
        <v>8</v>
      </c>
      <c r="B765" s="59">
        <v>761</v>
      </c>
      <c r="AI765" t="e">
        <f t="shared" si="56"/>
        <v>#N/A</v>
      </c>
      <c r="AJ765" t="e">
        <f t="shared" si="57"/>
        <v>#N/A</v>
      </c>
      <c r="AK765" t="str">
        <f t="shared" si="58"/>
        <v/>
      </c>
    </row>
    <row r="766" spans="1:37" ht="15" customHeight="1">
      <c r="A766" s="62">
        <v>8</v>
      </c>
      <c r="B766" s="59">
        <v>762</v>
      </c>
      <c r="AI766" t="e">
        <f t="shared" si="56"/>
        <v>#N/A</v>
      </c>
      <c r="AJ766" t="e">
        <f t="shared" si="57"/>
        <v>#N/A</v>
      </c>
      <c r="AK766" t="str">
        <f t="shared" si="58"/>
        <v/>
      </c>
    </row>
    <row r="767" spans="1:37" ht="15" customHeight="1">
      <c r="A767" s="62">
        <v>8</v>
      </c>
      <c r="B767" s="59">
        <v>763</v>
      </c>
      <c r="AI767" t="e">
        <f t="shared" si="56"/>
        <v>#N/A</v>
      </c>
      <c r="AJ767" t="e">
        <f t="shared" si="57"/>
        <v>#N/A</v>
      </c>
      <c r="AK767" t="str">
        <f t="shared" si="58"/>
        <v/>
      </c>
    </row>
    <row r="768" spans="1:37" ht="15" customHeight="1">
      <c r="A768" s="62">
        <v>8</v>
      </c>
      <c r="B768" s="59">
        <v>764</v>
      </c>
      <c r="AI768" t="e">
        <f t="shared" si="56"/>
        <v>#N/A</v>
      </c>
      <c r="AJ768" t="e">
        <f t="shared" si="57"/>
        <v>#N/A</v>
      </c>
      <c r="AK768" t="str">
        <f t="shared" si="58"/>
        <v/>
      </c>
    </row>
    <row r="769" spans="1:37" ht="15" customHeight="1">
      <c r="A769" s="62">
        <v>8</v>
      </c>
      <c r="B769" s="59">
        <v>765</v>
      </c>
      <c r="AI769" t="e">
        <f t="shared" si="56"/>
        <v>#N/A</v>
      </c>
      <c r="AJ769" t="e">
        <f t="shared" si="57"/>
        <v>#N/A</v>
      </c>
      <c r="AK769" t="str">
        <f t="shared" si="58"/>
        <v/>
      </c>
    </row>
    <row r="770" spans="1:37" ht="15" customHeight="1">
      <c r="A770" s="62">
        <v>8</v>
      </c>
      <c r="B770" s="59">
        <v>766</v>
      </c>
      <c r="AI770" t="e">
        <f t="shared" ref="AI770:AI833" si="59">IF(AND($E770=Subj_OccCode,Subj_BldgSF&gt;0,ABS($L770-Subj_BldgSF)&lt;=Subj_BldgSF*Subj_SizeTol),ABS($L770-Subj_BldgSF),NA())</f>
        <v>#N/A</v>
      </c>
      <c r="AJ770" t="e">
        <f t="shared" ref="AJ770:AJ833" si="60">IF(ISNA(AI770),NA(),AI770+ROW()/10000000)</f>
        <v>#N/A</v>
      </c>
      <c r="AK770" t="str">
        <f t="shared" si="58"/>
        <v/>
      </c>
    </row>
    <row r="771" spans="1:37" ht="15" customHeight="1">
      <c r="A771" s="62">
        <v>8</v>
      </c>
      <c r="B771" s="59">
        <v>767</v>
      </c>
      <c r="AI771" t="e">
        <f t="shared" si="59"/>
        <v>#N/A</v>
      </c>
      <c r="AJ771" t="e">
        <f t="shared" si="60"/>
        <v>#N/A</v>
      </c>
      <c r="AK771" t="str">
        <f t="shared" si="58"/>
        <v/>
      </c>
    </row>
    <row r="772" spans="1:37" ht="15" customHeight="1">
      <c r="A772" s="62">
        <v>8</v>
      </c>
      <c r="B772" s="59">
        <v>768</v>
      </c>
      <c r="AI772" t="e">
        <f t="shared" si="59"/>
        <v>#N/A</v>
      </c>
      <c r="AJ772" t="e">
        <f t="shared" si="60"/>
        <v>#N/A</v>
      </c>
      <c r="AK772" t="str">
        <f t="shared" si="58"/>
        <v/>
      </c>
    </row>
    <row r="773" spans="1:37" ht="15" customHeight="1">
      <c r="A773" s="62">
        <v>8</v>
      </c>
      <c r="B773" s="59">
        <v>769</v>
      </c>
      <c r="AI773" t="e">
        <f t="shared" si="59"/>
        <v>#N/A</v>
      </c>
      <c r="AJ773" t="e">
        <f t="shared" si="60"/>
        <v>#N/A</v>
      </c>
      <c r="AK773" t="str">
        <f t="shared" si="58"/>
        <v/>
      </c>
    </row>
    <row r="774" spans="1:37" ht="15" customHeight="1">
      <c r="A774" s="62">
        <v>8</v>
      </c>
      <c r="B774" s="59">
        <v>770</v>
      </c>
      <c r="AI774" t="e">
        <f t="shared" si="59"/>
        <v>#N/A</v>
      </c>
      <c r="AJ774" t="e">
        <f t="shared" si="60"/>
        <v>#N/A</v>
      </c>
      <c r="AK774" t="str">
        <f t="shared" si="58"/>
        <v/>
      </c>
    </row>
    <row r="775" spans="1:37" ht="15" customHeight="1">
      <c r="A775" s="62">
        <v>8</v>
      </c>
      <c r="B775" s="59">
        <v>771</v>
      </c>
      <c r="AI775" t="e">
        <f t="shared" si="59"/>
        <v>#N/A</v>
      </c>
      <c r="AJ775" t="e">
        <f t="shared" si="60"/>
        <v>#N/A</v>
      </c>
      <c r="AK775" t="str">
        <f t="shared" si="58"/>
        <v/>
      </c>
    </row>
    <row r="776" spans="1:37" ht="15" customHeight="1">
      <c r="A776" s="62">
        <v>8</v>
      </c>
      <c r="B776" s="59">
        <v>772</v>
      </c>
      <c r="AI776" t="e">
        <f t="shared" si="59"/>
        <v>#N/A</v>
      </c>
      <c r="AJ776" t="e">
        <f t="shared" si="60"/>
        <v>#N/A</v>
      </c>
      <c r="AK776" t="str">
        <f t="shared" si="58"/>
        <v/>
      </c>
    </row>
    <row r="777" spans="1:37" ht="15" customHeight="1">
      <c r="A777" s="62">
        <v>8</v>
      </c>
      <c r="B777" s="59">
        <v>773</v>
      </c>
      <c r="AI777" t="e">
        <f t="shared" si="59"/>
        <v>#N/A</v>
      </c>
      <c r="AJ777" t="e">
        <f t="shared" si="60"/>
        <v>#N/A</v>
      </c>
      <c r="AK777" t="str">
        <f t="shared" ref="AK777:AK840" si="61">IF(AND(ISNUMBER($N777),$N777&gt;0,ISNUMBER($Y777)),$Y777/$N777,"")</f>
        <v/>
      </c>
    </row>
    <row r="778" spans="1:37" ht="15" customHeight="1">
      <c r="A778" s="62">
        <v>8</v>
      </c>
      <c r="B778" s="59">
        <v>774</v>
      </c>
      <c r="AI778" t="e">
        <f t="shared" si="59"/>
        <v>#N/A</v>
      </c>
      <c r="AJ778" t="e">
        <f t="shared" si="60"/>
        <v>#N/A</v>
      </c>
      <c r="AK778" t="str">
        <f t="shared" si="61"/>
        <v/>
      </c>
    </row>
    <row r="779" spans="1:37" ht="15" customHeight="1">
      <c r="A779" s="62">
        <v>8</v>
      </c>
      <c r="B779" s="59">
        <v>775</v>
      </c>
      <c r="AI779" t="e">
        <f t="shared" si="59"/>
        <v>#N/A</v>
      </c>
      <c r="AJ779" t="e">
        <f t="shared" si="60"/>
        <v>#N/A</v>
      </c>
      <c r="AK779" t="str">
        <f t="shared" si="61"/>
        <v/>
      </c>
    </row>
    <row r="780" spans="1:37" ht="15" customHeight="1">
      <c r="A780" s="62">
        <v>8</v>
      </c>
      <c r="B780" s="59">
        <v>776</v>
      </c>
      <c r="AI780" t="e">
        <f t="shared" si="59"/>
        <v>#N/A</v>
      </c>
      <c r="AJ780" t="e">
        <f t="shared" si="60"/>
        <v>#N/A</v>
      </c>
      <c r="AK780" t="str">
        <f t="shared" si="61"/>
        <v/>
      </c>
    </row>
    <row r="781" spans="1:37" ht="15" customHeight="1">
      <c r="A781" s="62">
        <v>8</v>
      </c>
      <c r="B781" s="59">
        <v>777</v>
      </c>
      <c r="AI781" t="e">
        <f t="shared" si="59"/>
        <v>#N/A</v>
      </c>
      <c r="AJ781" t="e">
        <f t="shared" si="60"/>
        <v>#N/A</v>
      </c>
      <c r="AK781" t="str">
        <f t="shared" si="61"/>
        <v/>
      </c>
    </row>
    <row r="782" spans="1:37" ht="15" customHeight="1">
      <c r="A782" s="62">
        <v>8</v>
      </c>
      <c r="B782" s="59">
        <v>778</v>
      </c>
      <c r="AI782" t="e">
        <f t="shared" si="59"/>
        <v>#N/A</v>
      </c>
      <c r="AJ782" t="e">
        <f t="shared" si="60"/>
        <v>#N/A</v>
      </c>
      <c r="AK782" t="str">
        <f t="shared" si="61"/>
        <v/>
      </c>
    </row>
    <row r="783" spans="1:37" ht="15" customHeight="1">
      <c r="A783" s="62">
        <v>8</v>
      </c>
      <c r="B783" s="59">
        <v>779</v>
      </c>
      <c r="AI783" t="e">
        <f t="shared" si="59"/>
        <v>#N/A</v>
      </c>
      <c r="AJ783" t="e">
        <f t="shared" si="60"/>
        <v>#N/A</v>
      </c>
      <c r="AK783" t="str">
        <f t="shared" si="61"/>
        <v/>
      </c>
    </row>
    <row r="784" spans="1:37" ht="15" customHeight="1">
      <c r="A784" s="62">
        <v>8</v>
      </c>
      <c r="B784" s="59">
        <v>780</v>
      </c>
      <c r="AI784" t="e">
        <f t="shared" si="59"/>
        <v>#N/A</v>
      </c>
      <c r="AJ784" t="e">
        <f t="shared" si="60"/>
        <v>#N/A</v>
      </c>
      <c r="AK784" t="str">
        <f t="shared" si="61"/>
        <v/>
      </c>
    </row>
    <row r="785" spans="1:37" ht="15" customHeight="1">
      <c r="A785" s="62">
        <v>8</v>
      </c>
      <c r="B785" s="59">
        <v>781</v>
      </c>
      <c r="AI785" t="e">
        <f t="shared" si="59"/>
        <v>#N/A</v>
      </c>
      <c r="AJ785" t="e">
        <f t="shared" si="60"/>
        <v>#N/A</v>
      </c>
      <c r="AK785" t="str">
        <f t="shared" si="61"/>
        <v/>
      </c>
    </row>
    <row r="786" spans="1:37" ht="15" customHeight="1">
      <c r="A786" s="62">
        <v>8</v>
      </c>
      <c r="B786" s="59">
        <v>782</v>
      </c>
      <c r="AI786" t="e">
        <f t="shared" si="59"/>
        <v>#N/A</v>
      </c>
      <c r="AJ786" t="e">
        <f t="shared" si="60"/>
        <v>#N/A</v>
      </c>
      <c r="AK786" t="str">
        <f t="shared" si="61"/>
        <v/>
      </c>
    </row>
    <row r="787" spans="1:37" ht="15" customHeight="1">
      <c r="A787" s="62">
        <v>8</v>
      </c>
      <c r="B787" s="59">
        <v>783</v>
      </c>
      <c r="AI787" t="e">
        <f t="shared" si="59"/>
        <v>#N/A</v>
      </c>
      <c r="AJ787" t="e">
        <f t="shared" si="60"/>
        <v>#N/A</v>
      </c>
      <c r="AK787" t="str">
        <f t="shared" si="61"/>
        <v/>
      </c>
    </row>
    <row r="788" spans="1:37" ht="15" customHeight="1">
      <c r="A788" s="62">
        <v>8</v>
      </c>
      <c r="B788" s="59">
        <v>784</v>
      </c>
      <c r="AI788" t="e">
        <f t="shared" si="59"/>
        <v>#N/A</v>
      </c>
      <c r="AJ788" t="e">
        <f t="shared" si="60"/>
        <v>#N/A</v>
      </c>
      <c r="AK788" t="str">
        <f t="shared" si="61"/>
        <v/>
      </c>
    </row>
    <row r="789" spans="1:37" ht="15" customHeight="1">
      <c r="A789" s="62">
        <v>8</v>
      </c>
      <c r="B789" s="59">
        <v>785</v>
      </c>
      <c r="AI789" t="e">
        <f t="shared" si="59"/>
        <v>#N/A</v>
      </c>
      <c r="AJ789" t="e">
        <f t="shared" si="60"/>
        <v>#N/A</v>
      </c>
      <c r="AK789" t="str">
        <f t="shared" si="61"/>
        <v/>
      </c>
    </row>
    <row r="790" spans="1:37" ht="15" customHeight="1">
      <c r="A790" s="62">
        <v>8</v>
      </c>
      <c r="B790" s="59">
        <v>786</v>
      </c>
      <c r="AI790" t="e">
        <f t="shared" si="59"/>
        <v>#N/A</v>
      </c>
      <c r="AJ790" t="e">
        <f t="shared" si="60"/>
        <v>#N/A</v>
      </c>
      <c r="AK790" t="str">
        <f t="shared" si="61"/>
        <v/>
      </c>
    </row>
    <row r="791" spans="1:37" ht="15" customHeight="1">
      <c r="A791" s="62">
        <v>8</v>
      </c>
      <c r="B791" s="59">
        <v>787</v>
      </c>
      <c r="AI791" t="e">
        <f t="shared" si="59"/>
        <v>#N/A</v>
      </c>
      <c r="AJ791" t="e">
        <f t="shared" si="60"/>
        <v>#N/A</v>
      </c>
      <c r="AK791" t="str">
        <f t="shared" si="61"/>
        <v/>
      </c>
    </row>
    <row r="792" spans="1:37" ht="15" customHeight="1">
      <c r="A792" s="62">
        <v>8</v>
      </c>
      <c r="B792" s="59">
        <v>788</v>
      </c>
      <c r="AI792" t="e">
        <f t="shared" si="59"/>
        <v>#N/A</v>
      </c>
      <c r="AJ792" t="e">
        <f t="shared" si="60"/>
        <v>#N/A</v>
      </c>
      <c r="AK792" t="str">
        <f t="shared" si="61"/>
        <v/>
      </c>
    </row>
    <row r="793" spans="1:37" ht="15" customHeight="1">
      <c r="A793" s="62">
        <v>8</v>
      </c>
      <c r="B793" s="59">
        <v>789</v>
      </c>
      <c r="AI793" t="e">
        <f t="shared" si="59"/>
        <v>#N/A</v>
      </c>
      <c r="AJ793" t="e">
        <f t="shared" si="60"/>
        <v>#N/A</v>
      </c>
      <c r="AK793" t="str">
        <f t="shared" si="61"/>
        <v/>
      </c>
    </row>
    <row r="794" spans="1:37" ht="15" customHeight="1">
      <c r="A794" s="62">
        <v>8</v>
      </c>
      <c r="B794" s="59">
        <v>790</v>
      </c>
      <c r="AI794" t="e">
        <f t="shared" si="59"/>
        <v>#N/A</v>
      </c>
      <c r="AJ794" t="e">
        <f t="shared" si="60"/>
        <v>#N/A</v>
      </c>
      <c r="AK794" t="str">
        <f t="shared" si="61"/>
        <v/>
      </c>
    </row>
    <row r="795" spans="1:37" ht="15" customHeight="1">
      <c r="A795" s="62">
        <v>8</v>
      </c>
      <c r="B795" s="59">
        <v>791</v>
      </c>
      <c r="AI795" t="e">
        <f t="shared" si="59"/>
        <v>#N/A</v>
      </c>
      <c r="AJ795" t="e">
        <f t="shared" si="60"/>
        <v>#N/A</v>
      </c>
      <c r="AK795" t="str">
        <f t="shared" si="61"/>
        <v/>
      </c>
    </row>
    <row r="796" spans="1:37" ht="15" customHeight="1">
      <c r="A796" s="62">
        <v>8</v>
      </c>
      <c r="B796" s="59">
        <v>792</v>
      </c>
      <c r="AI796" t="e">
        <f t="shared" si="59"/>
        <v>#N/A</v>
      </c>
      <c r="AJ796" t="e">
        <f t="shared" si="60"/>
        <v>#N/A</v>
      </c>
      <c r="AK796" t="str">
        <f t="shared" si="61"/>
        <v/>
      </c>
    </row>
    <row r="797" spans="1:37" ht="15" customHeight="1">
      <c r="A797" s="62">
        <v>8</v>
      </c>
      <c r="B797" s="59">
        <v>793</v>
      </c>
      <c r="AI797" t="e">
        <f t="shared" si="59"/>
        <v>#N/A</v>
      </c>
      <c r="AJ797" t="e">
        <f t="shared" si="60"/>
        <v>#N/A</v>
      </c>
      <c r="AK797" t="str">
        <f t="shared" si="61"/>
        <v/>
      </c>
    </row>
    <row r="798" spans="1:37" ht="15" customHeight="1">
      <c r="A798" s="62">
        <v>8</v>
      </c>
      <c r="B798" s="59">
        <v>794</v>
      </c>
      <c r="AI798" t="e">
        <f t="shared" si="59"/>
        <v>#N/A</v>
      </c>
      <c r="AJ798" t="e">
        <f t="shared" si="60"/>
        <v>#N/A</v>
      </c>
      <c r="AK798" t="str">
        <f t="shared" si="61"/>
        <v/>
      </c>
    </row>
    <row r="799" spans="1:37" ht="15" customHeight="1">
      <c r="A799" s="62">
        <v>8</v>
      </c>
      <c r="B799" s="59">
        <v>795</v>
      </c>
      <c r="AI799" t="e">
        <f t="shared" si="59"/>
        <v>#N/A</v>
      </c>
      <c r="AJ799" t="e">
        <f t="shared" si="60"/>
        <v>#N/A</v>
      </c>
      <c r="AK799" t="str">
        <f t="shared" si="61"/>
        <v/>
      </c>
    </row>
    <row r="800" spans="1:37" ht="15" customHeight="1">
      <c r="A800" s="62">
        <v>8</v>
      </c>
      <c r="B800" s="59">
        <v>796</v>
      </c>
      <c r="AI800" t="e">
        <f t="shared" si="59"/>
        <v>#N/A</v>
      </c>
      <c r="AJ800" t="e">
        <f t="shared" si="60"/>
        <v>#N/A</v>
      </c>
      <c r="AK800" t="str">
        <f t="shared" si="61"/>
        <v/>
      </c>
    </row>
    <row r="801" spans="1:37" ht="15" customHeight="1">
      <c r="A801" s="62">
        <v>8</v>
      </c>
      <c r="B801" s="59">
        <v>797</v>
      </c>
      <c r="AI801" t="e">
        <f t="shared" si="59"/>
        <v>#N/A</v>
      </c>
      <c r="AJ801" t="e">
        <f t="shared" si="60"/>
        <v>#N/A</v>
      </c>
      <c r="AK801" t="str">
        <f t="shared" si="61"/>
        <v/>
      </c>
    </row>
    <row r="802" spans="1:37" ht="15" customHeight="1">
      <c r="A802" s="62">
        <v>8</v>
      </c>
      <c r="B802" s="59">
        <v>798</v>
      </c>
      <c r="AI802" t="e">
        <f t="shared" si="59"/>
        <v>#N/A</v>
      </c>
      <c r="AJ802" t="e">
        <f t="shared" si="60"/>
        <v>#N/A</v>
      </c>
      <c r="AK802" t="str">
        <f t="shared" si="61"/>
        <v/>
      </c>
    </row>
    <row r="803" spans="1:37" ht="15" customHeight="1">
      <c r="A803" s="62">
        <v>8</v>
      </c>
      <c r="B803" s="59">
        <v>799</v>
      </c>
      <c r="AI803" t="e">
        <f t="shared" si="59"/>
        <v>#N/A</v>
      </c>
      <c r="AJ803" t="e">
        <f t="shared" si="60"/>
        <v>#N/A</v>
      </c>
      <c r="AK803" t="str">
        <f t="shared" si="61"/>
        <v/>
      </c>
    </row>
    <row r="804" spans="1:37" ht="15" customHeight="1">
      <c r="A804" s="62">
        <v>8</v>
      </c>
      <c r="B804" s="59">
        <v>800</v>
      </c>
      <c r="AI804" t="e">
        <f t="shared" si="59"/>
        <v>#N/A</v>
      </c>
      <c r="AJ804" t="e">
        <f t="shared" si="60"/>
        <v>#N/A</v>
      </c>
      <c r="AK804" t="str">
        <f t="shared" si="61"/>
        <v/>
      </c>
    </row>
    <row r="805" spans="1:37" ht="15" customHeight="1">
      <c r="A805" s="62">
        <v>8</v>
      </c>
      <c r="B805" s="59">
        <v>801</v>
      </c>
      <c r="AI805" t="e">
        <f t="shared" si="59"/>
        <v>#N/A</v>
      </c>
      <c r="AJ805" t="e">
        <f t="shared" si="60"/>
        <v>#N/A</v>
      </c>
      <c r="AK805" t="str">
        <f t="shared" si="61"/>
        <v/>
      </c>
    </row>
    <row r="806" spans="1:37" ht="15" customHeight="1">
      <c r="A806" s="62">
        <v>8</v>
      </c>
      <c r="B806" s="59">
        <v>802</v>
      </c>
      <c r="AI806" t="e">
        <f t="shared" si="59"/>
        <v>#N/A</v>
      </c>
      <c r="AJ806" t="e">
        <f t="shared" si="60"/>
        <v>#N/A</v>
      </c>
      <c r="AK806" t="str">
        <f t="shared" si="61"/>
        <v/>
      </c>
    </row>
    <row r="807" spans="1:37" ht="15" customHeight="1">
      <c r="A807" s="62">
        <v>8</v>
      </c>
      <c r="B807" s="59">
        <v>803</v>
      </c>
      <c r="AI807" t="e">
        <f t="shared" si="59"/>
        <v>#N/A</v>
      </c>
      <c r="AJ807" t="e">
        <f t="shared" si="60"/>
        <v>#N/A</v>
      </c>
      <c r="AK807" t="str">
        <f t="shared" si="61"/>
        <v/>
      </c>
    </row>
    <row r="808" spans="1:37" ht="15" customHeight="1">
      <c r="A808" s="62">
        <v>8</v>
      </c>
      <c r="B808" s="59">
        <v>804</v>
      </c>
      <c r="AI808" t="e">
        <f t="shared" si="59"/>
        <v>#N/A</v>
      </c>
      <c r="AJ808" t="e">
        <f t="shared" si="60"/>
        <v>#N/A</v>
      </c>
      <c r="AK808" t="str">
        <f t="shared" si="61"/>
        <v/>
      </c>
    </row>
    <row r="809" spans="1:37" ht="15" customHeight="1">
      <c r="A809" s="62">
        <v>8</v>
      </c>
      <c r="B809" s="59">
        <v>805</v>
      </c>
      <c r="AI809" t="e">
        <f t="shared" si="59"/>
        <v>#N/A</v>
      </c>
      <c r="AJ809" t="e">
        <f t="shared" si="60"/>
        <v>#N/A</v>
      </c>
      <c r="AK809" t="str">
        <f t="shared" si="61"/>
        <v/>
      </c>
    </row>
    <row r="810" spans="1:37" ht="15" customHeight="1">
      <c r="A810" s="62">
        <v>8</v>
      </c>
      <c r="B810" s="59">
        <v>806</v>
      </c>
      <c r="AI810" t="e">
        <f t="shared" si="59"/>
        <v>#N/A</v>
      </c>
      <c r="AJ810" t="e">
        <f t="shared" si="60"/>
        <v>#N/A</v>
      </c>
      <c r="AK810" t="str">
        <f t="shared" si="61"/>
        <v/>
      </c>
    </row>
    <row r="811" spans="1:37" ht="15" customHeight="1">
      <c r="A811" s="62">
        <v>8</v>
      </c>
      <c r="B811" s="59">
        <v>807</v>
      </c>
      <c r="AI811" t="e">
        <f t="shared" si="59"/>
        <v>#N/A</v>
      </c>
      <c r="AJ811" t="e">
        <f t="shared" si="60"/>
        <v>#N/A</v>
      </c>
      <c r="AK811" t="str">
        <f t="shared" si="61"/>
        <v/>
      </c>
    </row>
    <row r="812" spans="1:37" ht="15" customHeight="1">
      <c r="A812" s="62">
        <v>8</v>
      </c>
      <c r="B812" s="59">
        <v>808</v>
      </c>
      <c r="AI812" t="e">
        <f t="shared" si="59"/>
        <v>#N/A</v>
      </c>
      <c r="AJ812" t="e">
        <f t="shared" si="60"/>
        <v>#N/A</v>
      </c>
      <c r="AK812" t="str">
        <f t="shared" si="61"/>
        <v/>
      </c>
    </row>
    <row r="813" spans="1:37" ht="15" customHeight="1">
      <c r="A813" s="62">
        <v>8</v>
      </c>
      <c r="B813" s="59">
        <v>809</v>
      </c>
      <c r="AI813" t="e">
        <f t="shared" si="59"/>
        <v>#N/A</v>
      </c>
      <c r="AJ813" t="e">
        <f t="shared" si="60"/>
        <v>#N/A</v>
      </c>
      <c r="AK813" t="str">
        <f t="shared" si="61"/>
        <v/>
      </c>
    </row>
    <row r="814" spans="1:37" ht="15" customHeight="1">
      <c r="A814" s="62">
        <v>8</v>
      </c>
      <c r="B814" s="59">
        <v>810</v>
      </c>
      <c r="AI814" t="e">
        <f t="shared" si="59"/>
        <v>#N/A</v>
      </c>
      <c r="AJ814" t="e">
        <f t="shared" si="60"/>
        <v>#N/A</v>
      </c>
      <c r="AK814" t="str">
        <f t="shared" si="61"/>
        <v/>
      </c>
    </row>
    <row r="815" spans="1:37" ht="15" customHeight="1">
      <c r="A815" s="62">
        <v>8</v>
      </c>
      <c r="B815" s="59">
        <v>811</v>
      </c>
      <c r="AI815" t="e">
        <f t="shared" si="59"/>
        <v>#N/A</v>
      </c>
      <c r="AJ815" t="e">
        <f t="shared" si="60"/>
        <v>#N/A</v>
      </c>
      <c r="AK815" t="str">
        <f t="shared" si="61"/>
        <v/>
      </c>
    </row>
    <row r="816" spans="1:37" ht="15" customHeight="1">
      <c r="A816" s="62">
        <v>8</v>
      </c>
      <c r="B816" s="59">
        <v>812</v>
      </c>
      <c r="AI816" t="e">
        <f t="shared" si="59"/>
        <v>#N/A</v>
      </c>
      <c r="AJ816" t="e">
        <f t="shared" si="60"/>
        <v>#N/A</v>
      </c>
      <c r="AK816" t="str">
        <f t="shared" si="61"/>
        <v/>
      </c>
    </row>
    <row r="817" spans="1:37" ht="15" customHeight="1">
      <c r="A817" s="62">
        <v>8</v>
      </c>
      <c r="B817" s="59">
        <v>813</v>
      </c>
      <c r="AI817" t="e">
        <f t="shared" si="59"/>
        <v>#N/A</v>
      </c>
      <c r="AJ817" t="e">
        <f t="shared" si="60"/>
        <v>#N/A</v>
      </c>
      <c r="AK817" t="str">
        <f t="shared" si="61"/>
        <v/>
      </c>
    </row>
    <row r="818" spans="1:37" ht="15" customHeight="1">
      <c r="A818" s="62">
        <v>8</v>
      </c>
      <c r="B818" s="59">
        <v>814</v>
      </c>
      <c r="AI818" t="e">
        <f t="shared" si="59"/>
        <v>#N/A</v>
      </c>
      <c r="AJ818" t="e">
        <f t="shared" si="60"/>
        <v>#N/A</v>
      </c>
      <c r="AK818" t="str">
        <f t="shared" si="61"/>
        <v/>
      </c>
    </row>
    <row r="819" spans="1:37" ht="15" customHeight="1">
      <c r="A819" s="62">
        <v>8</v>
      </c>
      <c r="B819" s="59">
        <v>815</v>
      </c>
      <c r="AI819" t="e">
        <f t="shared" si="59"/>
        <v>#N/A</v>
      </c>
      <c r="AJ819" t="e">
        <f t="shared" si="60"/>
        <v>#N/A</v>
      </c>
      <c r="AK819" t="str">
        <f t="shared" si="61"/>
        <v/>
      </c>
    </row>
    <row r="820" spans="1:37" ht="15" customHeight="1">
      <c r="A820" s="62">
        <v>8</v>
      </c>
      <c r="B820" s="59">
        <v>816</v>
      </c>
      <c r="AI820" t="e">
        <f t="shared" si="59"/>
        <v>#N/A</v>
      </c>
      <c r="AJ820" t="e">
        <f t="shared" si="60"/>
        <v>#N/A</v>
      </c>
      <c r="AK820" t="str">
        <f t="shared" si="61"/>
        <v/>
      </c>
    </row>
    <row r="821" spans="1:37" ht="15" customHeight="1">
      <c r="A821" s="62">
        <v>8</v>
      </c>
      <c r="B821" s="59">
        <v>817</v>
      </c>
      <c r="AI821" t="e">
        <f t="shared" si="59"/>
        <v>#N/A</v>
      </c>
      <c r="AJ821" t="e">
        <f t="shared" si="60"/>
        <v>#N/A</v>
      </c>
      <c r="AK821" t="str">
        <f t="shared" si="61"/>
        <v/>
      </c>
    </row>
    <row r="822" spans="1:37" ht="15" customHeight="1">
      <c r="A822" s="62">
        <v>8</v>
      </c>
      <c r="B822" s="59">
        <v>818</v>
      </c>
      <c r="AI822" t="e">
        <f t="shared" si="59"/>
        <v>#N/A</v>
      </c>
      <c r="AJ822" t="e">
        <f t="shared" si="60"/>
        <v>#N/A</v>
      </c>
      <c r="AK822" t="str">
        <f t="shared" si="61"/>
        <v/>
      </c>
    </row>
    <row r="823" spans="1:37" ht="15" customHeight="1">
      <c r="A823" s="62">
        <v>8</v>
      </c>
      <c r="B823" s="59">
        <v>819</v>
      </c>
      <c r="AI823" t="e">
        <f t="shared" si="59"/>
        <v>#N/A</v>
      </c>
      <c r="AJ823" t="e">
        <f t="shared" si="60"/>
        <v>#N/A</v>
      </c>
      <c r="AK823" t="str">
        <f t="shared" si="61"/>
        <v/>
      </c>
    </row>
    <row r="824" spans="1:37" ht="15" customHeight="1">
      <c r="A824" s="62">
        <v>8</v>
      </c>
      <c r="B824" s="59">
        <v>820</v>
      </c>
      <c r="AI824" t="e">
        <f t="shared" si="59"/>
        <v>#N/A</v>
      </c>
      <c r="AJ824" t="e">
        <f t="shared" si="60"/>
        <v>#N/A</v>
      </c>
      <c r="AK824" t="str">
        <f t="shared" si="61"/>
        <v/>
      </c>
    </row>
    <row r="825" spans="1:37" ht="15" customHeight="1">
      <c r="A825" s="62">
        <v>8</v>
      </c>
      <c r="B825" s="59">
        <v>821</v>
      </c>
      <c r="AI825" t="e">
        <f t="shared" si="59"/>
        <v>#N/A</v>
      </c>
      <c r="AJ825" t="e">
        <f t="shared" si="60"/>
        <v>#N/A</v>
      </c>
      <c r="AK825" t="str">
        <f t="shared" si="61"/>
        <v/>
      </c>
    </row>
    <row r="826" spans="1:37" ht="15" customHeight="1">
      <c r="A826" s="62">
        <v>8</v>
      </c>
      <c r="B826" s="59">
        <v>822</v>
      </c>
      <c r="AI826" t="e">
        <f t="shared" si="59"/>
        <v>#N/A</v>
      </c>
      <c r="AJ826" t="e">
        <f t="shared" si="60"/>
        <v>#N/A</v>
      </c>
      <c r="AK826" t="str">
        <f t="shared" si="61"/>
        <v/>
      </c>
    </row>
    <row r="827" spans="1:37" ht="15" customHeight="1">
      <c r="A827" s="62">
        <v>8</v>
      </c>
      <c r="B827" s="59">
        <v>823</v>
      </c>
      <c r="AI827" t="e">
        <f t="shared" si="59"/>
        <v>#N/A</v>
      </c>
      <c r="AJ827" t="e">
        <f t="shared" si="60"/>
        <v>#N/A</v>
      </c>
      <c r="AK827" t="str">
        <f t="shared" si="61"/>
        <v/>
      </c>
    </row>
    <row r="828" spans="1:37" ht="15" customHeight="1">
      <c r="A828" s="62">
        <v>8</v>
      </c>
      <c r="B828" s="59">
        <v>824</v>
      </c>
      <c r="AI828" t="e">
        <f t="shared" si="59"/>
        <v>#N/A</v>
      </c>
      <c r="AJ828" t="e">
        <f t="shared" si="60"/>
        <v>#N/A</v>
      </c>
      <c r="AK828" t="str">
        <f t="shared" si="61"/>
        <v/>
      </c>
    </row>
    <row r="829" spans="1:37" ht="15" customHeight="1">
      <c r="A829" s="62">
        <v>8</v>
      </c>
      <c r="B829" s="59">
        <v>825</v>
      </c>
      <c r="AI829" t="e">
        <f t="shared" si="59"/>
        <v>#N/A</v>
      </c>
      <c r="AJ829" t="e">
        <f t="shared" si="60"/>
        <v>#N/A</v>
      </c>
      <c r="AK829" t="str">
        <f t="shared" si="61"/>
        <v/>
      </c>
    </row>
    <row r="830" spans="1:37" ht="15" customHeight="1">
      <c r="A830" s="62">
        <v>8</v>
      </c>
      <c r="B830" s="59">
        <v>826</v>
      </c>
      <c r="AI830" t="e">
        <f t="shared" si="59"/>
        <v>#N/A</v>
      </c>
      <c r="AJ830" t="e">
        <f t="shared" si="60"/>
        <v>#N/A</v>
      </c>
      <c r="AK830" t="str">
        <f t="shared" si="61"/>
        <v/>
      </c>
    </row>
    <row r="831" spans="1:37" ht="15" customHeight="1">
      <c r="A831" s="62">
        <v>8</v>
      </c>
      <c r="B831" s="59">
        <v>827</v>
      </c>
      <c r="AI831" t="e">
        <f t="shared" si="59"/>
        <v>#N/A</v>
      </c>
      <c r="AJ831" t="e">
        <f t="shared" si="60"/>
        <v>#N/A</v>
      </c>
      <c r="AK831" t="str">
        <f t="shared" si="61"/>
        <v/>
      </c>
    </row>
    <row r="832" spans="1:37" ht="15" customHeight="1">
      <c r="A832" s="62">
        <v>8</v>
      </c>
      <c r="B832" s="59">
        <v>828</v>
      </c>
      <c r="AI832" t="e">
        <f t="shared" si="59"/>
        <v>#N/A</v>
      </c>
      <c r="AJ832" t="e">
        <f t="shared" si="60"/>
        <v>#N/A</v>
      </c>
      <c r="AK832" t="str">
        <f t="shared" si="61"/>
        <v/>
      </c>
    </row>
    <row r="833" spans="1:37" ht="15" customHeight="1">
      <c r="A833" s="62">
        <v>8</v>
      </c>
      <c r="B833" s="59">
        <v>829</v>
      </c>
      <c r="AI833" t="e">
        <f t="shared" si="59"/>
        <v>#N/A</v>
      </c>
      <c r="AJ833" t="e">
        <f t="shared" si="60"/>
        <v>#N/A</v>
      </c>
      <c r="AK833" t="str">
        <f t="shared" si="61"/>
        <v/>
      </c>
    </row>
    <row r="834" spans="1:37" ht="15" customHeight="1">
      <c r="A834" s="62">
        <v>8</v>
      </c>
      <c r="B834" s="59">
        <v>830</v>
      </c>
      <c r="AI834" t="e">
        <f t="shared" ref="AI834:AI897" si="62">IF(AND($E834=Subj_OccCode,Subj_BldgSF&gt;0,ABS($L834-Subj_BldgSF)&lt;=Subj_BldgSF*Subj_SizeTol),ABS($L834-Subj_BldgSF),NA())</f>
        <v>#N/A</v>
      </c>
      <c r="AJ834" t="e">
        <f t="shared" ref="AJ834:AJ897" si="63">IF(ISNA(AI834),NA(),AI834+ROW()/10000000)</f>
        <v>#N/A</v>
      </c>
      <c r="AK834" t="str">
        <f t="shared" si="61"/>
        <v/>
      </c>
    </row>
    <row r="835" spans="1:37" ht="15" customHeight="1">
      <c r="A835" s="62">
        <v>8</v>
      </c>
      <c r="B835" s="59">
        <v>831</v>
      </c>
      <c r="AI835" t="e">
        <f t="shared" si="62"/>
        <v>#N/A</v>
      </c>
      <c r="AJ835" t="e">
        <f t="shared" si="63"/>
        <v>#N/A</v>
      </c>
      <c r="AK835" t="str">
        <f t="shared" si="61"/>
        <v/>
      </c>
    </row>
    <row r="836" spans="1:37" ht="15" customHeight="1">
      <c r="A836" s="62">
        <v>8</v>
      </c>
      <c r="B836" s="59">
        <v>832</v>
      </c>
      <c r="AI836" t="e">
        <f t="shared" si="62"/>
        <v>#N/A</v>
      </c>
      <c r="AJ836" t="e">
        <f t="shared" si="63"/>
        <v>#N/A</v>
      </c>
      <c r="AK836" t="str">
        <f t="shared" si="61"/>
        <v/>
      </c>
    </row>
    <row r="837" spans="1:37" ht="15" customHeight="1">
      <c r="A837" s="62">
        <v>8</v>
      </c>
      <c r="B837" s="59">
        <v>833</v>
      </c>
      <c r="AI837" t="e">
        <f t="shared" si="62"/>
        <v>#N/A</v>
      </c>
      <c r="AJ837" t="e">
        <f t="shared" si="63"/>
        <v>#N/A</v>
      </c>
      <c r="AK837" t="str">
        <f t="shared" si="61"/>
        <v/>
      </c>
    </row>
    <row r="838" spans="1:37" ht="15" customHeight="1">
      <c r="A838" s="62">
        <v>8</v>
      </c>
      <c r="B838" s="59">
        <v>834</v>
      </c>
      <c r="AI838" t="e">
        <f t="shared" si="62"/>
        <v>#N/A</v>
      </c>
      <c r="AJ838" t="e">
        <f t="shared" si="63"/>
        <v>#N/A</v>
      </c>
      <c r="AK838" t="str">
        <f t="shared" si="61"/>
        <v/>
      </c>
    </row>
    <row r="839" spans="1:37" ht="15" customHeight="1">
      <c r="A839" s="62">
        <v>8</v>
      </c>
      <c r="B839" s="59">
        <v>835</v>
      </c>
      <c r="AI839" t="e">
        <f t="shared" si="62"/>
        <v>#N/A</v>
      </c>
      <c r="AJ839" t="e">
        <f t="shared" si="63"/>
        <v>#N/A</v>
      </c>
      <c r="AK839" t="str">
        <f t="shared" si="61"/>
        <v/>
      </c>
    </row>
    <row r="840" spans="1:37" ht="15" customHeight="1">
      <c r="A840" s="62">
        <v>8</v>
      </c>
      <c r="B840" s="59">
        <v>836</v>
      </c>
      <c r="AI840" t="e">
        <f t="shared" si="62"/>
        <v>#N/A</v>
      </c>
      <c r="AJ840" t="e">
        <f t="shared" si="63"/>
        <v>#N/A</v>
      </c>
      <c r="AK840" t="str">
        <f t="shared" si="61"/>
        <v/>
      </c>
    </row>
    <row r="841" spans="1:37" ht="15" customHeight="1">
      <c r="A841" s="62">
        <v>8</v>
      </c>
      <c r="B841" s="59">
        <v>837</v>
      </c>
      <c r="AI841" t="e">
        <f t="shared" si="62"/>
        <v>#N/A</v>
      </c>
      <c r="AJ841" t="e">
        <f t="shared" si="63"/>
        <v>#N/A</v>
      </c>
      <c r="AK841" t="str">
        <f t="shared" ref="AK841:AK904" si="64">IF(AND(ISNUMBER($N841),$N841&gt;0,ISNUMBER($Y841)),$Y841/$N841,"")</f>
        <v/>
      </c>
    </row>
    <row r="842" spans="1:37" ht="15" customHeight="1">
      <c r="A842" s="62">
        <v>8</v>
      </c>
      <c r="B842" s="59">
        <v>838</v>
      </c>
      <c r="AI842" t="e">
        <f t="shared" si="62"/>
        <v>#N/A</v>
      </c>
      <c r="AJ842" t="e">
        <f t="shared" si="63"/>
        <v>#N/A</v>
      </c>
      <c r="AK842" t="str">
        <f t="shared" si="64"/>
        <v/>
      </c>
    </row>
    <row r="843" spans="1:37" ht="15" customHeight="1">
      <c r="A843" s="62">
        <v>8</v>
      </c>
      <c r="B843" s="59">
        <v>839</v>
      </c>
      <c r="AI843" t="e">
        <f t="shared" si="62"/>
        <v>#N/A</v>
      </c>
      <c r="AJ843" t="e">
        <f t="shared" si="63"/>
        <v>#N/A</v>
      </c>
      <c r="AK843" t="str">
        <f t="shared" si="64"/>
        <v/>
      </c>
    </row>
    <row r="844" spans="1:37" ht="15" customHeight="1">
      <c r="A844" s="62">
        <v>8</v>
      </c>
      <c r="B844" s="59">
        <v>840</v>
      </c>
      <c r="AI844" t="e">
        <f t="shared" si="62"/>
        <v>#N/A</v>
      </c>
      <c r="AJ844" t="e">
        <f t="shared" si="63"/>
        <v>#N/A</v>
      </c>
      <c r="AK844" t="str">
        <f t="shared" si="64"/>
        <v/>
      </c>
    </row>
    <row r="845" spans="1:37" ht="15" customHeight="1">
      <c r="A845" s="62">
        <v>8</v>
      </c>
      <c r="B845" s="59">
        <v>841</v>
      </c>
      <c r="AI845" t="e">
        <f t="shared" si="62"/>
        <v>#N/A</v>
      </c>
      <c r="AJ845" t="e">
        <f t="shared" si="63"/>
        <v>#N/A</v>
      </c>
      <c r="AK845" t="str">
        <f t="shared" si="64"/>
        <v/>
      </c>
    </row>
    <row r="846" spans="1:37" ht="15" customHeight="1">
      <c r="A846" s="62">
        <v>8</v>
      </c>
      <c r="B846" s="59">
        <v>842</v>
      </c>
      <c r="AI846" t="e">
        <f t="shared" si="62"/>
        <v>#N/A</v>
      </c>
      <c r="AJ846" t="e">
        <f t="shared" si="63"/>
        <v>#N/A</v>
      </c>
      <c r="AK846" t="str">
        <f t="shared" si="64"/>
        <v/>
      </c>
    </row>
    <row r="847" spans="1:37" ht="15" customHeight="1">
      <c r="A847" s="62">
        <v>8</v>
      </c>
      <c r="B847" s="59">
        <v>843</v>
      </c>
      <c r="AI847" t="e">
        <f t="shared" si="62"/>
        <v>#N/A</v>
      </c>
      <c r="AJ847" t="e">
        <f t="shared" si="63"/>
        <v>#N/A</v>
      </c>
      <c r="AK847" t="str">
        <f t="shared" si="64"/>
        <v/>
      </c>
    </row>
    <row r="848" spans="1:37" ht="15" customHeight="1">
      <c r="A848" s="62">
        <v>8</v>
      </c>
      <c r="B848" s="59">
        <v>844</v>
      </c>
      <c r="AI848" t="e">
        <f t="shared" si="62"/>
        <v>#N/A</v>
      </c>
      <c r="AJ848" t="e">
        <f t="shared" si="63"/>
        <v>#N/A</v>
      </c>
      <c r="AK848" t="str">
        <f t="shared" si="64"/>
        <v/>
      </c>
    </row>
    <row r="849" spans="1:37" ht="15" customHeight="1">
      <c r="A849" s="62">
        <v>8</v>
      </c>
      <c r="B849" s="59">
        <v>845</v>
      </c>
      <c r="AI849" t="e">
        <f t="shared" si="62"/>
        <v>#N/A</v>
      </c>
      <c r="AJ849" t="e">
        <f t="shared" si="63"/>
        <v>#N/A</v>
      </c>
      <c r="AK849" t="str">
        <f t="shared" si="64"/>
        <v/>
      </c>
    </row>
    <row r="850" spans="1:37" ht="15" customHeight="1">
      <c r="A850" s="62">
        <v>8</v>
      </c>
      <c r="B850" s="59">
        <v>846</v>
      </c>
      <c r="AI850" t="e">
        <f t="shared" si="62"/>
        <v>#N/A</v>
      </c>
      <c r="AJ850" t="e">
        <f t="shared" si="63"/>
        <v>#N/A</v>
      </c>
      <c r="AK850" t="str">
        <f t="shared" si="64"/>
        <v/>
      </c>
    </row>
    <row r="851" spans="1:37" ht="15" customHeight="1">
      <c r="A851" s="62">
        <v>8</v>
      </c>
      <c r="B851" s="59">
        <v>847</v>
      </c>
      <c r="AI851" t="e">
        <f t="shared" si="62"/>
        <v>#N/A</v>
      </c>
      <c r="AJ851" t="e">
        <f t="shared" si="63"/>
        <v>#N/A</v>
      </c>
      <c r="AK851" t="str">
        <f t="shared" si="64"/>
        <v/>
      </c>
    </row>
    <row r="852" spans="1:37" ht="15" customHeight="1">
      <c r="A852" s="62">
        <v>8</v>
      </c>
      <c r="B852" s="59">
        <v>848</v>
      </c>
      <c r="AI852" t="e">
        <f t="shared" si="62"/>
        <v>#N/A</v>
      </c>
      <c r="AJ852" t="e">
        <f t="shared" si="63"/>
        <v>#N/A</v>
      </c>
      <c r="AK852" t="str">
        <f t="shared" si="64"/>
        <v/>
      </c>
    </row>
    <row r="853" spans="1:37" ht="15" customHeight="1">
      <c r="A853" s="62">
        <v>8</v>
      </c>
      <c r="B853" s="59">
        <v>849</v>
      </c>
      <c r="AI853" t="e">
        <f t="shared" si="62"/>
        <v>#N/A</v>
      </c>
      <c r="AJ853" t="e">
        <f t="shared" si="63"/>
        <v>#N/A</v>
      </c>
      <c r="AK853" t="str">
        <f t="shared" si="64"/>
        <v/>
      </c>
    </row>
    <row r="854" spans="1:37" ht="15" customHeight="1">
      <c r="A854" s="62">
        <v>8</v>
      </c>
      <c r="B854" s="59">
        <v>850</v>
      </c>
      <c r="AI854" t="e">
        <f t="shared" si="62"/>
        <v>#N/A</v>
      </c>
      <c r="AJ854" t="e">
        <f t="shared" si="63"/>
        <v>#N/A</v>
      </c>
      <c r="AK854" t="str">
        <f t="shared" si="64"/>
        <v/>
      </c>
    </row>
    <row r="855" spans="1:37" ht="15" customHeight="1">
      <c r="A855" s="62">
        <v>8</v>
      </c>
      <c r="B855" s="59">
        <v>851</v>
      </c>
      <c r="AI855" t="e">
        <f t="shared" si="62"/>
        <v>#N/A</v>
      </c>
      <c r="AJ855" t="e">
        <f t="shared" si="63"/>
        <v>#N/A</v>
      </c>
      <c r="AK855" t="str">
        <f t="shared" si="64"/>
        <v/>
      </c>
    </row>
    <row r="856" spans="1:37" ht="15" customHeight="1">
      <c r="A856" s="62">
        <v>8</v>
      </c>
      <c r="B856" s="59">
        <v>852</v>
      </c>
      <c r="AI856" t="e">
        <f t="shared" si="62"/>
        <v>#N/A</v>
      </c>
      <c r="AJ856" t="e">
        <f t="shared" si="63"/>
        <v>#N/A</v>
      </c>
      <c r="AK856" t="str">
        <f t="shared" si="64"/>
        <v/>
      </c>
    </row>
    <row r="857" spans="1:37" ht="15" customHeight="1">
      <c r="A857" s="62">
        <v>8</v>
      </c>
      <c r="B857" s="59">
        <v>853</v>
      </c>
      <c r="AI857" t="e">
        <f t="shared" si="62"/>
        <v>#N/A</v>
      </c>
      <c r="AJ857" t="e">
        <f t="shared" si="63"/>
        <v>#N/A</v>
      </c>
      <c r="AK857" t="str">
        <f t="shared" si="64"/>
        <v/>
      </c>
    </row>
    <row r="858" spans="1:37" ht="15" customHeight="1">
      <c r="A858" s="62">
        <v>8</v>
      </c>
      <c r="B858" s="59">
        <v>854</v>
      </c>
      <c r="AI858" t="e">
        <f t="shared" si="62"/>
        <v>#N/A</v>
      </c>
      <c r="AJ858" t="e">
        <f t="shared" si="63"/>
        <v>#N/A</v>
      </c>
      <c r="AK858" t="str">
        <f t="shared" si="64"/>
        <v/>
      </c>
    </row>
    <row r="859" spans="1:37" ht="15" customHeight="1">
      <c r="A859" s="62">
        <v>8</v>
      </c>
      <c r="B859" s="59">
        <v>855</v>
      </c>
      <c r="AI859" t="e">
        <f t="shared" si="62"/>
        <v>#N/A</v>
      </c>
      <c r="AJ859" t="e">
        <f t="shared" si="63"/>
        <v>#N/A</v>
      </c>
      <c r="AK859" t="str">
        <f t="shared" si="64"/>
        <v/>
      </c>
    </row>
    <row r="860" spans="1:37" ht="15" customHeight="1">
      <c r="A860" s="62">
        <v>8</v>
      </c>
      <c r="B860" s="59">
        <v>856</v>
      </c>
      <c r="AI860" t="e">
        <f t="shared" si="62"/>
        <v>#N/A</v>
      </c>
      <c r="AJ860" t="e">
        <f t="shared" si="63"/>
        <v>#N/A</v>
      </c>
      <c r="AK860" t="str">
        <f t="shared" si="64"/>
        <v/>
      </c>
    </row>
    <row r="861" spans="1:37" ht="15" customHeight="1">
      <c r="A861" s="62">
        <v>8</v>
      </c>
      <c r="B861" s="59">
        <v>857</v>
      </c>
      <c r="AI861" t="e">
        <f t="shared" si="62"/>
        <v>#N/A</v>
      </c>
      <c r="AJ861" t="e">
        <f t="shared" si="63"/>
        <v>#N/A</v>
      </c>
      <c r="AK861" t="str">
        <f t="shared" si="64"/>
        <v/>
      </c>
    </row>
    <row r="862" spans="1:37" ht="15" customHeight="1">
      <c r="A862" s="62">
        <v>8</v>
      </c>
      <c r="B862" s="59">
        <v>858</v>
      </c>
      <c r="AI862" t="e">
        <f t="shared" si="62"/>
        <v>#N/A</v>
      </c>
      <c r="AJ862" t="e">
        <f t="shared" si="63"/>
        <v>#N/A</v>
      </c>
      <c r="AK862" t="str">
        <f t="shared" si="64"/>
        <v/>
      </c>
    </row>
    <row r="863" spans="1:37" ht="15" customHeight="1">
      <c r="A863" s="62">
        <v>8</v>
      </c>
      <c r="B863" s="59">
        <v>859</v>
      </c>
      <c r="AI863" t="e">
        <f t="shared" si="62"/>
        <v>#N/A</v>
      </c>
      <c r="AJ863" t="e">
        <f t="shared" si="63"/>
        <v>#N/A</v>
      </c>
      <c r="AK863" t="str">
        <f t="shared" si="64"/>
        <v/>
      </c>
    </row>
    <row r="864" spans="1:37" ht="15" customHeight="1">
      <c r="A864" s="62">
        <v>8</v>
      </c>
      <c r="B864" s="59">
        <v>860</v>
      </c>
      <c r="AI864" t="e">
        <f t="shared" si="62"/>
        <v>#N/A</v>
      </c>
      <c r="AJ864" t="e">
        <f t="shared" si="63"/>
        <v>#N/A</v>
      </c>
      <c r="AK864" t="str">
        <f t="shared" si="64"/>
        <v/>
      </c>
    </row>
    <row r="865" spans="1:37" ht="15" customHeight="1">
      <c r="A865" s="62">
        <v>8</v>
      </c>
      <c r="B865" s="59">
        <v>861</v>
      </c>
      <c r="AI865" t="e">
        <f t="shared" si="62"/>
        <v>#N/A</v>
      </c>
      <c r="AJ865" t="e">
        <f t="shared" si="63"/>
        <v>#N/A</v>
      </c>
      <c r="AK865" t="str">
        <f t="shared" si="64"/>
        <v/>
      </c>
    </row>
    <row r="866" spans="1:37" ht="15" customHeight="1">
      <c r="A866" s="62">
        <v>8</v>
      </c>
      <c r="B866" s="59">
        <v>862</v>
      </c>
      <c r="AI866" t="e">
        <f t="shared" si="62"/>
        <v>#N/A</v>
      </c>
      <c r="AJ866" t="e">
        <f t="shared" si="63"/>
        <v>#N/A</v>
      </c>
      <c r="AK866" t="str">
        <f t="shared" si="64"/>
        <v/>
      </c>
    </row>
    <row r="867" spans="1:37" ht="15" customHeight="1">
      <c r="A867" s="62">
        <v>8</v>
      </c>
      <c r="B867" s="59">
        <v>863</v>
      </c>
      <c r="AI867" t="e">
        <f t="shared" si="62"/>
        <v>#N/A</v>
      </c>
      <c r="AJ867" t="e">
        <f t="shared" si="63"/>
        <v>#N/A</v>
      </c>
      <c r="AK867" t="str">
        <f t="shared" si="64"/>
        <v/>
      </c>
    </row>
    <row r="868" spans="1:37" ht="15" customHeight="1">
      <c r="A868" s="62">
        <v>8</v>
      </c>
      <c r="B868" s="59">
        <v>864</v>
      </c>
      <c r="AI868" t="e">
        <f t="shared" si="62"/>
        <v>#N/A</v>
      </c>
      <c r="AJ868" t="e">
        <f t="shared" si="63"/>
        <v>#N/A</v>
      </c>
      <c r="AK868" t="str">
        <f t="shared" si="64"/>
        <v/>
      </c>
    </row>
    <row r="869" spans="1:37" ht="15" customHeight="1">
      <c r="A869" s="62">
        <v>8</v>
      </c>
      <c r="B869" s="59">
        <v>865</v>
      </c>
      <c r="AI869" t="e">
        <f t="shared" si="62"/>
        <v>#N/A</v>
      </c>
      <c r="AJ869" t="e">
        <f t="shared" si="63"/>
        <v>#N/A</v>
      </c>
      <c r="AK869" t="str">
        <f t="shared" si="64"/>
        <v/>
      </c>
    </row>
    <row r="870" spans="1:37" ht="15" customHeight="1">
      <c r="A870" s="62">
        <v>8</v>
      </c>
      <c r="B870" s="59">
        <v>866</v>
      </c>
      <c r="AI870" t="e">
        <f t="shared" si="62"/>
        <v>#N/A</v>
      </c>
      <c r="AJ870" t="e">
        <f t="shared" si="63"/>
        <v>#N/A</v>
      </c>
      <c r="AK870" t="str">
        <f t="shared" si="64"/>
        <v/>
      </c>
    </row>
    <row r="871" spans="1:37" ht="15" customHeight="1">
      <c r="A871" s="62">
        <v>8</v>
      </c>
      <c r="B871" s="59">
        <v>867</v>
      </c>
      <c r="AI871" t="e">
        <f t="shared" si="62"/>
        <v>#N/A</v>
      </c>
      <c r="AJ871" t="e">
        <f t="shared" si="63"/>
        <v>#N/A</v>
      </c>
      <c r="AK871" t="str">
        <f t="shared" si="64"/>
        <v/>
      </c>
    </row>
    <row r="872" spans="1:37" ht="15" customHeight="1">
      <c r="A872" s="62">
        <v>8</v>
      </c>
      <c r="B872" s="59">
        <v>868</v>
      </c>
      <c r="AI872" t="e">
        <f t="shared" si="62"/>
        <v>#N/A</v>
      </c>
      <c r="AJ872" t="e">
        <f t="shared" si="63"/>
        <v>#N/A</v>
      </c>
      <c r="AK872" t="str">
        <f t="shared" si="64"/>
        <v/>
      </c>
    </row>
    <row r="873" spans="1:37" ht="15" customHeight="1">
      <c r="A873" s="62">
        <v>8</v>
      </c>
      <c r="B873" s="59">
        <v>869</v>
      </c>
      <c r="AI873" t="e">
        <f t="shared" si="62"/>
        <v>#N/A</v>
      </c>
      <c r="AJ873" t="e">
        <f t="shared" si="63"/>
        <v>#N/A</v>
      </c>
      <c r="AK873" t="str">
        <f t="shared" si="64"/>
        <v/>
      </c>
    </row>
    <row r="874" spans="1:37" ht="15" customHeight="1">
      <c r="A874" s="62">
        <v>8</v>
      </c>
      <c r="B874" s="59">
        <v>870</v>
      </c>
      <c r="AI874" t="e">
        <f t="shared" si="62"/>
        <v>#N/A</v>
      </c>
      <c r="AJ874" t="e">
        <f t="shared" si="63"/>
        <v>#N/A</v>
      </c>
      <c r="AK874" t="str">
        <f t="shared" si="64"/>
        <v/>
      </c>
    </row>
    <row r="875" spans="1:37" ht="15" customHeight="1">
      <c r="A875" s="62">
        <v>8</v>
      </c>
      <c r="B875" s="59">
        <v>871</v>
      </c>
      <c r="AI875" t="e">
        <f t="shared" si="62"/>
        <v>#N/A</v>
      </c>
      <c r="AJ875" t="e">
        <f t="shared" si="63"/>
        <v>#N/A</v>
      </c>
      <c r="AK875" t="str">
        <f t="shared" si="64"/>
        <v/>
      </c>
    </row>
    <row r="876" spans="1:37" ht="15" customHeight="1">
      <c r="A876" s="62">
        <v>8</v>
      </c>
      <c r="B876" s="59">
        <v>872</v>
      </c>
      <c r="AI876" t="e">
        <f t="shared" si="62"/>
        <v>#N/A</v>
      </c>
      <c r="AJ876" t="e">
        <f t="shared" si="63"/>
        <v>#N/A</v>
      </c>
      <c r="AK876" t="str">
        <f t="shared" si="64"/>
        <v/>
      </c>
    </row>
    <row r="877" spans="1:37" ht="15" customHeight="1">
      <c r="A877" s="62">
        <v>8</v>
      </c>
      <c r="B877" s="59">
        <v>873</v>
      </c>
      <c r="AI877" t="e">
        <f t="shared" si="62"/>
        <v>#N/A</v>
      </c>
      <c r="AJ877" t="e">
        <f t="shared" si="63"/>
        <v>#N/A</v>
      </c>
      <c r="AK877" t="str">
        <f t="shared" si="64"/>
        <v/>
      </c>
    </row>
    <row r="878" spans="1:37" ht="15" customHeight="1">
      <c r="A878" s="62">
        <v>8</v>
      </c>
      <c r="B878" s="59">
        <v>874</v>
      </c>
      <c r="AI878" t="e">
        <f t="shared" si="62"/>
        <v>#N/A</v>
      </c>
      <c r="AJ878" t="e">
        <f t="shared" si="63"/>
        <v>#N/A</v>
      </c>
      <c r="AK878" t="str">
        <f t="shared" si="64"/>
        <v/>
      </c>
    </row>
    <row r="879" spans="1:37" ht="15" customHeight="1">
      <c r="A879" s="62">
        <v>8</v>
      </c>
      <c r="B879" s="59">
        <v>875</v>
      </c>
      <c r="AI879" t="e">
        <f t="shared" si="62"/>
        <v>#N/A</v>
      </c>
      <c r="AJ879" t="e">
        <f t="shared" si="63"/>
        <v>#N/A</v>
      </c>
      <c r="AK879" t="str">
        <f t="shared" si="64"/>
        <v/>
      </c>
    </row>
    <row r="880" spans="1:37" ht="15" customHeight="1">
      <c r="A880" s="62">
        <v>8</v>
      </c>
      <c r="B880" s="59">
        <v>876</v>
      </c>
      <c r="AI880" t="e">
        <f t="shared" si="62"/>
        <v>#N/A</v>
      </c>
      <c r="AJ880" t="e">
        <f t="shared" si="63"/>
        <v>#N/A</v>
      </c>
      <c r="AK880" t="str">
        <f t="shared" si="64"/>
        <v/>
      </c>
    </row>
    <row r="881" spans="1:37" ht="15" customHeight="1">
      <c r="A881" s="62">
        <v>8</v>
      </c>
      <c r="B881" s="59">
        <v>877</v>
      </c>
      <c r="AI881" t="e">
        <f t="shared" si="62"/>
        <v>#N/A</v>
      </c>
      <c r="AJ881" t="e">
        <f t="shared" si="63"/>
        <v>#N/A</v>
      </c>
      <c r="AK881" t="str">
        <f t="shared" si="64"/>
        <v/>
      </c>
    </row>
    <row r="882" spans="1:37" ht="15" customHeight="1">
      <c r="A882" s="62">
        <v>8</v>
      </c>
      <c r="B882" s="59">
        <v>878</v>
      </c>
      <c r="AI882" t="e">
        <f t="shared" si="62"/>
        <v>#N/A</v>
      </c>
      <c r="AJ882" t="e">
        <f t="shared" si="63"/>
        <v>#N/A</v>
      </c>
      <c r="AK882" t="str">
        <f t="shared" si="64"/>
        <v/>
      </c>
    </row>
    <row r="883" spans="1:37" ht="15" customHeight="1">
      <c r="A883" s="62">
        <v>8</v>
      </c>
      <c r="B883" s="59">
        <v>879</v>
      </c>
      <c r="AI883" t="e">
        <f t="shared" si="62"/>
        <v>#N/A</v>
      </c>
      <c r="AJ883" t="e">
        <f t="shared" si="63"/>
        <v>#N/A</v>
      </c>
      <c r="AK883" t="str">
        <f t="shared" si="64"/>
        <v/>
      </c>
    </row>
    <row r="884" spans="1:37" ht="15" customHeight="1">
      <c r="A884" s="62">
        <v>8</v>
      </c>
      <c r="B884" s="59">
        <v>880</v>
      </c>
      <c r="AI884" t="e">
        <f t="shared" si="62"/>
        <v>#N/A</v>
      </c>
      <c r="AJ884" t="e">
        <f t="shared" si="63"/>
        <v>#N/A</v>
      </c>
      <c r="AK884" t="str">
        <f t="shared" si="64"/>
        <v/>
      </c>
    </row>
    <row r="885" spans="1:37" ht="15" customHeight="1">
      <c r="A885" s="62">
        <v>8</v>
      </c>
      <c r="B885" s="59">
        <v>881</v>
      </c>
      <c r="AI885" t="e">
        <f t="shared" si="62"/>
        <v>#N/A</v>
      </c>
      <c r="AJ885" t="e">
        <f t="shared" si="63"/>
        <v>#N/A</v>
      </c>
      <c r="AK885" t="str">
        <f t="shared" si="64"/>
        <v/>
      </c>
    </row>
    <row r="886" spans="1:37" ht="15" customHeight="1">
      <c r="A886" s="62">
        <v>8</v>
      </c>
      <c r="B886" s="59">
        <v>882</v>
      </c>
      <c r="AI886" t="e">
        <f t="shared" si="62"/>
        <v>#N/A</v>
      </c>
      <c r="AJ886" t="e">
        <f t="shared" si="63"/>
        <v>#N/A</v>
      </c>
      <c r="AK886" t="str">
        <f t="shared" si="64"/>
        <v/>
      </c>
    </row>
    <row r="887" spans="1:37" ht="15" customHeight="1">
      <c r="A887" s="62">
        <v>8</v>
      </c>
      <c r="B887" s="59">
        <v>883</v>
      </c>
      <c r="AI887" t="e">
        <f t="shared" si="62"/>
        <v>#N/A</v>
      </c>
      <c r="AJ887" t="e">
        <f t="shared" si="63"/>
        <v>#N/A</v>
      </c>
      <c r="AK887" t="str">
        <f t="shared" si="64"/>
        <v/>
      </c>
    </row>
    <row r="888" spans="1:37" ht="15" customHeight="1">
      <c r="A888" s="62">
        <v>8</v>
      </c>
      <c r="B888" s="59">
        <v>884</v>
      </c>
      <c r="AI888" t="e">
        <f t="shared" si="62"/>
        <v>#N/A</v>
      </c>
      <c r="AJ888" t="e">
        <f t="shared" si="63"/>
        <v>#N/A</v>
      </c>
      <c r="AK888" t="str">
        <f t="shared" si="64"/>
        <v/>
      </c>
    </row>
    <row r="889" spans="1:37" ht="15" customHeight="1">
      <c r="A889" s="62">
        <v>8</v>
      </c>
      <c r="B889" s="59">
        <v>885</v>
      </c>
      <c r="AI889" t="e">
        <f t="shared" si="62"/>
        <v>#N/A</v>
      </c>
      <c r="AJ889" t="e">
        <f t="shared" si="63"/>
        <v>#N/A</v>
      </c>
      <c r="AK889" t="str">
        <f t="shared" si="64"/>
        <v/>
      </c>
    </row>
    <row r="890" spans="1:37" ht="15" customHeight="1">
      <c r="A890" s="62">
        <v>8</v>
      </c>
      <c r="B890" s="59">
        <v>886</v>
      </c>
      <c r="AI890" t="e">
        <f t="shared" si="62"/>
        <v>#N/A</v>
      </c>
      <c r="AJ890" t="e">
        <f t="shared" si="63"/>
        <v>#N/A</v>
      </c>
      <c r="AK890" t="str">
        <f t="shared" si="64"/>
        <v/>
      </c>
    </row>
    <row r="891" spans="1:37" ht="15" customHeight="1">
      <c r="A891" s="62">
        <v>8</v>
      </c>
      <c r="B891" s="59">
        <v>887</v>
      </c>
      <c r="AI891" t="e">
        <f t="shared" si="62"/>
        <v>#N/A</v>
      </c>
      <c r="AJ891" t="e">
        <f t="shared" si="63"/>
        <v>#N/A</v>
      </c>
      <c r="AK891" t="str">
        <f t="shared" si="64"/>
        <v/>
      </c>
    </row>
    <row r="892" spans="1:37" ht="15" customHeight="1">
      <c r="A892" s="62">
        <v>8</v>
      </c>
      <c r="B892" s="59">
        <v>888</v>
      </c>
      <c r="AI892" t="e">
        <f t="shared" si="62"/>
        <v>#N/A</v>
      </c>
      <c r="AJ892" t="e">
        <f t="shared" si="63"/>
        <v>#N/A</v>
      </c>
      <c r="AK892" t="str">
        <f t="shared" si="64"/>
        <v/>
      </c>
    </row>
    <row r="893" spans="1:37" ht="15" customHeight="1">
      <c r="A893" s="62">
        <v>8</v>
      </c>
      <c r="B893" s="59">
        <v>889</v>
      </c>
      <c r="AI893" t="e">
        <f t="shared" si="62"/>
        <v>#N/A</v>
      </c>
      <c r="AJ893" t="e">
        <f t="shared" si="63"/>
        <v>#N/A</v>
      </c>
      <c r="AK893" t="str">
        <f t="shared" si="64"/>
        <v/>
      </c>
    </row>
    <row r="894" spans="1:37" ht="15" customHeight="1">
      <c r="A894" s="62">
        <v>8</v>
      </c>
      <c r="B894" s="59">
        <v>890</v>
      </c>
      <c r="AI894" t="e">
        <f t="shared" si="62"/>
        <v>#N/A</v>
      </c>
      <c r="AJ894" t="e">
        <f t="shared" si="63"/>
        <v>#N/A</v>
      </c>
      <c r="AK894" t="str">
        <f t="shared" si="64"/>
        <v/>
      </c>
    </row>
    <row r="895" spans="1:37" ht="15" customHeight="1">
      <c r="A895" s="62">
        <v>8</v>
      </c>
      <c r="B895" s="59">
        <v>891</v>
      </c>
      <c r="AI895" t="e">
        <f t="shared" si="62"/>
        <v>#N/A</v>
      </c>
      <c r="AJ895" t="e">
        <f t="shared" si="63"/>
        <v>#N/A</v>
      </c>
      <c r="AK895" t="str">
        <f t="shared" si="64"/>
        <v/>
      </c>
    </row>
    <row r="896" spans="1:37" ht="15" customHeight="1">
      <c r="A896" s="62">
        <v>8</v>
      </c>
      <c r="B896" s="59">
        <v>892</v>
      </c>
      <c r="AI896" t="e">
        <f t="shared" si="62"/>
        <v>#N/A</v>
      </c>
      <c r="AJ896" t="e">
        <f t="shared" si="63"/>
        <v>#N/A</v>
      </c>
      <c r="AK896" t="str">
        <f t="shared" si="64"/>
        <v/>
      </c>
    </row>
    <row r="897" spans="1:37" ht="15" customHeight="1">
      <c r="A897" s="62">
        <v>8</v>
      </c>
      <c r="B897" s="59">
        <v>893</v>
      </c>
      <c r="AI897" t="e">
        <f t="shared" si="62"/>
        <v>#N/A</v>
      </c>
      <c r="AJ897" t="e">
        <f t="shared" si="63"/>
        <v>#N/A</v>
      </c>
      <c r="AK897" t="str">
        <f t="shared" si="64"/>
        <v/>
      </c>
    </row>
    <row r="898" spans="1:37" ht="15" customHeight="1">
      <c r="A898" s="62">
        <v>8</v>
      </c>
      <c r="B898" s="59">
        <v>894</v>
      </c>
      <c r="AI898" t="e">
        <f t="shared" ref="AI898:AI941" si="65">IF(AND($E898=Subj_OccCode,Subj_BldgSF&gt;0,ABS($L898-Subj_BldgSF)&lt;=Subj_BldgSF*Subj_SizeTol),ABS($L898-Subj_BldgSF),NA())</f>
        <v>#N/A</v>
      </c>
      <c r="AJ898" t="e">
        <f t="shared" ref="AJ898:AJ941" si="66">IF(ISNA(AI898),NA(),AI898+ROW()/10000000)</f>
        <v>#N/A</v>
      </c>
      <c r="AK898" t="str">
        <f t="shared" si="64"/>
        <v/>
      </c>
    </row>
    <row r="899" spans="1:37" ht="15" customHeight="1">
      <c r="A899" s="62">
        <v>8</v>
      </c>
      <c r="B899" s="59">
        <v>895</v>
      </c>
      <c r="AI899" t="e">
        <f t="shared" si="65"/>
        <v>#N/A</v>
      </c>
      <c r="AJ899" t="e">
        <f t="shared" si="66"/>
        <v>#N/A</v>
      </c>
      <c r="AK899" t="str">
        <f t="shared" si="64"/>
        <v/>
      </c>
    </row>
    <row r="900" spans="1:37" ht="15" customHeight="1">
      <c r="A900" s="62">
        <v>8</v>
      </c>
      <c r="B900" s="59">
        <v>896</v>
      </c>
      <c r="AI900" t="e">
        <f t="shared" si="65"/>
        <v>#N/A</v>
      </c>
      <c r="AJ900" t="e">
        <f t="shared" si="66"/>
        <v>#N/A</v>
      </c>
      <c r="AK900" t="str">
        <f t="shared" si="64"/>
        <v/>
      </c>
    </row>
    <row r="901" spans="1:37" ht="15" customHeight="1">
      <c r="A901" s="62">
        <v>8</v>
      </c>
      <c r="B901" s="59">
        <v>897</v>
      </c>
      <c r="AI901" t="e">
        <f t="shared" si="65"/>
        <v>#N/A</v>
      </c>
      <c r="AJ901" t="e">
        <f t="shared" si="66"/>
        <v>#N/A</v>
      </c>
      <c r="AK901" t="str">
        <f t="shared" si="64"/>
        <v/>
      </c>
    </row>
    <row r="902" spans="1:37" ht="15" customHeight="1">
      <c r="A902" s="62">
        <v>8</v>
      </c>
      <c r="B902" s="59">
        <v>898</v>
      </c>
      <c r="AI902" t="e">
        <f t="shared" si="65"/>
        <v>#N/A</v>
      </c>
      <c r="AJ902" t="e">
        <f t="shared" si="66"/>
        <v>#N/A</v>
      </c>
      <c r="AK902" t="str">
        <f t="shared" si="64"/>
        <v/>
      </c>
    </row>
    <row r="903" spans="1:37" ht="15" customHeight="1">
      <c r="A903" s="62">
        <v>8</v>
      </c>
      <c r="B903" s="59">
        <v>899</v>
      </c>
      <c r="AI903" t="e">
        <f t="shared" si="65"/>
        <v>#N/A</v>
      </c>
      <c r="AJ903" t="e">
        <f t="shared" si="66"/>
        <v>#N/A</v>
      </c>
      <c r="AK903" t="str">
        <f t="shared" si="64"/>
        <v/>
      </c>
    </row>
    <row r="904" spans="1:37" ht="15" customHeight="1">
      <c r="A904" s="62">
        <v>8</v>
      </c>
      <c r="B904" s="59">
        <v>900</v>
      </c>
      <c r="AI904" t="e">
        <f t="shared" si="65"/>
        <v>#N/A</v>
      </c>
      <c r="AJ904" t="e">
        <f t="shared" si="66"/>
        <v>#N/A</v>
      </c>
      <c r="AK904" t="str">
        <f t="shared" si="64"/>
        <v/>
      </c>
    </row>
    <row r="905" spans="1:37" ht="15" customHeight="1">
      <c r="A905" s="62">
        <v>8</v>
      </c>
      <c r="B905" s="59">
        <v>901</v>
      </c>
      <c r="AI905" t="e">
        <f t="shared" si="65"/>
        <v>#N/A</v>
      </c>
      <c r="AJ905" t="e">
        <f t="shared" si="66"/>
        <v>#N/A</v>
      </c>
      <c r="AK905" t="str">
        <f t="shared" ref="AK905:AK941" si="67">IF(AND(ISNUMBER($N905),$N905&gt;0,ISNUMBER($Y905)),$Y905/$N905,"")</f>
        <v/>
      </c>
    </row>
    <row r="906" spans="1:37" ht="15" customHeight="1">
      <c r="A906" s="62">
        <v>8</v>
      </c>
      <c r="B906" s="59">
        <v>902</v>
      </c>
      <c r="AI906" t="e">
        <f t="shared" si="65"/>
        <v>#N/A</v>
      </c>
      <c r="AJ906" t="e">
        <f t="shared" si="66"/>
        <v>#N/A</v>
      </c>
      <c r="AK906" t="str">
        <f t="shared" si="67"/>
        <v/>
      </c>
    </row>
    <row r="907" spans="1:37" ht="15" customHeight="1">
      <c r="A907" s="62">
        <v>8</v>
      </c>
      <c r="B907" s="59">
        <v>903</v>
      </c>
      <c r="AI907" t="e">
        <f t="shared" si="65"/>
        <v>#N/A</v>
      </c>
      <c r="AJ907" t="e">
        <f t="shared" si="66"/>
        <v>#N/A</v>
      </c>
      <c r="AK907" t="str">
        <f t="shared" si="67"/>
        <v/>
      </c>
    </row>
    <row r="908" spans="1:37" ht="15" customHeight="1">
      <c r="A908" s="62">
        <v>8</v>
      </c>
      <c r="B908" s="59">
        <v>904</v>
      </c>
      <c r="AI908" t="e">
        <f t="shared" si="65"/>
        <v>#N/A</v>
      </c>
      <c r="AJ908" t="e">
        <f t="shared" si="66"/>
        <v>#N/A</v>
      </c>
      <c r="AK908" t="str">
        <f t="shared" si="67"/>
        <v/>
      </c>
    </row>
    <row r="909" spans="1:37" ht="15" customHeight="1">
      <c r="A909" s="62">
        <v>8</v>
      </c>
      <c r="B909" s="59">
        <v>905</v>
      </c>
      <c r="AI909" t="e">
        <f t="shared" si="65"/>
        <v>#N/A</v>
      </c>
      <c r="AJ909" t="e">
        <f t="shared" si="66"/>
        <v>#N/A</v>
      </c>
      <c r="AK909" t="str">
        <f t="shared" si="67"/>
        <v/>
      </c>
    </row>
    <row r="910" spans="1:37" ht="15" customHeight="1">
      <c r="A910" s="62">
        <v>8</v>
      </c>
      <c r="B910" s="59">
        <v>906</v>
      </c>
      <c r="AI910" t="e">
        <f t="shared" si="65"/>
        <v>#N/A</v>
      </c>
      <c r="AJ910" t="e">
        <f t="shared" si="66"/>
        <v>#N/A</v>
      </c>
      <c r="AK910" t="str">
        <f t="shared" si="67"/>
        <v/>
      </c>
    </row>
    <row r="911" spans="1:37" ht="15" customHeight="1">
      <c r="A911" s="62">
        <v>8</v>
      </c>
      <c r="B911" s="59">
        <v>907</v>
      </c>
      <c r="AI911" t="e">
        <f t="shared" si="65"/>
        <v>#N/A</v>
      </c>
      <c r="AJ911" t="e">
        <f t="shared" si="66"/>
        <v>#N/A</v>
      </c>
      <c r="AK911" t="str">
        <f t="shared" si="67"/>
        <v/>
      </c>
    </row>
    <row r="912" spans="1:37" ht="15" customHeight="1">
      <c r="A912" s="62">
        <v>8</v>
      </c>
      <c r="B912" s="59">
        <v>908</v>
      </c>
      <c r="AI912" t="e">
        <f t="shared" si="65"/>
        <v>#N/A</v>
      </c>
      <c r="AJ912" t="e">
        <f t="shared" si="66"/>
        <v>#N/A</v>
      </c>
      <c r="AK912" t="str">
        <f t="shared" si="67"/>
        <v/>
      </c>
    </row>
    <row r="913" spans="1:37" ht="15" customHeight="1">
      <c r="A913" s="62">
        <v>8</v>
      </c>
      <c r="B913" s="59">
        <v>909</v>
      </c>
      <c r="AI913" t="e">
        <f t="shared" si="65"/>
        <v>#N/A</v>
      </c>
      <c r="AJ913" t="e">
        <f t="shared" si="66"/>
        <v>#N/A</v>
      </c>
      <c r="AK913" t="str">
        <f t="shared" si="67"/>
        <v/>
      </c>
    </row>
    <row r="914" spans="1:37" ht="15" customHeight="1">
      <c r="A914" s="62">
        <v>8</v>
      </c>
      <c r="B914" s="59">
        <v>910</v>
      </c>
      <c r="AI914" t="e">
        <f t="shared" si="65"/>
        <v>#N/A</v>
      </c>
      <c r="AJ914" t="e">
        <f t="shared" si="66"/>
        <v>#N/A</v>
      </c>
      <c r="AK914" t="str">
        <f t="shared" si="67"/>
        <v/>
      </c>
    </row>
    <row r="915" spans="1:37" ht="15" customHeight="1">
      <c r="A915" s="62">
        <v>8</v>
      </c>
      <c r="B915" s="59">
        <v>911</v>
      </c>
      <c r="AI915" t="e">
        <f t="shared" si="65"/>
        <v>#N/A</v>
      </c>
      <c r="AJ915" t="e">
        <f t="shared" si="66"/>
        <v>#N/A</v>
      </c>
      <c r="AK915" t="str">
        <f t="shared" si="67"/>
        <v/>
      </c>
    </row>
    <row r="916" spans="1:37" ht="15" customHeight="1">
      <c r="A916" s="62">
        <v>8</v>
      </c>
      <c r="B916" s="59">
        <v>912</v>
      </c>
      <c r="AI916" t="e">
        <f t="shared" si="65"/>
        <v>#N/A</v>
      </c>
      <c r="AJ916" t="e">
        <f t="shared" si="66"/>
        <v>#N/A</v>
      </c>
      <c r="AK916" t="str">
        <f t="shared" si="67"/>
        <v/>
      </c>
    </row>
    <row r="917" spans="1:37" ht="15" customHeight="1">
      <c r="A917" s="62">
        <v>8</v>
      </c>
      <c r="B917" s="59">
        <v>913</v>
      </c>
      <c r="AI917" t="e">
        <f t="shared" si="65"/>
        <v>#N/A</v>
      </c>
      <c r="AJ917" t="e">
        <f t="shared" si="66"/>
        <v>#N/A</v>
      </c>
      <c r="AK917" t="str">
        <f t="shared" si="67"/>
        <v/>
      </c>
    </row>
    <row r="918" spans="1:37" ht="15" customHeight="1">
      <c r="A918" s="62">
        <v>8</v>
      </c>
      <c r="B918" s="59">
        <v>914</v>
      </c>
      <c r="AI918" t="e">
        <f t="shared" si="65"/>
        <v>#N/A</v>
      </c>
      <c r="AJ918" t="e">
        <f t="shared" si="66"/>
        <v>#N/A</v>
      </c>
      <c r="AK918" t="str">
        <f t="shared" si="67"/>
        <v/>
      </c>
    </row>
    <row r="919" spans="1:37" ht="15" customHeight="1">
      <c r="A919" s="62">
        <v>8</v>
      </c>
      <c r="B919" s="59">
        <v>915</v>
      </c>
      <c r="AI919" t="e">
        <f t="shared" si="65"/>
        <v>#N/A</v>
      </c>
      <c r="AJ919" t="e">
        <f t="shared" si="66"/>
        <v>#N/A</v>
      </c>
      <c r="AK919" t="str">
        <f t="shared" si="67"/>
        <v/>
      </c>
    </row>
    <row r="920" spans="1:37" ht="15" customHeight="1">
      <c r="A920" s="62">
        <v>8</v>
      </c>
      <c r="B920" s="59">
        <v>916</v>
      </c>
      <c r="AI920" t="e">
        <f t="shared" si="65"/>
        <v>#N/A</v>
      </c>
      <c r="AJ920" t="e">
        <f t="shared" si="66"/>
        <v>#N/A</v>
      </c>
      <c r="AK920" t="str">
        <f t="shared" si="67"/>
        <v/>
      </c>
    </row>
    <row r="921" spans="1:37" ht="15" customHeight="1">
      <c r="A921" s="62">
        <v>8</v>
      </c>
      <c r="B921" s="59">
        <v>917</v>
      </c>
      <c r="AI921" t="e">
        <f t="shared" si="65"/>
        <v>#N/A</v>
      </c>
      <c r="AJ921" t="e">
        <f t="shared" si="66"/>
        <v>#N/A</v>
      </c>
      <c r="AK921" t="str">
        <f t="shared" si="67"/>
        <v/>
      </c>
    </row>
    <row r="922" spans="1:37" ht="15" customHeight="1">
      <c r="A922" s="62">
        <v>8</v>
      </c>
      <c r="B922" s="59">
        <v>918</v>
      </c>
      <c r="AI922" t="e">
        <f t="shared" si="65"/>
        <v>#N/A</v>
      </c>
      <c r="AJ922" t="e">
        <f t="shared" si="66"/>
        <v>#N/A</v>
      </c>
      <c r="AK922" t="str">
        <f t="shared" si="67"/>
        <v/>
      </c>
    </row>
    <row r="923" spans="1:37" ht="15" customHeight="1">
      <c r="A923" s="62">
        <v>8</v>
      </c>
      <c r="B923" s="59">
        <v>919</v>
      </c>
      <c r="AI923" t="e">
        <f t="shared" si="65"/>
        <v>#N/A</v>
      </c>
      <c r="AJ923" t="e">
        <f t="shared" si="66"/>
        <v>#N/A</v>
      </c>
      <c r="AK923" t="str">
        <f t="shared" si="67"/>
        <v/>
      </c>
    </row>
    <row r="924" spans="1:37" ht="15" customHeight="1">
      <c r="A924" s="62">
        <v>8</v>
      </c>
      <c r="B924" s="59">
        <v>920</v>
      </c>
      <c r="AI924" t="e">
        <f t="shared" si="65"/>
        <v>#N/A</v>
      </c>
      <c r="AJ924" t="e">
        <f t="shared" si="66"/>
        <v>#N/A</v>
      </c>
      <c r="AK924" t="str">
        <f t="shared" si="67"/>
        <v/>
      </c>
    </row>
    <row r="925" spans="1:37" ht="15" customHeight="1">
      <c r="A925" s="62">
        <v>8</v>
      </c>
      <c r="B925" s="59">
        <v>921</v>
      </c>
      <c r="AI925" t="e">
        <f t="shared" si="65"/>
        <v>#N/A</v>
      </c>
      <c r="AJ925" t="e">
        <f t="shared" si="66"/>
        <v>#N/A</v>
      </c>
      <c r="AK925" t="str">
        <f t="shared" si="67"/>
        <v/>
      </c>
    </row>
    <row r="926" spans="1:37" ht="15" customHeight="1">
      <c r="A926" s="62">
        <v>8</v>
      </c>
      <c r="B926" s="59">
        <v>922</v>
      </c>
      <c r="AI926" t="e">
        <f t="shared" si="65"/>
        <v>#N/A</v>
      </c>
      <c r="AJ926" t="e">
        <f t="shared" si="66"/>
        <v>#N/A</v>
      </c>
      <c r="AK926" t="str">
        <f t="shared" si="67"/>
        <v/>
      </c>
    </row>
    <row r="927" spans="1:37" ht="15" customHeight="1">
      <c r="A927" s="62">
        <v>8</v>
      </c>
      <c r="B927" s="59">
        <v>923</v>
      </c>
      <c r="AI927" t="e">
        <f t="shared" si="65"/>
        <v>#N/A</v>
      </c>
      <c r="AJ927" t="e">
        <f t="shared" si="66"/>
        <v>#N/A</v>
      </c>
      <c r="AK927" t="str">
        <f t="shared" si="67"/>
        <v/>
      </c>
    </row>
    <row r="928" spans="1:37" ht="15" customHeight="1">
      <c r="A928" s="62">
        <v>8</v>
      </c>
      <c r="B928" s="59">
        <v>924</v>
      </c>
      <c r="AI928" t="e">
        <f t="shared" si="65"/>
        <v>#N/A</v>
      </c>
      <c r="AJ928" t="e">
        <f t="shared" si="66"/>
        <v>#N/A</v>
      </c>
      <c r="AK928" t="str">
        <f t="shared" si="67"/>
        <v/>
      </c>
    </row>
    <row r="929" spans="1:37" ht="15" customHeight="1">
      <c r="A929" s="62">
        <v>8</v>
      </c>
      <c r="B929" s="59">
        <v>925</v>
      </c>
      <c r="AI929" t="e">
        <f t="shared" si="65"/>
        <v>#N/A</v>
      </c>
      <c r="AJ929" t="e">
        <f t="shared" si="66"/>
        <v>#N/A</v>
      </c>
      <c r="AK929" t="str">
        <f t="shared" si="67"/>
        <v/>
      </c>
    </row>
    <row r="930" spans="1:37" ht="15" customHeight="1">
      <c r="A930" s="62">
        <v>8</v>
      </c>
      <c r="B930" s="59">
        <v>926</v>
      </c>
      <c r="AI930" t="e">
        <f t="shared" si="65"/>
        <v>#N/A</v>
      </c>
      <c r="AJ930" t="e">
        <f t="shared" si="66"/>
        <v>#N/A</v>
      </c>
      <c r="AK930" t="str">
        <f t="shared" si="67"/>
        <v/>
      </c>
    </row>
    <row r="931" spans="1:37" ht="15" customHeight="1">
      <c r="A931" s="62">
        <v>8</v>
      </c>
      <c r="B931" s="59">
        <v>927</v>
      </c>
      <c r="AI931" t="e">
        <f t="shared" si="65"/>
        <v>#N/A</v>
      </c>
      <c r="AJ931" t="e">
        <f t="shared" si="66"/>
        <v>#N/A</v>
      </c>
      <c r="AK931" t="str">
        <f t="shared" si="67"/>
        <v/>
      </c>
    </row>
    <row r="932" spans="1:37" ht="15" customHeight="1">
      <c r="A932" s="62">
        <v>8</v>
      </c>
      <c r="B932" s="59">
        <v>928</v>
      </c>
      <c r="AI932" t="e">
        <f t="shared" si="65"/>
        <v>#N/A</v>
      </c>
      <c r="AJ932" t="e">
        <f t="shared" si="66"/>
        <v>#N/A</v>
      </c>
      <c r="AK932" t="str">
        <f t="shared" si="67"/>
        <v/>
      </c>
    </row>
    <row r="933" spans="1:37" ht="15" customHeight="1">
      <c r="A933" s="62">
        <v>8</v>
      </c>
      <c r="B933" s="59">
        <v>929</v>
      </c>
      <c r="AI933" t="e">
        <f t="shared" si="65"/>
        <v>#N/A</v>
      </c>
      <c r="AJ933" t="e">
        <f t="shared" si="66"/>
        <v>#N/A</v>
      </c>
      <c r="AK933" t="str">
        <f t="shared" si="67"/>
        <v/>
      </c>
    </row>
    <row r="934" spans="1:37" ht="15" customHeight="1">
      <c r="A934" s="62">
        <v>8</v>
      </c>
      <c r="B934" s="59">
        <v>930</v>
      </c>
      <c r="AI934" t="e">
        <f t="shared" si="65"/>
        <v>#N/A</v>
      </c>
      <c r="AJ934" t="e">
        <f t="shared" si="66"/>
        <v>#N/A</v>
      </c>
      <c r="AK934" t="str">
        <f t="shared" si="67"/>
        <v/>
      </c>
    </row>
    <row r="935" spans="1:37" ht="15" customHeight="1">
      <c r="A935" s="62">
        <v>8</v>
      </c>
      <c r="B935" s="59">
        <v>931</v>
      </c>
      <c r="AI935" t="e">
        <f t="shared" si="65"/>
        <v>#N/A</v>
      </c>
      <c r="AJ935" t="e">
        <f t="shared" si="66"/>
        <v>#N/A</v>
      </c>
      <c r="AK935" t="str">
        <f t="shared" si="67"/>
        <v/>
      </c>
    </row>
    <row r="936" spans="1:37" ht="15" customHeight="1">
      <c r="A936" s="62">
        <v>8</v>
      </c>
      <c r="B936" s="59">
        <v>932</v>
      </c>
      <c r="AI936" t="e">
        <f t="shared" si="65"/>
        <v>#N/A</v>
      </c>
      <c r="AJ936" t="e">
        <f t="shared" si="66"/>
        <v>#N/A</v>
      </c>
      <c r="AK936" t="str">
        <f t="shared" si="67"/>
        <v/>
      </c>
    </row>
    <row r="937" spans="1:37" ht="15" customHeight="1">
      <c r="A937" s="62">
        <v>8</v>
      </c>
      <c r="B937" s="59">
        <v>933</v>
      </c>
      <c r="AI937" t="e">
        <f t="shared" si="65"/>
        <v>#N/A</v>
      </c>
      <c r="AJ937" t="e">
        <f t="shared" si="66"/>
        <v>#N/A</v>
      </c>
      <c r="AK937" t="str">
        <f t="shared" si="67"/>
        <v/>
      </c>
    </row>
    <row r="938" spans="1:37" ht="15" customHeight="1">
      <c r="A938" s="62">
        <v>8</v>
      </c>
      <c r="B938" s="59">
        <v>934</v>
      </c>
      <c r="AI938" t="e">
        <f t="shared" si="65"/>
        <v>#N/A</v>
      </c>
      <c r="AJ938" t="e">
        <f t="shared" si="66"/>
        <v>#N/A</v>
      </c>
      <c r="AK938" t="str">
        <f t="shared" si="67"/>
        <v/>
      </c>
    </row>
    <row r="939" spans="1:37" ht="15" customHeight="1">
      <c r="A939" s="62">
        <v>8</v>
      </c>
      <c r="B939" s="59">
        <v>935</v>
      </c>
      <c r="AI939" t="e">
        <f t="shared" si="65"/>
        <v>#N/A</v>
      </c>
      <c r="AJ939" t="e">
        <f t="shared" si="66"/>
        <v>#N/A</v>
      </c>
      <c r="AK939" t="str">
        <f t="shared" si="67"/>
        <v/>
      </c>
    </row>
    <row r="940" spans="1:37" ht="15" customHeight="1">
      <c r="A940" s="62">
        <v>8</v>
      </c>
      <c r="B940" s="59">
        <v>936</v>
      </c>
      <c r="AI940" t="e">
        <f t="shared" si="65"/>
        <v>#N/A</v>
      </c>
      <c r="AJ940" t="e">
        <f t="shared" si="66"/>
        <v>#N/A</v>
      </c>
      <c r="AK940" t="str">
        <f t="shared" si="67"/>
        <v/>
      </c>
    </row>
    <row r="941" spans="1:37" ht="15" customHeight="1">
      <c r="A941" s="62">
        <v>8</v>
      </c>
      <c r="B941" s="59">
        <v>937</v>
      </c>
      <c r="AI941" t="e">
        <f t="shared" si="65"/>
        <v>#N/A</v>
      </c>
      <c r="AJ941" t="e">
        <f t="shared" si="66"/>
        <v>#N/A</v>
      </c>
      <c r="AK941" t="str">
        <f t="shared" si="67"/>
        <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Sort">
                <anchor moveWithCells="1" sizeWithCells="1">
                  <from>
                    <xdr:col>0</xdr:col>
                    <xdr:colOff>0</xdr:colOff>
                    <xdr:row>0</xdr:row>
                    <xdr:rowOff>0</xdr:rowOff>
                  </from>
                  <to>
                    <xdr:col>2</xdr:col>
                    <xdr:colOff>561975</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561975</xdr:colOff>
                    <xdr:row>0</xdr:row>
                    <xdr:rowOff>0</xdr:rowOff>
                  </from>
                  <to>
                    <xdr:col>3</xdr:col>
                    <xdr:colOff>0</xdr:colOff>
                    <xdr:row>0</xdr:row>
                    <xdr:rowOff>180975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26FF0-21E7-4982-AA5E-169D337F8847}">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defaultColWidth="9.33203125" defaultRowHeight="12.75"/>
  <cols>
    <col min="1" max="1" width="5.6640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6640625" style="59" customWidth="1"/>
    <col min="13" max="14" width="7" style="67" customWidth="1"/>
    <col min="15" max="15" width="8" style="64" customWidth="1"/>
    <col min="16" max="16" width="8" style="64" bestFit="1" customWidth="1"/>
    <col min="17" max="17" width="9.3320312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3203125" style="59" bestFit="1" customWidth="1"/>
    <col min="34" max="34" width="7.33203125" style="59" bestFit="1" customWidth="1"/>
    <col min="35" max="35" width="11.6640625" style="59" bestFit="1" customWidth="1"/>
    <col min="36" max="36" width="12.1640625" style="59" bestFit="1" customWidth="1"/>
    <col min="37" max="37" width="52" style="59" customWidth="1"/>
    <col min="38" max="38" width="9.33203125" style="59" customWidth="1"/>
    <col min="39" max="39" width="6" customWidth="1"/>
    <col min="40" max="16384" width="9.33203125" style="59"/>
  </cols>
  <sheetData>
    <row r="1" spans="1:43" ht="40.5" customHeight="1" thickBot="1">
      <c r="A1" s="223" t="s">
        <v>1755</v>
      </c>
      <c r="B1" s="224" t="s">
        <v>1756</v>
      </c>
      <c r="C1" s="223" t="s">
        <v>132</v>
      </c>
      <c r="D1" s="223" t="s">
        <v>5837</v>
      </c>
      <c r="E1" s="223" t="s">
        <v>132</v>
      </c>
      <c r="F1" s="223" t="s">
        <v>24</v>
      </c>
      <c r="G1" s="225" t="s">
        <v>5838</v>
      </c>
      <c r="H1" s="223" t="s">
        <v>5839</v>
      </c>
      <c r="I1" s="226" t="s">
        <v>1761</v>
      </c>
      <c r="J1" s="223" t="s">
        <v>1766</v>
      </c>
      <c r="K1" s="223" t="s">
        <v>5840</v>
      </c>
      <c r="L1" s="223" t="s">
        <v>5841</v>
      </c>
      <c r="M1" s="223" t="s">
        <v>5842</v>
      </c>
      <c r="N1" s="223" t="s">
        <v>35</v>
      </c>
      <c r="O1" s="227" t="s">
        <v>5843</v>
      </c>
      <c r="P1" s="227" t="s">
        <v>5844</v>
      </c>
      <c r="Q1" s="223" t="s">
        <v>5845</v>
      </c>
      <c r="R1" s="223" t="s">
        <v>5846</v>
      </c>
      <c r="S1" s="219" t="s">
        <v>1767</v>
      </c>
      <c r="T1" s="223" t="s">
        <v>57</v>
      </c>
      <c r="U1" s="223" t="s">
        <v>1769</v>
      </c>
      <c r="V1" s="223" t="s">
        <v>5847</v>
      </c>
      <c r="W1" s="226" t="s">
        <v>5848</v>
      </c>
      <c r="X1" s="226" t="s">
        <v>128</v>
      </c>
      <c r="Y1" s="226" t="s">
        <v>5849</v>
      </c>
      <c r="Z1" s="223" t="s">
        <v>1770</v>
      </c>
      <c r="AA1" s="223" t="s">
        <v>5850</v>
      </c>
      <c r="AB1" s="223" t="s">
        <v>5851</v>
      </c>
      <c r="AC1" s="223" t="s">
        <v>5852</v>
      </c>
      <c r="AD1" s="223" t="s">
        <v>5853</v>
      </c>
      <c r="AE1" s="223" t="s">
        <v>5854</v>
      </c>
      <c r="AF1" s="223" t="s">
        <v>5855</v>
      </c>
      <c r="AG1" s="223" t="s">
        <v>5856</v>
      </c>
      <c r="AH1" s="223" t="s">
        <v>5857</v>
      </c>
      <c r="AI1" s="223" t="s">
        <v>5858</v>
      </c>
      <c r="AJ1" s="223" t="s">
        <v>5859</v>
      </c>
      <c r="AK1" s="261" t="s">
        <v>109</v>
      </c>
      <c r="AL1" t="s">
        <v>10771</v>
      </c>
    </row>
    <row r="2" spans="1:43" ht="13.5" customHeight="1" thickTop="1">
      <c r="A2" s="60">
        <v>5</v>
      </c>
      <c r="O2" s="85"/>
      <c r="P2" s="86"/>
      <c r="Q2" s="84"/>
      <c r="AB2" s="65"/>
      <c r="AC2" s="66"/>
      <c r="AL2" t="str">
        <f>IF(AND(ISNUMBER($S2),$S2&gt;0,ISNUMBER($K2),ISNUMBER($J2)),($K2*$J2)/$S2,"")</f>
        <v/>
      </c>
    </row>
    <row r="3" spans="1:43">
      <c r="A3" s="60">
        <v>5</v>
      </c>
      <c r="O3" s="86"/>
      <c r="P3" s="86"/>
      <c r="Q3" s="32"/>
      <c r="AC3" s="66"/>
      <c r="AL3" t="str">
        <f>IF(AND(ISNUMBER($S3),$S3&gt;0,ISNUMBER($K3),ISNUMBER($J3)),($K3*$J3)/$S3,"")</f>
        <v/>
      </c>
    </row>
    <row r="4" spans="1:43">
      <c r="A4" s="60">
        <v>5</v>
      </c>
      <c r="AB4" s="65"/>
      <c r="AC4" s="66"/>
      <c r="AL4" t="str">
        <f>IF(AND(ISNUMBER($S4),$S4&gt;0,ISNUMBER($K4),ISNUMBER($J4)),($K4*$J4)/$S4,"")</f>
        <v/>
      </c>
    </row>
    <row r="5" spans="1:43">
      <c r="A5" s="60">
        <v>5</v>
      </c>
      <c r="AB5" s="65"/>
      <c r="AC5" s="66"/>
      <c r="AL5" t="str">
        <f>IF(AND(ISNUMBER($S5),$S5&gt;0,ISNUMBER($K5),ISNUMBER($J5)),($K5*$J5)/$S5,"")</f>
        <v/>
      </c>
    </row>
    <row r="6" spans="1:43">
      <c r="A6" s="106">
        <v>6</v>
      </c>
      <c r="B6" s="93">
        <v>1</v>
      </c>
      <c r="C6" s="93" t="s">
        <v>5860</v>
      </c>
      <c r="D6" s="93" t="s">
        <v>5861</v>
      </c>
      <c r="E6" s="92" t="s">
        <v>5862</v>
      </c>
      <c r="F6" s="93" t="s">
        <v>5863</v>
      </c>
      <c r="G6" s="93">
        <v>44.8</v>
      </c>
      <c r="H6" s="93">
        <v>9102</v>
      </c>
      <c r="I6" s="92">
        <v>3</v>
      </c>
      <c r="J6" s="107">
        <v>1490</v>
      </c>
      <c r="K6" s="105">
        <v>6.0402684563758386</v>
      </c>
      <c r="L6" s="108">
        <v>0</v>
      </c>
      <c r="M6" s="97">
        <v>0.27277777777777779</v>
      </c>
      <c r="N6" s="93">
        <v>1985</v>
      </c>
      <c r="O6" s="93">
        <v>678</v>
      </c>
      <c r="P6" s="93">
        <v>0</v>
      </c>
      <c r="Q6" s="93">
        <v>17</v>
      </c>
      <c r="R6" s="93">
        <v>10</v>
      </c>
      <c r="S6" s="93">
        <v>1</v>
      </c>
      <c r="T6" s="92" t="s">
        <v>5864</v>
      </c>
      <c r="U6" s="93">
        <v>398</v>
      </c>
      <c r="V6" s="107">
        <v>5810</v>
      </c>
      <c r="W6" s="107">
        <v>6000</v>
      </c>
      <c r="X6" s="110" t="s">
        <v>5865</v>
      </c>
      <c r="Y6" s="107">
        <v>1000</v>
      </c>
      <c r="Z6" s="92" t="s">
        <v>5866</v>
      </c>
      <c r="AA6" s="93"/>
      <c r="AB6" s="93"/>
      <c r="AC6" s="93"/>
      <c r="AD6" s="93" t="s">
        <v>5867</v>
      </c>
      <c r="AE6" s="93"/>
      <c r="AF6" s="93"/>
      <c r="AG6" s="93"/>
      <c r="AH6" s="93"/>
      <c r="AI6" s="93"/>
      <c r="AK6" s="262" t="s">
        <v>181</v>
      </c>
      <c r="AL6" s="93"/>
      <c r="AM6" s="93"/>
      <c r="AN6" s="93"/>
      <c r="AO6" s="93"/>
      <c r="AP6" s="93"/>
      <c r="AQ6" s="93"/>
    </row>
    <row r="7" spans="1:43">
      <c r="A7" s="106">
        <v>6</v>
      </c>
      <c r="B7" s="93">
        <v>2</v>
      </c>
      <c r="C7" s="93" t="s">
        <v>5860</v>
      </c>
      <c r="D7" s="93" t="s">
        <v>5868</v>
      </c>
      <c r="E7" s="92" t="s">
        <v>5862</v>
      </c>
      <c r="F7" s="93" t="s">
        <v>5869</v>
      </c>
      <c r="G7" s="93">
        <v>44.2</v>
      </c>
      <c r="H7" s="93">
        <v>9102</v>
      </c>
      <c r="I7" s="92">
        <v>0</v>
      </c>
      <c r="J7" s="107">
        <v>15000</v>
      </c>
      <c r="K7" s="105">
        <v>8</v>
      </c>
      <c r="L7" s="108">
        <v>0</v>
      </c>
      <c r="M7" s="97">
        <v>0</v>
      </c>
      <c r="N7" s="93">
        <v>1981</v>
      </c>
      <c r="O7" s="93">
        <v>1860</v>
      </c>
      <c r="P7" s="93">
        <v>0</v>
      </c>
      <c r="Q7" s="93">
        <v>20</v>
      </c>
      <c r="R7" s="93">
        <v>3</v>
      </c>
      <c r="S7" s="93">
        <v>1</v>
      </c>
      <c r="T7" s="92" t="s">
        <v>5870</v>
      </c>
      <c r="U7" s="93">
        <v>398</v>
      </c>
      <c r="V7" s="107">
        <v>49257</v>
      </c>
      <c r="W7" s="107">
        <v>49000</v>
      </c>
      <c r="X7" s="110" t="s">
        <v>5871</v>
      </c>
      <c r="Y7" s="107">
        <v>15000</v>
      </c>
      <c r="Z7" s="92" t="s">
        <v>5866</v>
      </c>
      <c r="AA7" s="93"/>
      <c r="AB7" s="93"/>
      <c r="AC7" s="93"/>
      <c r="AD7" s="93" t="s">
        <v>181</v>
      </c>
      <c r="AE7" s="93"/>
      <c r="AF7" s="93"/>
      <c r="AG7" s="93"/>
      <c r="AH7" s="93"/>
      <c r="AI7" s="93"/>
      <c r="AK7" s="262" t="s">
        <v>181</v>
      </c>
      <c r="AL7" s="93"/>
      <c r="AM7" s="93"/>
      <c r="AN7" s="93"/>
      <c r="AO7" s="93"/>
      <c r="AP7" s="93"/>
      <c r="AQ7" s="93"/>
    </row>
    <row r="8" spans="1:43" ht="25.5">
      <c r="A8" s="106">
        <v>6</v>
      </c>
      <c r="B8" s="93">
        <v>3</v>
      </c>
      <c r="C8" s="93" t="s">
        <v>5860</v>
      </c>
      <c r="D8" s="93" t="s">
        <v>5872</v>
      </c>
      <c r="E8" s="92" t="s">
        <v>5862</v>
      </c>
      <c r="F8" s="93" t="s">
        <v>5873</v>
      </c>
      <c r="G8" s="93">
        <v>44.2</v>
      </c>
      <c r="H8" s="93">
        <v>9102</v>
      </c>
      <c r="I8" s="92">
        <v>0</v>
      </c>
      <c r="J8" s="107">
        <v>19715</v>
      </c>
      <c r="K8" s="105">
        <v>5.9650012680699973</v>
      </c>
      <c r="L8" s="108">
        <v>0</v>
      </c>
      <c r="M8" s="97">
        <v>0</v>
      </c>
      <c r="N8" s="93">
        <v>1985</v>
      </c>
      <c r="O8" s="93">
        <v>4143</v>
      </c>
      <c r="P8" s="93">
        <v>0</v>
      </c>
      <c r="Q8" s="93">
        <v>26</v>
      </c>
      <c r="R8" s="93">
        <v>3</v>
      </c>
      <c r="S8" s="93">
        <v>1</v>
      </c>
      <c r="T8" s="92" t="s">
        <v>5870</v>
      </c>
      <c r="U8" s="93">
        <v>398</v>
      </c>
      <c r="V8" s="107">
        <v>46294</v>
      </c>
      <c r="W8" s="107">
        <v>46000</v>
      </c>
      <c r="X8" s="110" t="s">
        <v>5874</v>
      </c>
      <c r="Y8" s="107">
        <v>20000</v>
      </c>
      <c r="Z8" s="92" t="s">
        <v>5866</v>
      </c>
      <c r="AA8" s="93"/>
      <c r="AB8" s="93"/>
      <c r="AC8" s="93"/>
      <c r="AD8" s="93" t="s">
        <v>181</v>
      </c>
      <c r="AE8" s="93"/>
      <c r="AF8" s="93"/>
      <c r="AG8" s="93"/>
      <c r="AH8" s="93"/>
      <c r="AI8" s="93"/>
      <c r="AK8" s="262" t="s">
        <v>5875</v>
      </c>
      <c r="AL8" s="93"/>
      <c r="AM8" s="93"/>
      <c r="AN8" s="93"/>
      <c r="AO8" s="93"/>
      <c r="AP8" s="93"/>
      <c r="AQ8" s="93"/>
    </row>
    <row r="9" spans="1:43">
      <c r="A9" s="106">
        <v>6</v>
      </c>
      <c r="B9" s="93">
        <v>4</v>
      </c>
      <c r="C9" s="93" t="s">
        <v>5860</v>
      </c>
      <c r="D9" s="93" t="s">
        <v>5876</v>
      </c>
      <c r="E9" s="92" t="s">
        <v>5862</v>
      </c>
      <c r="F9" s="93" t="s">
        <v>5877</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5870</v>
      </c>
      <c r="U9" s="93">
        <v>398</v>
      </c>
      <c r="V9" s="107">
        <v>87567</v>
      </c>
      <c r="W9" s="107">
        <v>88000</v>
      </c>
      <c r="X9" s="110" t="s">
        <v>5878</v>
      </c>
      <c r="Y9" s="107">
        <v>37000</v>
      </c>
      <c r="Z9" s="92" t="s">
        <v>5866</v>
      </c>
      <c r="AA9" s="93"/>
      <c r="AB9" s="93"/>
      <c r="AC9" s="93"/>
      <c r="AD9" s="93" t="s">
        <v>5879</v>
      </c>
      <c r="AE9" s="93"/>
      <c r="AF9" s="93"/>
      <c r="AG9" s="93"/>
      <c r="AH9" s="93"/>
      <c r="AI9" s="93"/>
      <c r="AK9" s="262" t="s">
        <v>181</v>
      </c>
      <c r="AL9" s="93"/>
      <c r="AM9" s="93"/>
      <c r="AN9" s="93"/>
      <c r="AO9" s="93"/>
      <c r="AP9" s="93"/>
      <c r="AQ9" s="93"/>
    </row>
    <row r="10" spans="1:43">
      <c r="A10" s="106">
        <v>6</v>
      </c>
      <c r="B10" s="93">
        <v>5</v>
      </c>
      <c r="C10" s="93" t="s">
        <v>5860</v>
      </c>
      <c r="D10" s="93" t="s">
        <v>5880</v>
      </c>
      <c r="E10" s="92" t="s">
        <v>5862</v>
      </c>
      <c r="F10" s="93" t="s">
        <v>5881</v>
      </c>
      <c r="G10" s="93">
        <v>44.2</v>
      </c>
      <c r="H10" s="93">
        <v>9102</v>
      </c>
      <c r="I10" s="92">
        <v>0</v>
      </c>
      <c r="J10" s="107">
        <v>25060</v>
      </c>
      <c r="K10" s="105">
        <v>5.7500399042298476</v>
      </c>
      <c r="L10" s="108">
        <v>0</v>
      </c>
      <c r="M10" s="97">
        <v>0</v>
      </c>
      <c r="N10" s="93">
        <v>1982</v>
      </c>
      <c r="O10" s="93">
        <v>4620</v>
      </c>
      <c r="P10" s="93">
        <v>0</v>
      </c>
      <c r="Q10" s="93">
        <v>23</v>
      </c>
      <c r="R10" s="93">
        <v>3</v>
      </c>
      <c r="S10" s="93">
        <v>1</v>
      </c>
      <c r="T10" s="92" t="s">
        <v>5870</v>
      </c>
      <c r="U10" s="93">
        <v>398</v>
      </c>
      <c r="V10" s="107">
        <v>133400</v>
      </c>
      <c r="W10" s="107">
        <v>133000</v>
      </c>
      <c r="X10" s="110" t="s">
        <v>5882</v>
      </c>
      <c r="Y10" s="107">
        <v>25000</v>
      </c>
      <c r="Z10" s="92" t="s">
        <v>5866</v>
      </c>
      <c r="AA10" s="93"/>
      <c r="AB10" s="93"/>
      <c r="AC10" s="93"/>
      <c r="AD10" s="93" t="s">
        <v>5883</v>
      </c>
      <c r="AE10" s="93"/>
      <c r="AF10" s="93"/>
      <c r="AG10" s="93"/>
      <c r="AH10" s="93"/>
      <c r="AI10" s="93"/>
      <c r="AK10" s="262" t="s">
        <v>5884</v>
      </c>
      <c r="AL10" s="93"/>
      <c r="AM10" s="93"/>
      <c r="AN10" s="93"/>
      <c r="AO10" s="93"/>
      <c r="AP10" s="93"/>
      <c r="AQ10" s="93"/>
    </row>
    <row r="11" spans="1:43">
      <c r="A11" s="106">
        <v>6</v>
      </c>
      <c r="B11" s="93">
        <v>6</v>
      </c>
      <c r="C11" s="93" t="s">
        <v>5860</v>
      </c>
      <c r="D11" s="93" t="s">
        <v>5885</v>
      </c>
      <c r="E11" s="92" t="s">
        <v>5862</v>
      </c>
      <c r="F11" s="93" t="s">
        <v>5886</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5870</v>
      </c>
      <c r="U11" s="93">
        <v>398</v>
      </c>
      <c r="V11" s="107">
        <v>100126</v>
      </c>
      <c r="W11" s="107">
        <v>100000</v>
      </c>
      <c r="X11" s="110" t="s">
        <v>5887</v>
      </c>
      <c r="Y11" s="107">
        <v>24000</v>
      </c>
      <c r="Z11" s="92" t="s">
        <v>5866</v>
      </c>
      <c r="AA11" s="93"/>
      <c r="AB11" s="93"/>
      <c r="AC11" s="93"/>
      <c r="AD11" s="93" t="s">
        <v>5888</v>
      </c>
      <c r="AE11" s="93"/>
      <c r="AF11" s="93"/>
      <c r="AG11" s="93"/>
      <c r="AH11" s="93"/>
      <c r="AI11" s="93"/>
      <c r="AK11" s="262" t="s">
        <v>5889</v>
      </c>
      <c r="AL11" s="93"/>
      <c r="AM11" s="93"/>
      <c r="AN11" s="93"/>
      <c r="AO11" s="93"/>
      <c r="AP11" s="93"/>
      <c r="AQ11" s="93"/>
    </row>
    <row r="12" spans="1:43">
      <c r="A12" s="106">
        <v>6</v>
      </c>
      <c r="B12" s="93">
        <v>7</v>
      </c>
      <c r="C12" s="93" t="s">
        <v>5860</v>
      </c>
      <c r="D12" s="93" t="s">
        <v>5890</v>
      </c>
      <c r="E12" s="92" t="s">
        <v>5862</v>
      </c>
      <c r="F12" s="93" t="s">
        <v>5891</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5870</v>
      </c>
      <c r="U12" s="93">
        <v>398</v>
      </c>
      <c r="V12" s="107">
        <v>27610</v>
      </c>
      <c r="W12" s="107">
        <v>28000</v>
      </c>
      <c r="X12" s="110" t="s">
        <v>5892</v>
      </c>
      <c r="Y12" s="107">
        <v>10000</v>
      </c>
      <c r="Z12" s="92" t="s">
        <v>5866</v>
      </c>
      <c r="AA12" s="93"/>
      <c r="AB12" s="93"/>
      <c r="AC12" s="93"/>
      <c r="AD12" s="93" t="s">
        <v>181</v>
      </c>
      <c r="AE12" s="93"/>
      <c r="AF12" s="93"/>
      <c r="AG12" s="93"/>
      <c r="AH12" s="93"/>
      <c r="AI12" s="93"/>
      <c r="AK12" s="262" t="s">
        <v>5893</v>
      </c>
      <c r="AL12" s="93"/>
      <c r="AM12" s="93"/>
      <c r="AN12" s="93"/>
      <c r="AO12" s="93"/>
      <c r="AP12" s="93"/>
      <c r="AQ12" s="93"/>
    </row>
    <row r="13" spans="1:43">
      <c r="A13" s="106">
        <v>6</v>
      </c>
      <c r="B13" s="93">
        <v>8</v>
      </c>
      <c r="C13" s="93" t="s">
        <v>5860</v>
      </c>
      <c r="D13" s="93" t="s">
        <v>5894</v>
      </c>
      <c r="E13" s="92" t="s">
        <v>5862</v>
      </c>
      <c r="F13" s="93" t="s">
        <v>5895</v>
      </c>
      <c r="G13" s="93">
        <v>44.2</v>
      </c>
      <c r="H13" s="93">
        <v>9102</v>
      </c>
      <c r="I13" s="92">
        <v>0</v>
      </c>
      <c r="J13" s="107">
        <v>51649</v>
      </c>
      <c r="K13" s="105">
        <v>3.7500048403647699</v>
      </c>
      <c r="L13" s="108">
        <v>0</v>
      </c>
      <c r="M13" s="97">
        <v>0</v>
      </c>
      <c r="N13" s="93">
        <v>1981</v>
      </c>
      <c r="O13" s="93">
        <v>2089</v>
      </c>
      <c r="P13" s="93">
        <v>0</v>
      </c>
      <c r="Q13" s="93">
        <v>20</v>
      </c>
      <c r="R13" s="93">
        <v>3</v>
      </c>
      <c r="S13" s="93">
        <v>1</v>
      </c>
      <c r="T13" s="92" t="s">
        <v>5870</v>
      </c>
      <c r="U13" s="93">
        <v>398</v>
      </c>
      <c r="V13" s="107">
        <v>83200</v>
      </c>
      <c r="W13" s="107">
        <v>83000</v>
      </c>
      <c r="X13" s="110" t="s">
        <v>5896</v>
      </c>
      <c r="Y13" s="107">
        <v>52000</v>
      </c>
      <c r="Z13" s="92" t="s">
        <v>5866</v>
      </c>
      <c r="AA13" s="93"/>
      <c r="AB13" s="93"/>
      <c r="AC13" s="93"/>
      <c r="AD13" s="93" t="s">
        <v>181</v>
      </c>
      <c r="AE13" s="93"/>
      <c r="AF13" s="93"/>
      <c r="AG13" s="93"/>
      <c r="AH13" s="93"/>
      <c r="AI13" s="93"/>
      <c r="AK13" s="262" t="s">
        <v>181</v>
      </c>
      <c r="AL13" s="93"/>
      <c r="AM13" s="93"/>
      <c r="AN13" s="93"/>
      <c r="AO13" s="93"/>
      <c r="AP13" s="93"/>
      <c r="AQ13" s="93"/>
    </row>
    <row r="14" spans="1:43">
      <c r="A14" s="106">
        <v>6</v>
      </c>
      <c r="B14" s="93">
        <v>9</v>
      </c>
      <c r="C14" s="93" t="s">
        <v>5860</v>
      </c>
      <c r="D14" s="93" t="s">
        <v>5897</v>
      </c>
      <c r="E14" s="92" t="s">
        <v>5862</v>
      </c>
      <c r="F14" s="93" t="s">
        <v>5898</v>
      </c>
      <c r="G14" s="93">
        <v>44.2</v>
      </c>
      <c r="H14" s="93">
        <v>9102</v>
      </c>
      <c r="I14" s="92">
        <v>0</v>
      </c>
      <c r="J14" s="107">
        <v>3321</v>
      </c>
      <c r="K14" s="105">
        <v>10.53899427883168</v>
      </c>
      <c r="L14" s="108">
        <v>0</v>
      </c>
      <c r="M14" s="97">
        <v>0.122</v>
      </c>
      <c r="N14" s="93">
        <v>1973</v>
      </c>
      <c r="O14" s="93">
        <v>820</v>
      </c>
      <c r="P14" s="93">
        <v>0</v>
      </c>
      <c r="Q14" s="93">
        <v>16</v>
      </c>
      <c r="R14" s="93">
        <v>7</v>
      </c>
      <c r="S14" s="93">
        <v>1</v>
      </c>
      <c r="T14" s="92" t="s">
        <v>5870</v>
      </c>
      <c r="U14" s="93">
        <v>398</v>
      </c>
      <c r="V14" s="107">
        <v>18097</v>
      </c>
      <c r="W14" s="107">
        <v>18000</v>
      </c>
      <c r="X14" s="110" t="s">
        <v>5899</v>
      </c>
      <c r="Y14" s="107">
        <v>3000</v>
      </c>
      <c r="Z14" s="92" t="s">
        <v>5866</v>
      </c>
      <c r="AA14" s="93"/>
      <c r="AB14" s="93"/>
      <c r="AC14" s="93"/>
      <c r="AD14" s="93" t="s">
        <v>5900</v>
      </c>
      <c r="AE14" s="93"/>
      <c r="AF14" s="93"/>
      <c r="AG14" s="93"/>
      <c r="AH14" s="93"/>
      <c r="AI14" s="93"/>
      <c r="AK14" s="262" t="s">
        <v>181</v>
      </c>
      <c r="AL14" s="93"/>
      <c r="AM14" s="93"/>
      <c r="AN14" s="93"/>
      <c r="AO14" s="93"/>
      <c r="AP14" s="93"/>
      <c r="AQ14" s="93"/>
    </row>
    <row r="15" spans="1:43">
      <c r="A15" s="106">
        <v>6</v>
      </c>
      <c r="B15" s="93">
        <v>10</v>
      </c>
      <c r="C15" s="93" t="s">
        <v>5860</v>
      </c>
      <c r="D15" s="93" t="s">
        <v>5901</v>
      </c>
      <c r="E15" s="92" t="s">
        <v>5862</v>
      </c>
      <c r="F15" s="93" t="s">
        <v>5902</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5870</v>
      </c>
      <c r="U15" s="93">
        <v>398</v>
      </c>
      <c r="V15" s="107">
        <v>77488</v>
      </c>
      <c r="W15" s="107">
        <v>77000</v>
      </c>
      <c r="X15" s="110" t="s">
        <v>5903</v>
      </c>
      <c r="Y15" s="107">
        <v>40000</v>
      </c>
      <c r="Z15" s="92" t="s">
        <v>5866</v>
      </c>
      <c r="AA15" s="93"/>
      <c r="AB15" s="93"/>
      <c r="AC15" s="93"/>
      <c r="AD15" s="93" t="s">
        <v>5904</v>
      </c>
      <c r="AE15" s="93"/>
      <c r="AF15" s="93"/>
      <c r="AG15" s="93"/>
      <c r="AH15" s="93"/>
      <c r="AI15" s="93"/>
      <c r="AK15" s="262" t="s">
        <v>5905</v>
      </c>
      <c r="AL15" s="93"/>
      <c r="AM15" s="93"/>
      <c r="AN15" s="93"/>
      <c r="AO15" s="93"/>
      <c r="AP15" s="93"/>
      <c r="AQ15" s="93"/>
    </row>
    <row r="16" spans="1:43">
      <c r="A16" s="106">
        <v>6</v>
      </c>
      <c r="B16" s="93">
        <v>11</v>
      </c>
      <c r="C16" s="93" t="s">
        <v>5860</v>
      </c>
      <c r="D16" s="93" t="s">
        <v>5906</v>
      </c>
      <c r="E16" s="92" t="s">
        <v>5862</v>
      </c>
      <c r="F16" s="93" t="s">
        <v>5907</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5908</v>
      </c>
      <c r="U16" s="93">
        <v>401</v>
      </c>
      <c r="V16" s="107">
        <v>49529</v>
      </c>
      <c r="W16" s="107">
        <v>50000</v>
      </c>
      <c r="X16" s="110" t="s">
        <v>5909</v>
      </c>
      <c r="Y16" s="107">
        <v>8000</v>
      </c>
      <c r="Z16" s="92" t="s">
        <v>5866</v>
      </c>
      <c r="AA16" s="93"/>
      <c r="AB16" s="93"/>
      <c r="AC16" s="93"/>
      <c r="AD16" s="93" t="s">
        <v>181</v>
      </c>
      <c r="AE16" s="93"/>
      <c r="AF16" s="93"/>
      <c r="AG16" s="93"/>
      <c r="AH16" s="93"/>
      <c r="AI16" s="93"/>
      <c r="AK16" s="262" t="s">
        <v>5889</v>
      </c>
      <c r="AL16" s="93"/>
      <c r="AM16" s="93"/>
      <c r="AN16" s="93"/>
      <c r="AO16" s="93"/>
      <c r="AP16" s="93"/>
      <c r="AQ16" s="93"/>
    </row>
    <row r="17" spans="1:43">
      <c r="A17" s="106">
        <v>6</v>
      </c>
      <c r="B17" s="93">
        <v>12</v>
      </c>
      <c r="C17" s="93" t="s">
        <v>5860</v>
      </c>
      <c r="D17" s="93" t="s">
        <v>5910</v>
      </c>
      <c r="E17" s="92" t="s">
        <v>5862</v>
      </c>
      <c r="F17" s="93" t="s">
        <v>5911</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5908</v>
      </c>
      <c r="U17" s="93">
        <v>398</v>
      </c>
      <c r="V17" s="107">
        <v>25983</v>
      </c>
      <c r="W17" s="107">
        <v>26000</v>
      </c>
      <c r="X17" s="110" t="s">
        <v>5892</v>
      </c>
      <c r="Y17" s="107">
        <v>9000</v>
      </c>
      <c r="Z17" s="92" t="s">
        <v>5866</v>
      </c>
      <c r="AA17" s="93"/>
      <c r="AB17" s="93"/>
      <c r="AC17" s="93"/>
      <c r="AD17" s="93" t="s">
        <v>181</v>
      </c>
      <c r="AE17" s="93"/>
      <c r="AF17" s="93"/>
      <c r="AG17" s="93"/>
      <c r="AH17" s="93"/>
      <c r="AI17" s="93"/>
      <c r="AK17" s="262" t="s">
        <v>181</v>
      </c>
      <c r="AL17" s="93"/>
      <c r="AM17" s="93"/>
      <c r="AN17" s="93"/>
      <c r="AO17" s="93"/>
      <c r="AP17" s="93"/>
      <c r="AQ17" s="93"/>
    </row>
    <row r="18" spans="1:43">
      <c r="A18" s="106">
        <v>6</v>
      </c>
      <c r="B18" s="93">
        <v>13</v>
      </c>
      <c r="C18" s="93" t="s">
        <v>5860</v>
      </c>
      <c r="D18" s="93" t="s">
        <v>5912</v>
      </c>
      <c r="E18" s="92" t="s">
        <v>5862</v>
      </c>
      <c r="F18" s="93" t="s">
        <v>5913</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5908</v>
      </c>
      <c r="U18" s="93">
        <v>398</v>
      </c>
      <c r="V18" s="107">
        <v>58464</v>
      </c>
      <c r="W18" s="107">
        <v>58000</v>
      </c>
      <c r="X18" s="110" t="s">
        <v>5903</v>
      </c>
      <c r="Y18" s="107">
        <v>31000</v>
      </c>
      <c r="Z18" s="92" t="s">
        <v>5866</v>
      </c>
      <c r="AA18" s="93"/>
      <c r="AB18" s="93"/>
      <c r="AC18" s="93"/>
      <c r="AD18" s="93" t="s">
        <v>5914</v>
      </c>
      <c r="AE18" s="93"/>
      <c r="AF18" s="93"/>
      <c r="AG18" s="93"/>
      <c r="AH18" s="93"/>
      <c r="AI18" s="93"/>
      <c r="AK18" s="262" t="s">
        <v>181</v>
      </c>
      <c r="AL18" s="93"/>
      <c r="AM18" s="93"/>
      <c r="AN18" s="93"/>
      <c r="AO18" s="93"/>
      <c r="AP18" s="93"/>
      <c r="AQ18" s="93"/>
    </row>
    <row r="19" spans="1:43">
      <c r="A19" s="106">
        <v>6</v>
      </c>
      <c r="B19" s="93" t="s">
        <v>131</v>
      </c>
      <c r="C19" s="93" t="s">
        <v>5860</v>
      </c>
      <c r="D19" s="93" t="s">
        <v>5915</v>
      </c>
      <c r="E19" s="92" t="s">
        <v>5862</v>
      </c>
      <c r="F19" s="93" t="s">
        <v>5916</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5908</v>
      </c>
      <c r="U19" s="93">
        <v>398</v>
      </c>
      <c r="V19" s="107">
        <v>51811</v>
      </c>
      <c r="W19" s="107">
        <v>52000</v>
      </c>
      <c r="X19" s="110" t="s">
        <v>5903</v>
      </c>
      <c r="Y19" s="107">
        <v>27000</v>
      </c>
      <c r="Z19" s="92" t="s">
        <v>5866</v>
      </c>
      <c r="AA19" s="93"/>
      <c r="AB19" s="93"/>
      <c r="AC19" s="93"/>
      <c r="AD19" s="93" t="s">
        <v>5917</v>
      </c>
      <c r="AE19" s="93"/>
      <c r="AF19" s="93"/>
      <c r="AG19" s="93"/>
      <c r="AH19" s="93"/>
      <c r="AI19" s="93"/>
      <c r="AK19" s="262" t="s">
        <v>181</v>
      </c>
      <c r="AL19" s="93"/>
      <c r="AM19" s="93"/>
      <c r="AN19" s="93"/>
      <c r="AO19" s="93"/>
      <c r="AP19" s="93"/>
      <c r="AQ19" s="93"/>
    </row>
    <row r="20" spans="1:43">
      <c r="A20" s="106">
        <v>6</v>
      </c>
      <c r="B20" s="93">
        <v>15</v>
      </c>
      <c r="C20" s="93" t="s">
        <v>5860</v>
      </c>
      <c r="D20" s="93" t="s">
        <v>5918</v>
      </c>
      <c r="E20" s="92" t="s">
        <v>5862</v>
      </c>
      <c r="F20" s="93" t="s">
        <v>5919</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5908</v>
      </c>
      <c r="U20" s="93">
        <v>398</v>
      </c>
      <c r="V20" s="107">
        <v>40424</v>
      </c>
      <c r="W20" s="107">
        <v>40000</v>
      </c>
      <c r="X20" s="110" t="s">
        <v>5920</v>
      </c>
      <c r="Y20" s="107">
        <v>16000</v>
      </c>
      <c r="Z20" s="92" t="s">
        <v>5866</v>
      </c>
      <c r="AA20" s="93"/>
      <c r="AB20" s="93"/>
      <c r="AC20" s="93"/>
      <c r="AD20" s="93" t="s">
        <v>181</v>
      </c>
      <c r="AE20" s="93"/>
      <c r="AF20" s="93"/>
      <c r="AG20" s="93"/>
      <c r="AH20" s="93"/>
      <c r="AI20" s="93"/>
      <c r="AK20" s="262" t="s">
        <v>5893</v>
      </c>
      <c r="AL20" s="93"/>
      <c r="AM20" s="93"/>
      <c r="AN20" s="93"/>
      <c r="AO20" s="93"/>
      <c r="AP20" s="93"/>
      <c r="AQ20" s="93"/>
    </row>
    <row r="21" spans="1:43">
      <c r="A21" s="106">
        <v>6</v>
      </c>
      <c r="B21" s="93">
        <v>16</v>
      </c>
      <c r="C21" s="93" t="s">
        <v>5860</v>
      </c>
      <c r="D21" s="93" t="s">
        <v>5921</v>
      </c>
      <c r="E21" s="92" t="s">
        <v>5862</v>
      </c>
      <c r="F21" s="93" t="s">
        <v>5922</v>
      </c>
      <c r="G21" s="93">
        <v>47.1</v>
      </c>
      <c r="H21" s="93">
        <v>9102</v>
      </c>
      <c r="I21" s="92">
        <v>0</v>
      </c>
      <c r="J21" s="107">
        <v>14400</v>
      </c>
      <c r="K21" s="105">
        <v>4.5</v>
      </c>
      <c r="L21" s="108">
        <v>0</v>
      </c>
      <c r="M21" s="97">
        <v>0</v>
      </c>
      <c r="N21" s="93">
        <v>1974</v>
      </c>
      <c r="O21" s="93">
        <v>2000</v>
      </c>
      <c r="P21" s="93">
        <v>1800</v>
      </c>
      <c r="Q21" s="93">
        <v>18</v>
      </c>
      <c r="R21" s="93">
        <v>10</v>
      </c>
      <c r="S21" s="93">
        <v>1</v>
      </c>
      <c r="T21" s="92" t="s">
        <v>5908</v>
      </c>
      <c r="U21" s="93">
        <v>401</v>
      </c>
      <c r="V21" s="107">
        <v>45601</v>
      </c>
      <c r="W21" s="107">
        <v>46000</v>
      </c>
      <c r="X21" s="110" t="s">
        <v>5923</v>
      </c>
      <c r="Y21" s="107">
        <v>14000</v>
      </c>
      <c r="Z21" s="92" t="s">
        <v>5924</v>
      </c>
      <c r="AA21" s="93"/>
      <c r="AB21" s="93"/>
      <c r="AC21" s="93"/>
      <c r="AD21" s="93" t="s">
        <v>181</v>
      </c>
      <c r="AE21" s="93"/>
      <c r="AF21" s="93"/>
      <c r="AG21" s="93"/>
      <c r="AH21" s="93"/>
      <c r="AI21" s="93"/>
      <c r="AK21" s="262" t="s">
        <v>5925</v>
      </c>
      <c r="AL21" s="93"/>
      <c r="AM21" s="93"/>
      <c r="AN21" s="93"/>
      <c r="AO21" s="93"/>
      <c r="AP21" s="93"/>
      <c r="AQ21" s="93"/>
    </row>
    <row r="22" spans="1:43">
      <c r="A22" s="106">
        <v>6</v>
      </c>
      <c r="B22" s="93">
        <v>17</v>
      </c>
      <c r="C22" s="93" t="s">
        <v>5860</v>
      </c>
      <c r="D22" s="93" t="s">
        <v>5926</v>
      </c>
      <c r="E22" s="92" t="s">
        <v>5862</v>
      </c>
      <c r="F22" s="93" t="s">
        <v>5927</v>
      </c>
      <c r="G22" s="93">
        <v>44.2</v>
      </c>
      <c r="H22" s="93">
        <v>9102</v>
      </c>
      <c r="I22" s="92">
        <v>0</v>
      </c>
      <c r="J22" s="107">
        <v>31200</v>
      </c>
      <c r="K22" s="105">
        <v>4.3269230769230766</v>
      </c>
      <c r="L22" s="108">
        <v>0</v>
      </c>
      <c r="M22" s="97">
        <v>0</v>
      </c>
      <c r="N22" s="93">
        <v>2000</v>
      </c>
      <c r="O22" s="93">
        <v>1336</v>
      </c>
      <c r="P22" s="93">
        <v>0</v>
      </c>
      <c r="Q22" s="93">
        <v>19</v>
      </c>
      <c r="R22" s="93">
        <v>14</v>
      </c>
      <c r="S22" s="93">
        <v>1</v>
      </c>
      <c r="T22" s="92" t="s">
        <v>5870</v>
      </c>
      <c r="U22" s="93">
        <v>398</v>
      </c>
      <c r="V22" s="107">
        <v>69243</v>
      </c>
      <c r="W22" s="107">
        <v>69000</v>
      </c>
      <c r="X22" s="110" t="s">
        <v>5928</v>
      </c>
      <c r="Y22" s="107">
        <v>31000</v>
      </c>
      <c r="Z22" s="92" t="s">
        <v>5866</v>
      </c>
      <c r="AA22" s="93"/>
      <c r="AB22" s="93"/>
      <c r="AC22" s="93"/>
      <c r="AD22" s="93" t="s">
        <v>5929</v>
      </c>
      <c r="AE22" s="93"/>
      <c r="AF22" s="93"/>
      <c r="AG22" s="93"/>
      <c r="AH22" s="93"/>
      <c r="AI22" s="93"/>
      <c r="AK22" s="262" t="s">
        <v>181</v>
      </c>
      <c r="AL22" s="93"/>
      <c r="AM22" s="93"/>
      <c r="AN22" s="93"/>
      <c r="AO22" s="93"/>
      <c r="AP22" s="93"/>
      <c r="AQ22" s="93"/>
    </row>
    <row r="23" spans="1:43" ht="25.5">
      <c r="A23" s="106">
        <v>6</v>
      </c>
      <c r="B23" s="93">
        <v>18</v>
      </c>
      <c r="C23" s="93" t="s">
        <v>5860</v>
      </c>
      <c r="D23" s="93" t="s">
        <v>5930</v>
      </c>
      <c r="E23" s="92" t="s">
        <v>5862</v>
      </c>
      <c r="F23" s="93" t="s">
        <v>5931</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5932</v>
      </c>
      <c r="U23" s="93">
        <v>398</v>
      </c>
      <c r="V23" s="107">
        <v>44907</v>
      </c>
      <c r="W23" s="107">
        <v>45000</v>
      </c>
      <c r="X23" s="110" t="s">
        <v>5933</v>
      </c>
      <c r="Y23" s="107">
        <v>11000</v>
      </c>
      <c r="Z23" s="92" t="s">
        <v>5866</v>
      </c>
      <c r="AA23" s="93"/>
      <c r="AB23" s="93"/>
      <c r="AC23" s="93"/>
      <c r="AD23" s="93" t="s">
        <v>5934</v>
      </c>
      <c r="AE23" s="93"/>
      <c r="AF23" s="93"/>
      <c r="AG23" s="93"/>
      <c r="AH23" s="93"/>
      <c r="AI23" s="93"/>
      <c r="AK23" s="262" t="s">
        <v>5935</v>
      </c>
      <c r="AL23" s="93"/>
      <c r="AM23" s="93"/>
      <c r="AN23" s="93"/>
      <c r="AO23" s="93"/>
      <c r="AP23" s="93"/>
      <c r="AQ23" s="93"/>
    </row>
    <row r="24" spans="1:43">
      <c r="A24" s="106">
        <v>6</v>
      </c>
      <c r="B24" s="93">
        <v>19</v>
      </c>
      <c r="C24" s="93" t="s">
        <v>5860</v>
      </c>
      <c r="D24" s="93" t="s">
        <v>5936</v>
      </c>
      <c r="E24" s="92" t="s">
        <v>5862</v>
      </c>
      <c r="F24" s="93" t="s">
        <v>5937</v>
      </c>
      <c r="G24" s="93">
        <v>44.2</v>
      </c>
      <c r="H24" s="93">
        <v>9103</v>
      </c>
      <c r="I24" s="92">
        <v>0</v>
      </c>
      <c r="J24" s="107">
        <v>31412</v>
      </c>
      <c r="K24" s="105">
        <v>6.4943333757799566</v>
      </c>
      <c r="L24" s="108">
        <v>0</v>
      </c>
      <c r="M24" s="97">
        <v>0</v>
      </c>
      <c r="N24" s="93">
        <v>2007</v>
      </c>
      <c r="O24" s="93">
        <v>15084</v>
      </c>
      <c r="P24" s="93">
        <v>0</v>
      </c>
      <c r="Q24" s="93">
        <v>32</v>
      </c>
      <c r="R24" s="93">
        <v>14</v>
      </c>
      <c r="S24" s="93">
        <v>1</v>
      </c>
      <c r="T24" s="92" t="s">
        <v>5932</v>
      </c>
      <c r="U24" s="93">
        <v>398</v>
      </c>
      <c r="V24" s="107">
        <v>43747</v>
      </c>
      <c r="W24" s="107">
        <v>44000</v>
      </c>
      <c r="X24" s="110" t="s">
        <v>5938</v>
      </c>
      <c r="Y24" s="107">
        <v>31000</v>
      </c>
      <c r="Z24" s="92" t="s">
        <v>5866</v>
      </c>
      <c r="AA24" s="93"/>
      <c r="AB24" s="93"/>
      <c r="AC24" s="93"/>
      <c r="AD24" s="93" t="s">
        <v>5939</v>
      </c>
      <c r="AE24" s="93"/>
      <c r="AF24" s="93"/>
      <c r="AG24" s="93"/>
      <c r="AH24" s="93"/>
      <c r="AI24" s="93"/>
      <c r="AK24" s="262" t="s">
        <v>5889</v>
      </c>
      <c r="AL24" s="93"/>
      <c r="AM24" s="93"/>
      <c r="AN24" s="93"/>
      <c r="AO24" s="93"/>
      <c r="AP24" s="93"/>
      <c r="AQ24" s="93"/>
    </row>
    <row r="25" spans="1:43">
      <c r="A25" s="106">
        <v>6</v>
      </c>
      <c r="B25" s="93">
        <v>20</v>
      </c>
      <c r="C25" s="93" t="s">
        <v>5860</v>
      </c>
      <c r="D25" s="93" t="s">
        <v>5940</v>
      </c>
      <c r="E25" s="92" t="s">
        <v>5862</v>
      </c>
      <c r="F25" s="93" t="s">
        <v>5941</v>
      </c>
      <c r="G25" s="93">
        <v>44.1</v>
      </c>
      <c r="H25" s="93">
        <v>9103</v>
      </c>
      <c r="I25" s="92">
        <v>0</v>
      </c>
      <c r="J25" s="107">
        <v>46400</v>
      </c>
      <c r="K25" s="105">
        <v>8.15478448275862</v>
      </c>
      <c r="L25" s="108">
        <v>0</v>
      </c>
      <c r="M25" s="97">
        <v>0</v>
      </c>
      <c r="N25" s="93">
        <v>2008</v>
      </c>
      <c r="O25" s="93">
        <v>1100</v>
      </c>
      <c r="P25" s="93">
        <v>0</v>
      </c>
      <c r="Q25" s="93">
        <v>20</v>
      </c>
      <c r="R25" s="93">
        <v>9</v>
      </c>
      <c r="S25" s="93">
        <v>1</v>
      </c>
      <c r="T25" s="92" t="s">
        <v>5908</v>
      </c>
      <c r="U25" s="93">
        <v>398</v>
      </c>
      <c r="V25" s="107">
        <v>153609</v>
      </c>
      <c r="W25" s="107">
        <v>154000</v>
      </c>
      <c r="X25" s="110" t="s">
        <v>5871</v>
      </c>
      <c r="Y25" s="107">
        <v>46000</v>
      </c>
      <c r="Z25" s="92" t="s">
        <v>5866</v>
      </c>
      <c r="AA25" s="93"/>
      <c r="AB25" s="93"/>
      <c r="AC25" s="93"/>
      <c r="AD25" s="93" t="s">
        <v>5942</v>
      </c>
      <c r="AE25" s="93"/>
      <c r="AF25" s="93"/>
      <c r="AG25" s="93"/>
      <c r="AH25" s="93"/>
      <c r="AI25" s="93"/>
      <c r="AK25" s="262" t="s">
        <v>5893</v>
      </c>
      <c r="AL25" s="93"/>
      <c r="AM25" s="93"/>
      <c r="AN25" s="93"/>
      <c r="AO25" s="93"/>
      <c r="AP25" s="93"/>
      <c r="AQ25" s="93"/>
    </row>
    <row r="26" spans="1:43">
      <c r="A26" s="106">
        <v>6</v>
      </c>
      <c r="B26" s="93">
        <v>21</v>
      </c>
      <c r="C26" s="93" t="s">
        <v>5860</v>
      </c>
      <c r="D26" s="93" t="s">
        <v>5943</v>
      </c>
      <c r="E26" s="92" t="s">
        <v>5862</v>
      </c>
      <c r="F26" s="93" t="s">
        <v>5944</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5932</v>
      </c>
      <c r="U26" s="93">
        <v>398</v>
      </c>
      <c r="V26" s="107">
        <v>65250</v>
      </c>
      <c r="W26" s="107">
        <v>65000</v>
      </c>
      <c r="X26" s="110" t="s">
        <v>5945</v>
      </c>
      <c r="Y26" s="107">
        <v>18000</v>
      </c>
      <c r="Z26" s="92" t="s">
        <v>5866</v>
      </c>
      <c r="AA26" s="93"/>
      <c r="AB26" s="93"/>
      <c r="AC26" s="93"/>
      <c r="AD26" s="93" t="s">
        <v>5946</v>
      </c>
      <c r="AE26" s="93"/>
      <c r="AF26" s="93"/>
      <c r="AG26" s="93"/>
      <c r="AH26" s="93"/>
      <c r="AI26" s="93"/>
      <c r="AK26" s="262" t="s">
        <v>181</v>
      </c>
      <c r="AL26" s="93"/>
      <c r="AM26" s="93"/>
      <c r="AN26" s="93"/>
      <c r="AO26" s="93"/>
      <c r="AP26" s="93"/>
      <c r="AQ26" s="93"/>
    </row>
    <row r="27" spans="1:43">
      <c r="A27" s="106">
        <v>6</v>
      </c>
      <c r="B27" s="93">
        <v>22</v>
      </c>
      <c r="C27" s="93" t="s">
        <v>5860</v>
      </c>
      <c r="D27" s="93" t="s">
        <v>5947</v>
      </c>
      <c r="E27" s="92" t="s">
        <v>5862</v>
      </c>
      <c r="F27" s="93" t="s">
        <v>5948</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5870</v>
      </c>
      <c r="U27" s="93">
        <v>398</v>
      </c>
      <c r="V27" s="107">
        <v>292070</v>
      </c>
      <c r="W27" s="107">
        <v>292000</v>
      </c>
      <c r="X27" s="110" t="s">
        <v>5874</v>
      </c>
      <c r="Y27" s="107">
        <v>129000</v>
      </c>
      <c r="Z27" s="92" t="s">
        <v>5866</v>
      </c>
      <c r="AA27" s="93"/>
      <c r="AB27" s="93"/>
      <c r="AC27" s="93"/>
      <c r="AD27" s="93" t="s">
        <v>5949</v>
      </c>
      <c r="AE27" s="93"/>
      <c r="AF27" s="93"/>
      <c r="AG27" s="93"/>
      <c r="AH27" s="93"/>
      <c r="AI27" s="93"/>
      <c r="AK27" s="262" t="s">
        <v>5893</v>
      </c>
      <c r="AL27" s="93"/>
      <c r="AM27" s="93"/>
      <c r="AN27" s="93"/>
      <c r="AO27" s="93"/>
      <c r="AP27" s="93"/>
      <c r="AQ27" s="93"/>
    </row>
    <row r="28" spans="1:43">
      <c r="A28" s="106">
        <v>6</v>
      </c>
      <c r="B28" s="93">
        <v>23</v>
      </c>
      <c r="C28" s="93" t="s">
        <v>5860</v>
      </c>
      <c r="D28" s="93" t="s">
        <v>5950</v>
      </c>
      <c r="E28" s="92" t="s">
        <v>5862</v>
      </c>
      <c r="F28" s="93" t="s">
        <v>5951</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5870</v>
      </c>
      <c r="U28" s="93">
        <v>398</v>
      </c>
      <c r="V28" s="107">
        <v>317659</v>
      </c>
      <c r="W28" s="107">
        <v>318000</v>
      </c>
      <c r="X28" s="110" t="s">
        <v>5952</v>
      </c>
      <c r="Y28" s="107">
        <v>122000</v>
      </c>
      <c r="Z28" s="92" t="s">
        <v>5866</v>
      </c>
      <c r="AA28" s="93"/>
      <c r="AB28" s="93"/>
      <c r="AC28" s="93"/>
      <c r="AD28" s="93" t="s">
        <v>5953</v>
      </c>
      <c r="AE28" s="93"/>
      <c r="AF28" s="93"/>
      <c r="AG28" s="93"/>
      <c r="AH28" s="93"/>
      <c r="AI28" s="93"/>
      <c r="AK28" s="262" t="s">
        <v>5954</v>
      </c>
      <c r="AL28" s="93"/>
      <c r="AM28" s="93"/>
      <c r="AN28" s="93"/>
      <c r="AO28" s="93"/>
      <c r="AP28" s="93"/>
      <c r="AQ28" s="93"/>
    </row>
    <row r="29" spans="1:43">
      <c r="A29" s="106">
        <v>6</v>
      </c>
      <c r="B29" s="93">
        <v>24</v>
      </c>
      <c r="C29" s="93" t="s">
        <v>5860</v>
      </c>
      <c r="D29" s="93" t="s">
        <v>5955</v>
      </c>
      <c r="E29" s="92" t="s">
        <v>5862</v>
      </c>
      <c r="F29" s="93" t="s">
        <v>5956</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5870</v>
      </c>
      <c r="U29" s="93">
        <v>398</v>
      </c>
      <c r="V29" s="107">
        <v>261000</v>
      </c>
      <c r="W29" s="107">
        <v>261000</v>
      </c>
      <c r="X29" s="110" t="s">
        <v>5920</v>
      </c>
      <c r="Y29" s="107">
        <v>106000</v>
      </c>
      <c r="Z29" s="92" t="s">
        <v>5866</v>
      </c>
      <c r="AA29" s="93"/>
      <c r="AB29" s="93"/>
      <c r="AC29" s="93"/>
      <c r="AD29" s="93" t="s">
        <v>5957</v>
      </c>
      <c r="AE29" s="93"/>
      <c r="AF29" s="93"/>
      <c r="AG29" s="93"/>
      <c r="AH29" s="93"/>
      <c r="AI29" s="93"/>
      <c r="AK29" s="262" t="s">
        <v>181</v>
      </c>
      <c r="AL29" s="93"/>
      <c r="AM29" s="93"/>
      <c r="AN29" s="93"/>
      <c r="AO29" s="93"/>
      <c r="AP29" s="93"/>
      <c r="AQ29" s="93"/>
    </row>
    <row r="30" spans="1:43">
      <c r="A30" s="106">
        <v>6</v>
      </c>
      <c r="B30" s="93">
        <v>25</v>
      </c>
      <c r="C30" s="93" t="s">
        <v>5860</v>
      </c>
      <c r="D30" s="93" t="s">
        <v>5958</v>
      </c>
      <c r="E30" s="92" t="s">
        <v>5862</v>
      </c>
      <c r="F30" s="93" t="s">
        <v>5959</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5870</v>
      </c>
      <c r="U30" s="93">
        <v>398</v>
      </c>
      <c r="V30" s="107">
        <v>261359</v>
      </c>
      <c r="W30" s="107">
        <v>261000</v>
      </c>
      <c r="X30" s="110" t="s">
        <v>5920</v>
      </c>
      <c r="Y30" s="107">
        <v>105000</v>
      </c>
      <c r="Z30" s="92" t="s">
        <v>5866</v>
      </c>
      <c r="AA30" s="93"/>
      <c r="AB30" s="93"/>
      <c r="AC30" s="93"/>
      <c r="AD30" s="93" t="s">
        <v>5960</v>
      </c>
      <c r="AE30" s="93"/>
      <c r="AF30" s="93"/>
      <c r="AG30" s="93"/>
      <c r="AH30" s="93"/>
      <c r="AI30" s="93"/>
      <c r="AK30" s="262" t="s">
        <v>5954</v>
      </c>
      <c r="AL30" s="93"/>
      <c r="AM30" s="93"/>
      <c r="AN30" s="93"/>
      <c r="AO30" s="93"/>
      <c r="AP30" s="93"/>
      <c r="AQ30" s="93"/>
    </row>
    <row r="31" spans="1:43">
      <c r="A31" s="106">
        <v>6</v>
      </c>
      <c r="B31" s="93">
        <v>26</v>
      </c>
      <c r="C31" s="93" t="s">
        <v>5860</v>
      </c>
      <c r="D31" s="93" t="s">
        <v>5961</v>
      </c>
      <c r="E31" s="92" t="s">
        <v>5862</v>
      </c>
      <c r="F31" s="93" t="s">
        <v>5962</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5870</v>
      </c>
      <c r="U31" s="93">
        <v>398</v>
      </c>
      <c r="V31" s="107">
        <v>18315</v>
      </c>
      <c r="W31" s="107">
        <v>18000</v>
      </c>
      <c r="X31" s="110" t="s">
        <v>5938</v>
      </c>
      <c r="Y31" s="107">
        <v>13000</v>
      </c>
      <c r="Z31" s="92" t="s">
        <v>5963</v>
      </c>
      <c r="AA31" s="93"/>
      <c r="AB31" s="93"/>
      <c r="AC31" s="93"/>
      <c r="AD31" s="93" t="s">
        <v>181</v>
      </c>
      <c r="AE31" s="93"/>
      <c r="AF31" s="93"/>
      <c r="AG31" s="93"/>
      <c r="AH31" s="93"/>
      <c r="AI31" s="93"/>
      <c r="AK31" s="262" t="s">
        <v>181</v>
      </c>
      <c r="AL31" s="93"/>
      <c r="AM31" s="93"/>
      <c r="AN31" s="93"/>
      <c r="AO31" s="93"/>
      <c r="AP31" s="93"/>
      <c r="AQ31" s="93"/>
    </row>
    <row r="32" spans="1:43">
      <c r="A32" s="106">
        <v>6</v>
      </c>
      <c r="B32" s="93">
        <v>27</v>
      </c>
      <c r="C32" s="93" t="s">
        <v>5860</v>
      </c>
      <c r="D32" s="93" t="s">
        <v>5964</v>
      </c>
      <c r="E32" s="92" t="s">
        <v>5862</v>
      </c>
      <c r="F32" s="93" t="s">
        <v>5965</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5870</v>
      </c>
      <c r="U32" s="93">
        <v>398</v>
      </c>
      <c r="V32" s="107">
        <v>21764</v>
      </c>
      <c r="W32" s="107">
        <v>22000</v>
      </c>
      <c r="X32" s="110" t="s">
        <v>5903</v>
      </c>
      <c r="Y32" s="107">
        <v>11000</v>
      </c>
      <c r="Z32" s="92" t="s">
        <v>5866</v>
      </c>
      <c r="AA32" s="93"/>
      <c r="AB32" s="93"/>
      <c r="AC32" s="93"/>
      <c r="AD32" s="93" t="s">
        <v>181</v>
      </c>
      <c r="AE32" s="93"/>
      <c r="AF32" s="93"/>
      <c r="AG32" s="93"/>
      <c r="AH32" s="93"/>
      <c r="AI32" s="93"/>
      <c r="AK32" s="262" t="s">
        <v>181</v>
      </c>
      <c r="AL32" s="93"/>
      <c r="AM32" s="93"/>
      <c r="AN32" s="93"/>
      <c r="AO32" s="93"/>
      <c r="AP32" s="93"/>
      <c r="AQ32" s="93"/>
    </row>
    <row r="33" spans="1:43">
      <c r="A33" s="106">
        <v>6</v>
      </c>
      <c r="B33" s="93">
        <v>28</v>
      </c>
      <c r="C33" s="93" t="s">
        <v>5860</v>
      </c>
      <c r="D33" s="93" t="s">
        <v>5966</v>
      </c>
      <c r="E33" s="92" t="s">
        <v>5862</v>
      </c>
      <c r="F33" s="93" t="s">
        <v>5967</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5870</v>
      </c>
      <c r="U33" s="93">
        <v>398</v>
      </c>
      <c r="V33" s="107">
        <v>102703</v>
      </c>
      <c r="W33" s="107">
        <v>103000</v>
      </c>
      <c r="X33" s="110" t="s">
        <v>5952</v>
      </c>
      <c r="Y33" s="107">
        <v>40000</v>
      </c>
      <c r="Z33" s="92" t="s">
        <v>5866</v>
      </c>
      <c r="AA33" s="93"/>
      <c r="AB33" s="93"/>
      <c r="AC33" s="93"/>
      <c r="AD33" s="93" t="s">
        <v>5968</v>
      </c>
      <c r="AE33" s="93"/>
      <c r="AF33" s="93"/>
      <c r="AG33" s="93"/>
      <c r="AH33" s="93"/>
      <c r="AI33" s="93"/>
      <c r="AK33" s="262" t="s">
        <v>5889</v>
      </c>
      <c r="AL33" s="93"/>
      <c r="AM33" s="93"/>
      <c r="AN33" s="93"/>
      <c r="AO33" s="93"/>
      <c r="AP33" s="93"/>
      <c r="AQ33" s="93"/>
    </row>
    <row r="34" spans="1:43">
      <c r="A34" s="106">
        <v>6</v>
      </c>
      <c r="B34" s="93">
        <v>29</v>
      </c>
      <c r="C34" s="93" t="s">
        <v>5860</v>
      </c>
      <c r="D34" s="93" t="s">
        <v>5969</v>
      </c>
      <c r="E34" s="92" t="s">
        <v>5862</v>
      </c>
      <c r="F34" s="93" t="s">
        <v>5970</v>
      </c>
      <c r="G34" s="93">
        <v>44.1</v>
      </c>
      <c r="H34" s="93">
        <v>9101</v>
      </c>
      <c r="I34" s="92">
        <v>0</v>
      </c>
      <c r="J34" s="107">
        <v>40000</v>
      </c>
      <c r="K34" s="105">
        <v>3.69</v>
      </c>
      <c r="L34" s="108">
        <v>0</v>
      </c>
      <c r="M34" s="97">
        <v>0</v>
      </c>
      <c r="N34" s="93">
        <v>1997</v>
      </c>
      <c r="O34" s="93">
        <v>5412</v>
      </c>
      <c r="P34" s="93">
        <v>0</v>
      </c>
      <c r="Q34" s="93">
        <v>25</v>
      </c>
      <c r="R34" s="93">
        <v>7</v>
      </c>
      <c r="S34" s="93">
        <v>1</v>
      </c>
      <c r="T34" s="92" t="s">
        <v>5870</v>
      </c>
      <c r="U34" s="93">
        <v>398</v>
      </c>
      <c r="V34" s="107">
        <v>120740</v>
      </c>
      <c r="W34" s="107">
        <v>121000</v>
      </c>
      <c r="X34" s="110" t="s">
        <v>5971</v>
      </c>
      <c r="Y34" s="107">
        <v>40000</v>
      </c>
      <c r="Z34" s="92" t="s">
        <v>5866</v>
      </c>
      <c r="AA34" s="93"/>
      <c r="AB34" s="93"/>
      <c r="AC34" s="93"/>
      <c r="AD34" s="93" t="s">
        <v>5972</v>
      </c>
      <c r="AE34" s="93"/>
      <c r="AF34" s="93"/>
      <c r="AG34" s="93"/>
      <c r="AH34" s="93"/>
      <c r="AI34" s="93"/>
      <c r="AK34" s="262" t="s">
        <v>5889</v>
      </c>
      <c r="AL34" s="93"/>
      <c r="AM34" s="93"/>
      <c r="AN34" s="93"/>
      <c r="AO34" s="93"/>
      <c r="AP34" s="93"/>
      <c r="AQ34" s="93"/>
    </row>
    <row r="35" spans="1:43">
      <c r="A35" s="106">
        <v>6</v>
      </c>
      <c r="B35" s="93">
        <v>30</v>
      </c>
      <c r="C35" s="93" t="s">
        <v>5860</v>
      </c>
      <c r="D35" s="93" t="s">
        <v>5973</v>
      </c>
      <c r="E35" s="92" t="s">
        <v>5862</v>
      </c>
      <c r="F35" s="93" t="s">
        <v>5974</v>
      </c>
      <c r="G35" s="93">
        <v>44.2</v>
      </c>
      <c r="H35" s="93">
        <v>9101</v>
      </c>
      <c r="I35" s="92">
        <v>0</v>
      </c>
      <c r="J35" s="107">
        <v>6480</v>
      </c>
      <c r="K35" s="105">
        <v>9.2592592592592595</v>
      </c>
      <c r="L35" s="108">
        <v>0</v>
      </c>
      <c r="M35" s="97">
        <v>0</v>
      </c>
      <c r="N35" s="93">
        <v>1987</v>
      </c>
      <c r="O35" s="93">
        <v>1744</v>
      </c>
      <c r="P35" s="93">
        <v>0</v>
      </c>
      <c r="Q35" s="93">
        <v>16</v>
      </c>
      <c r="R35" s="93">
        <v>8</v>
      </c>
      <c r="S35" s="93">
        <v>1</v>
      </c>
      <c r="T35" s="92" t="s">
        <v>5870</v>
      </c>
      <c r="U35" s="93">
        <v>398</v>
      </c>
      <c r="V35" s="107">
        <v>45216</v>
      </c>
      <c r="W35" s="107">
        <v>45000</v>
      </c>
      <c r="X35" s="110" t="s">
        <v>5975</v>
      </c>
      <c r="Y35" s="107">
        <v>6000</v>
      </c>
      <c r="Z35" s="92" t="s">
        <v>5866</v>
      </c>
      <c r="AA35" s="93"/>
      <c r="AB35" s="93"/>
      <c r="AC35" s="93"/>
      <c r="AD35" s="93" t="s">
        <v>5976</v>
      </c>
      <c r="AE35" s="93"/>
      <c r="AF35" s="93"/>
      <c r="AG35" s="93"/>
      <c r="AH35" s="93"/>
      <c r="AI35" s="93"/>
      <c r="AK35" s="262" t="s">
        <v>5925</v>
      </c>
      <c r="AL35" s="93"/>
      <c r="AM35" s="93"/>
      <c r="AN35" s="93"/>
      <c r="AO35" s="93"/>
      <c r="AP35" s="93"/>
      <c r="AQ35" s="93"/>
    </row>
    <row r="36" spans="1:43">
      <c r="A36" s="106">
        <v>6</v>
      </c>
      <c r="B36" s="93">
        <v>31</v>
      </c>
      <c r="C36" s="93" t="s">
        <v>5860</v>
      </c>
      <c r="D36" s="93" t="s">
        <v>5977</v>
      </c>
      <c r="E36" s="92" t="s">
        <v>5862</v>
      </c>
      <c r="F36" s="93" t="s">
        <v>5978</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5870</v>
      </c>
      <c r="U36" s="93">
        <v>398</v>
      </c>
      <c r="V36" s="107">
        <v>90213</v>
      </c>
      <c r="W36" s="107">
        <v>90000</v>
      </c>
      <c r="X36" s="110" t="s">
        <v>5979</v>
      </c>
      <c r="Y36" s="107">
        <v>29000</v>
      </c>
      <c r="Z36" s="92" t="s">
        <v>5866</v>
      </c>
      <c r="AA36" s="93"/>
      <c r="AB36" s="93"/>
      <c r="AC36" s="93"/>
      <c r="AD36" s="93" t="s">
        <v>181</v>
      </c>
      <c r="AE36" s="93"/>
      <c r="AF36" s="93"/>
      <c r="AG36" s="93"/>
      <c r="AH36" s="93"/>
      <c r="AI36" s="93"/>
      <c r="AK36" s="262" t="s">
        <v>5925</v>
      </c>
      <c r="AL36" s="93"/>
      <c r="AM36" s="93"/>
      <c r="AN36" s="93"/>
      <c r="AO36" s="93"/>
      <c r="AP36" s="93"/>
      <c r="AQ36" s="93"/>
    </row>
    <row r="37" spans="1:43">
      <c r="A37" s="106">
        <v>6</v>
      </c>
      <c r="B37" s="93">
        <v>32</v>
      </c>
      <c r="C37" s="93" t="s">
        <v>5860</v>
      </c>
      <c r="D37" s="93" t="s">
        <v>5980</v>
      </c>
      <c r="E37" s="92" t="s">
        <v>5862</v>
      </c>
      <c r="F37" s="93" t="s">
        <v>5981</v>
      </c>
      <c r="G37" s="93">
        <v>44.2</v>
      </c>
      <c r="H37" s="93">
        <v>9101</v>
      </c>
      <c r="I37" s="92">
        <v>0</v>
      </c>
      <c r="J37" s="107">
        <v>38863</v>
      </c>
      <c r="K37" s="105">
        <v>3</v>
      </c>
      <c r="L37" s="108">
        <v>0</v>
      </c>
      <c r="M37" s="97">
        <v>0</v>
      </c>
      <c r="N37" s="93">
        <v>1974</v>
      </c>
      <c r="O37" s="93">
        <v>3250</v>
      </c>
      <c r="P37" s="93">
        <v>0</v>
      </c>
      <c r="Q37" s="93">
        <v>24</v>
      </c>
      <c r="R37" s="93">
        <v>10</v>
      </c>
      <c r="S37" s="93">
        <v>1</v>
      </c>
      <c r="T37" s="92" t="s">
        <v>5870</v>
      </c>
      <c r="U37" s="93">
        <v>398</v>
      </c>
      <c r="V37" s="107">
        <v>82810</v>
      </c>
      <c r="W37" s="107">
        <v>83000</v>
      </c>
      <c r="X37" s="110" t="s">
        <v>5982</v>
      </c>
      <c r="Y37" s="107">
        <v>39000</v>
      </c>
      <c r="Z37" s="92" t="s">
        <v>5866</v>
      </c>
      <c r="AA37" s="93"/>
      <c r="AB37" s="93"/>
      <c r="AC37" s="93"/>
      <c r="AD37" s="93" t="s">
        <v>181</v>
      </c>
      <c r="AE37" s="93"/>
      <c r="AF37" s="93"/>
      <c r="AG37" s="93"/>
      <c r="AH37" s="93"/>
      <c r="AI37" s="93"/>
      <c r="AK37" s="262" t="s">
        <v>181</v>
      </c>
      <c r="AL37" s="93"/>
      <c r="AM37" s="93"/>
      <c r="AN37" s="93"/>
      <c r="AO37" s="93"/>
      <c r="AP37" s="93"/>
      <c r="AQ37" s="93"/>
    </row>
    <row r="38" spans="1:43">
      <c r="A38" s="106">
        <v>6</v>
      </c>
      <c r="B38" s="93">
        <v>33</v>
      </c>
      <c r="C38" s="93" t="s">
        <v>5860</v>
      </c>
      <c r="D38" s="93" t="s">
        <v>5983</v>
      </c>
      <c r="E38" s="92" t="s">
        <v>5862</v>
      </c>
      <c r="F38" s="93" t="s">
        <v>5984</v>
      </c>
      <c r="G38" s="93">
        <v>44.2</v>
      </c>
      <c r="H38" s="93">
        <v>9101</v>
      </c>
      <c r="I38" s="92">
        <v>0</v>
      </c>
      <c r="J38" s="107">
        <v>43824</v>
      </c>
      <c r="K38" s="105">
        <v>2.864754472435195</v>
      </c>
      <c r="L38" s="108">
        <v>0</v>
      </c>
      <c r="M38" s="97">
        <v>0</v>
      </c>
      <c r="N38" s="93">
        <v>1973</v>
      </c>
      <c r="O38" s="93">
        <v>1474</v>
      </c>
      <c r="P38" s="93">
        <v>0</v>
      </c>
      <c r="Q38" s="93">
        <v>22</v>
      </c>
      <c r="R38" s="93">
        <v>10</v>
      </c>
      <c r="S38" s="93">
        <v>1</v>
      </c>
      <c r="T38" s="92" t="s">
        <v>5870</v>
      </c>
      <c r="U38" s="93">
        <v>398</v>
      </c>
      <c r="V38" s="107">
        <v>117172</v>
      </c>
      <c r="W38" s="107">
        <v>117000</v>
      </c>
      <c r="X38" s="110" t="s">
        <v>5985</v>
      </c>
      <c r="Y38" s="107">
        <v>44000</v>
      </c>
      <c r="Z38" s="92" t="s">
        <v>5866</v>
      </c>
      <c r="AA38" s="93"/>
      <c r="AB38" s="93"/>
      <c r="AC38" s="93"/>
      <c r="AD38" s="93" t="s">
        <v>5986</v>
      </c>
      <c r="AE38" s="93"/>
      <c r="AF38" s="93"/>
      <c r="AG38" s="93"/>
      <c r="AH38" s="93"/>
      <c r="AI38" s="93"/>
      <c r="AK38" s="262" t="s">
        <v>5987</v>
      </c>
      <c r="AL38" s="93"/>
      <c r="AM38" s="93"/>
      <c r="AN38" s="93"/>
      <c r="AO38" s="93"/>
      <c r="AP38" s="93"/>
      <c r="AQ38" s="93"/>
    </row>
    <row r="39" spans="1:43">
      <c r="A39" s="106">
        <v>6</v>
      </c>
      <c r="B39" s="93">
        <v>34</v>
      </c>
      <c r="C39" s="93" t="s">
        <v>5860</v>
      </c>
      <c r="D39" s="93" t="s">
        <v>5988</v>
      </c>
      <c r="E39" s="92" t="s">
        <v>5862</v>
      </c>
      <c r="F39" s="93" t="s">
        <v>5989</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5908</v>
      </c>
      <c r="U39" s="93">
        <v>398</v>
      </c>
      <c r="V39" s="107">
        <v>42458</v>
      </c>
      <c r="W39" s="107">
        <v>42000</v>
      </c>
      <c r="X39" s="110" t="s">
        <v>5979</v>
      </c>
      <c r="Y39" s="107">
        <v>14000</v>
      </c>
      <c r="Z39" s="92" t="s">
        <v>5866</v>
      </c>
      <c r="AA39" s="93"/>
      <c r="AB39" s="93"/>
      <c r="AC39" s="93"/>
      <c r="AD39" s="93" t="s">
        <v>181</v>
      </c>
      <c r="AE39" s="93"/>
      <c r="AF39" s="93"/>
      <c r="AG39" s="93"/>
      <c r="AH39" s="93"/>
      <c r="AI39" s="93"/>
      <c r="AK39" s="262" t="s">
        <v>181</v>
      </c>
      <c r="AL39" s="93"/>
      <c r="AM39" s="93"/>
      <c r="AN39" s="93"/>
      <c r="AO39" s="93"/>
      <c r="AP39" s="93"/>
      <c r="AQ39" s="93"/>
    </row>
    <row r="40" spans="1:43" ht="25.5">
      <c r="A40" s="106">
        <v>6</v>
      </c>
      <c r="B40" s="93">
        <v>35</v>
      </c>
      <c r="C40" s="93" t="s">
        <v>5860</v>
      </c>
      <c r="D40" s="93" t="s">
        <v>5990</v>
      </c>
      <c r="E40" s="92" t="s">
        <v>5862</v>
      </c>
      <c r="F40" s="93" t="s">
        <v>5991</v>
      </c>
      <c r="G40" s="93">
        <v>44.1</v>
      </c>
      <c r="H40" s="93">
        <v>9101</v>
      </c>
      <c r="I40" s="92">
        <v>0</v>
      </c>
      <c r="J40" s="107">
        <v>14500</v>
      </c>
      <c r="K40" s="105">
        <v>5</v>
      </c>
      <c r="L40" s="108">
        <v>1</v>
      </c>
      <c r="M40" s="97">
        <v>0</v>
      </c>
      <c r="N40" s="93">
        <v>1961</v>
      </c>
      <c r="O40" s="93">
        <v>1805</v>
      </c>
      <c r="P40" s="93">
        <v>0</v>
      </c>
      <c r="Q40" s="93">
        <v>14</v>
      </c>
      <c r="R40" s="93">
        <v>1</v>
      </c>
      <c r="S40" s="93">
        <v>1</v>
      </c>
      <c r="T40" s="92" t="s">
        <v>5864</v>
      </c>
      <c r="U40" s="93">
        <v>398</v>
      </c>
      <c r="V40" s="107">
        <v>22618</v>
      </c>
      <c r="W40" s="107">
        <v>23000</v>
      </c>
      <c r="X40" s="110" t="s">
        <v>5896</v>
      </c>
      <c r="Y40" s="107">
        <v>15000</v>
      </c>
      <c r="Z40" s="92" t="s">
        <v>5866</v>
      </c>
      <c r="AA40" s="93"/>
      <c r="AB40" s="93"/>
      <c r="AC40" s="93"/>
      <c r="AD40" s="93" t="s">
        <v>181</v>
      </c>
      <c r="AE40" s="93"/>
      <c r="AF40" s="93"/>
      <c r="AG40" s="93"/>
      <c r="AH40" s="93"/>
      <c r="AI40" s="93"/>
      <c r="AK40" s="262" t="s">
        <v>5992</v>
      </c>
      <c r="AL40" s="93"/>
      <c r="AM40" s="93"/>
      <c r="AN40" s="93"/>
      <c r="AO40" s="93"/>
      <c r="AP40" s="93"/>
      <c r="AQ40" s="93"/>
    </row>
    <row r="41" spans="1:43" ht="25.5">
      <c r="A41" s="106">
        <v>6</v>
      </c>
      <c r="B41" s="93">
        <v>36</v>
      </c>
      <c r="C41" s="93" t="s">
        <v>5860</v>
      </c>
      <c r="D41" s="93" t="s">
        <v>5993</v>
      </c>
      <c r="E41" s="92" t="s">
        <v>5862</v>
      </c>
      <c r="F41" s="93" t="s">
        <v>5994</v>
      </c>
      <c r="G41" s="93">
        <v>44.2</v>
      </c>
      <c r="H41" s="93">
        <v>9101</v>
      </c>
      <c r="I41" s="92">
        <v>0</v>
      </c>
      <c r="J41" s="107">
        <v>7280</v>
      </c>
      <c r="K41" s="105">
        <v>13.33333333333333</v>
      </c>
      <c r="L41" s="108">
        <v>0</v>
      </c>
      <c r="M41" s="97">
        <v>0</v>
      </c>
      <c r="N41" s="93">
        <v>1961</v>
      </c>
      <c r="O41" s="93">
        <v>3164</v>
      </c>
      <c r="P41" s="93">
        <v>0</v>
      </c>
      <c r="Q41" s="93">
        <v>15</v>
      </c>
      <c r="R41" s="93">
        <v>3</v>
      </c>
      <c r="S41" s="93">
        <v>1</v>
      </c>
      <c r="T41" s="92" t="s">
        <v>5864</v>
      </c>
      <c r="U41" s="93">
        <v>398</v>
      </c>
      <c r="V41" s="107">
        <v>14387</v>
      </c>
      <c r="W41" s="107">
        <v>14000</v>
      </c>
      <c r="X41" s="110" t="s">
        <v>5995</v>
      </c>
      <c r="Y41" s="107">
        <v>7000</v>
      </c>
      <c r="Z41" s="92" t="s">
        <v>5924</v>
      </c>
      <c r="AA41" s="93"/>
      <c r="AB41" s="93"/>
      <c r="AC41" s="93"/>
      <c r="AD41" s="93" t="s">
        <v>5996</v>
      </c>
      <c r="AE41" s="93"/>
      <c r="AF41" s="93"/>
      <c r="AG41" s="93"/>
      <c r="AH41" s="93"/>
      <c r="AI41" s="93"/>
      <c r="AK41" s="262" t="s">
        <v>5997</v>
      </c>
      <c r="AL41" s="93"/>
      <c r="AM41" s="93"/>
      <c r="AN41" s="93"/>
      <c r="AO41" s="93"/>
      <c r="AP41" s="93"/>
      <c r="AQ41" s="93"/>
    </row>
    <row r="42" spans="1:43" ht="25.5">
      <c r="A42" s="106">
        <v>6</v>
      </c>
      <c r="B42" s="93">
        <v>37</v>
      </c>
      <c r="C42" s="93" t="s">
        <v>5860</v>
      </c>
      <c r="D42" s="93" t="s">
        <v>5998</v>
      </c>
      <c r="E42" s="92" t="s">
        <v>5862</v>
      </c>
      <c r="F42" s="93" t="s">
        <v>5999</v>
      </c>
      <c r="G42" s="93">
        <v>44.2</v>
      </c>
      <c r="H42" s="93">
        <v>9101</v>
      </c>
      <c r="I42" s="92">
        <v>0</v>
      </c>
      <c r="J42" s="107">
        <v>16770</v>
      </c>
      <c r="K42" s="105">
        <v>4.8658318425760294</v>
      </c>
      <c r="L42" s="108">
        <v>0.48</v>
      </c>
      <c r="M42" s="97">
        <v>0</v>
      </c>
      <c r="N42" s="93">
        <v>1980</v>
      </c>
      <c r="O42" s="93">
        <v>3949</v>
      </c>
      <c r="P42" s="93">
        <v>0</v>
      </c>
      <c r="Q42" s="93">
        <v>16</v>
      </c>
      <c r="R42" s="93">
        <v>1</v>
      </c>
      <c r="S42" s="93">
        <v>1</v>
      </c>
      <c r="T42" s="92" t="s">
        <v>5908</v>
      </c>
      <c r="U42" s="93">
        <v>398</v>
      </c>
      <c r="V42" s="107">
        <v>39942</v>
      </c>
      <c r="W42" s="107">
        <v>40000</v>
      </c>
      <c r="X42" s="110" t="s">
        <v>5878</v>
      </c>
      <c r="Y42" s="107">
        <v>17000</v>
      </c>
      <c r="Z42" s="92" t="s">
        <v>5866</v>
      </c>
      <c r="AA42" s="93"/>
      <c r="AB42" s="93"/>
      <c r="AC42" s="93"/>
      <c r="AD42" s="93" t="s">
        <v>5879</v>
      </c>
      <c r="AE42" s="93"/>
      <c r="AF42" s="93"/>
      <c r="AG42" s="93"/>
      <c r="AH42" s="93"/>
      <c r="AI42" s="93"/>
      <c r="AK42" s="262" t="s">
        <v>6000</v>
      </c>
      <c r="AL42" s="93"/>
      <c r="AM42" s="93"/>
      <c r="AN42" s="93"/>
      <c r="AO42" s="93"/>
      <c r="AP42" s="93"/>
      <c r="AQ42" s="93"/>
    </row>
    <row r="43" spans="1:43">
      <c r="A43" s="106">
        <v>6</v>
      </c>
      <c r="B43" s="93">
        <v>38</v>
      </c>
      <c r="C43" s="93" t="s">
        <v>5860</v>
      </c>
      <c r="D43" s="93" t="s">
        <v>6001</v>
      </c>
      <c r="E43" s="92" t="s">
        <v>5862</v>
      </c>
      <c r="F43" s="93" t="s">
        <v>6002</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5908</v>
      </c>
      <c r="U43" s="93">
        <v>398</v>
      </c>
      <c r="V43" s="107">
        <v>26435</v>
      </c>
      <c r="W43" s="107">
        <v>26000</v>
      </c>
      <c r="X43" s="110" t="s">
        <v>5971</v>
      </c>
      <c r="Y43" s="107">
        <v>9000</v>
      </c>
      <c r="Z43" s="92" t="s">
        <v>5866</v>
      </c>
      <c r="AA43" s="93"/>
      <c r="AB43" s="93"/>
      <c r="AC43" s="93"/>
      <c r="AD43" s="93" t="s">
        <v>6003</v>
      </c>
      <c r="AE43" s="93"/>
      <c r="AF43" s="93"/>
      <c r="AG43" s="93"/>
      <c r="AH43" s="93"/>
      <c r="AI43" s="93"/>
      <c r="AK43" s="262" t="s">
        <v>5925</v>
      </c>
      <c r="AL43" s="93"/>
      <c r="AM43" s="93"/>
      <c r="AN43" s="93"/>
      <c r="AO43" s="93"/>
      <c r="AP43" s="93"/>
      <c r="AQ43" s="93"/>
    </row>
    <row r="44" spans="1:43" ht="25.5">
      <c r="A44" s="106">
        <v>6</v>
      </c>
      <c r="B44" s="93">
        <v>39</v>
      </c>
      <c r="C44" s="93" t="s">
        <v>5860</v>
      </c>
      <c r="D44" s="93" t="s">
        <v>6004</v>
      </c>
      <c r="E44" s="92" t="s">
        <v>5862</v>
      </c>
      <c r="F44" s="93" t="s">
        <v>6005</v>
      </c>
      <c r="G44" s="93">
        <v>44.1</v>
      </c>
      <c r="H44" s="93">
        <v>9101</v>
      </c>
      <c r="I44" s="92">
        <v>0</v>
      </c>
      <c r="J44" s="107">
        <v>6579</v>
      </c>
      <c r="K44" s="105">
        <v>2.8301886792452828</v>
      </c>
      <c r="L44" s="108">
        <v>0</v>
      </c>
      <c r="M44" s="97">
        <v>0</v>
      </c>
      <c r="N44" s="93">
        <v>1926</v>
      </c>
      <c r="O44" s="93">
        <v>1620</v>
      </c>
      <c r="P44" s="93">
        <v>0</v>
      </c>
      <c r="Q44" s="93">
        <v>10</v>
      </c>
      <c r="R44" s="93">
        <v>1</v>
      </c>
      <c r="S44" s="93">
        <v>1</v>
      </c>
      <c r="T44" s="92" t="s">
        <v>5864</v>
      </c>
      <c r="U44" s="93">
        <v>398</v>
      </c>
      <c r="V44" s="107">
        <v>92437</v>
      </c>
      <c r="W44" s="107">
        <v>92000</v>
      </c>
      <c r="X44" s="110" t="s">
        <v>6006</v>
      </c>
      <c r="Y44" s="107">
        <v>7000</v>
      </c>
      <c r="Z44" s="92" t="s">
        <v>5866</v>
      </c>
      <c r="AA44" s="93"/>
      <c r="AB44" s="93"/>
      <c r="AC44" s="93"/>
      <c r="AD44" s="93" t="s">
        <v>181</v>
      </c>
      <c r="AE44" s="93"/>
      <c r="AF44" s="93"/>
      <c r="AG44" s="93"/>
      <c r="AH44" s="93"/>
      <c r="AI44" s="93"/>
      <c r="AK44" s="262" t="s">
        <v>6000</v>
      </c>
      <c r="AL44" s="93"/>
      <c r="AM44" s="93"/>
      <c r="AN44" s="93"/>
      <c r="AO44" s="93"/>
      <c r="AP44" s="93"/>
      <c r="AQ44" s="93"/>
    </row>
    <row r="45" spans="1:43">
      <c r="A45" s="106">
        <v>6</v>
      </c>
      <c r="B45" s="93">
        <v>40</v>
      </c>
      <c r="C45" s="93" t="s">
        <v>5860</v>
      </c>
      <c r="D45" s="93" t="s">
        <v>6007</v>
      </c>
      <c r="E45" s="92" t="s">
        <v>5862</v>
      </c>
      <c r="F45" s="93" t="s">
        <v>6008</v>
      </c>
      <c r="G45" s="93">
        <v>44.1</v>
      </c>
      <c r="H45" s="93">
        <v>9101</v>
      </c>
      <c r="I45" s="92">
        <v>0</v>
      </c>
      <c r="J45" s="107">
        <v>4400</v>
      </c>
      <c r="K45" s="105">
        <v>5.626363636363636</v>
      </c>
      <c r="L45" s="108">
        <v>0</v>
      </c>
      <c r="M45" s="97">
        <v>0</v>
      </c>
      <c r="N45" s="93">
        <v>1958</v>
      </c>
      <c r="O45" s="93">
        <v>1712</v>
      </c>
      <c r="P45" s="93">
        <v>0</v>
      </c>
      <c r="Q45" s="93">
        <v>14</v>
      </c>
      <c r="R45" s="93">
        <v>4</v>
      </c>
      <c r="S45" s="93">
        <v>1</v>
      </c>
      <c r="T45" s="92" t="s">
        <v>5864</v>
      </c>
      <c r="U45" s="93">
        <v>398</v>
      </c>
      <c r="V45" s="107">
        <v>9000</v>
      </c>
      <c r="W45" s="107">
        <v>9000</v>
      </c>
      <c r="X45" s="110" t="s">
        <v>5995</v>
      </c>
      <c r="Y45" s="107">
        <v>4000</v>
      </c>
      <c r="Z45" s="92" t="s">
        <v>5866</v>
      </c>
      <c r="AA45" s="93"/>
      <c r="AB45" s="93"/>
      <c r="AC45" s="93"/>
      <c r="AD45" s="93" t="s">
        <v>6009</v>
      </c>
      <c r="AE45" s="93"/>
      <c r="AF45" s="93"/>
      <c r="AG45" s="93"/>
      <c r="AH45" s="93"/>
      <c r="AI45" s="93"/>
      <c r="AK45" s="262" t="s">
        <v>5925</v>
      </c>
      <c r="AL45" s="93"/>
      <c r="AM45" s="93"/>
      <c r="AN45" s="93"/>
      <c r="AO45" s="93"/>
      <c r="AP45" s="93"/>
      <c r="AQ45" s="93"/>
    </row>
    <row r="46" spans="1:43" ht="25.5">
      <c r="A46" s="106">
        <v>6</v>
      </c>
      <c r="B46" s="93">
        <v>41</v>
      </c>
      <c r="C46" s="93" t="s">
        <v>5860</v>
      </c>
      <c r="D46" s="93" t="s">
        <v>6010</v>
      </c>
      <c r="E46" s="92" t="s">
        <v>5862</v>
      </c>
      <c r="F46" s="93" t="s">
        <v>6011</v>
      </c>
      <c r="G46" s="93">
        <v>44.1</v>
      </c>
      <c r="H46" s="93">
        <v>9101</v>
      </c>
      <c r="I46" s="92">
        <v>0</v>
      </c>
      <c r="J46" s="107">
        <v>10000</v>
      </c>
      <c r="K46" s="105">
        <v>7.2881632653061228</v>
      </c>
      <c r="L46" s="108">
        <v>0</v>
      </c>
      <c r="M46" s="97">
        <v>0</v>
      </c>
      <c r="N46" s="93">
        <v>1958</v>
      </c>
      <c r="O46" s="93">
        <v>2612</v>
      </c>
      <c r="P46" s="93">
        <v>0</v>
      </c>
      <c r="Q46" s="93">
        <v>13</v>
      </c>
      <c r="R46" s="93">
        <v>1</v>
      </c>
      <c r="S46" s="93">
        <v>1</v>
      </c>
      <c r="T46" s="92" t="s">
        <v>5864</v>
      </c>
      <c r="U46" s="93">
        <v>398</v>
      </c>
      <c r="V46" s="107">
        <v>21300</v>
      </c>
      <c r="W46" s="107">
        <v>21000</v>
      </c>
      <c r="X46" s="110" t="s">
        <v>5982</v>
      </c>
      <c r="Y46" s="107">
        <v>10000</v>
      </c>
      <c r="Z46" s="92" t="s">
        <v>5866</v>
      </c>
      <c r="AA46" s="93"/>
      <c r="AB46" s="93"/>
      <c r="AC46" s="93"/>
      <c r="AD46" s="93" t="s">
        <v>6012</v>
      </c>
      <c r="AE46" s="93"/>
      <c r="AF46" s="93"/>
      <c r="AG46" s="93"/>
      <c r="AH46" s="93"/>
      <c r="AI46" s="93"/>
      <c r="AK46" s="262" t="s">
        <v>6013</v>
      </c>
      <c r="AL46" s="93"/>
      <c r="AM46" s="93"/>
      <c r="AN46" s="93"/>
      <c r="AO46" s="93"/>
      <c r="AP46" s="93"/>
      <c r="AQ46" s="93"/>
    </row>
    <row r="47" spans="1:43" ht="25.5">
      <c r="A47" s="106">
        <v>6</v>
      </c>
      <c r="B47" s="93">
        <v>42</v>
      </c>
      <c r="C47" s="93" t="s">
        <v>5860</v>
      </c>
      <c r="D47" s="93" t="s">
        <v>6014</v>
      </c>
      <c r="E47" s="92" t="s">
        <v>5862</v>
      </c>
      <c r="F47" s="93" t="s">
        <v>6015</v>
      </c>
      <c r="G47" s="93">
        <v>44.2</v>
      </c>
      <c r="H47" s="93">
        <v>9101</v>
      </c>
      <c r="I47" s="92">
        <v>0</v>
      </c>
      <c r="J47" s="107">
        <v>76174</v>
      </c>
      <c r="K47" s="105">
        <v>3.872581195683567</v>
      </c>
      <c r="L47" s="108">
        <v>0</v>
      </c>
      <c r="M47" s="97">
        <v>0</v>
      </c>
      <c r="N47" s="93">
        <v>1974</v>
      </c>
      <c r="O47" s="93">
        <v>17712</v>
      </c>
      <c r="P47" s="93">
        <v>0</v>
      </c>
      <c r="Q47" s="93">
        <v>22</v>
      </c>
      <c r="R47" s="93">
        <v>14</v>
      </c>
      <c r="S47" s="93">
        <v>2</v>
      </c>
      <c r="T47" s="92" t="s">
        <v>181</v>
      </c>
      <c r="U47" s="93">
        <v>398</v>
      </c>
      <c r="V47" s="107">
        <v>154295</v>
      </c>
      <c r="W47" s="107">
        <v>154000</v>
      </c>
      <c r="X47" s="110" t="s">
        <v>5995</v>
      </c>
      <c r="Y47" s="107">
        <v>76000</v>
      </c>
      <c r="Z47" s="92" t="s">
        <v>5866</v>
      </c>
      <c r="AA47" s="93"/>
      <c r="AB47" s="93"/>
      <c r="AC47" s="93"/>
      <c r="AD47" s="93" t="s">
        <v>6016</v>
      </c>
      <c r="AE47" s="93"/>
      <c r="AF47" s="93"/>
      <c r="AG47" s="93"/>
      <c r="AH47" s="93"/>
      <c r="AI47" s="93"/>
      <c r="AK47" s="262" t="s">
        <v>6017</v>
      </c>
      <c r="AL47" s="93"/>
      <c r="AM47" s="93"/>
      <c r="AN47" s="93"/>
      <c r="AO47" s="93"/>
      <c r="AP47" s="93"/>
      <c r="AQ47" s="93"/>
    </row>
    <row r="48" spans="1:43" ht="25.5">
      <c r="A48" s="106">
        <v>6</v>
      </c>
      <c r="B48" s="93">
        <v>43</v>
      </c>
      <c r="C48" s="93" t="s">
        <v>5860</v>
      </c>
      <c r="D48" s="93" t="s">
        <v>6018</v>
      </c>
      <c r="E48" s="92" t="s">
        <v>5862</v>
      </c>
      <c r="F48" s="93" t="s">
        <v>6019</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5908</v>
      </c>
      <c r="U48" s="93">
        <v>398</v>
      </c>
      <c r="V48" s="107">
        <v>62461</v>
      </c>
      <c r="W48" s="107">
        <v>62000</v>
      </c>
      <c r="X48" s="110" t="s">
        <v>5874</v>
      </c>
      <c r="Y48" s="107">
        <v>27000</v>
      </c>
      <c r="Z48" s="92" t="s">
        <v>5866</v>
      </c>
      <c r="AA48" s="93"/>
      <c r="AB48" s="93"/>
      <c r="AC48" s="93"/>
      <c r="AD48" s="93" t="s">
        <v>6020</v>
      </c>
      <c r="AE48" s="93"/>
      <c r="AF48" s="93"/>
      <c r="AG48" s="93"/>
      <c r="AH48" s="93"/>
      <c r="AI48" s="93"/>
      <c r="AK48" s="262" t="s">
        <v>6021</v>
      </c>
      <c r="AL48" s="93"/>
      <c r="AM48" s="93"/>
      <c r="AN48" s="93"/>
      <c r="AO48" s="93"/>
      <c r="AP48" s="93"/>
      <c r="AQ48" s="93"/>
    </row>
    <row r="49" spans="1:43">
      <c r="A49" s="106">
        <v>6</v>
      </c>
      <c r="B49" s="93">
        <v>44</v>
      </c>
      <c r="C49" s="93" t="s">
        <v>5860</v>
      </c>
      <c r="D49" s="93" t="s">
        <v>6022</v>
      </c>
      <c r="E49" s="92" t="s">
        <v>5862</v>
      </c>
      <c r="F49" s="93" t="s">
        <v>6023</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5908</v>
      </c>
      <c r="U49" s="93">
        <v>398</v>
      </c>
      <c r="V49" s="107">
        <v>27923</v>
      </c>
      <c r="W49" s="107">
        <v>28000</v>
      </c>
      <c r="X49" s="110" t="s">
        <v>5874</v>
      </c>
      <c r="Y49" s="107">
        <v>12000</v>
      </c>
      <c r="Z49" s="92" t="s">
        <v>5866</v>
      </c>
      <c r="AA49" s="93"/>
      <c r="AB49" s="93"/>
      <c r="AC49" s="93"/>
      <c r="AD49" s="93" t="s">
        <v>6024</v>
      </c>
      <c r="AE49" s="93"/>
      <c r="AF49" s="93"/>
      <c r="AG49" s="93"/>
      <c r="AH49" s="93"/>
      <c r="AI49" s="93"/>
      <c r="AK49" s="262" t="s">
        <v>181</v>
      </c>
      <c r="AL49" s="93"/>
      <c r="AM49" s="93"/>
      <c r="AN49" s="93"/>
      <c r="AO49" s="93"/>
      <c r="AP49" s="93"/>
      <c r="AQ49" s="93"/>
    </row>
    <row r="50" spans="1:43">
      <c r="A50" s="106">
        <v>6</v>
      </c>
      <c r="B50" s="93">
        <v>45</v>
      </c>
      <c r="C50" s="93" t="s">
        <v>5860</v>
      </c>
      <c r="D50" s="93" t="s">
        <v>6025</v>
      </c>
      <c r="E50" s="92" t="s">
        <v>5862</v>
      </c>
      <c r="F50" s="93" t="s">
        <v>6026</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5864</v>
      </c>
      <c r="U50" s="93">
        <v>398</v>
      </c>
      <c r="V50" s="107">
        <v>19800</v>
      </c>
      <c r="W50" s="107">
        <v>20000</v>
      </c>
      <c r="X50" s="110" t="s">
        <v>5892</v>
      </c>
      <c r="Y50" s="107">
        <v>7000</v>
      </c>
      <c r="Z50" s="92" t="s">
        <v>5866</v>
      </c>
      <c r="AA50" s="93"/>
      <c r="AB50" s="93"/>
      <c r="AC50" s="93"/>
      <c r="AD50" s="93" t="s">
        <v>6027</v>
      </c>
      <c r="AE50" s="93"/>
      <c r="AF50" s="93"/>
      <c r="AG50" s="93"/>
      <c r="AH50" s="93"/>
      <c r="AI50" s="93"/>
      <c r="AK50" s="262" t="s">
        <v>181</v>
      </c>
      <c r="AL50" s="93"/>
      <c r="AM50" s="93"/>
      <c r="AN50" s="93"/>
      <c r="AO50" s="93"/>
      <c r="AP50" s="93"/>
      <c r="AQ50" s="93"/>
    </row>
    <row r="51" spans="1:43">
      <c r="A51" s="106">
        <v>6</v>
      </c>
      <c r="B51" s="93">
        <v>46</v>
      </c>
      <c r="C51" s="93" t="s">
        <v>5860</v>
      </c>
      <c r="D51" s="93" t="s">
        <v>6028</v>
      </c>
      <c r="E51" s="92" t="s">
        <v>5862</v>
      </c>
      <c r="F51" s="93" t="s">
        <v>6029</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5908</v>
      </c>
      <c r="U51" s="93">
        <v>401</v>
      </c>
      <c r="V51" s="107">
        <v>12951</v>
      </c>
      <c r="W51" s="107">
        <v>13000</v>
      </c>
      <c r="X51" s="110" t="s">
        <v>5982</v>
      </c>
      <c r="Y51" s="107">
        <v>6000</v>
      </c>
      <c r="Z51" s="92" t="s">
        <v>5866</v>
      </c>
      <c r="AA51" s="93"/>
      <c r="AB51" s="93"/>
      <c r="AC51" s="93"/>
      <c r="AD51" s="93" t="s">
        <v>6030</v>
      </c>
      <c r="AE51" s="93"/>
      <c r="AF51" s="93"/>
      <c r="AG51" s="93"/>
      <c r="AH51" s="93"/>
      <c r="AI51" s="93"/>
      <c r="AK51" s="262" t="s">
        <v>181</v>
      </c>
      <c r="AL51" s="93"/>
      <c r="AM51" s="93"/>
      <c r="AN51" s="93"/>
      <c r="AO51" s="93"/>
      <c r="AP51" s="93"/>
      <c r="AQ51" s="93"/>
    </row>
    <row r="52" spans="1:43" ht="25.5">
      <c r="A52" s="106">
        <v>6</v>
      </c>
      <c r="B52" s="93">
        <v>47</v>
      </c>
      <c r="C52" s="93" t="s">
        <v>5860</v>
      </c>
      <c r="D52" s="93" t="s">
        <v>6031</v>
      </c>
      <c r="E52" s="92" t="s">
        <v>5862</v>
      </c>
      <c r="F52" s="93" t="s">
        <v>6032</v>
      </c>
      <c r="G52" s="93">
        <v>44.2</v>
      </c>
      <c r="H52" s="93">
        <v>9101</v>
      </c>
      <c r="I52" s="92">
        <v>0</v>
      </c>
      <c r="J52" s="107">
        <v>18000</v>
      </c>
      <c r="K52" s="105">
        <v>5.2395391146149182</v>
      </c>
      <c r="L52" s="108">
        <v>0</v>
      </c>
      <c r="M52" s="97">
        <v>0</v>
      </c>
      <c r="N52" s="93">
        <v>1962</v>
      </c>
      <c r="O52" s="93">
        <v>9120</v>
      </c>
      <c r="P52" s="93">
        <v>0</v>
      </c>
      <c r="Q52" s="93">
        <v>13</v>
      </c>
      <c r="R52" s="93">
        <v>3</v>
      </c>
      <c r="S52" s="93">
        <v>6</v>
      </c>
      <c r="T52" s="92" t="s">
        <v>5864</v>
      </c>
      <c r="U52" s="93">
        <v>398</v>
      </c>
      <c r="V52" s="107">
        <v>41400</v>
      </c>
      <c r="W52" s="107">
        <v>41000</v>
      </c>
      <c r="X52" s="110" t="s">
        <v>5874</v>
      </c>
      <c r="Y52" s="107">
        <v>18000</v>
      </c>
      <c r="Z52" s="92" t="s">
        <v>5866</v>
      </c>
      <c r="AA52" s="93"/>
      <c r="AB52" s="93"/>
      <c r="AC52" s="93"/>
      <c r="AD52" s="93" t="s">
        <v>6033</v>
      </c>
      <c r="AE52" s="93"/>
      <c r="AF52" s="93"/>
      <c r="AG52" s="93"/>
      <c r="AH52" s="93"/>
      <c r="AI52" s="93"/>
      <c r="AK52" s="262" t="s">
        <v>6034</v>
      </c>
      <c r="AL52" s="93"/>
      <c r="AM52" s="93"/>
      <c r="AN52" s="93"/>
      <c r="AO52" s="93"/>
      <c r="AP52" s="93"/>
      <c r="AQ52" s="93"/>
    </row>
    <row r="53" spans="1:43" ht="25.5">
      <c r="A53" s="106">
        <v>6</v>
      </c>
      <c r="B53" s="93">
        <v>48</v>
      </c>
      <c r="C53" s="93" t="s">
        <v>5860</v>
      </c>
      <c r="D53" s="93" t="s">
        <v>6035</v>
      </c>
      <c r="E53" s="92" t="s">
        <v>5862</v>
      </c>
      <c r="F53" s="93" t="s">
        <v>6036</v>
      </c>
      <c r="G53" s="93">
        <v>44.2</v>
      </c>
      <c r="H53" s="93">
        <v>9101</v>
      </c>
      <c r="I53" s="92">
        <v>0</v>
      </c>
      <c r="J53" s="107">
        <v>20000</v>
      </c>
      <c r="K53" s="105">
        <v>2.92</v>
      </c>
      <c r="L53" s="108">
        <v>0</v>
      </c>
      <c r="M53" s="97">
        <v>0</v>
      </c>
      <c r="N53" s="93">
        <v>1969</v>
      </c>
      <c r="O53" s="93">
        <v>2350</v>
      </c>
      <c r="P53" s="93">
        <v>0</v>
      </c>
      <c r="Q53" s="93">
        <v>20</v>
      </c>
      <c r="R53" s="93">
        <v>3</v>
      </c>
      <c r="S53" s="93">
        <v>1</v>
      </c>
      <c r="T53" s="92" t="s">
        <v>5870</v>
      </c>
      <c r="U53" s="93">
        <v>398</v>
      </c>
      <c r="V53" s="107">
        <v>63328</v>
      </c>
      <c r="W53" s="107">
        <v>63000</v>
      </c>
      <c r="X53" s="110" t="s">
        <v>5923</v>
      </c>
      <c r="Y53" s="107">
        <v>20000</v>
      </c>
      <c r="Z53" s="92" t="s">
        <v>5866</v>
      </c>
      <c r="AA53" s="93"/>
      <c r="AB53" s="93"/>
      <c r="AC53" s="93"/>
      <c r="AD53" s="93" t="s">
        <v>181</v>
      </c>
      <c r="AE53" s="93"/>
      <c r="AF53" s="93"/>
      <c r="AG53" s="93"/>
      <c r="AH53" s="93"/>
      <c r="AI53" s="93"/>
      <c r="AK53" s="262" t="s">
        <v>6037</v>
      </c>
      <c r="AL53" s="93"/>
      <c r="AM53" s="93"/>
      <c r="AN53" s="93"/>
      <c r="AO53" s="93"/>
      <c r="AP53" s="93"/>
      <c r="AQ53" s="93"/>
    </row>
    <row r="54" spans="1:43">
      <c r="A54" s="106">
        <v>6</v>
      </c>
      <c r="B54" s="93">
        <v>49</v>
      </c>
      <c r="C54" s="93" t="s">
        <v>5860</v>
      </c>
      <c r="D54" s="93" t="s">
        <v>6038</v>
      </c>
      <c r="E54" s="92" t="s">
        <v>5862</v>
      </c>
      <c r="F54" s="93" t="s">
        <v>6039</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5870</v>
      </c>
      <c r="U54" s="93">
        <v>398</v>
      </c>
      <c r="V54" s="107">
        <v>97473</v>
      </c>
      <c r="W54" s="107">
        <v>97000</v>
      </c>
      <c r="X54" s="110" t="s">
        <v>5982</v>
      </c>
      <c r="Y54" s="107">
        <v>46000</v>
      </c>
      <c r="Z54" s="92" t="s">
        <v>5866</v>
      </c>
      <c r="AA54" s="93"/>
      <c r="AB54" s="93"/>
      <c r="AC54" s="93"/>
      <c r="AD54" s="93" t="s">
        <v>181</v>
      </c>
      <c r="AE54" s="93"/>
      <c r="AF54" s="93"/>
      <c r="AG54" s="93"/>
      <c r="AH54" s="93"/>
      <c r="AI54" s="93"/>
      <c r="AK54" s="262" t="s">
        <v>181</v>
      </c>
      <c r="AL54" s="93"/>
      <c r="AM54" s="93"/>
      <c r="AN54" s="93"/>
      <c r="AO54" s="93"/>
      <c r="AP54" s="93"/>
      <c r="AQ54" s="93"/>
    </row>
    <row r="55" spans="1:43">
      <c r="A55" s="106">
        <v>6</v>
      </c>
      <c r="B55" s="93">
        <v>50</v>
      </c>
      <c r="C55" s="93" t="s">
        <v>5860</v>
      </c>
      <c r="D55" s="93" t="s">
        <v>6040</v>
      </c>
      <c r="E55" s="92" t="s">
        <v>5862</v>
      </c>
      <c r="F55" s="93" t="s">
        <v>6041</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5870</v>
      </c>
      <c r="U55" s="93">
        <v>398</v>
      </c>
      <c r="V55" s="107">
        <v>4383</v>
      </c>
      <c r="W55" s="107">
        <v>4000</v>
      </c>
      <c r="X55" s="110" t="s">
        <v>5952</v>
      </c>
      <c r="Y55" s="107">
        <v>2000</v>
      </c>
      <c r="Z55" s="92" t="s">
        <v>5866</v>
      </c>
      <c r="AA55" s="93"/>
      <c r="AB55" s="93"/>
      <c r="AC55" s="93"/>
      <c r="AD55" s="93" t="s">
        <v>6042</v>
      </c>
      <c r="AE55" s="93"/>
      <c r="AF55" s="93"/>
      <c r="AG55" s="93"/>
      <c r="AH55" s="93"/>
      <c r="AI55" s="93"/>
      <c r="AK55" s="262" t="s">
        <v>181</v>
      </c>
      <c r="AL55" s="93"/>
      <c r="AM55" s="93"/>
      <c r="AN55" s="93"/>
      <c r="AO55" s="93"/>
      <c r="AP55" s="93"/>
      <c r="AQ55" s="93"/>
    </row>
    <row r="56" spans="1:43">
      <c r="A56" s="106">
        <v>6</v>
      </c>
      <c r="B56" s="93">
        <v>51</v>
      </c>
      <c r="C56" s="93" t="s">
        <v>5860</v>
      </c>
      <c r="D56" s="93" t="s">
        <v>6043</v>
      </c>
      <c r="E56" s="92" t="s">
        <v>5862</v>
      </c>
      <c r="F56" s="93" t="s">
        <v>6044</v>
      </c>
      <c r="G56" s="93">
        <v>44.8</v>
      </c>
      <c r="H56" s="93">
        <v>9101</v>
      </c>
      <c r="I56" s="92">
        <v>0</v>
      </c>
      <c r="J56" s="107">
        <v>3567</v>
      </c>
      <c r="K56" s="105">
        <v>12.11101766190076</v>
      </c>
      <c r="L56" s="108">
        <v>0</v>
      </c>
      <c r="M56" s="97">
        <v>0</v>
      </c>
      <c r="N56" s="93">
        <v>2004</v>
      </c>
      <c r="O56" s="93">
        <v>0</v>
      </c>
      <c r="P56" s="93">
        <v>0</v>
      </c>
      <c r="Q56" s="93">
        <v>18</v>
      </c>
      <c r="R56" s="93">
        <v>14</v>
      </c>
      <c r="S56" s="93">
        <v>1</v>
      </c>
      <c r="T56" s="92" t="s">
        <v>5870</v>
      </c>
      <c r="U56" s="93">
        <v>398</v>
      </c>
      <c r="V56" s="107">
        <v>8767</v>
      </c>
      <c r="W56" s="107">
        <v>9000</v>
      </c>
      <c r="X56" s="110" t="s">
        <v>5920</v>
      </c>
      <c r="Y56" s="107">
        <v>4000</v>
      </c>
      <c r="Z56" s="92" t="s">
        <v>5866</v>
      </c>
      <c r="AA56" s="93"/>
      <c r="AB56" s="93"/>
      <c r="AC56" s="93"/>
      <c r="AD56" s="93" t="s">
        <v>6045</v>
      </c>
      <c r="AE56" s="93"/>
      <c r="AF56" s="93"/>
      <c r="AG56" s="93"/>
      <c r="AH56" s="93"/>
      <c r="AI56" s="93"/>
      <c r="AK56" s="262" t="s">
        <v>6046</v>
      </c>
      <c r="AL56" s="93"/>
      <c r="AM56" s="93"/>
      <c r="AN56" s="93"/>
      <c r="AO56" s="93"/>
      <c r="AP56" s="93"/>
      <c r="AQ56" s="93"/>
    </row>
    <row r="57" spans="1:43">
      <c r="A57" s="106">
        <v>6</v>
      </c>
      <c r="B57" s="93">
        <v>52</v>
      </c>
      <c r="C57" s="93" t="s">
        <v>5860</v>
      </c>
      <c r="D57" s="93" t="s">
        <v>6047</v>
      </c>
      <c r="E57" s="92" t="s">
        <v>5862</v>
      </c>
      <c r="F57" s="93" t="s">
        <v>6048</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5870</v>
      </c>
      <c r="U57" s="93">
        <v>398</v>
      </c>
      <c r="V57" s="107">
        <v>3783</v>
      </c>
      <c r="W57" s="107">
        <v>4000</v>
      </c>
      <c r="X57" s="110" t="s">
        <v>5952</v>
      </c>
      <c r="Y57" s="107">
        <v>1000</v>
      </c>
      <c r="Z57" s="92" t="s">
        <v>5866</v>
      </c>
      <c r="AA57" s="93"/>
      <c r="AB57" s="93"/>
      <c r="AC57" s="93"/>
      <c r="AD57" s="93" t="s">
        <v>6049</v>
      </c>
      <c r="AE57" s="93"/>
      <c r="AF57" s="93"/>
      <c r="AG57" s="93"/>
      <c r="AH57" s="93"/>
      <c r="AI57" s="93"/>
      <c r="AK57" s="262" t="s">
        <v>181</v>
      </c>
      <c r="AL57" s="93"/>
      <c r="AM57" s="93"/>
      <c r="AN57" s="93"/>
      <c r="AO57" s="93"/>
      <c r="AP57" s="93"/>
      <c r="AQ57" s="93"/>
    </row>
    <row r="58" spans="1:43">
      <c r="A58" s="106">
        <v>6</v>
      </c>
      <c r="B58" s="93">
        <v>53</v>
      </c>
      <c r="C58" s="93" t="s">
        <v>5860</v>
      </c>
      <c r="D58" s="93" t="s">
        <v>6050</v>
      </c>
      <c r="E58" s="92" t="s">
        <v>5862</v>
      </c>
      <c r="F58" s="93" t="s">
        <v>6048</v>
      </c>
      <c r="G58" s="93">
        <v>44.8</v>
      </c>
      <c r="H58" s="93">
        <v>9101</v>
      </c>
      <c r="I58" s="92">
        <v>0</v>
      </c>
      <c r="J58" s="107">
        <v>1433</v>
      </c>
      <c r="K58" s="105">
        <v>9.0439637124912764</v>
      </c>
      <c r="L58" s="108">
        <v>0</v>
      </c>
      <c r="M58" s="97">
        <v>0</v>
      </c>
      <c r="N58" s="93">
        <v>2007</v>
      </c>
      <c r="O58" s="93">
        <v>0</v>
      </c>
      <c r="P58" s="93">
        <v>0</v>
      </c>
      <c r="Q58" s="93">
        <v>18</v>
      </c>
      <c r="R58" s="93">
        <v>14</v>
      </c>
      <c r="S58" s="93">
        <v>1</v>
      </c>
      <c r="T58" s="92" t="s">
        <v>5870</v>
      </c>
      <c r="U58" s="93">
        <v>398</v>
      </c>
      <c r="V58" s="107">
        <v>3783</v>
      </c>
      <c r="W58" s="107">
        <v>4000</v>
      </c>
      <c r="X58" s="110" t="s">
        <v>5952</v>
      </c>
      <c r="Y58" s="107">
        <v>1000</v>
      </c>
      <c r="Z58" s="92" t="s">
        <v>5866</v>
      </c>
      <c r="AA58" s="93"/>
      <c r="AB58" s="93"/>
      <c r="AC58" s="93"/>
      <c r="AD58" s="93" t="s">
        <v>6051</v>
      </c>
      <c r="AE58" s="93"/>
      <c r="AF58" s="93"/>
      <c r="AG58" s="93"/>
      <c r="AH58" s="93"/>
      <c r="AI58" s="93"/>
      <c r="AK58" s="262" t="s">
        <v>5889</v>
      </c>
      <c r="AL58" s="93"/>
      <c r="AM58" s="93"/>
      <c r="AN58" s="93"/>
      <c r="AO58" s="93"/>
      <c r="AP58" s="93"/>
      <c r="AQ58" s="93"/>
    </row>
    <row r="59" spans="1:43">
      <c r="A59" s="106">
        <v>6</v>
      </c>
      <c r="B59" s="93">
        <v>54</v>
      </c>
      <c r="C59" s="93" t="s">
        <v>5860</v>
      </c>
      <c r="D59" s="93" t="s">
        <v>6052</v>
      </c>
      <c r="E59" s="92" t="s">
        <v>5862</v>
      </c>
      <c r="F59" s="93" t="s">
        <v>6048</v>
      </c>
      <c r="G59" s="93">
        <v>44.8</v>
      </c>
      <c r="H59" s="93">
        <v>9101</v>
      </c>
      <c r="I59" s="92">
        <v>0</v>
      </c>
      <c r="J59" s="107">
        <v>3396</v>
      </c>
      <c r="K59" s="105">
        <v>8.9045936395759711</v>
      </c>
      <c r="L59" s="108">
        <v>0</v>
      </c>
      <c r="M59" s="97">
        <v>0</v>
      </c>
      <c r="N59" s="93">
        <v>2007</v>
      </c>
      <c r="O59" s="93">
        <v>0</v>
      </c>
      <c r="P59" s="93">
        <v>0</v>
      </c>
      <c r="Q59" s="93">
        <v>18</v>
      </c>
      <c r="R59" s="93">
        <v>14</v>
      </c>
      <c r="S59" s="93">
        <v>1</v>
      </c>
      <c r="T59" s="92" t="s">
        <v>5870</v>
      </c>
      <c r="U59" s="93">
        <v>398</v>
      </c>
      <c r="V59" s="107">
        <v>8767</v>
      </c>
      <c r="W59" s="107">
        <v>9000</v>
      </c>
      <c r="X59" s="110" t="s">
        <v>5952</v>
      </c>
      <c r="Y59" s="107">
        <v>3000</v>
      </c>
      <c r="Z59" s="92" t="s">
        <v>5866</v>
      </c>
      <c r="AA59" s="93"/>
      <c r="AB59" s="93"/>
      <c r="AC59" s="93"/>
      <c r="AD59" s="93" t="s">
        <v>6053</v>
      </c>
      <c r="AE59" s="93"/>
      <c r="AF59" s="93"/>
      <c r="AG59" s="93"/>
      <c r="AH59" s="93"/>
      <c r="AI59" s="93"/>
      <c r="AK59" s="262" t="s">
        <v>5889</v>
      </c>
      <c r="AL59" s="93"/>
      <c r="AM59" s="93"/>
      <c r="AN59" s="93"/>
      <c r="AO59" s="93"/>
      <c r="AP59" s="93"/>
      <c r="AQ59" s="93"/>
    </row>
    <row r="60" spans="1:43" ht="25.5">
      <c r="A60" s="106">
        <v>6</v>
      </c>
      <c r="B60" s="93">
        <v>55</v>
      </c>
      <c r="C60" s="93" t="s">
        <v>5860</v>
      </c>
      <c r="D60" s="93" t="s">
        <v>6054</v>
      </c>
      <c r="E60" s="92" t="s">
        <v>5862</v>
      </c>
      <c r="F60" s="93" t="s">
        <v>6055</v>
      </c>
      <c r="G60" s="93">
        <v>44.2</v>
      </c>
      <c r="H60" s="93">
        <v>9101</v>
      </c>
      <c r="I60" s="92">
        <v>0</v>
      </c>
      <c r="J60" s="107">
        <v>61468</v>
      </c>
      <c r="K60" s="105">
        <v>4.3744224637209603</v>
      </c>
      <c r="L60" s="108">
        <v>0</v>
      </c>
      <c r="M60" s="97">
        <v>0</v>
      </c>
      <c r="N60" s="93">
        <v>1962</v>
      </c>
      <c r="O60" s="93">
        <v>9200</v>
      </c>
      <c r="P60" s="93">
        <v>0</v>
      </c>
      <c r="Q60" s="93">
        <v>20</v>
      </c>
      <c r="R60" s="93">
        <v>1</v>
      </c>
      <c r="S60" s="93">
        <v>1</v>
      </c>
      <c r="T60" s="92" t="s">
        <v>5870</v>
      </c>
      <c r="U60" s="93">
        <v>398</v>
      </c>
      <c r="V60" s="107">
        <v>241619</v>
      </c>
      <c r="W60" s="107">
        <v>242000</v>
      </c>
      <c r="X60" s="110" t="s">
        <v>5865</v>
      </c>
      <c r="Y60" s="107">
        <v>61000</v>
      </c>
      <c r="Z60" s="92" t="s">
        <v>5866</v>
      </c>
      <c r="AA60" s="93"/>
      <c r="AB60" s="93"/>
      <c r="AC60" s="93"/>
      <c r="AD60" s="93" t="s">
        <v>181</v>
      </c>
      <c r="AE60" s="93"/>
      <c r="AF60" s="93"/>
      <c r="AG60" s="93"/>
      <c r="AH60" s="93"/>
      <c r="AI60" s="93"/>
      <c r="AK60" s="262" t="s">
        <v>6056</v>
      </c>
      <c r="AL60" s="93"/>
      <c r="AM60" s="93"/>
      <c r="AN60" s="93"/>
      <c r="AO60" s="93"/>
      <c r="AP60" s="93"/>
      <c r="AQ60" s="93"/>
    </row>
    <row r="61" spans="1:43">
      <c r="A61" s="106">
        <v>6</v>
      </c>
      <c r="B61" s="93">
        <v>56</v>
      </c>
      <c r="C61" s="93" t="s">
        <v>5860</v>
      </c>
      <c r="D61" s="93" t="s">
        <v>6057</v>
      </c>
      <c r="E61" s="92" t="s">
        <v>5862</v>
      </c>
      <c r="F61" s="93" t="s">
        <v>6058</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5870</v>
      </c>
      <c r="U61" s="93">
        <v>398</v>
      </c>
      <c r="V61" s="107">
        <v>36853</v>
      </c>
      <c r="W61" s="107">
        <v>37000</v>
      </c>
      <c r="X61" s="110" t="s">
        <v>5920</v>
      </c>
      <c r="Y61" s="107">
        <v>15000</v>
      </c>
      <c r="Z61" s="92" t="s">
        <v>5866</v>
      </c>
      <c r="AA61" s="93"/>
      <c r="AB61" s="93"/>
      <c r="AC61" s="93"/>
      <c r="AD61" s="93" t="s">
        <v>6059</v>
      </c>
      <c r="AE61" s="93"/>
      <c r="AF61" s="93"/>
      <c r="AG61" s="93"/>
      <c r="AH61" s="93"/>
      <c r="AI61" s="93"/>
      <c r="AK61" s="262" t="s">
        <v>5889</v>
      </c>
      <c r="AL61" s="93"/>
      <c r="AM61" s="93"/>
      <c r="AN61" s="93"/>
      <c r="AO61" s="93"/>
      <c r="AP61" s="93"/>
      <c r="AQ61" s="93"/>
    </row>
    <row r="62" spans="1:43">
      <c r="A62" s="106">
        <v>6</v>
      </c>
      <c r="B62" s="93">
        <v>57</v>
      </c>
      <c r="C62" s="93" t="s">
        <v>5860</v>
      </c>
      <c r="D62" s="93" t="s">
        <v>6060</v>
      </c>
      <c r="E62" s="92" t="s">
        <v>5862</v>
      </c>
      <c r="F62" s="93" t="s">
        <v>6061</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5864</v>
      </c>
      <c r="U62" s="93">
        <v>398</v>
      </c>
      <c r="V62" s="107">
        <v>106128</v>
      </c>
      <c r="W62" s="107">
        <v>106000</v>
      </c>
      <c r="X62" s="110" t="s">
        <v>5952</v>
      </c>
      <c r="Y62" s="107">
        <v>40000</v>
      </c>
      <c r="Z62" s="92" t="s">
        <v>5866</v>
      </c>
      <c r="AA62" s="93"/>
      <c r="AB62" s="93"/>
      <c r="AC62" s="93"/>
      <c r="AD62" s="93" t="s">
        <v>6062</v>
      </c>
      <c r="AE62" s="93"/>
      <c r="AF62" s="93"/>
      <c r="AG62" s="93"/>
      <c r="AH62" s="93"/>
      <c r="AI62" s="93"/>
      <c r="AK62" s="262" t="s">
        <v>5889</v>
      </c>
      <c r="AL62" s="93"/>
      <c r="AM62" s="93"/>
      <c r="AN62" s="93"/>
      <c r="AO62" s="93"/>
      <c r="AP62" s="93"/>
      <c r="AQ62" s="93"/>
    </row>
    <row r="63" spans="1:43">
      <c r="A63" s="106">
        <v>6</v>
      </c>
      <c r="B63" s="93">
        <v>58</v>
      </c>
      <c r="C63" s="93" t="s">
        <v>5860</v>
      </c>
      <c r="D63" s="93" t="s">
        <v>6063</v>
      </c>
      <c r="E63" s="92" t="s">
        <v>5862</v>
      </c>
      <c r="F63" s="93" t="s">
        <v>6064</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5908</v>
      </c>
      <c r="U63" s="93">
        <v>398</v>
      </c>
      <c r="V63" s="107">
        <v>38163</v>
      </c>
      <c r="W63" s="107">
        <v>38000</v>
      </c>
      <c r="X63" s="110" t="s">
        <v>6065</v>
      </c>
      <c r="Y63" s="107">
        <v>25000</v>
      </c>
      <c r="Z63" s="92" t="s">
        <v>5866</v>
      </c>
      <c r="AA63" s="93"/>
      <c r="AB63" s="93"/>
      <c r="AC63" s="93"/>
      <c r="AD63" s="93" t="s">
        <v>181</v>
      </c>
      <c r="AE63" s="93"/>
      <c r="AF63" s="93"/>
      <c r="AG63" s="93"/>
      <c r="AH63" s="93"/>
      <c r="AI63" s="93"/>
      <c r="AK63" s="262" t="s">
        <v>5889</v>
      </c>
      <c r="AL63" s="93"/>
      <c r="AM63" s="93"/>
      <c r="AN63" s="93"/>
      <c r="AO63" s="93"/>
      <c r="AP63" s="93"/>
      <c r="AQ63" s="93"/>
    </row>
    <row r="64" spans="1:43">
      <c r="A64" s="106">
        <v>6</v>
      </c>
      <c r="B64" s="93">
        <v>59</v>
      </c>
      <c r="C64" s="93" t="s">
        <v>5860</v>
      </c>
      <c r="D64" s="93" t="s">
        <v>6066</v>
      </c>
      <c r="E64" s="92" t="s">
        <v>5862</v>
      </c>
      <c r="F64" s="93" t="s">
        <v>6067</v>
      </c>
      <c r="G64" s="93">
        <v>44.1</v>
      </c>
      <c r="H64" s="93">
        <v>9101</v>
      </c>
      <c r="I64" s="92">
        <v>0</v>
      </c>
      <c r="J64" s="107">
        <v>29376</v>
      </c>
      <c r="K64" s="105">
        <v>4.1934232026143787</v>
      </c>
      <c r="L64" s="108">
        <v>0</v>
      </c>
      <c r="M64" s="97">
        <v>0</v>
      </c>
      <c r="N64" s="93">
        <v>1971</v>
      </c>
      <c r="O64" s="93">
        <v>5721</v>
      </c>
      <c r="P64" s="93">
        <v>0</v>
      </c>
      <c r="Q64" s="93">
        <v>22</v>
      </c>
      <c r="R64" s="93">
        <v>10</v>
      </c>
      <c r="S64" s="93">
        <v>1</v>
      </c>
      <c r="T64" s="92" t="s">
        <v>5864</v>
      </c>
      <c r="U64" s="93">
        <v>398</v>
      </c>
      <c r="V64" s="107">
        <v>61218</v>
      </c>
      <c r="W64" s="107">
        <v>61000</v>
      </c>
      <c r="X64" s="110" t="s">
        <v>5982</v>
      </c>
      <c r="Y64" s="107">
        <v>29000</v>
      </c>
      <c r="Z64" s="92" t="s">
        <v>5866</v>
      </c>
      <c r="AA64" s="93"/>
      <c r="AB64" s="93"/>
      <c r="AC64" s="93"/>
      <c r="AD64" s="93" t="s">
        <v>181</v>
      </c>
      <c r="AE64" s="93"/>
      <c r="AF64" s="93"/>
      <c r="AG64" s="93"/>
      <c r="AH64" s="93"/>
      <c r="AI64" s="93"/>
      <c r="AK64" s="262" t="s">
        <v>181</v>
      </c>
      <c r="AL64" s="93"/>
      <c r="AM64" s="93"/>
      <c r="AN64" s="93"/>
      <c r="AO64" s="93"/>
      <c r="AP64" s="93"/>
      <c r="AQ64" s="93"/>
    </row>
    <row r="65" spans="1:43">
      <c r="A65" s="106">
        <v>6</v>
      </c>
      <c r="B65" s="93">
        <v>60</v>
      </c>
      <c r="C65" s="93" t="s">
        <v>5860</v>
      </c>
      <c r="D65" s="93" t="s">
        <v>6068</v>
      </c>
      <c r="E65" s="92" t="s">
        <v>5862</v>
      </c>
      <c r="F65" s="93" t="s">
        <v>6069</v>
      </c>
      <c r="G65" s="93">
        <v>44.6</v>
      </c>
      <c r="H65" s="93">
        <v>9101</v>
      </c>
      <c r="I65" s="92">
        <v>0</v>
      </c>
      <c r="J65" s="107">
        <v>63040</v>
      </c>
      <c r="K65" s="105">
        <v>8.1231102486574311</v>
      </c>
      <c r="L65" s="108">
        <v>0</v>
      </c>
      <c r="M65" s="97">
        <v>0</v>
      </c>
      <c r="N65" s="93">
        <v>1982</v>
      </c>
      <c r="O65" s="93">
        <v>9601</v>
      </c>
      <c r="P65" s="93">
        <v>0</v>
      </c>
      <c r="Q65" s="93">
        <v>14</v>
      </c>
      <c r="R65" s="93">
        <v>14</v>
      </c>
      <c r="S65" s="93">
        <v>1</v>
      </c>
      <c r="T65" s="92" t="s">
        <v>5870</v>
      </c>
      <c r="U65" s="93">
        <v>398</v>
      </c>
      <c r="V65" s="107">
        <v>129650</v>
      </c>
      <c r="W65" s="107">
        <v>130000</v>
      </c>
      <c r="X65" s="110" t="s">
        <v>5982</v>
      </c>
      <c r="Y65" s="107">
        <v>63000</v>
      </c>
      <c r="Z65" s="92" t="s">
        <v>5866</v>
      </c>
      <c r="AA65" s="93"/>
      <c r="AB65" s="93"/>
      <c r="AC65" s="93"/>
      <c r="AD65" s="93" t="s">
        <v>6070</v>
      </c>
      <c r="AE65" s="93"/>
      <c r="AF65" s="93"/>
      <c r="AG65" s="93"/>
      <c r="AH65" s="93"/>
      <c r="AI65" s="93"/>
      <c r="AK65" s="262" t="s">
        <v>181</v>
      </c>
      <c r="AL65" s="93"/>
      <c r="AM65" s="93"/>
      <c r="AN65" s="93"/>
      <c r="AO65" s="93"/>
      <c r="AP65" s="93"/>
      <c r="AQ65" s="93"/>
    </row>
    <row r="66" spans="1:43">
      <c r="A66" s="106">
        <v>6</v>
      </c>
      <c r="B66" s="93">
        <v>61</v>
      </c>
      <c r="C66" s="93" t="s">
        <v>5860</v>
      </c>
      <c r="D66" s="93" t="s">
        <v>6071</v>
      </c>
      <c r="E66" s="92" t="s">
        <v>5862</v>
      </c>
      <c r="F66" s="93" t="s">
        <v>6072</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5908</v>
      </c>
      <c r="U66" s="93">
        <v>398</v>
      </c>
      <c r="V66" s="107">
        <v>11375</v>
      </c>
      <c r="W66" s="107">
        <v>11000</v>
      </c>
      <c r="X66" s="110" t="s">
        <v>5896</v>
      </c>
      <c r="Y66" s="107">
        <v>7000</v>
      </c>
      <c r="Z66" s="92" t="s">
        <v>5866</v>
      </c>
      <c r="AA66" s="93"/>
      <c r="AB66" s="93"/>
      <c r="AC66" s="93"/>
      <c r="AD66" s="93" t="s">
        <v>181</v>
      </c>
      <c r="AE66" s="93"/>
      <c r="AF66" s="93"/>
      <c r="AG66" s="93"/>
      <c r="AH66" s="93"/>
      <c r="AI66" s="93"/>
      <c r="AK66" s="262" t="s">
        <v>5889</v>
      </c>
      <c r="AL66" s="93"/>
      <c r="AM66" s="93"/>
      <c r="AN66" s="93"/>
      <c r="AO66" s="93"/>
      <c r="AP66" s="93"/>
      <c r="AQ66" s="93"/>
    </row>
    <row r="67" spans="1:43">
      <c r="A67" s="106">
        <v>6</v>
      </c>
      <c r="B67" s="93">
        <v>62</v>
      </c>
      <c r="C67" s="93" t="s">
        <v>5860</v>
      </c>
      <c r="D67" s="93" t="s">
        <v>6073</v>
      </c>
      <c r="E67" s="92" t="s">
        <v>5862</v>
      </c>
      <c r="F67" s="93" t="s">
        <v>6074</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6075</v>
      </c>
      <c r="U67" s="93">
        <v>398</v>
      </c>
      <c r="V67" s="107">
        <v>149373</v>
      </c>
      <c r="W67" s="107">
        <v>149000</v>
      </c>
      <c r="X67" s="110" t="s">
        <v>5878</v>
      </c>
      <c r="Y67" s="107">
        <v>63000</v>
      </c>
      <c r="Z67" s="92" t="s">
        <v>6076</v>
      </c>
      <c r="AA67" s="93"/>
      <c r="AB67" s="93"/>
      <c r="AC67" s="93"/>
      <c r="AD67" s="93" t="s">
        <v>181</v>
      </c>
      <c r="AE67" s="93"/>
      <c r="AF67" s="93"/>
      <c r="AG67" s="93"/>
      <c r="AH67" s="93"/>
      <c r="AI67" s="93"/>
      <c r="AK67" s="262" t="s">
        <v>181</v>
      </c>
      <c r="AL67" s="93"/>
      <c r="AM67" s="93"/>
      <c r="AN67" s="93"/>
      <c r="AO67" s="93"/>
      <c r="AP67" s="93"/>
      <c r="AQ67" s="93"/>
    </row>
    <row r="68" spans="1:43" ht="25.5">
      <c r="A68" s="106">
        <v>6</v>
      </c>
      <c r="B68" s="93">
        <v>63</v>
      </c>
      <c r="C68" s="93" t="s">
        <v>5860</v>
      </c>
      <c r="D68" s="93" t="s">
        <v>6077</v>
      </c>
      <c r="E68" s="92" t="s">
        <v>5862</v>
      </c>
      <c r="F68" s="93" t="s">
        <v>6078</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5870</v>
      </c>
      <c r="U68" s="93">
        <v>398</v>
      </c>
      <c r="V68" s="107">
        <v>219619</v>
      </c>
      <c r="W68" s="107">
        <v>220000</v>
      </c>
      <c r="X68" s="110" t="s">
        <v>5982</v>
      </c>
      <c r="Y68" s="107">
        <v>105000</v>
      </c>
      <c r="Z68" s="92" t="s">
        <v>5866</v>
      </c>
      <c r="AA68" s="93"/>
      <c r="AB68" s="93"/>
      <c r="AC68" s="93"/>
      <c r="AD68" s="93" t="s">
        <v>6079</v>
      </c>
      <c r="AE68" s="93"/>
      <c r="AF68" s="93"/>
      <c r="AG68" s="93"/>
      <c r="AH68" s="93"/>
      <c r="AI68" s="93"/>
      <c r="AK68" s="262" t="s">
        <v>6080</v>
      </c>
      <c r="AL68" s="93"/>
      <c r="AM68" s="93"/>
      <c r="AN68" s="93"/>
      <c r="AO68" s="93"/>
      <c r="AP68" s="93"/>
      <c r="AQ68" s="93"/>
    </row>
    <row r="69" spans="1:43">
      <c r="A69" s="106">
        <v>6</v>
      </c>
      <c r="B69" s="93">
        <v>64</v>
      </c>
      <c r="C69" s="93" t="s">
        <v>5860</v>
      </c>
      <c r="D69" s="93" t="s">
        <v>6081</v>
      </c>
      <c r="E69" s="92" t="s">
        <v>5862</v>
      </c>
      <c r="F69" s="93" t="s">
        <v>6082</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5870</v>
      </c>
      <c r="U69" s="93">
        <v>398</v>
      </c>
      <c r="V69" s="107">
        <v>45325</v>
      </c>
      <c r="W69" s="107">
        <v>45000</v>
      </c>
      <c r="X69" s="110" t="s">
        <v>5874</v>
      </c>
      <c r="Y69" s="107">
        <v>20000</v>
      </c>
      <c r="Z69" s="92" t="s">
        <v>5866</v>
      </c>
      <c r="AA69" s="93"/>
      <c r="AB69" s="93"/>
      <c r="AC69" s="93"/>
      <c r="AD69" s="93" t="s">
        <v>6083</v>
      </c>
      <c r="AE69" s="93"/>
      <c r="AF69" s="93"/>
      <c r="AG69" s="93"/>
      <c r="AH69" s="93"/>
      <c r="AI69" s="93"/>
      <c r="AK69" s="262" t="s">
        <v>5889</v>
      </c>
      <c r="AL69" s="93"/>
      <c r="AM69" s="93"/>
      <c r="AN69" s="93"/>
      <c r="AO69" s="93"/>
      <c r="AP69" s="93"/>
      <c r="AQ69" s="93"/>
    </row>
    <row r="70" spans="1:43" ht="25.5">
      <c r="A70" s="106">
        <v>6</v>
      </c>
      <c r="B70" s="93">
        <v>65</v>
      </c>
      <c r="C70" s="93" t="s">
        <v>5860</v>
      </c>
      <c r="D70" s="93" t="s">
        <v>6084</v>
      </c>
      <c r="E70" s="92" t="s">
        <v>5862</v>
      </c>
      <c r="F70" s="93" t="s">
        <v>6085</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5870</v>
      </c>
      <c r="U70" s="93">
        <v>398</v>
      </c>
      <c r="V70" s="107">
        <v>32585</v>
      </c>
      <c r="W70" s="107">
        <v>33000</v>
      </c>
      <c r="X70" s="110" t="s">
        <v>5985</v>
      </c>
      <c r="Y70" s="107">
        <v>12000</v>
      </c>
      <c r="Z70" s="92" t="s">
        <v>5866</v>
      </c>
      <c r="AA70" s="93"/>
      <c r="AB70" s="93"/>
      <c r="AC70" s="93"/>
      <c r="AD70" s="93" t="s">
        <v>5879</v>
      </c>
      <c r="AE70" s="93"/>
      <c r="AF70" s="93"/>
      <c r="AG70" s="93"/>
      <c r="AH70" s="93"/>
      <c r="AI70" s="93"/>
      <c r="AK70" s="262" t="s">
        <v>6086</v>
      </c>
      <c r="AL70" s="93"/>
      <c r="AM70" s="93"/>
      <c r="AN70" s="93"/>
      <c r="AO70" s="93"/>
      <c r="AP70" s="93"/>
      <c r="AQ70" s="93"/>
    </row>
    <row r="71" spans="1:43">
      <c r="A71" s="106">
        <v>6</v>
      </c>
      <c r="B71" s="93">
        <v>66</v>
      </c>
      <c r="C71" s="93" t="s">
        <v>5860</v>
      </c>
      <c r="D71" s="93" t="s">
        <v>6087</v>
      </c>
      <c r="E71" s="92" t="s">
        <v>5862</v>
      </c>
      <c r="F71" s="93" t="s">
        <v>6088</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5870</v>
      </c>
      <c r="U71" s="93">
        <v>398</v>
      </c>
      <c r="V71" s="107">
        <v>25300</v>
      </c>
      <c r="W71" s="107">
        <v>25000</v>
      </c>
      <c r="X71" s="110" t="s">
        <v>5874</v>
      </c>
      <c r="Y71" s="107">
        <v>11000</v>
      </c>
      <c r="Z71" s="92" t="s">
        <v>5866</v>
      </c>
      <c r="AA71" s="93"/>
      <c r="AB71" s="93"/>
      <c r="AC71" s="93"/>
      <c r="AD71" s="93" t="s">
        <v>181</v>
      </c>
      <c r="AE71" s="93"/>
      <c r="AF71" s="93"/>
      <c r="AG71" s="93"/>
      <c r="AH71" s="93"/>
      <c r="AI71" s="93"/>
      <c r="AK71" s="262" t="s">
        <v>181</v>
      </c>
      <c r="AL71" s="93"/>
      <c r="AM71" s="93"/>
      <c r="AN71" s="93"/>
      <c r="AO71" s="93"/>
      <c r="AP71" s="93"/>
      <c r="AQ71" s="93"/>
    </row>
    <row r="72" spans="1:43">
      <c r="A72" s="106">
        <v>6</v>
      </c>
      <c r="B72" s="93">
        <v>67</v>
      </c>
      <c r="C72" s="93" t="s">
        <v>5860</v>
      </c>
      <c r="D72" s="93" t="s">
        <v>6089</v>
      </c>
      <c r="E72" s="92" t="s">
        <v>5862</v>
      </c>
      <c r="F72" s="93" t="s">
        <v>6090</v>
      </c>
      <c r="G72" s="93">
        <v>44.2</v>
      </c>
      <c r="H72" s="93">
        <v>9102</v>
      </c>
      <c r="I72" s="92">
        <v>0</v>
      </c>
      <c r="J72" s="107">
        <v>22922</v>
      </c>
      <c r="K72" s="105">
        <v>4.4847744524910569</v>
      </c>
      <c r="L72" s="108">
        <v>0</v>
      </c>
      <c r="M72" s="97">
        <v>0</v>
      </c>
      <c r="N72" s="93">
        <v>1985</v>
      </c>
      <c r="O72" s="93">
        <v>2168</v>
      </c>
      <c r="P72" s="93">
        <v>0</v>
      </c>
      <c r="Q72" s="93">
        <v>20</v>
      </c>
      <c r="R72" s="93">
        <v>10</v>
      </c>
      <c r="S72" s="93">
        <v>1</v>
      </c>
      <c r="T72" s="92" t="s">
        <v>5870</v>
      </c>
      <c r="U72" s="93">
        <v>398</v>
      </c>
      <c r="V72" s="107">
        <v>40700</v>
      </c>
      <c r="W72" s="107">
        <v>41000</v>
      </c>
      <c r="X72" s="110" t="s">
        <v>6091</v>
      </c>
      <c r="Y72" s="107">
        <v>23000</v>
      </c>
      <c r="Z72" s="92" t="s">
        <v>5963</v>
      </c>
      <c r="AA72" s="93"/>
      <c r="AB72" s="93"/>
      <c r="AC72" s="93"/>
      <c r="AD72" s="93" t="s">
        <v>6092</v>
      </c>
      <c r="AE72" s="93"/>
      <c r="AF72" s="93"/>
      <c r="AG72" s="93"/>
      <c r="AH72" s="93"/>
      <c r="AI72" s="93"/>
      <c r="AK72" s="262" t="s">
        <v>181</v>
      </c>
      <c r="AL72" s="93"/>
      <c r="AM72" s="93"/>
      <c r="AN72" s="93"/>
      <c r="AO72" s="93"/>
      <c r="AP72" s="93"/>
      <c r="AQ72" s="93"/>
    </row>
    <row r="73" spans="1:43">
      <c r="A73" s="106">
        <v>6</v>
      </c>
      <c r="B73" s="93">
        <v>68</v>
      </c>
      <c r="C73" s="93" t="s">
        <v>5860</v>
      </c>
      <c r="D73" s="93" t="s">
        <v>6093</v>
      </c>
      <c r="E73" s="92" t="s">
        <v>5862</v>
      </c>
      <c r="F73" s="93" t="s">
        <v>6094</v>
      </c>
      <c r="G73" s="93">
        <v>44.1</v>
      </c>
      <c r="H73" s="93">
        <v>9102</v>
      </c>
      <c r="I73" s="92">
        <v>0</v>
      </c>
      <c r="J73" s="107">
        <v>14848</v>
      </c>
      <c r="K73" s="105">
        <v>5.4507677801724137</v>
      </c>
      <c r="L73" s="108">
        <v>0</v>
      </c>
      <c r="M73" s="97">
        <v>0</v>
      </c>
      <c r="N73" s="93">
        <v>1969</v>
      </c>
      <c r="O73" s="93">
        <v>1239</v>
      </c>
      <c r="P73" s="93">
        <v>0</v>
      </c>
      <c r="Q73" s="93">
        <v>22</v>
      </c>
      <c r="R73" s="93">
        <v>8</v>
      </c>
      <c r="S73" s="93">
        <v>1</v>
      </c>
      <c r="T73" s="92" t="s">
        <v>5870</v>
      </c>
      <c r="U73" s="93">
        <v>398</v>
      </c>
      <c r="V73" s="107">
        <v>44000</v>
      </c>
      <c r="W73" s="107">
        <v>44000</v>
      </c>
      <c r="X73" s="110" t="s">
        <v>5971</v>
      </c>
      <c r="Y73" s="107">
        <v>15000</v>
      </c>
      <c r="Z73" s="92" t="s">
        <v>5866</v>
      </c>
      <c r="AA73" s="93"/>
      <c r="AB73" s="93"/>
      <c r="AC73" s="93"/>
      <c r="AD73" s="93" t="s">
        <v>6095</v>
      </c>
      <c r="AE73" s="93"/>
      <c r="AF73" s="93"/>
      <c r="AG73" s="93"/>
      <c r="AH73" s="93"/>
      <c r="AI73" s="93"/>
      <c r="AK73" s="262" t="s">
        <v>181</v>
      </c>
      <c r="AL73" s="93"/>
      <c r="AM73" s="93"/>
      <c r="AN73" s="93"/>
      <c r="AO73" s="93"/>
      <c r="AP73" s="93"/>
      <c r="AQ73" s="93"/>
    </row>
    <row r="74" spans="1:43">
      <c r="A74" s="106">
        <v>6</v>
      </c>
      <c r="B74" s="93">
        <v>69</v>
      </c>
      <c r="C74" s="93" t="s">
        <v>5860</v>
      </c>
      <c r="D74" s="93" t="s">
        <v>6096</v>
      </c>
      <c r="E74" s="92" t="s">
        <v>5862</v>
      </c>
      <c r="F74" s="93" t="s">
        <v>6097</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5870</v>
      </c>
      <c r="U74" s="93">
        <v>398</v>
      </c>
      <c r="V74" s="107">
        <v>25100</v>
      </c>
      <c r="W74" s="107">
        <v>25000</v>
      </c>
      <c r="X74" s="110" t="s">
        <v>5878</v>
      </c>
      <c r="Y74" s="107">
        <v>11000</v>
      </c>
      <c r="Z74" s="92" t="s">
        <v>5866</v>
      </c>
      <c r="AA74" s="93"/>
      <c r="AB74" s="93"/>
      <c r="AC74" s="93"/>
      <c r="AD74" s="93" t="s">
        <v>6098</v>
      </c>
      <c r="AE74" s="93"/>
      <c r="AF74" s="93"/>
      <c r="AG74" s="93"/>
      <c r="AH74" s="93"/>
      <c r="AI74" s="93"/>
      <c r="AK74" s="262" t="s">
        <v>181</v>
      </c>
      <c r="AL74" s="93"/>
      <c r="AM74" s="93"/>
      <c r="AN74" s="93"/>
      <c r="AO74" s="93"/>
      <c r="AP74" s="93"/>
      <c r="AQ74" s="93"/>
    </row>
    <row r="75" spans="1:43" ht="25.5">
      <c r="A75" s="106">
        <v>6</v>
      </c>
      <c r="B75" s="93">
        <v>70</v>
      </c>
      <c r="C75" s="93" t="s">
        <v>5860</v>
      </c>
      <c r="D75" s="93" t="s">
        <v>6099</v>
      </c>
      <c r="E75" s="92" t="s">
        <v>5862</v>
      </c>
      <c r="F75" s="93" t="s">
        <v>6100</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5870</v>
      </c>
      <c r="U75" s="93">
        <v>398</v>
      </c>
      <c r="V75" s="107">
        <v>43000</v>
      </c>
      <c r="W75" s="107">
        <v>43000</v>
      </c>
      <c r="X75" s="110" t="s">
        <v>5982</v>
      </c>
      <c r="Y75" s="107">
        <v>20000</v>
      </c>
      <c r="Z75" s="92" t="s">
        <v>5866</v>
      </c>
      <c r="AA75" s="93"/>
      <c r="AB75" s="93"/>
      <c r="AC75" s="93"/>
      <c r="AD75" s="93" t="s">
        <v>181</v>
      </c>
      <c r="AE75" s="93"/>
      <c r="AF75" s="93"/>
      <c r="AG75" s="93"/>
      <c r="AH75" s="93"/>
      <c r="AI75" s="93"/>
      <c r="AK75" s="262" t="s">
        <v>6101</v>
      </c>
      <c r="AL75" s="93"/>
      <c r="AM75" s="93"/>
      <c r="AN75" s="93"/>
      <c r="AO75" s="93"/>
      <c r="AP75" s="93"/>
      <c r="AQ75" s="93"/>
    </row>
    <row r="76" spans="1:43">
      <c r="A76" s="106">
        <v>6</v>
      </c>
      <c r="B76" s="93">
        <v>71</v>
      </c>
      <c r="C76" s="93" t="s">
        <v>5860</v>
      </c>
      <c r="D76" s="93" t="s">
        <v>6102</v>
      </c>
      <c r="E76" s="92" t="s">
        <v>5862</v>
      </c>
      <c r="F76" s="93" t="s">
        <v>6103</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6104</v>
      </c>
      <c r="U76" s="93">
        <v>398</v>
      </c>
      <c r="V76" s="107">
        <v>489526</v>
      </c>
      <c r="W76" s="107">
        <v>490000</v>
      </c>
      <c r="X76" s="110" t="s">
        <v>5920</v>
      </c>
      <c r="Y76" s="107">
        <v>198000</v>
      </c>
      <c r="Z76" s="92" t="s">
        <v>5866</v>
      </c>
      <c r="AA76" s="93"/>
      <c r="AB76" s="93"/>
      <c r="AC76" s="93"/>
      <c r="AD76" s="93" t="s">
        <v>6105</v>
      </c>
      <c r="AE76" s="93"/>
      <c r="AF76" s="93"/>
      <c r="AG76" s="93"/>
      <c r="AH76" s="93"/>
      <c r="AI76" s="93"/>
      <c r="AK76" s="262" t="s">
        <v>181</v>
      </c>
      <c r="AL76" s="93"/>
      <c r="AM76" s="93"/>
      <c r="AN76" s="93"/>
      <c r="AO76" s="93"/>
      <c r="AP76" s="93"/>
      <c r="AQ76" s="93"/>
    </row>
    <row r="77" spans="1:43" ht="25.5">
      <c r="A77" s="106">
        <v>6</v>
      </c>
      <c r="B77" s="93">
        <v>72</v>
      </c>
      <c r="C77" s="93" t="s">
        <v>5860</v>
      </c>
      <c r="D77" s="93" t="s">
        <v>6102</v>
      </c>
      <c r="E77" s="92" t="s">
        <v>5862</v>
      </c>
      <c r="F77" s="93" t="s">
        <v>6103</v>
      </c>
      <c r="G77" s="93">
        <v>44.4</v>
      </c>
      <c r="H77" s="93">
        <v>9102</v>
      </c>
      <c r="I77" s="92">
        <v>0</v>
      </c>
      <c r="J77" s="107">
        <v>198000</v>
      </c>
      <c r="K77" s="105">
        <v>7.65</v>
      </c>
      <c r="L77" s="108">
        <v>0.21</v>
      </c>
      <c r="M77" s="97">
        <v>0</v>
      </c>
      <c r="N77" s="93">
        <v>1997</v>
      </c>
      <c r="O77" s="93">
        <v>38420</v>
      </c>
      <c r="P77" s="93">
        <v>0</v>
      </c>
      <c r="Q77" s="93">
        <v>26</v>
      </c>
      <c r="R77" s="93">
        <v>14</v>
      </c>
      <c r="S77" s="93">
        <v>9</v>
      </c>
      <c r="T77" s="92" t="s">
        <v>6104</v>
      </c>
      <c r="U77" s="93">
        <v>398</v>
      </c>
      <c r="V77" s="107">
        <v>489526</v>
      </c>
      <c r="W77" s="107">
        <v>490000</v>
      </c>
      <c r="X77" s="110" t="s">
        <v>5920</v>
      </c>
      <c r="Y77" s="107">
        <v>198000</v>
      </c>
      <c r="Z77" s="92" t="s">
        <v>5866</v>
      </c>
      <c r="AA77" s="93"/>
      <c r="AB77" s="93"/>
      <c r="AC77" s="93"/>
      <c r="AD77" s="93" t="s">
        <v>6105</v>
      </c>
      <c r="AE77" s="93"/>
      <c r="AF77" s="93"/>
      <c r="AG77" s="93"/>
      <c r="AH77" s="93"/>
      <c r="AI77" s="93"/>
      <c r="AK77" s="262" t="s">
        <v>6106</v>
      </c>
      <c r="AL77" s="93"/>
      <c r="AM77" s="93"/>
      <c r="AN77" s="93"/>
      <c r="AO77" s="93"/>
      <c r="AP77" s="93"/>
      <c r="AQ77" s="93"/>
    </row>
    <row r="78" spans="1:43">
      <c r="A78" s="106">
        <v>6</v>
      </c>
      <c r="B78" s="93">
        <v>73</v>
      </c>
      <c r="C78" s="93" t="s">
        <v>5860</v>
      </c>
      <c r="D78" s="93" t="s">
        <v>6107</v>
      </c>
      <c r="E78" s="92" t="s">
        <v>5862</v>
      </c>
      <c r="F78" s="93" t="s">
        <v>6108</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5870</v>
      </c>
      <c r="U78" s="93">
        <v>398</v>
      </c>
      <c r="V78" s="107">
        <v>255000</v>
      </c>
      <c r="W78" s="107">
        <v>255000</v>
      </c>
      <c r="X78" s="110" t="s">
        <v>5982</v>
      </c>
      <c r="Y78" s="107">
        <v>121000</v>
      </c>
      <c r="Z78" s="92" t="s">
        <v>5866</v>
      </c>
      <c r="AA78" s="93"/>
      <c r="AB78" s="93"/>
      <c r="AC78" s="93"/>
      <c r="AD78" s="93" t="s">
        <v>6109</v>
      </c>
      <c r="AE78" s="93"/>
      <c r="AF78" s="93"/>
      <c r="AG78" s="93"/>
      <c r="AH78" s="93"/>
      <c r="AI78" s="93"/>
      <c r="AK78" s="262" t="s">
        <v>181</v>
      </c>
      <c r="AL78" s="93"/>
      <c r="AM78" s="93"/>
      <c r="AN78" s="93"/>
      <c r="AO78" s="93"/>
      <c r="AP78" s="93"/>
      <c r="AQ78" s="93"/>
    </row>
    <row r="79" spans="1:43">
      <c r="A79" s="106">
        <v>6</v>
      </c>
      <c r="B79" s="93">
        <v>74</v>
      </c>
      <c r="C79" s="93" t="s">
        <v>5860</v>
      </c>
      <c r="D79" s="93" t="s">
        <v>6110</v>
      </c>
      <c r="E79" s="92" t="s">
        <v>5862</v>
      </c>
      <c r="F79" s="93" t="s">
        <v>6111</v>
      </c>
      <c r="G79" s="93">
        <v>44.1</v>
      </c>
      <c r="H79" s="93">
        <v>9104</v>
      </c>
      <c r="I79" s="92">
        <v>0</v>
      </c>
      <c r="J79" s="107">
        <v>25095</v>
      </c>
      <c r="K79" s="105">
        <v>16.580992229527791</v>
      </c>
      <c r="L79" s="108">
        <v>0</v>
      </c>
      <c r="M79" s="97">
        <v>0</v>
      </c>
      <c r="N79" s="93">
        <v>1990</v>
      </c>
      <c r="O79" s="93">
        <v>6866</v>
      </c>
      <c r="P79" s="93">
        <v>0</v>
      </c>
      <c r="Q79" s="93">
        <v>19</v>
      </c>
      <c r="R79" s="93">
        <v>3</v>
      </c>
      <c r="S79" s="93">
        <v>1</v>
      </c>
      <c r="T79" s="92" t="s">
        <v>5870</v>
      </c>
      <c r="U79" s="93">
        <v>398</v>
      </c>
      <c r="V79" s="107">
        <v>45240</v>
      </c>
      <c r="W79" s="107">
        <v>45000</v>
      </c>
      <c r="X79" s="110" t="s">
        <v>6091</v>
      </c>
      <c r="Y79" s="107">
        <v>25000</v>
      </c>
      <c r="Z79" s="92" t="s">
        <v>5866</v>
      </c>
      <c r="AA79" s="93"/>
      <c r="AB79" s="93"/>
      <c r="AC79" s="93"/>
      <c r="AD79" s="93" t="s">
        <v>6112</v>
      </c>
      <c r="AE79" s="93"/>
      <c r="AF79" s="93"/>
      <c r="AG79" s="93"/>
      <c r="AH79" s="93"/>
      <c r="AI79" s="93"/>
      <c r="AK79" s="262" t="s">
        <v>5893</v>
      </c>
      <c r="AL79" s="93"/>
      <c r="AM79" s="93"/>
      <c r="AN79" s="93"/>
      <c r="AO79" s="93"/>
      <c r="AP79" s="93"/>
      <c r="AQ79" s="93"/>
    </row>
    <row r="80" spans="1:43">
      <c r="A80" s="106">
        <v>6</v>
      </c>
      <c r="B80" s="93">
        <v>75</v>
      </c>
      <c r="C80" s="93" t="s">
        <v>5860</v>
      </c>
      <c r="D80" s="93" t="s">
        <v>6113</v>
      </c>
      <c r="E80" s="92" t="s">
        <v>5862</v>
      </c>
      <c r="F80" s="93" t="s">
        <v>6114</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5870</v>
      </c>
      <c r="U80" s="93">
        <v>398</v>
      </c>
      <c r="V80" s="107">
        <v>38408</v>
      </c>
      <c r="W80" s="107">
        <v>38000</v>
      </c>
      <c r="X80" s="110" t="s">
        <v>5923</v>
      </c>
      <c r="Y80" s="107">
        <v>12000</v>
      </c>
      <c r="Z80" s="92" t="s">
        <v>5866</v>
      </c>
      <c r="AA80" s="93"/>
      <c r="AB80" s="93"/>
      <c r="AC80" s="93"/>
      <c r="AD80" s="93" t="s">
        <v>5879</v>
      </c>
      <c r="AE80" s="93"/>
      <c r="AF80" s="93"/>
      <c r="AG80" s="93"/>
      <c r="AH80" s="93"/>
      <c r="AI80" s="93"/>
      <c r="AK80" s="262" t="s">
        <v>181</v>
      </c>
      <c r="AL80" s="93"/>
      <c r="AM80" s="93"/>
      <c r="AN80" s="93"/>
      <c r="AO80" s="93"/>
      <c r="AP80" s="93"/>
      <c r="AQ80" s="93"/>
    </row>
    <row r="81" spans="1:43">
      <c r="A81" s="106">
        <v>6</v>
      </c>
      <c r="B81" s="93">
        <v>76</v>
      </c>
      <c r="C81" s="93" t="s">
        <v>5860</v>
      </c>
      <c r="D81" s="93" t="s">
        <v>6115</v>
      </c>
      <c r="E81" s="92" t="s">
        <v>5862</v>
      </c>
      <c r="F81" s="93" t="s">
        <v>6116</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5870</v>
      </c>
      <c r="U81" s="93">
        <v>398</v>
      </c>
      <c r="V81" s="107">
        <v>23918</v>
      </c>
      <c r="W81" s="107">
        <v>24000</v>
      </c>
      <c r="X81" s="110" t="s">
        <v>5971</v>
      </c>
      <c r="Y81" s="107">
        <v>8000</v>
      </c>
      <c r="Z81" s="92" t="s">
        <v>5866</v>
      </c>
      <c r="AA81" s="93"/>
      <c r="AB81" s="93"/>
      <c r="AC81" s="93"/>
      <c r="AD81" s="93" t="s">
        <v>181</v>
      </c>
      <c r="AE81" s="93"/>
      <c r="AF81" s="93"/>
      <c r="AG81" s="93"/>
      <c r="AH81" s="93"/>
      <c r="AI81" s="93"/>
      <c r="AK81" s="262" t="s">
        <v>5889</v>
      </c>
      <c r="AL81" s="93"/>
      <c r="AM81" s="93"/>
      <c r="AN81" s="93"/>
      <c r="AO81" s="93"/>
      <c r="AP81" s="93"/>
      <c r="AQ81" s="93"/>
    </row>
    <row r="82" spans="1:43" ht="25.5">
      <c r="A82" s="106">
        <v>6</v>
      </c>
      <c r="B82" s="93">
        <v>77</v>
      </c>
      <c r="C82" s="93" t="s">
        <v>5860</v>
      </c>
      <c r="D82" s="93" t="s">
        <v>6117</v>
      </c>
      <c r="E82" s="92" t="s">
        <v>5862</v>
      </c>
      <c r="F82" s="93" t="s">
        <v>6118</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5870</v>
      </c>
      <c r="U82" s="93">
        <v>398</v>
      </c>
      <c r="V82" s="107">
        <v>99319</v>
      </c>
      <c r="W82" s="107">
        <v>99000</v>
      </c>
      <c r="X82" s="110" t="s">
        <v>6091</v>
      </c>
      <c r="Y82" s="107">
        <v>55000</v>
      </c>
      <c r="Z82" s="92" t="s">
        <v>5866</v>
      </c>
      <c r="AA82" s="93"/>
      <c r="AB82" s="93"/>
      <c r="AC82" s="93"/>
      <c r="AD82" s="93" t="s">
        <v>6119</v>
      </c>
      <c r="AE82" s="93"/>
      <c r="AF82" s="93"/>
      <c r="AG82" s="93"/>
      <c r="AH82" s="93"/>
      <c r="AI82" s="93"/>
      <c r="AK82" s="262" t="s">
        <v>6120</v>
      </c>
      <c r="AL82" s="93"/>
      <c r="AM82" s="93"/>
      <c r="AN82" s="93"/>
      <c r="AO82" s="93"/>
      <c r="AP82" s="93"/>
      <c r="AQ82" s="93"/>
    </row>
    <row r="83" spans="1:43">
      <c r="A83" s="106">
        <v>6</v>
      </c>
      <c r="B83" s="93">
        <v>78</v>
      </c>
      <c r="C83" s="93" t="s">
        <v>5860</v>
      </c>
      <c r="D83" s="93" t="s">
        <v>6121</v>
      </c>
      <c r="E83" s="92" t="s">
        <v>5862</v>
      </c>
      <c r="F83" s="93" t="s">
        <v>6122</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5870</v>
      </c>
      <c r="U83" s="93">
        <v>398</v>
      </c>
      <c r="V83" s="107">
        <v>40511</v>
      </c>
      <c r="W83" s="107">
        <v>41000</v>
      </c>
      <c r="X83" s="110" t="s">
        <v>6123</v>
      </c>
      <c r="Y83" s="107">
        <v>9000</v>
      </c>
      <c r="Z83" s="92" t="s">
        <v>5866</v>
      </c>
      <c r="AA83" s="93"/>
      <c r="AB83" s="93"/>
      <c r="AC83" s="93"/>
      <c r="AD83" s="93" t="s">
        <v>181</v>
      </c>
      <c r="AE83" s="93"/>
      <c r="AF83" s="93"/>
      <c r="AG83" s="93"/>
      <c r="AH83" s="93"/>
      <c r="AI83" s="93"/>
      <c r="AK83" s="262" t="s">
        <v>6124</v>
      </c>
      <c r="AL83" s="93"/>
      <c r="AM83" s="93"/>
      <c r="AN83" s="93"/>
      <c r="AO83" s="93"/>
      <c r="AP83" s="93"/>
      <c r="AQ83" s="93"/>
    </row>
    <row r="84" spans="1:43">
      <c r="A84" s="106">
        <v>6</v>
      </c>
      <c r="B84" s="93">
        <v>79</v>
      </c>
      <c r="C84" s="93" t="s">
        <v>5860</v>
      </c>
      <c r="D84" s="93" t="s">
        <v>6125</v>
      </c>
      <c r="E84" s="92" t="s">
        <v>5862</v>
      </c>
      <c r="F84" s="93" t="s">
        <v>6126</v>
      </c>
      <c r="G84" s="93">
        <v>44.1</v>
      </c>
      <c r="H84" s="93">
        <v>9101</v>
      </c>
      <c r="I84" s="92">
        <v>0</v>
      </c>
      <c r="J84" s="107">
        <v>5495</v>
      </c>
      <c r="K84" s="105">
        <v>4.660054595086442</v>
      </c>
      <c r="L84" s="108">
        <v>0</v>
      </c>
      <c r="M84" s="97">
        <v>0</v>
      </c>
      <c r="N84" s="93">
        <v>1946</v>
      </c>
      <c r="O84" s="93">
        <v>4847</v>
      </c>
      <c r="P84" s="93">
        <v>0</v>
      </c>
      <c r="Q84" s="93">
        <v>13</v>
      </c>
      <c r="R84" s="93">
        <v>1</v>
      </c>
      <c r="S84" s="93">
        <v>1</v>
      </c>
      <c r="T84" s="92" t="s">
        <v>6127</v>
      </c>
      <c r="U84" s="93">
        <v>398</v>
      </c>
      <c r="V84" s="107">
        <v>6500</v>
      </c>
      <c r="W84" s="107">
        <v>7000</v>
      </c>
      <c r="X84" s="110" t="s">
        <v>6128</v>
      </c>
      <c r="Y84" s="107">
        <v>5000</v>
      </c>
      <c r="Z84" s="92" t="s">
        <v>5866</v>
      </c>
      <c r="AA84" s="93"/>
      <c r="AB84" s="93"/>
      <c r="AC84" s="93"/>
      <c r="AD84" s="93" t="s">
        <v>181</v>
      </c>
      <c r="AE84" s="93"/>
      <c r="AF84" s="93"/>
      <c r="AG84" s="93"/>
      <c r="AH84" s="93"/>
      <c r="AI84" s="93"/>
      <c r="AK84" s="262" t="s">
        <v>6129</v>
      </c>
      <c r="AL84" s="93"/>
      <c r="AM84" s="93"/>
      <c r="AN84" s="93"/>
      <c r="AO84" s="93"/>
      <c r="AP84" s="93"/>
      <c r="AQ84" s="93"/>
    </row>
    <row r="85" spans="1:43">
      <c r="A85" s="106">
        <v>6</v>
      </c>
      <c r="B85" s="93">
        <v>80</v>
      </c>
      <c r="C85" s="93" t="s">
        <v>5860</v>
      </c>
      <c r="D85" s="93" t="s">
        <v>6130</v>
      </c>
      <c r="E85" s="92" t="s">
        <v>5862</v>
      </c>
      <c r="F85" s="93" t="s">
        <v>6131</v>
      </c>
      <c r="G85" s="93">
        <v>44.1</v>
      </c>
      <c r="H85" s="93">
        <v>9201</v>
      </c>
      <c r="I85" s="92">
        <v>0</v>
      </c>
      <c r="J85" s="107">
        <v>4066</v>
      </c>
      <c r="K85" s="105">
        <v>3.9</v>
      </c>
      <c r="L85" s="108">
        <v>0</v>
      </c>
      <c r="M85" s="97">
        <v>0</v>
      </c>
      <c r="N85" s="93">
        <v>1985</v>
      </c>
      <c r="O85" s="93">
        <v>0</v>
      </c>
      <c r="P85" s="93">
        <v>0</v>
      </c>
      <c r="Q85" s="93">
        <v>16</v>
      </c>
      <c r="R85" s="93">
        <v>7</v>
      </c>
      <c r="S85" s="93">
        <v>1</v>
      </c>
      <c r="T85" s="92" t="s">
        <v>5908</v>
      </c>
      <c r="U85" s="93">
        <v>398</v>
      </c>
      <c r="V85" s="107">
        <v>13211</v>
      </c>
      <c r="W85" s="107">
        <v>13000</v>
      </c>
      <c r="X85" s="110" t="s">
        <v>5923</v>
      </c>
      <c r="Y85" s="107">
        <v>4000</v>
      </c>
      <c r="Z85" s="92" t="s">
        <v>5866</v>
      </c>
      <c r="AA85" s="93"/>
      <c r="AB85" s="93"/>
      <c r="AC85" s="93"/>
      <c r="AD85" s="93" t="s">
        <v>5904</v>
      </c>
      <c r="AE85" s="93"/>
      <c r="AF85" s="93"/>
      <c r="AG85" s="93"/>
      <c r="AH85" s="93"/>
      <c r="AI85" s="93"/>
      <c r="AK85" s="262" t="s">
        <v>6129</v>
      </c>
      <c r="AL85" s="93"/>
      <c r="AM85" s="93"/>
      <c r="AN85" s="93"/>
      <c r="AO85" s="93"/>
      <c r="AP85" s="93"/>
      <c r="AQ85" s="93"/>
    </row>
    <row r="86" spans="1:43" ht="25.5">
      <c r="A86" s="106">
        <v>6</v>
      </c>
      <c r="B86" s="93">
        <v>81</v>
      </c>
      <c r="C86" s="93" t="s">
        <v>5860</v>
      </c>
      <c r="D86" s="93" t="s">
        <v>6132</v>
      </c>
      <c r="E86" s="92" t="s">
        <v>5862</v>
      </c>
      <c r="F86" s="93" t="s">
        <v>6133</v>
      </c>
      <c r="G86" s="93">
        <v>44.1</v>
      </c>
      <c r="H86" s="93">
        <v>9201</v>
      </c>
      <c r="I86" s="92">
        <v>0</v>
      </c>
      <c r="J86" s="107">
        <v>7272</v>
      </c>
      <c r="K86" s="105">
        <v>3.45</v>
      </c>
      <c r="L86" s="108">
        <v>0</v>
      </c>
      <c r="M86" s="97">
        <v>0</v>
      </c>
      <c r="N86" s="93">
        <v>1959</v>
      </c>
      <c r="O86" s="93">
        <v>2304</v>
      </c>
      <c r="P86" s="93">
        <v>0</v>
      </c>
      <c r="Q86" s="93">
        <v>10</v>
      </c>
      <c r="R86" s="93">
        <v>7</v>
      </c>
      <c r="S86" s="93">
        <v>1</v>
      </c>
      <c r="T86" s="92" t="s">
        <v>5908</v>
      </c>
      <c r="U86" s="93">
        <v>398</v>
      </c>
      <c r="V86" s="107">
        <v>53111</v>
      </c>
      <c r="W86" s="107">
        <v>53000</v>
      </c>
      <c r="X86" s="110" t="s">
        <v>6134</v>
      </c>
      <c r="Y86" s="107">
        <v>7000</v>
      </c>
      <c r="Z86" s="92" t="s">
        <v>5866</v>
      </c>
      <c r="AA86" s="93"/>
      <c r="AB86" s="93"/>
      <c r="AC86" s="93"/>
      <c r="AD86" s="93" t="s">
        <v>6135</v>
      </c>
      <c r="AE86" s="93"/>
      <c r="AF86" s="93"/>
      <c r="AG86" s="93"/>
      <c r="AH86" s="93"/>
      <c r="AI86" s="93"/>
      <c r="AK86" s="262" t="s">
        <v>6136</v>
      </c>
      <c r="AL86" s="93"/>
      <c r="AM86" s="93"/>
      <c r="AN86" s="93"/>
      <c r="AO86" s="93"/>
      <c r="AP86" s="93"/>
      <c r="AQ86" s="93"/>
    </row>
    <row r="87" spans="1:43">
      <c r="A87" s="106">
        <v>6</v>
      </c>
      <c r="B87" s="93">
        <v>82</v>
      </c>
      <c r="C87" s="93" t="s">
        <v>5860</v>
      </c>
      <c r="D87" s="93" t="s">
        <v>6137</v>
      </c>
      <c r="E87" s="92" t="s">
        <v>5862</v>
      </c>
      <c r="F87" s="93" t="s">
        <v>6138</v>
      </c>
      <c r="G87" s="93">
        <v>44.1</v>
      </c>
      <c r="H87" s="93">
        <v>9201</v>
      </c>
      <c r="I87" s="92">
        <v>0</v>
      </c>
      <c r="J87" s="107">
        <v>15699</v>
      </c>
      <c r="K87" s="105">
        <v>4.5862793808522833</v>
      </c>
      <c r="L87" s="108">
        <v>0</v>
      </c>
      <c r="M87" s="97">
        <v>0</v>
      </c>
      <c r="N87" s="93">
        <v>1964</v>
      </c>
      <c r="O87" s="93">
        <v>778</v>
      </c>
      <c r="P87" s="93">
        <v>0</v>
      </c>
      <c r="Q87" s="93">
        <v>17</v>
      </c>
      <c r="R87" s="93">
        <v>3</v>
      </c>
      <c r="S87" s="93">
        <v>1</v>
      </c>
      <c r="T87" s="92" t="s">
        <v>5908</v>
      </c>
      <c r="U87" s="93">
        <v>398</v>
      </c>
      <c r="V87" s="107">
        <v>25000</v>
      </c>
      <c r="W87" s="107">
        <v>25000</v>
      </c>
      <c r="X87" s="110" t="s">
        <v>5896</v>
      </c>
      <c r="Y87" s="107">
        <v>16000</v>
      </c>
      <c r="Z87" s="92" t="s">
        <v>5866</v>
      </c>
      <c r="AA87" s="93"/>
      <c r="AB87" s="93"/>
      <c r="AC87" s="93"/>
      <c r="AD87" s="93" t="s">
        <v>181</v>
      </c>
      <c r="AE87" s="93"/>
      <c r="AF87" s="93"/>
      <c r="AG87" s="93"/>
      <c r="AH87" s="93"/>
      <c r="AI87" s="93"/>
      <c r="AK87" s="262" t="s">
        <v>181</v>
      </c>
      <c r="AL87" s="93"/>
      <c r="AM87" s="93"/>
      <c r="AN87" s="93"/>
      <c r="AO87" s="93"/>
      <c r="AP87" s="93"/>
      <c r="AQ87" s="93"/>
    </row>
    <row r="88" spans="1:43" ht="25.5">
      <c r="A88" s="106">
        <v>6</v>
      </c>
      <c r="B88" s="93">
        <v>83</v>
      </c>
      <c r="C88" s="93" t="s">
        <v>5860</v>
      </c>
      <c r="D88" s="93" t="s">
        <v>6139</v>
      </c>
      <c r="E88" s="92" t="s">
        <v>5862</v>
      </c>
      <c r="F88" s="93" t="s">
        <v>6140</v>
      </c>
      <c r="G88" s="93">
        <v>44.1</v>
      </c>
      <c r="H88" s="93">
        <v>9201</v>
      </c>
      <c r="I88" s="92">
        <v>0</v>
      </c>
      <c r="J88" s="107">
        <v>37440</v>
      </c>
      <c r="K88" s="105">
        <v>6.1858974358974361</v>
      </c>
      <c r="L88" s="108">
        <v>0</v>
      </c>
      <c r="M88" s="97">
        <v>0</v>
      </c>
      <c r="N88" s="93">
        <v>1970</v>
      </c>
      <c r="O88" s="93">
        <v>8400</v>
      </c>
      <c r="P88" s="93">
        <v>0</v>
      </c>
      <c r="Q88" s="93">
        <v>15</v>
      </c>
      <c r="R88" s="93">
        <v>7</v>
      </c>
      <c r="S88" s="93">
        <v>1</v>
      </c>
      <c r="T88" s="92" t="s">
        <v>5908</v>
      </c>
      <c r="U88" s="93">
        <v>398</v>
      </c>
      <c r="V88" s="107">
        <v>81300</v>
      </c>
      <c r="W88" s="107">
        <v>81000</v>
      </c>
      <c r="X88" s="110" t="s">
        <v>5928</v>
      </c>
      <c r="Y88" s="107">
        <v>37000</v>
      </c>
      <c r="Z88" s="92" t="s">
        <v>5866</v>
      </c>
      <c r="AA88" s="93"/>
      <c r="AB88" s="93"/>
      <c r="AC88" s="93"/>
      <c r="AD88" s="93" t="s">
        <v>6141</v>
      </c>
      <c r="AE88" s="93"/>
      <c r="AF88" s="93"/>
      <c r="AG88" s="93"/>
      <c r="AH88" s="93"/>
      <c r="AI88" s="93"/>
      <c r="AK88" s="262" t="s">
        <v>6142</v>
      </c>
      <c r="AL88" s="93"/>
      <c r="AM88" s="93"/>
      <c r="AN88" s="93"/>
      <c r="AO88" s="93"/>
      <c r="AP88" s="93"/>
      <c r="AQ88" s="93"/>
    </row>
    <row r="89" spans="1:43" ht="25.5">
      <c r="A89" s="106">
        <v>6</v>
      </c>
      <c r="B89" s="93">
        <v>84</v>
      </c>
      <c r="C89" s="93" t="s">
        <v>5860</v>
      </c>
      <c r="D89" s="93" t="s">
        <v>6143</v>
      </c>
      <c r="E89" s="92" t="s">
        <v>5862</v>
      </c>
      <c r="F89" s="93" t="s">
        <v>6144</v>
      </c>
      <c r="G89" s="93">
        <v>44.2</v>
      </c>
      <c r="H89" s="93">
        <v>9201</v>
      </c>
      <c r="I89" s="92">
        <v>0</v>
      </c>
      <c r="J89" s="107">
        <v>24250</v>
      </c>
      <c r="K89" s="105">
        <v>3.562886597938145</v>
      </c>
      <c r="L89" s="108">
        <v>0</v>
      </c>
      <c r="M89" s="97">
        <v>0</v>
      </c>
      <c r="N89" s="93">
        <v>1963</v>
      </c>
      <c r="O89" s="93">
        <v>2784</v>
      </c>
      <c r="P89" s="93">
        <v>0</v>
      </c>
      <c r="Q89" s="93">
        <v>14</v>
      </c>
      <c r="R89" s="93">
        <v>3</v>
      </c>
      <c r="S89" s="93">
        <v>5</v>
      </c>
      <c r="T89" s="92" t="s">
        <v>5908</v>
      </c>
      <c r="U89" s="93">
        <v>398</v>
      </c>
      <c r="V89" s="107">
        <v>58000</v>
      </c>
      <c r="W89" s="107">
        <v>58000</v>
      </c>
      <c r="X89" s="110" t="s">
        <v>5878</v>
      </c>
      <c r="Y89" s="107">
        <v>24000</v>
      </c>
      <c r="Z89" s="92" t="s">
        <v>5866</v>
      </c>
      <c r="AA89" s="93"/>
      <c r="AB89" s="93"/>
      <c r="AC89" s="93"/>
      <c r="AD89" s="93" t="s">
        <v>6145</v>
      </c>
      <c r="AE89" s="93"/>
      <c r="AF89" s="93"/>
      <c r="AG89" s="93"/>
      <c r="AH89" s="93"/>
      <c r="AI89" s="93"/>
      <c r="AK89" s="262" t="s">
        <v>6146</v>
      </c>
      <c r="AL89" s="93"/>
      <c r="AM89" s="93"/>
      <c r="AN89" s="93"/>
      <c r="AO89" s="93"/>
      <c r="AP89" s="93"/>
      <c r="AQ89" s="93"/>
    </row>
    <row r="90" spans="1:43">
      <c r="A90" s="106">
        <v>6</v>
      </c>
      <c r="B90" s="93">
        <v>85</v>
      </c>
      <c r="C90" s="93" t="s">
        <v>5860</v>
      </c>
      <c r="D90" s="93" t="s">
        <v>6147</v>
      </c>
      <c r="E90" s="92" t="s">
        <v>5862</v>
      </c>
      <c r="F90" s="93" t="s">
        <v>6148</v>
      </c>
      <c r="G90" s="93">
        <v>44.1</v>
      </c>
      <c r="H90" s="93">
        <v>9201</v>
      </c>
      <c r="I90" s="92">
        <v>0</v>
      </c>
      <c r="J90" s="107">
        <v>29787</v>
      </c>
      <c r="K90" s="105">
        <v>5.2371840064457649</v>
      </c>
      <c r="L90" s="108">
        <v>0</v>
      </c>
      <c r="M90" s="97">
        <v>0</v>
      </c>
      <c r="N90" s="93">
        <v>1983</v>
      </c>
      <c r="O90" s="93">
        <v>1063</v>
      </c>
      <c r="P90" s="93">
        <v>0</v>
      </c>
      <c r="Q90" s="93">
        <v>18</v>
      </c>
      <c r="R90" s="93">
        <v>10</v>
      </c>
      <c r="S90" s="93">
        <v>1</v>
      </c>
      <c r="T90" s="92" t="s">
        <v>5908</v>
      </c>
      <c r="U90" s="93">
        <v>398</v>
      </c>
      <c r="V90" s="107">
        <v>130639</v>
      </c>
      <c r="W90" s="107">
        <v>131000</v>
      </c>
      <c r="X90" s="110" t="s">
        <v>6123</v>
      </c>
      <c r="Y90" s="107">
        <v>30000</v>
      </c>
      <c r="Z90" s="92" t="s">
        <v>5866</v>
      </c>
      <c r="AA90" s="93"/>
      <c r="AB90" s="93"/>
      <c r="AC90" s="93"/>
      <c r="AD90" s="93" t="s">
        <v>6149</v>
      </c>
      <c r="AE90" s="93"/>
      <c r="AF90" s="93"/>
      <c r="AG90" s="93"/>
      <c r="AH90" s="93"/>
      <c r="AI90" s="93"/>
      <c r="AK90" s="262" t="s">
        <v>5889</v>
      </c>
      <c r="AL90" s="93"/>
      <c r="AM90" s="93"/>
      <c r="AN90" s="93"/>
      <c r="AO90" s="93"/>
      <c r="AP90" s="93"/>
      <c r="AQ90" s="93"/>
    </row>
    <row r="91" spans="1:43">
      <c r="A91" s="106">
        <v>6</v>
      </c>
      <c r="B91" s="93">
        <v>86</v>
      </c>
      <c r="C91" s="93" t="s">
        <v>5860</v>
      </c>
      <c r="D91" s="93" t="s">
        <v>6150</v>
      </c>
      <c r="E91" s="92" t="s">
        <v>5862</v>
      </c>
      <c r="F91" s="93" t="s">
        <v>6151</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5908</v>
      </c>
      <c r="U91" s="93">
        <v>398</v>
      </c>
      <c r="V91" s="107">
        <v>45515</v>
      </c>
      <c r="W91" s="107">
        <v>46000</v>
      </c>
      <c r="X91" s="110" t="s">
        <v>5903</v>
      </c>
      <c r="Y91" s="107">
        <v>24000</v>
      </c>
      <c r="Z91" s="92" t="s">
        <v>5866</v>
      </c>
      <c r="AA91" s="93"/>
      <c r="AB91" s="93"/>
      <c r="AC91" s="93"/>
      <c r="AD91" s="93" t="s">
        <v>6152</v>
      </c>
      <c r="AE91" s="93"/>
      <c r="AF91" s="93"/>
      <c r="AG91" s="93"/>
      <c r="AH91" s="93"/>
      <c r="AI91" s="93"/>
      <c r="AK91" s="262" t="s">
        <v>181</v>
      </c>
      <c r="AL91" s="93"/>
      <c r="AM91" s="93"/>
      <c r="AN91" s="93"/>
      <c r="AO91" s="93"/>
      <c r="AP91" s="93"/>
      <c r="AQ91" s="93"/>
    </row>
    <row r="92" spans="1:43" ht="25.5">
      <c r="A92" s="106">
        <v>6</v>
      </c>
      <c r="B92" s="93">
        <v>87</v>
      </c>
      <c r="C92" s="93" t="s">
        <v>5860</v>
      </c>
      <c r="D92" s="93" t="s">
        <v>6153</v>
      </c>
      <c r="E92" s="92" t="s">
        <v>5862</v>
      </c>
      <c r="F92" s="93" t="s">
        <v>6154</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5908</v>
      </c>
      <c r="U92" s="93">
        <v>398</v>
      </c>
      <c r="V92" s="107">
        <v>34314</v>
      </c>
      <c r="W92" s="107">
        <v>34000</v>
      </c>
      <c r="X92" s="110" t="s">
        <v>6155</v>
      </c>
      <c r="Y92" s="107">
        <v>9000</v>
      </c>
      <c r="Z92" s="92" t="s">
        <v>5866</v>
      </c>
      <c r="AA92" s="93"/>
      <c r="AB92" s="93"/>
      <c r="AC92" s="93"/>
      <c r="AD92" s="93" t="s">
        <v>6156</v>
      </c>
      <c r="AE92" s="93"/>
      <c r="AF92" s="93"/>
      <c r="AG92" s="93"/>
      <c r="AH92" s="93"/>
      <c r="AI92" s="93"/>
      <c r="AK92" s="262" t="s">
        <v>6157</v>
      </c>
      <c r="AL92" s="93"/>
      <c r="AM92" s="93"/>
      <c r="AN92" s="93"/>
      <c r="AO92" s="93"/>
      <c r="AP92" s="93"/>
      <c r="AQ92" s="93"/>
    </row>
    <row r="93" spans="1:43" ht="25.5">
      <c r="A93" s="106">
        <v>6</v>
      </c>
      <c r="B93" s="93">
        <v>88</v>
      </c>
      <c r="C93" s="93" t="s">
        <v>5860</v>
      </c>
      <c r="D93" s="93" t="s">
        <v>6158</v>
      </c>
      <c r="E93" s="92" t="s">
        <v>5862</v>
      </c>
      <c r="F93" s="93" t="s">
        <v>6159</v>
      </c>
      <c r="G93" s="93">
        <v>45.6</v>
      </c>
      <c r="H93" s="93">
        <v>9201</v>
      </c>
      <c r="I93" s="92">
        <v>0</v>
      </c>
      <c r="J93" s="107">
        <v>15977</v>
      </c>
      <c r="K93" s="105">
        <v>10.640295424672971</v>
      </c>
      <c r="L93" s="108">
        <v>0</v>
      </c>
      <c r="M93" s="97">
        <v>0</v>
      </c>
      <c r="N93" s="93">
        <v>1956</v>
      </c>
      <c r="O93" s="93">
        <v>851</v>
      </c>
      <c r="P93" s="93">
        <v>0</v>
      </c>
      <c r="Q93" s="93">
        <v>15</v>
      </c>
      <c r="R93" s="93">
        <v>1</v>
      </c>
      <c r="S93" s="93">
        <v>1</v>
      </c>
      <c r="T93" s="92" t="s">
        <v>5908</v>
      </c>
      <c r="U93" s="93">
        <v>401</v>
      </c>
      <c r="V93" s="107">
        <v>31600</v>
      </c>
      <c r="W93" s="107">
        <v>32000</v>
      </c>
      <c r="X93" s="110" t="s">
        <v>5995</v>
      </c>
      <c r="Y93" s="107">
        <v>16000</v>
      </c>
      <c r="Z93" s="92" t="s">
        <v>5866</v>
      </c>
      <c r="AA93" s="93"/>
      <c r="AB93" s="93"/>
      <c r="AC93" s="93"/>
      <c r="AD93" s="93" t="s">
        <v>6160</v>
      </c>
      <c r="AE93" s="93"/>
      <c r="AF93" s="93"/>
      <c r="AG93" s="93"/>
      <c r="AH93" s="93"/>
      <c r="AI93" s="93"/>
      <c r="AK93" s="262" t="s">
        <v>6161</v>
      </c>
      <c r="AL93" s="93"/>
      <c r="AM93" s="93"/>
      <c r="AN93" s="93"/>
      <c r="AO93" s="93"/>
      <c r="AP93" s="93"/>
      <c r="AQ93" s="93"/>
    </row>
    <row r="94" spans="1:43">
      <c r="A94" s="106">
        <v>6</v>
      </c>
      <c r="B94" s="93">
        <v>89</v>
      </c>
      <c r="C94" s="93" t="s">
        <v>5860</v>
      </c>
      <c r="D94" s="93" t="s">
        <v>6162</v>
      </c>
      <c r="E94" s="92" t="s">
        <v>5862</v>
      </c>
      <c r="F94" s="93" t="s">
        <v>6163</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5908</v>
      </c>
      <c r="U94" s="93">
        <v>353</v>
      </c>
      <c r="V94" s="107">
        <v>6711</v>
      </c>
      <c r="W94" s="107">
        <v>7000</v>
      </c>
      <c r="X94" s="110" t="s">
        <v>5874</v>
      </c>
      <c r="Y94" s="107">
        <v>3000</v>
      </c>
      <c r="Z94" s="92" t="s">
        <v>5866</v>
      </c>
      <c r="AA94" s="93"/>
      <c r="AB94" s="93"/>
      <c r="AC94" s="93"/>
      <c r="AD94" s="93" t="s">
        <v>181</v>
      </c>
      <c r="AE94" s="93"/>
      <c r="AF94" s="93"/>
      <c r="AG94" s="93"/>
      <c r="AH94" s="93"/>
      <c r="AI94" s="93"/>
      <c r="AK94" s="262" t="s">
        <v>181</v>
      </c>
      <c r="AL94" s="93"/>
      <c r="AM94" s="93"/>
      <c r="AN94" s="93"/>
      <c r="AO94" s="93"/>
      <c r="AP94" s="93"/>
      <c r="AQ94" s="93"/>
    </row>
    <row r="95" spans="1:43">
      <c r="A95" s="106">
        <v>6</v>
      </c>
      <c r="B95" s="93">
        <v>90</v>
      </c>
      <c r="C95" s="93" t="s">
        <v>5860</v>
      </c>
      <c r="D95" s="93" t="s">
        <v>6164</v>
      </c>
      <c r="E95" s="92" t="s">
        <v>5862</v>
      </c>
      <c r="F95" s="93" t="s">
        <v>6165</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5870</v>
      </c>
      <c r="U95" s="93">
        <v>398</v>
      </c>
      <c r="V95" s="107">
        <v>286723</v>
      </c>
      <c r="W95" s="107">
        <v>287000</v>
      </c>
      <c r="X95" s="110" t="s">
        <v>5995</v>
      </c>
      <c r="Y95" s="107">
        <v>143000</v>
      </c>
      <c r="Z95" s="92" t="s">
        <v>5866</v>
      </c>
      <c r="AA95" s="93"/>
      <c r="AB95" s="93"/>
      <c r="AC95" s="93"/>
      <c r="AD95" s="93" t="s">
        <v>6166</v>
      </c>
      <c r="AE95" s="93"/>
      <c r="AF95" s="93"/>
      <c r="AG95" s="93"/>
      <c r="AH95" s="93"/>
      <c r="AI95" s="93"/>
      <c r="AK95" s="262" t="s">
        <v>6167</v>
      </c>
      <c r="AL95" s="93"/>
      <c r="AM95" s="93"/>
      <c r="AN95" s="93"/>
      <c r="AO95" s="93"/>
      <c r="AP95" s="93"/>
      <c r="AQ95" s="93"/>
    </row>
    <row r="96" spans="1:43">
      <c r="A96" s="106">
        <v>6</v>
      </c>
      <c r="B96" s="93">
        <v>91</v>
      </c>
      <c r="C96" s="93" t="s">
        <v>5860</v>
      </c>
      <c r="D96" s="93" t="s">
        <v>6168</v>
      </c>
      <c r="E96" s="92" t="s">
        <v>5862</v>
      </c>
      <c r="F96" s="93" t="s">
        <v>6169</v>
      </c>
      <c r="G96" s="93">
        <v>44.2</v>
      </c>
      <c r="H96" s="93">
        <v>9201</v>
      </c>
      <c r="I96" s="92">
        <v>0</v>
      </c>
      <c r="J96" s="107">
        <v>2304</v>
      </c>
      <c r="K96" s="105">
        <v>5.208333333333333</v>
      </c>
      <c r="L96" s="108">
        <v>0</v>
      </c>
      <c r="M96" s="97">
        <v>0</v>
      </c>
      <c r="N96" s="93">
        <v>2000</v>
      </c>
      <c r="O96" s="93">
        <v>0</v>
      </c>
      <c r="P96" s="93">
        <v>0</v>
      </c>
      <c r="Q96" s="93">
        <v>13</v>
      </c>
      <c r="R96" s="93">
        <v>3</v>
      </c>
      <c r="S96" s="93">
        <v>1</v>
      </c>
      <c r="T96" s="92" t="s">
        <v>5908</v>
      </c>
      <c r="U96" s="93">
        <v>398</v>
      </c>
      <c r="V96" s="107">
        <v>15000</v>
      </c>
      <c r="W96" s="107">
        <v>15000</v>
      </c>
      <c r="X96" s="110" t="s">
        <v>6170</v>
      </c>
      <c r="Y96" s="107">
        <v>2000</v>
      </c>
      <c r="Z96" s="92" t="s">
        <v>5866</v>
      </c>
      <c r="AA96" s="93"/>
      <c r="AB96" s="93"/>
      <c r="AC96" s="93"/>
      <c r="AD96" s="93" t="s">
        <v>5904</v>
      </c>
      <c r="AE96" s="93"/>
      <c r="AF96" s="93"/>
      <c r="AG96" s="93"/>
      <c r="AH96" s="93"/>
      <c r="AI96" s="93"/>
      <c r="AK96" s="262" t="s">
        <v>181</v>
      </c>
      <c r="AL96" s="93"/>
      <c r="AM96" s="93"/>
      <c r="AN96" s="93"/>
      <c r="AO96" s="93"/>
      <c r="AP96" s="93"/>
      <c r="AQ96" s="93"/>
    </row>
    <row r="97" spans="1:43">
      <c r="A97" s="106">
        <v>6</v>
      </c>
      <c r="B97" s="93">
        <v>92</v>
      </c>
      <c r="C97" s="93" t="s">
        <v>5860</v>
      </c>
      <c r="D97" s="93" t="s">
        <v>6171</v>
      </c>
      <c r="E97" s="92" t="s">
        <v>5862</v>
      </c>
      <c r="F97" s="93" t="s">
        <v>6172</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5870</v>
      </c>
      <c r="U97" s="93">
        <v>398</v>
      </c>
      <c r="V97" s="107">
        <v>144374</v>
      </c>
      <c r="W97" s="107">
        <v>144000</v>
      </c>
      <c r="X97" s="110" t="s">
        <v>6173</v>
      </c>
      <c r="Y97" s="107">
        <v>28000</v>
      </c>
      <c r="Z97" s="92" t="s">
        <v>5866</v>
      </c>
      <c r="AA97" s="93"/>
      <c r="AB97" s="93"/>
      <c r="AC97" s="93"/>
      <c r="AD97" s="93" t="s">
        <v>5904</v>
      </c>
      <c r="AE97" s="93"/>
      <c r="AF97" s="93"/>
      <c r="AG97" s="93"/>
      <c r="AH97" s="93"/>
      <c r="AI97" s="93"/>
      <c r="AK97" s="262" t="s">
        <v>181</v>
      </c>
      <c r="AL97" s="93"/>
      <c r="AM97" s="93"/>
      <c r="AN97" s="93"/>
      <c r="AO97" s="93"/>
      <c r="AP97" s="93"/>
      <c r="AQ97" s="93"/>
    </row>
    <row r="98" spans="1:43">
      <c r="A98" s="106">
        <v>6</v>
      </c>
      <c r="B98" s="93">
        <v>93</v>
      </c>
      <c r="C98" s="93" t="s">
        <v>5860</v>
      </c>
      <c r="D98" s="93" t="s">
        <v>6174</v>
      </c>
      <c r="E98" s="92" t="s">
        <v>5862</v>
      </c>
      <c r="F98" s="93" t="s">
        <v>6175</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5870</v>
      </c>
      <c r="U98" s="93">
        <v>398</v>
      </c>
      <c r="V98" s="107">
        <v>240000</v>
      </c>
      <c r="W98" s="107">
        <v>240000</v>
      </c>
      <c r="X98" s="110" t="s">
        <v>5928</v>
      </c>
      <c r="Y98" s="107">
        <v>109000</v>
      </c>
      <c r="Z98" s="92" t="s">
        <v>5866</v>
      </c>
      <c r="AA98" s="93"/>
      <c r="AB98" s="93"/>
      <c r="AC98" s="93"/>
      <c r="AD98" s="93" t="s">
        <v>6176</v>
      </c>
      <c r="AE98" s="93"/>
      <c r="AF98" s="93"/>
      <c r="AG98" s="93"/>
      <c r="AH98" s="93"/>
      <c r="AI98" s="93"/>
      <c r="AK98" s="262" t="s">
        <v>181</v>
      </c>
      <c r="AL98" s="93"/>
      <c r="AM98" s="93"/>
      <c r="AN98" s="93"/>
      <c r="AO98" s="93"/>
      <c r="AP98" s="93"/>
      <c r="AQ98" s="93"/>
    </row>
    <row r="99" spans="1:43">
      <c r="A99" s="106">
        <v>6</v>
      </c>
      <c r="B99" s="93">
        <v>94</v>
      </c>
      <c r="C99" s="93" t="s">
        <v>5860</v>
      </c>
      <c r="D99" s="93" t="s">
        <v>6177</v>
      </c>
      <c r="E99" s="92" t="s">
        <v>5862</v>
      </c>
      <c r="F99" s="93" t="s">
        <v>6178</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5870</v>
      </c>
      <c r="U99" s="93">
        <v>398</v>
      </c>
      <c r="V99" s="107">
        <v>153950</v>
      </c>
      <c r="W99" s="107">
        <v>154000</v>
      </c>
      <c r="X99" s="110" t="s">
        <v>5896</v>
      </c>
      <c r="Y99" s="107">
        <v>95000</v>
      </c>
      <c r="Z99" s="92" t="s">
        <v>5866</v>
      </c>
      <c r="AA99" s="93"/>
      <c r="AB99" s="93"/>
      <c r="AC99" s="93"/>
      <c r="AD99" s="93" t="s">
        <v>6024</v>
      </c>
      <c r="AE99" s="93"/>
      <c r="AF99" s="93"/>
      <c r="AG99" s="93"/>
      <c r="AH99" s="93"/>
      <c r="AI99" s="93"/>
      <c r="AK99" s="262" t="s">
        <v>6167</v>
      </c>
      <c r="AL99" s="93"/>
      <c r="AM99" s="93"/>
      <c r="AN99" s="93"/>
      <c r="AO99" s="93"/>
      <c r="AP99" s="93"/>
      <c r="AQ99" s="93"/>
    </row>
    <row r="100" spans="1:43" ht="25.5">
      <c r="A100" s="106">
        <v>6</v>
      </c>
      <c r="B100" s="93">
        <v>95</v>
      </c>
      <c r="C100" s="93" t="s">
        <v>5860</v>
      </c>
      <c r="D100" s="93" t="s">
        <v>6177</v>
      </c>
      <c r="E100" s="92" t="s">
        <v>5862</v>
      </c>
      <c r="F100" s="93" t="s">
        <v>6178</v>
      </c>
      <c r="G100" s="93">
        <v>44.2</v>
      </c>
      <c r="H100" s="93">
        <v>9208</v>
      </c>
      <c r="I100" s="92">
        <v>0</v>
      </c>
      <c r="J100" s="107">
        <v>95263</v>
      </c>
      <c r="K100" s="105">
        <v>3.8</v>
      </c>
      <c r="L100" s="108">
        <v>0</v>
      </c>
      <c r="M100" s="97">
        <v>0</v>
      </c>
      <c r="N100" s="93">
        <v>1977</v>
      </c>
      <c r="O100" s="93">
        <v>1935</v>
      </c>
      <c r="P100" s="93">
        <v>0</v>
      </c>
      <c r="Q100" s="93">
        <v>24</v>
      </c>
      <c r="R100" s="93">
        <v>1</v>
      </c>
      <c r="S100" s="93">
        <v>1</v>
      </c>
      <c r="T100" s="92" t="s">
        <v>5870</v>
      </c>
      <c r="U100" s="93">
        <v>398</v>
      </c>
      <c r="V100" s="107">
        <v>153950</v>
      </c>
      <c r="W100" s="107">
        <v>154000</v>
      </c>
      <c r="X100" s="110" t="s">
        <v>5896</v>
      </c>
      <c r="Y100" s="107">
        <v>95000</v>
      </c>
      <c r="Z100" s="92" t="s">
        <v>5866</v>
      </c>
      <c r="AA100" s="93"/>
      <c r="AB100" s="93"/>
      <c r="AC100" s="93"/>
      <c r="AD100" s="93" t="s">
        <v>6024</v>
      </c>
      <c r="AE100" s="93"/>
      <c r="AF100" s="93"/>
      <c r="AG100" s="93"/>
      <c r="AH100" s="93"/>
      <c r="AI100" s="93"/>
      <c r="AK100" s="262" t="s">
        <v>6179</v>
      </c>
      <c r="AL100" s="93"/>
      <c r="AM100" s="93"/>
      <c r="AN100" s="93"/>
      <c r="AO100" s="93"/>
      <c r="AP100" s="93"/>
      <c r="AQ100" s="93"/>
    </row>
    <row r="101" spans="1:43" ht="25.5">
      <c r="A101" s="106">
        <v>6</v>
      </c>
      <c r="B101" s="93">
        <v>96</v>
      </c>
      <c r="C101" s="93" t="s">
        <v>5860</v>
      </c>
      <c r="D101" s="93" t="s">
        <v>6180</v>
      </c>
      <c r="E101" s="92" t="s">
        <v>5862</v>
      </c>
      <c r="F101" s="93" t="s">
        <v>6181</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5908</v>
      </c>
      <c r="U101" s="93">
        <v>398</v>
      </c>
      <c r="V101" s="107">
        <v>24000</v>
      </c>
      <c r="W101" s="107">
        <v>24000</v>
      </c>
      <c r="X101" s="110" t="s">
        <v>6182</v>
      </c>
      <c r="Y101" s="107">
        <v>14000</v>
      </c>
      <c r="Z101" s="92" t="s">
        <v>5866</v>
      </c>
      <c r="AA101" s="93"/>
      <c r="AB101" s="93"/>
      <c r="AC101" s="93"/>
      <c r="AD101" s="93" t="s">
        <v>181</v>
      </c>
      <c r="AE101" s="93"/>
      <c r="AF101" s="93"/>
      <c r="AG101" s="93"/>
      <c r="AH101" s="93"/>
      <c r="AI101" s="93"/>
      <c r="AK101" s="262" t="s">
        <v>6183</v>
      </c>
      <c r="AL101" s="93"/>
      <c r="AM101" s="93"/>
      <c r="AN101" s="93"/>
      <c r="AO101" s="93"/>
      <c r="AP101" s="93"/>
      <c r="AQ101" s="93"/>
    </row>
    <row r="102" spans="1:43">
      <c r="A102" s="106">
        <v>6</v>
      </c>
      <c r="B102" s="93">
        <v>97</v>
      </c>
      <c r="C102" s="93" t="s">
        <v>5860</v>
      </c>
      <c r="D102" s="93" t="s">
        <v>6184</v>
      </c>
      <c r="E102" s="92" t="s">
        <v>5862</v>
      </c>
      <c r="F102" s="93" t="s">
        <v>6185</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5908</v>
      </c>
      <c r="U102" s="93">
        <v>398</v>
      </c>
      <c r="V102" s="107">
        <v>47915</v>
      </c>
      <c r="W102" s="107">
        <v>48000</v>
      </c>
      <c r="X102" s="110" t="s">
        <v>5971</v>
      </c>
      <c r="Y102" s="107">
        <v>16000</v>
      </c>
      <c r="Z102" s="92" t="s">
        <v>5866</v>
      </c>
      <c r="AA102" s="93"/>
      <c r="AB102" s="93"/>
      <c r="AC102" s="93"/>
      <c r="AD102" s="93" t="s">
        <v>6186</v>
      </c>
      <c r="AE102" s="93"/>
      <c r="AF102" s="93"/>
      <c r="AG102" s="93"/>
      <c r="AH102" s="93"/>
      <c r="AI102" s="93"/>
      <c r="AK102" s="262" t="s">
        <v>181</v>
      </c>
      <c r="AL102" s="93"/>
      <c r="AM102" s="93"/>
      <c r="AN102" s="93"/>
      <c r="AO102" s="93"/>
      <c r="AP102" s="93"/>
      <c r="AQ102" s="93"/>
    </row>
    <row r="103" spans="1:43" ht="25.5">
      <c r="A103" s="106">
        <v>6</v>
      </c>
      <c r="B103" s="93">
        <v>98</v>
      </c>
      <c r="C103" s="93" t="s">
        <v>5860</v>
      </c>
      <c r="D103" s="93" t="s">
        <v>6187</v>
      </c>
      <c r="E103" s="92" t="s">
        <v>5862</v>
      </c>
      <c r="F103" s="93" t="s">
        <v>6188</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5908</v>
      </c>
      <c r="U103" s="93">
        <v>401</v>
      </c>
      <c r="V103" s="107">
        <v>21063</v>
      </c>
      <c r="W103" s="107">
        <v>21000</v>
      </c>
      <c r="X103" s="110" t="s">
        <v>5995</v>
      </c>
      <c r="Y103" s="107">
        <v>10000</v>
      </c>
      <c r="Z103" s="92" t="s">
        <v>5866</v>
      </c>
      <c r="AA103" s="93"/>
      <c r="AB103" s="93"/>
      <c r="AC103" s="93"/>
      <c r="AD103" s="93" t="s">
        <v>181</v>
      </c>
      <c r="AE103" s="93"/>
      <c r="AF103" s="93"/>
      <c r="AG103" s="93"/>
      <c r="AH103" s="93"/>
      <c r="AI103" s="93"/>
      <c r="AK103" s="262" t="s">
        <v>6189</v>
      </c>
      <c r="AL103" s="93"/>
      <c r="AM103" s="93"/>
      <c r="AN103" s="93"/>
      <c r="AO103" s="93"/>
      <c r="AP103" s="93"/>
      <c r="AQ103" s="93"/>
    </row>
    <row r="104" spans="1:43" ht="25.5">
      <c r="A104" s="106">
        <v>6</v>
      </c>
      <c r="B104" s="93">
        <v>99</v>
      </c>
      <c r="C104" s="93" t="s">
        <v>5860</v>
      </c>
      <c r="D104" s="93" t="s">
        <v>6187</v>
      </c>
      <c r="E104" s="92" t="s">
        <v>5862</v>
      </c>
      <c r="F104" s="93" t="s">
        <v>6188</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5908</v>
      </c>
      <c r="U104" s="93">
        <v>401</v>
      </c>
      <c r="V104" s="107">
        <v>21063</v>
      </c>
      <c r="W104" s="107">
        <v>21000</v>
      </c>
      <c r="X104" s="110" t="s">
        <v>5995</v>
      </c>
      <c r="Y104" s="107">
        <v>10000</v>
      </c>
      <c r="Z104" s="92" t="s">
        <v>5866</v>
      </c>
      <c r="AA104" s="93"/>
      <c r="AB104" s="93"/>
      <c r="AC104" s="93"/>
      <c r="AD104" s="93" t="s">
        <v>181</v>
      </c>
      <c r="AE104" s="93"/>
      <c r="AF104" s="93"/>
      <c r="AG104" s="93"/>
      <c r="AH104" s="93"/>
      <c r="AI104" s="93"/>
      <c r="AK104" s="262" t="s">
        <v>6190</v>
      </c>
      <c r="AL104" s="93"/>
      <c r="AM104" s="93"/>
      <c r="AN104" s="93"/>
      <c r="AO104" s="93"/>
      <c r="AP104" s="93"/>
      <c r="AQ104" s="93"/>
    </row>
    <row r="105" spans="1:43" ht="25.5">
      <c r="A105" s="106">
        <v>6</v>
      </c>
      <c r="B105" s="93">
        <v>100</v>
      </c>
      <c r="C105" s="93" t="s">
        <v>5860</v>
      </c>
      <c r="D105" s="93" t="s">
        <v>6191</v>
      </c>
      <c r="E105" s="92" t="s">
        <v>5862</v>
      </c>
      <c r="F105" s="93" t="s">
        <v>6192</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5864</v>
      </c>
      <c r="U105" s="93">
        <v>398</v>
      </c>
      <c r="V105" s="107">
        <v>47500</v>
      </c>
      <c r="W105" s="107">
        <v>48000</v>
      </c>
      <c r="X105" s="110" t="s">
        <v>5995</v>
      </c>
      <c r="Y105" s="107">
        <v>24000</v>
      </c>
      <c r="Z105" s="92" t="s">
        <v>5866</v>
      </c>
      <c r="AA105" s="93"/>
      <c r="AB105" s="93"/>
      <c r="AC105" s="93"/>
      <c r="AD105" s="93" t="s">
        <v>6193</v>
      </c>
      <c r="AE105" s="93"/>
      <c r="AF105" s="93"/>
      <c r="AG105" s="93"/>
      <c r="AH105" s="93"/>
      <c r="AI105" s="93"/>
      <c r="AK105" s="262" t="s">
        <v>6194</v>
      </c>
      <c r="AL105" s="93"/>
      <c r="AM105" s="93"/>
      <c r="AN105" s="93"/>
      <c r="AO105" s="93"/>
      <c r="AP105" s="93"/>
      <c r="AQ105" s="93"/>
    </row>
    <row r="106" spans="1:43">
      <c r="A106" s="106">
        <v>6</v>
      </c>
      <c r="B106" s="93">
        <v>101</v>
      </c>
      <c r="C106" s="93" t="s">
        <v>5860</v>
      </c>
      <c r="D106" s="93" t="s">
        <v>6195</v>
      </c>
      <c r="E106" s="92" t="s">
        <v>5862</v>
      </c>
      <c r="F106" s="93" t="s">
        <v>6196</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5864</v>
      </c>
      <c r="U106" s="93">
        <v>398</v>
      </c>
      <c r="V106" s="107">
        <v>259651</v>
      </c>
      <c r="W106" s="107">
        <v>260000</v>
      </c>
      <c r="X106" s="110" t="s">
        <v>5878</v>
      </c>
      <c r="Y106" s="107">
        <v>108000</v>
      </c>
      <c r="Z106" s="92" t="s">
        <v>5866</v>
      </c>
      <c r="AA106" s="93"/>
      <c r="AB106" s="93"/>
      <c r="AC106" s="93"/>
      <c r="AD106" s="93" t="s">
        <v>6197</v>
      </c>
      <c r="AE106" s="93"/>
      <c r="AF106" s="93"/>
      <c r="AG106" s="93"/>
      <c r="AH106" s="93"/>
      <c r="AI106" s="93"/>
      <c r="AK106" s="262" t="s">
        <v>181</v>
      </c>
      <c r="AL106" s="93"/>
      <c r="AM106" s="93"/>
      <c r="AN106" s="93"/>
      <c r="AO106" s="93"/>
      <c r="AP106" s="93"/>
      <c r="AQ106" s="93"/>
    </row>
    <row r="107" spans="1:43">
      <c r="A107" s="106">
        <v>6</v>
      </c>
      <c r="B107" s="93">
        <v>102</v>
      </c>
      <c r="C107" s="93" t="s">
        <v>5860</v>
      </c>
      <c r="D107" s="93" t="s">
        <v>6198</v>
      </c>
      <c r="E107" s="92" t="s">
        <v>5862</v>
      </c>
      <c r="F107" s="93" t="s">
        <v>6199</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6200</v>
      </c>
      <c r="U107" s="93">
        <v>398</v>
      </c>
      <c r="V107" s="107">
        <v>9518</v>
      </c>
      <c r="W107" s="107">
        <v>10000</v>
      </c>
      <c r="X107" s="110" t="s">
        <v>5928</v>
      </c>
      <c r="Y107" s="107">
        <v>4000</v>
      </c>
      <c r="Z107" s="92" t="s">
        <v>5866</v>
      </c>
      <c r="AA107" s="93"/>
      <c r="AB107" s="93"/>
      <c r="AC107" s="93"/>
      <c r="AD107" s="93" t="s">
        <v>6201</v>
      </c>
      <c r="AE107" s="93"/>
      <c r="AF107" s="93"/>
      <c r="AG107" s="93"/>
      <c r="AH107" s="93"/>
      <c r="AI107" s="93"/>
      <c r="AK107" s="262" t="s">
        <v>6202</v>
      </c>
      <c r="AL107" s="93"/>
      <c r="AM107" s="93"/>
      <c r="AN107" s="93"/>
      <c r="AO107" s="93"/>
      <c r="AP107" s="93"/>
      <c r="AQ107" s="93"/>
    </row>
    <row r="108" spans="1:43">
      <c r="A108" s="106">
        <v>6</v>
      </c>
      <c r="B108" s="93">
        <v>103</v>
      </c>
      <c r="C108" s="93" t="s">
        <v>5860</v>
      </c>
      <c r="D108" s="93" t="s">
        <v>6203</v>
      </c>
      <c r="E108" s="92" t="s">
        <v>5862</v>
      </c>
      <c r="F108" s="93" t="s">
        <v>6204</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5908</v>
      </c>
      <c r="U108" s="93">
        <v>398</v>
      </c>
      <c r="V108" s="107">
        <v>41250</v>
      </c>
      <c r="W108" s="107">
        <v>41000</v>
      </c>
      <c r="X108" s="110" t="s">
        <v>6205</v>
      </c>
      <c r="Y108" s="107">
        <v>11000</v>
      </c>
      <c r="Z108" s="92" t="s">
        <v>5866</v>
      </c>
      <c r="AA108" s="93"/>
      <c r="AB108" s="93"/>
      <c r="AC108" s="93"/>
      <c r="AD108" s="93" t="s">
        <v>6206</v>
      </c>
      <c r="AE108" s="93"/>
      <c r="AF108" s="93"/>
      <c r="AG108" s="93"/>
      <c r="AH108" s="93"/>
      <c r="AI108" s="93"/>
      <c r="AK108" s="262" t="s">
        <v>181</v>
      </c>
      <c r="AL108" s="93"/>
      <c r="AM108" s="93"/>
      <c r="AN108" s="93"/>
      <c r="AO108" s="93"/>
      <c r="AP108" s="93"/>
      <c r="AQ108" s="93"/>
    </row>
    <row r="109" spans="1:43" ht="25.5">
      <c r="A109" s="106">
        <v>6</v>
      </c>
      <c r="B109" s="93">
        <v>104</v>
      </c>
      <c r="C109" s="93" t="s">
        <v>5860</v>
      </c>
      <c r="D109" s="93" t="s">
        <v>6207</v>
      </c>
      <c r="E109" s="92" t="s">
        <v>5862</v>
      </c>
      <c r="F109" s="93" t="s">
        <v>6208</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5908</v>
      </c>
      <c r="U109" s="93">
        <v>398</v>
      </c>
      <c r="V109" s="107">
        <v>6625</v>
      </c>
      <c r="W109" s="107">
        <v>7000</v>
      </c>
      <c r="X109" s="110" t="s">
        <v>6182</v>
      </c>
      <c r="Y109" s="107">
        <v>4000</v>
      </c>
      <c r="Z109" s="92" t="s">
        <v>5866</v>
      </c>
      <c r="AA109" s="93"/>
      <c r="AB109" s="93"/>
      <c r="AC109" s="93"/>
      <c r="AD109" s="93" t="s">
        <v>6209</v>
      </c>
      <c r="AE109" s="93"/>
      <c r="AF109" s="93"/>
      <c r="AG109" s="93"/>
      <c r="AH109" s="93"/>
      <c r="AI109" s="93"/>
      <c r="AK109" s="262" t="s">
        <v>6157</v>
      </c>
      <c r="AL109" s="93"/>
      <c r="AM109" s="93"/>
      <c r="AN109" s="93"/>
      <c r="AO109" s="93"/>
      <c r="AP109" s="93"/>
      <c r="AQ109" s="93"/>
    </row>
    <row r="110" spans="1:43">
      <c r="A110" s="106">
        <v>6</v>
      </c>
      <c r="B110" s="93">
        <v>105</v>
      </c>
      <c r="C110" s="93" t="s">
        <v>5860</v>
      </c>
      <c r="D110" s="93" t="s">
        <v>6210</v>
      </c>
      <c r="E110" s="92" t="s">
        <v>5862</v>
      </c>
      <c r="F110" s="93" t="s">
        <v>6211</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5864</v>
      </c>
      <c r="U110" s="93">
        <v>397</v>
      </c>
      <c r="V110" s="107">
        <v>12500</v>
      </c>
      <c r="W110" s="107">
        <v>13000</v>
      </c>
      <c r="X110" s="110" t="s">
        <v>5920</v>
      </c>
      <c r="Y110" s="107">
        <v>5000</v>
      </c>
      <c r="Z110" s="92" t="s">
        <v>5866</v>
      </c>
      <c r="AA110" s="93"/>
      <c r="AB110" s="93"/>
      <c r="AC110" s="93"/>
      <c r="AD110" s="93" t="s">
        <v>181</v>
      </c>
      <c r="AE110" s="93"/>
      <c r="AF110" s="93"/>
      <c r="AG110" s="93"/>
      <c r="AH110" s="93"/>
      <c r="AI110" s="93"/>
      <c r="AK110" s="262" t="s">
        <v>6212</v>
      </c>
      <c r="AL110" s="93"/>
      <c r="AM110" s="93"/>
      <c r="AN110" s="93"/>
      <c r="AO110" s="93"/>
      <c r="AP110" s="93"/>
      <c r="AQ110" s="93"/>
    </row>
    <row r="111" spans="1:43">
      <c r="A111" s="106">
        <v>6</v>
      </c>
      <c r="B111" s="93">
        <v>106</v>
      </c>
      <c r="C111" s="93" t="s">
        <v>5860</v>
      </c>
      <c r="D111" s="93" t="s">
        <v>6213</v>
      </c>
      <c r="E111" s="92" t="s">
        <v>5862</v>
      </c>
      <c r="F111" s="93" t="s">
        <v>6214</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5908</v>
      </c>
      <c r="U111" s="93">
        <v>398</v>
      </c>
      <c r="V111" s="107">
        <v>9370</v>
      </c>
      <c r="W111" s="107">
        <v>9000</v>
      </c>
      <c r="X111" s="110" t="s">
        <v>5903</v>
      </c>
      <c r="Y111" s="107">
        <v>5000</v>
      </c>
      <c r="Z111" s="92" t="s">
        <v>5866</v>
      </c>
      <c r="AA111" s="93"/>
      <c r="AB111" s="93"/>
      <c r="AC111" s="93"/>
      <c r="AD111" s="93" t="s">
        <v>181</v>
      </c>
      <c r="AE111" s="93"/>
      <c r="AF111" s="93"/>
      <c r="AG111" s="93"/>
      <c r="AH111" s="93"/>
      <c r="AI111" s="93"/>
      <c r="AK111" s="262" t="s">
        <v>6212</v>
      </c>
      <c r="AL111" s="93"/>
      <c r="AM111" s="93"/>
      <c r="AN111" s="93"/>
      <c r="AO111" s="93"/>
      <c r="AP111" s="93"/>
      <c r="AQ111" s="93"/>
    </row>
    <row r="112" spans="1:43">
      <c r="A112" s="106">
        <v>6</v>
      </c>
      <c r="B112" s="93">
        <v>107</v>
      </c>
      <c r="C112" s="93" t="s">
        <v>5860</v>
      </c>
      <c r="D112" s="93" t="s">
        <v>6215</v>
      </c>
      <c r="E112" s="92" t="s">
        <v>5862</v>
      </c>
      <c r="F112" s="93" t="s">
        <v>6216</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5908</v>
      </c>
      <c r="U112" s="93">
        <v>398</v>
      </c>
      <c r="V112" s="107">
        <v>9375</v>
      </c>
      <c r="W112" s="107">
        <v>9000</v>
      </c>
      <c r="X112" s="110" t="s">
        <v>5923</v>
      </c>
      <c r="Y112" s="107">
        <v>3000</v>
      </c>
      <c r="Z112" s="92" t="s">
        <v>5866</v>
      </c>
      <c r="AA112" s="93"/>
      <c r="AB112" s="93"/>
      <c r="AC112" s="93"/>
      <c r="AD112" s="93" t="s">
        <v>6217</v>
      </c>
      <c r="AE112" s="93"/>
      <c r="AF112" s="93"/>
      <c r="AG112" s="93"/>
      <c r="AH112" s="93"/>
      <c r="AI112" s="93"/>
      <c r="AK112" s="262" t="s">
        <v>6218</v>
      </c>
      <c r="AL112" s="93"/>
      <c r="AM112" s="93"/>
      <c r="AN112" s="93"/>
      <c r="AO112" s="93"/>
      <c r="AP112" s="93"/>
      <c r="AQ112" s="93"/>
    </row>
    <row r="113" spans="1:43" ht="25.5">
      <c r="A113" s="106">
        <v>6</v>
      </c>
      <c r="B113" s="93">
        <v>108</v>
      </c>
      <c r="C113" s="93" t="s">
        <v>5860</v>
      </c>
      <c r="D113" s="93" t="s">
        <v>6219</v>
      </c>
      <c r="E113" s="92" t="s">
        <v>5862</v>
      </c>
      <c r="F113" s="93" t="s">
        <v>6220</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6221</v>
      </c>
      <c r="U113" s="93">
        <v>398</v>
      </c>
      <c r="V113" s="107">
        <v>9440</v>
      </c>
      <c r="W113" s="107">
        <v>9000</v>
      </c>
      <c r="X113" s="110" t="s">
        <v>5938</v>
      </c>
      <c r="Y113" s="107">
        <v>7000</v>
      </c>
      <c r="Z113" s="92" t="s">
        <v>5866</v>
      </c>
      <c r="AA113" s="93"/>
      <c r="AB113" s="93"/>
      <c r="AC113" s="93"/>
      <c r="AD113" s="93" t="s">
        <v>181</v>
      </c>
      <c r="AE113" s="93"/>
      <c r="AF113" s="93"/>
      <c r="AG113" s="93"/>
      <c r="AH113" s="93"/>
      <c r="AI113" s="93"/>
      <c r="AK113" s="262" t="s">
        <v>6222</v>
      </c>
      <c r="AL113" s="93"/>
      <c r="AM113" s="93"/>
      <c r="AN113" s="93"/>
      <c r="AO113" s="93"/>
      <c r="AP113" s="93"/>
      <c r="AQ113" s="93"/>
    </row>
    <row r="114" spans="1:43">
      <c r="A114" s="106">
        <v>6</v>
      </c>
      <c r="B114" s="93">
        <v>109</v>
      </c>
      <c r="C114" s="93" t="s">
        <v>5860</v>
      </c>
      <c r="D114" s="93" t="s">
        <v>6223</v>
      </c>
      <c r="E114" s="92" t="s">
        <v>5862</v>
      </c>
      <c r="F114" s="93" t="s">
        <v>6224</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6221</v>
      </c>
      <c r="U114" s="93">
        <v>398</v>
      </c>
      <c r="V114" s="107">
        <v>47006</v>
      </c>
      <c r="W114" s="107">
        <v>47000</v>
      </c>
      <c r="X114" s="110" t="s">
        <v>6182</v>
      </c>
      <c r="Y114" s="107">
        <v>28000</v>
      </c>
      <c r="Z114" s="92" t="s">
        <v>5866</v>
      </c>
      <c r="AA114" s="93"/>
      <c r="AB114" s="93"/>
      <c r="AC114" s="93"/>
      <c r="AD114" s="93" t="s">
        <v>6225</v>
      </c>
      <c r="AE114" s="93"/>
      <c r="AF114" s="93"/>
      <c r="AG114" s="93"/>
      <c r="AH114" s="93"/>
      <c r="AI114" s="93"/>
      <c r="AK114" s="262" t="s">
        <v>6226</v>
      </c>
      <c r="AL114" s="93"/>
      <c r="AM114" s="93"/>
      <c r="AN114" s="93"/>
      <c r="AO114" s="93"/>
      <c r="AP114" s="93"/>
      <c r="AQ114" s="93"/>
    </row>
    <row r="115" spans="1:43" ht="25.5">
      <c r="A115" s="106">
        <v>6</v>
      </c>
      <c r="B115" s="93">
        <v>110</v>
      </c>
      <c r="C115" s="93" t="s">
        <v>5860</v>
      </c>
      <c r="D115" s="93" t="s">
        <v>6227</v>
      </c>
      <c r="E115" s="92" t="s">
        <v>5862</v>
      </c>
      <c r="F115" s="93" t="s">
        <v>6228</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5908</v>
      </c>
      <c r="U115" s="93">
        <v>398</v>
      </c>
      <c r="V115" s="107">
        <v>62400</v>
      </c>
      <c r="W115" s="107">
        <v>62000</v>
      </c>
      <c r="X115" s="110" t="s">
        <v>5903</v>
      </c>
      <c r="Y115" s="107">
        <v>33000</v>
      </c>
      <c r="Z115" s="92" t="s">
        <v>5866</v>
      </c>
      <c r="AA115" s="93"/>
      <c r="AB115" s="93"/>
      <c r="AC115" s="93"/>
      <c r="AD115" s="93" t="s">
        <v>181</v>
      </c>
      <c r="AE115" s="93"/>
      <c r="AF115" s="93"/>
      <c r="AG115" s="93"/>
      <c r="AH115" s="93"/>
      <c r="AI115" s="93"/>
      <c r="AK115" s="262" t="s">
        <v>6229</v>
      </c>
      <c r="AL115" s="93"/>
      <c r="AM115" s="93"/>
      <c r="AN115" s="93"/>
      <c r="AO115" s="93"/>
      <c r="AP115" s="93"/>
      <c r="AQ115" s="93"/>
    </row>
    <row r="116" spans="1:43">
      <c r="A116" s="106">
        <v>6</v>
      </c>
      <c r="B116" s="93">
        <v>111</v>
      </c>
      <c r="C116" s="93" t="s">
        <v>5860</v>
      </c>
      <c r="D116" s="93" t="s">
        <v>6230</v>
      </c>
      <c r="E116" s="92" t="s">
        <v>5862</v>
      </c>
      <c r="F116" s="93" t="s">
        <v>6231</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5908</v>
      </c>
      <c r="U116" s="93">
        <v>398</v>
      </c>
      <c r="V116" s="107">
        <v>12485</v>
      </c>
      <c r="W116" s="107">
        <v>12000</v>
      </c>
      <c r="X116" s="110" t="s">
        <v>5938</v>
      </c>
      <c r="Y116" s="107">
        <v>9000</v>
      </c>
      <c r="Z116" s="92" t="s">
        <v>5866</v>
      </c>
      <c r="AA116" s="93"/>
      <c r="AB116" s="93"/>
      <c r="AC116" s="93"/>
      <c r="AD116" s="93" t="s">
        <v>181</v>
      </c>
      <c r="AE116" s="93"/>
      <c r="AF116" s="93"/>
      <c r="AG116" s="93"/>
      <c r="AH116" s="93"/>
      <c r="AI116" s="93"/>
      <c r="AK116" s="262" t="s">
        <v>5893</v>
      </c>
      <c r="AL116" s="93"/>
      <c r="AM116" s="93"/>
      <c r="AN116" s="93"/>
      <c r="AO116" s="93"/>
      <c r="AP116" s="93"/>
      <c r="AQ116" s="93"/>
    </row>
    <row r="117" spans="1:43" ht="25.5">
      <c r="A117" s="106">
        <v>6</v>
      </c>
      <c r="B117" s="93">
        <v>112</v>
      </c>
      <c r="C117" s="93" t="s">
        <v>5860</v>
      </c>
      <c r="D117" s="93" t="s">
        <v>6232</v>
      </c>
      <c r="E117" s="92" t="s">
        <v>5862</v>
      </c>
      <c r="F117" s="93" t="s">
        <v>6233</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5908</v>
      </c>
      <c r="U117" s="93">
        <v>398</v>
      </c>
      <c r="V117" s="107">
        <v>25000</v>
      </c>
      <c r="W117" s="107">
        <v>25000</v>
      </c>
      <c r="X117" s="110" t="s">
        <v>6234</v>
      </c>
      <c r="Y117" s="107">
        <v>1000</v>
      </c>
      <c r="Z117" s="92" t="s">
        <v>5866</v>
      </c>
      <c r="AA117" s="93"/>
      <c r="AB117" s="93"/>
      <c r="AC117" s="93"/>
      <c r="AD117" s="93" t="s">
        <v>6235</v>
      </c>
      <c r="AE117" s="93"/>
      <c r="AF117" s="93"/>
      <c r="AG117" s="93"/>
      <c r="AH117" s="93"/>
      <c r="AI117" s="93"/>
      <c r="AK117" s="262" t="s">
        <v>6236</v>
      </c>
      <c r="AL117" s="93"/>
      <c r="AM117" s="93"/>
      <c r="AN117" s="93"/>
      <c r="AO117" s="93"/>
      <c r="AP117" s="93"/>
      <c r="AQ117" s="93"/>
    </row>
    <row r="118" spans="1:43" ht="25.5">
      <c r="A118" s="106">
        <v>6</v>
      </c>
      <c r="B118" s="93">
        <v>113</v>
      </c>
      <c r="C118" s="93" t="s">
        <v>5860</v>
      </c>
      <c r="D118" s="93" t="s">
        <v>6237</v>
      </c>
      <c r="E118" s="92" t="s">
        <v>5862</v>
      </c>
      <c r="F118" s="93" t="s">
        <v>6238</v>
      </c>
      <c r="G118" s="93" t="s">
        <v>6239</v>
      </c>
      <c r="H118" s="93">
        <v>9208</v>
      </c>
      <c r="I118" s="92">
        <v>0</v>
      </c>
      <c r="J118" s="107">
        <v>2000</v>
      </c>
      <c r="K118" s="105">
        <v>6</v>
      </c>
      <c r="L118" s="108">
        <v>1</v>
      </c>
      <c r="M118" s="97">
        <v>0</v>
      </c>
      <c r="N118" s="93">
        <v>1978</v>
      </c>
      <c r="O118" s="93">
        <v>150</v>
      </c>
      <c r="P118" s="93">
        <v>0</v>
      </c>
      <c r="Q118" s="93">
        <v>10</v>
      </c>
      <c r="R118" s="93">
        <v>7</v>
      </c>
      <c r="S118" s="93">
        <v>1</v>
      </c>
      <c r="T118" s="92" t="s">
        <v>5908</v>
      </c>
      <c r="U118" s="93">
        <v>398</v>
      </c>
      <c r="V118" s="107">
        <v>7175</v>
      </c>
      <c r="W118" s="107">
        <v>7000</v>
      </c>
      <c r="X118" s="110" t="s">
        <v>6240</v>
      </c>
      <c r="Y118" s="107">
        <v>2000</v>
      </c>
      <c r="Z118" s="92" t="s">
        <v>5866</v>
      </c>
      <c r="AA118" s="93"/>
      <c r="AB118" s="93"/>
      <c r="AC118" s="93"/>
      <c r="AD118" s="93" t="s">
        <v>6241</v>
      </c>
      <c r="AE118" s="93"/>
      <c r="AF118" s="93"/>
      <c r="AG118" s="93"/>
      <c r="AH118" s="93"/>
      <c r="AI118" s="93"/>
      <c r="AK118" s="262" t="s">
        <v>6242</v>
      </c>
      <c r="AL118" s="93"/>
      <c r="AM118" s="93"/>
      <c r="AN118" s="93"/>
      <c r="AO118" s="93"/>
      <c r="AP118" s="93"/>
      <c r="AQ118" s="93"/>
    </row>
    <row r="119" spans="1:43">
      <c r="A119" s="106">
        <v>6</v>
      </c>
      <c r="B119" s="93">
        <v>114</v>
      </c>
      <c r="C119" s="93" t="s">
        <v>5860</v>
      </c>
      <c r="D119" s="93" t="s">
        <v>6243</v>
      </c>
      <c r="E119" s="92" t="s">
        <v>5862</v>
      </c>
      <c r="F119" s="93" t="s">
        <v>6244</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5908</v>
      </c>
      <c r="U119" s="93">
        <v>398</v>
      </c>
      <c r="V119" s="107">
        <v>30805</v>
      </c>
      <c r="W119" s="107">
        <v>31000</v>
      </c>
      <c r="X119" s="110" t="s">
        <v>6245</v>
      </c>
      <c r="Y119" s="107">
        <v>6000</v>
      </c>
      <c r="Z119" s="92" t="s">
        <v>5866</v>
      </c>
      <c r="AA119" s="93"/>
      <c r="AB119" s="93"/>
      <c r="AC119" s="93"/>
      <c r="AD119" s="93" t="s">
        <v>6246</v>
      </c>
      <c r="AE119" s="93"/>
      <c r="AF119" s="93"/>
      <c r="AG119" s="93"/>
      <c r="AH119" s="93"/>
      <c r="AI119" s="93"/>
      <c r="AK119" s="262" t="s">
        <v>5889</v>
      </c>
      <c r="AL119" s="93"/>
      <c r="AM119" s="93"/>
      <c r="AN119" s="93"/>
      <c r="AO119" s="93"/>
      <c r="AP119" s="93"/>
      <c r="AQ119" s="93"/>
    </row>
    <row r="120" spans="1:43" ht="25.5">
      <c r="A120" s="106">
        <v>6</v>
      </c>
      <c r="B120" s="93">
        <v>115</v>
      </c>
      <c r="C120" s="93" t="s">
        <v>5860</v>
      </c>
      <c r="D120" s="93" t="s">
        <v>6247</v>
      </c>
      <c r="E120" s="92" t="s">
        <v>5862</v>
      </c>
      <c r="F120" s="93" t="s">
        <v>6248</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5908</v>
      </c>
      <c r="U120" s="93">
        <v>401</v>
      </c>
      <c r="V120" s="107">
        <v>25425</v>
      </c>
      <c r="W120" s="107">
        <v>25000</v>
      </c>
      <c r="X120" s="110" t="s">
        <v>6249</v>
      </c>
      <c r="Y120" s="107">
        <v>24000</v>
      </c>
      <c r="Z120" s="92" t="s">
        <v>5866</v>
      </c>
      <c r="AA120" s="93"/>
      <c r="AB120" s="93"/>
      <c r="AC120" s="93"/>
      <c r="AD120" s="93" t="s">
        <v>181</v>
      </c>
      <c r="AE120" s="93"/>
      <c r="AF120" s="93"/>
      <c r="AG120" s="93"/>
      <c r="AH120" s="93"/>
      <c r="AI120" s="93"/>
      <c r="AK120" s="262" t="s">
        <v>6250</v>
      </c>
      <c r="AL120" s="93"/>
      <c r="AM120" s="93"/>
      <c r="AN120" s="93"/>
      <c r="AO120" s="93"/>
      <c r="AP120" s="93"/>
      <c r="AQ120" s="93"/>
    </row>
    <row r="121" spans="1:43" ht="25.5">
      <c r="A121" s="106">
        <v>6</v>
      </c>
      <c r="B121" s="93">
        <v>116</v>
      </c>
      <c r="C121" s="93" t="s">
        <v>5860</v>
      </c>
      <c r="D121" s="93" t="s">
        <v>6251</v>
      </c>
      <c r="E121" s="92" t="s">
        <v>5862</v>
      </c>
      <c r="F121" s="93" t="s">
        <v>6252</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5870</v>
      </c>
      <c r="U121" s="93">
        <v>398</v>
      </c>
      <c r="V121" s="107">
        <v>27040</v>
      </c>
      <c r="W121" s="107">
        <v>27000</v>
      </c>
      <c r="X121" s="110" t="s">
        <v>6065</v>
      </c>
      <c r="Y121" s="107">
        <v>19000</v>
      </c>
      <c r="Z121" s="92" t="s">
        <v>5866</v>
      </c>
      <c r="AA121" s="93"/>
      <c r="AB121" s="93"/>
      <c r="AC121" s="93"/>
      <c r="AD121" s="93" t="s">
        <v>6253</v>
      </c>
      <c r="AE121" s="93"/>
      <c r="AF121" s="93"/>
      <c r="AG121" s="93"/>
      <c r="AH121" s="93"/>
      <c r="AI121" s="93"/>
      <c r="AK121" s="262" t="s">
        <v>6254</v>
      </c>
      <c r="AL121" s="93"/>
      <c r="AM121" s="93"/>
      <c r="AN121" s="93"/>
      <c r="AO121" s="93"/>
      <c r="AP121" s="93"/>
      <c r="AQ121" s="93"/>
    </row>
    <row r="122" spans="1:43">
      <c r="A122" s="106">
        <v>6</v>
      </c>
      <c r="B122" s="93">
        <v>117</v>
      </c>
      <c r="C122" s="93" t="s">
        <v>5860</v>
      </c>
      <c r="D122" s="93" t="s">
        <v>6255</v>
      </c>
      <c r="E122" s="92" t="s">
        <v>5862</v>
      </c>
      <c r="F122" s="93" t="s">
        <v>6256</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5870</v>
      </c>
      <c r="U122" s="93">
        <v>398</v>
      </c>
      <c r="V122" s="107">
        <v>109420</v>
      </c>
      <c r="W122" s="107">
        <v>109000</v>
      </c>
      <c r="X122" s="110" t="s">
        <v>6091</v>
      </c>
      <c r="Y122" s="107">
        <v>60000</v>
      </c>
      <c r="Z122" s="92" t="s">
        <v>5866</v>
      </c>
      <c r="AA122" s="93"/>
      <c r="AB122" s="93"/>
      <c r="AC122" s="93"/>
      <c r="AD122" s="93" t="s">
        <v>6257</v>
      </c>
      <c r="AE122" s="93"/>
      <c r="AF122" s="93"/>
      <c r="AG122" s="93"/>
      <c r="AH122" s="93"/>
      <c r="AI122" s="93"/>
      <c r="AK122" s="262" t="s">
        <v>6258</v>
      </c>
      <c r="AL122" s="93"/>
      <c r="AM122" s="93"/>
      <c r="AN122" s="93"/>
      <c r="AO122" s="93"/>
      <c r="AP122" s="93"/>
      <c r="AQ122" s="93"/>
    </row>
    <row r="123" spans="1:43">
      <c r="A123" s="106">
        <v>6</v>
      </c>
      <c r="B123" s="93">
        <v>118</v>
      </c>
      <c r="C123" s="93" t="s">
        <v>5860</v>
      </c>
      <c r="D123" s="93" t="s">
        <v>6259</v>
      </c>
      <c r="E123" s="92" t="s">
        <v>5862</v>
      </c>
      <c r="F123" s="93" t="s">
        <v>6260</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5870</v>
      </c>
      <c r="U123" s="93">
        <v>401</v>
      </c>
      <c r="V123" s="107">
        <v>173969</v>
      </c>
      <c r="W123" s="107">
        <v>174000</v>
      </c>
      <c r="X123" s="110" t="s">
        <v>6261</v>
      </c>
      <c r="Y123" s="107">
        <v>21000</v>
      </c>
      <c r="Z123" s="92" t="s">
        <v>5866</v>
      </c>
      <c r="AA123" s="93"/>
      <c r="AB123" s="93"/>
      <c r="AC123" s="93"/>
      <c r="AD123" s="93" t="s">
        <v>6262</v>
      </c>
      <c r="AE123" s="93"/>
      <c r="AF123" s="93"/>
      <c r="AG123" s="93"/>
      <c r="AH123" s="93"/>
      <c r="AI123" s="93"/>
      <c r="AK123" s="262" t="s">
        <v>181</v>
      </c>
      <c r="AL123" s="93"/>
      <c r="AM123" s="93"/>
      <c r="AN123" s="93"/>
      <c r="AO123" s="93"/>
      <c r="AP123" s="93"/>
      <c r="AQ123" s="93"/>
    </row>
    <row r="124" spans="1:43">
      <c r="A124" s="106">
        <v>6</v>
      </c>
      <c r="B124" s="93">
        <v>119</v>
      </c>
      <c r="C124" s="93" t="s">
        <v>5860</v>
      </c>
      <c r="D124" s="93" t="s">
        <v>6263</v>
      </c>
      <c r="E124" s="92" t="s">
        <v>5862</v>
      </c>
      <c r="F124" s="93" t="s">
        <v>6264</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5908</v>
      </c>
      <c r="U124" s="93">
        <v>398</v>
      </c>
      <c r="V124" s="107">
        <v>23375</v>
      </c>
      <c r="W124" s="107">
        <v>23000</v>
      </c>
      <c r="X124" s="110" t="s">
        <v>6123</v>
      </c>
      <c r="Y124" s="107">
        <v>5000</v>
      </c>
      <c r="Z124" s="92" t="s">
        <v>5866</v>
      </c>
      <c r="AA124" s="93"/>
      <c r="AB124" s="93"/>
      <c r="AC124" s="93"/>
      <c r="AD124" s="93" t="s">
        <v>5904</v>
      </c>
      <c r="AE124" s="93"/>
      <c r="AF124" s="93"/>
      <c r="AG124" s="93"/>
      <c r="AH124" s="93"/>
      <c r="AI124" s="93"/>
      <c r="AK124" s="262" t="s">
        <v>5925</v>
      </c>
      <c r="AL124" s="93"/>
      <c r="AM124" s="93"/>
      <c r="AN124" s="93"/>
      <c r="AO124" s="93"/>
      <c r="AP124" s="93"/>
      <c r="AQ124" s="93"/>
    </row>
    <row r="125" spans="1:43">
      <c r="A125" s="106">
        <v>6</v>
      </c>
      <c r="B125" s="93">
        <v>120</v>
      </c>
      <c r="C125" s="93" t="s">
        <v>5860</v>
      </c>
      <c r="D125" s="93" t="s">
        <v>6265</v>
      </c>
      <c r="E125" s="92" t="s">
        <v>5862</v>
      </c>
      <c r="F125" s="93" t="s">
        <v>6266</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5908</v>
      </c>
      <c r="U125" s="93">
        <v>401</v>
      </c>
      <c r="V125" s="107">
        <v>44379</v>
      </c>
      <c r="W125" s="107">
        <v>44000</v>
      </c>
      <c r="X125" s="110" t="s">
        <v>5896</v>
      </c>
      <c r="Y125" s="107">
        <v>27000</v>
      </c>
      <c r="Z125" s="92" t="s">
        <v>5866</v>
      </c>
      <c r="AA125" s="93"/>
      <c r="AB125" s="93"/>
      <c r="AC125" s="93"/>
      <c r="AD125" s="93" t="s">
        <v>181</v>
      </c>
      <c r="AE125" s="93"/>
      <c r="AF125" s="93"/>
      <c r="AG125" s="93"/>
      <c r="AH125" s="93"/>
      <c r="AI125" s="93"/>
      <c r="AK125" s="262" t="s">
        <v>5889</v>
      </c>
      <c r="AL125" s="93"/>
      <c r="AM125" s="93"/>
      <c r="AN125" s="93"/>
      <c r="AO125" s="93"/>
      <c r="AP125" s="93"/>
      <c r="AQ125" s="93"/>
    </row>
    <row r="126" spans="1:43">
      <c r="A126" s="106">
        <v>6</v>
      </c>
      <c r="B126" s="93">
        <v>121</v>
      </c>
      <c r="C126" s="93" t="s">
        <v>5860</v>
      </c>
      <c r="D126" s="93" t="s">
        <v>6267</v>
      </c>
      <c r="E126" s="92" t="s">
        <v>5862</v>
      </c>
      <c r="F126" s="93" t="s">
        <v>6268</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5908</v>
      </c>
      <c r="U126" s="93">
        <v>398</v>
      </c>
      <c r="V126" s="107">
        <v>91930</v>
      </c>
      <c r="W126" s="107">
        <v>92000</v>
      </c>
      <c r="X126" s="110" t="s">
        <v>5920</v>
      </c>
      <c r="Y126" s="107">
        <v>37000</v>
      </c>
      <c r="Z126" s="92" t="s">
        <v>5866</v>
      </c>
      <c r="AA126" s="93"/>
      <c r="AB126" s="93"/>
      <c r="AC126" s="93"/>
      <c r="AD126" s="93" t="s">
        <v>181</v>
      </c>
      <c r="AE126" s="93"/>
      <c r="AF126" s="93"/>
      <c r="AG126" s="93"/>
      <c r="AH126" s="93"/>
      <c r="AI126" s="93"/>
      <c r="AK126" s="262" t="s">
        <v>181</v>
      </c>
      <c r="AL126" s="93"/>
      <c r="AM126" s="93"/>
      <c r="AN126" s="93"/>
      <c r="AO126" s="93"/>
      <c r="AP126" s="93"/>
      <c r="AQ126" s="93"/>
    </row>
    <row r="127" spans="1:43">
      <c r="A127" s="106">
        <v>6</v>
      </c>
      <c r="B127" s="93">
        <v>122</v>
      </c>
      <c r="C127" s="93" t="s">
        <v>5860</v>
      </c>
      <c r="D127" s="93" t="s">
        <v>6269</v>
      </c>
      <c r="E127" s="92" t="s">
        <v>5862</v>
      </c>
      <c r="F127" s="93" t="s">
        <v>6270</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5908</v>
      </c>
      <c r="U127" s="93">
        <v>401</v>
      </c>
      <c r="V127" s="107">
        <v>36515</v>
      </c>
      <c r="W127" s="107">
        <v>37000</v>
      </c>
      <c r="X127" s="110" t="s">
        <v>6271</v>
      </c>
      <c r="Y127" s="107">
        <v>33000</v>
      </c>
      <c r="Z127" s="92" t="s">
        <v>5866</v>
      </c>
      <c r="AA127" s="93"/>
      <c r="AB127" s="93"/>
      <c r="AC127" s="93"/>
      <c r="AD127" s="93" t="s">
        <v>6272</v>
      </c>
      <c r="AE127" s="93"/>
      <c r="AF127" s="93"/>
      <c r="AG127" s="93"/>
      <c r="AH127" s="93"/>
      <c r="AI127" s="93"/>
      <c r="AK127" s="262" t="s">
        <v>5893</v>
      </c>
      <c r="AL127" s="93"/>
      <c r="AM127" s="93"/>
      <c r="AN127" s="93"/>
      <c r="AO127" s="93"/>
      <c r="AP127" s="93"/>
      <c r="AQ127" s="93"/>
    </row>
    <row r="128" spans="1:43">
      <c r="A128" s="106">
        <v>6</v>
      </c>
      <c r="B128" s="93">
        <v>123</v>
      </c>
      <c r="C128" s="93" t="s">
        <v>5860</v>
      </c>
      <c r="D128" s="93" t="s">
        <v>6273</v>
      </c>
      <c r="E128" s="92" t="s">
        <v>5862</v>
      </c>
      <c r="F128" s="93" t="s">
        <v>6274</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5908</v>
      </c>
      <c r="U128" s="93">
        <v>398</v>
      </c>
      <c r="V128" s="107">
        <v>24533</v>
      </c>
      <c r="W128" s="107">
        <v>25000</v>
      </c>
      <c r="X128" s="110" t="s">
        <v>6091</v>
      </c>
      <c r="Y128" s="107">
        <v>14000</v>
      </c>
      <c r="Z128" s="92" t="s">
        <v>5866</v>
      </c>
      <c r="AA128" s="93"/>
      <c r="AB128" s="93"/>
      <c r="AC128" s="93"/>
      <c r="AD128" s="93" t="s">
        <v>6275</v>
      </c>
      <c r="AE128" s="93"/>
      <c r="AF128" s="93"/>
      <c r="AG128" s="93"/>
      <c r="AH128" s="93"/>
      <c r="AI128" s="93"/>
      <c r="AK128" s="262" t="s">
        <v>6276</v>
      </c>
      <c r="AL128" s="93"/>
      <c r="AM128" s="93"/>
      <c r="AN128" s="93"/>
      <c r="AO128" s="93"/>
      <c r="AP128" s="93"/>
      <c r="AQ128" s="93"/>
    </row>
    <row r="129" spans="1:43" ht="25.5">
      <c r="A129" s="106">
        <v>6</v>
      </c>
      <c r="B129" s="93">
        <v>124</v>
      </c>
      <c r="C129" s="93" t="s">
        <v>5860</v>
      </c>
      <c r="D129" s="93" t="s">
        <v>6277</v>
      </c>
      <c r="E129" s="92" t="s">
        <v>5862</v>
      </c>
      <c r="F129" s="93" t="s">
        <v>6278</v>
      </c>
      <c r="G129" s="93">
        <v>44.2</v>
      </c>
      <c r="H129" s="93">
        <v>9201</v>
      </c>
      <c r="I129" s="92">
        <v>0</v>
      </c>
      <c r="J129" s="107">
        <v>7200</v>
      </c>
      <c r="K129" s="105">
        <v>2</v>
      </c>
      <c r="L129" s="108">
        <v>0</v>
      </c>
      <c r="M129" s="97">
        <v>0</v>
      </c>
      <c r="N129" s="93">
        <v>1953</v>
      </c>
      <c r="O129" s="93">
        <v>800</v>
      </c>
      <c r="P129" s="93">
        <v>0</v>
      </c>
      <c r="Q129" s="93">
        <v>16</v>
      </c>
      <c r="R129" s="93">
        <v>1</v>
      </c>
      <c r="S129" s="93">
        <v>1</v>
      </c>
      <c r="T129" s="92" t="s">
        <v>5908</v>
      </c>
      <c r="U129" s="93">
        <v>398</v>
      </c>
      <c r="V129" s="107">
        <v>13800</v>
      </c>
      <c r="W129" s="107">
        <v>14000</v>
      </c>
      <c r="X129" s="110" t="s">
        <v>5903</v>
      </c>
      <c r="Y129" s="107">
        <v>7000</v>
      </c>
      <c r="Z129" s="92" t="s">
        <v>5866</v>
      </c>
      <c r="AA129" s="93"/>
      <c r="AB129" s="93"/>
      <c r="AC129" s="93"/>
      <c r="AD129" s="93" t="s">
        <v>6279</v>
      </c>
      <c r="AE129" s="93"/>
      <c r="AF129" s="93"/>
      <c r="AG129" s="93"/>
      <c r="AH129" s="93"/>
      <c r="AI129" s="93"/>
      <c r="AK129" s="262" t="s">
        <v>6280</v>
      </c>
      <c r="AL129" s="93"/>
      <c r="AM129" s="93"/>
      <c r="AN129" s="93"/>
      <c r="AO129" s="93"/>
      <c r="AP129" s="93"/>
      <c r="AQ129" s="93"/>
    </row>
    <row r="130" spans="1:43">
      <c r="A130" s="106">
        <v>6</v>
      </c>
      <c r="B130" s="93">
        <v>125</v>
      </c>
      <c r="C130" s="93" t="s">
        <v>5860</v>
      </c>
      <c r="D130" s="93" t="s">
        <v>6281</v>
      </c>
      <c r="E130" s="92" t="s">
        <v>5862</v>
      </c>
      <c r="F130" s="93" t="s">
        <v>6282</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5908</v>
      </c>
      <c r="U130" s="93">
        <v>399</v>
      </c>
      <c r="V130" s="107">
        <v>8100</v>
      </c>
      <c r="W130" s="107">
        <v>8000</v>
      </c>
      <c r="X130" s="110" t="s">
        <v>5874</v>
      </c>
      <c r="Y130" s="107">
        <v>4000</v>
      </c>
      <c r="Z130" s="92" t="s">
        <v>5866</v>
      </c>
      <c r="AA130" s="93"/>
      <c r="AB130" s="93"/>
      <c r="AC130" s="93"/>
      <c r="AD130" s="93" t="s">
        <v>6283</v>
      </c>
      <c r="AE130" s="93"/>
      <c r="AF130" s="93"/>
      <c r="AG130" s="93"/>
      <c r="AH130" s="93"/>
      <c r="AI130" s="93"/>
      <c r="AK130" s="262" t="s">
        <v>6284</v>
      </c>
      <c r="AL130" s="93"/>
      <c r="AM130" s="93"/>
      <c r="AN130" s="93"/>
      <c r="AO130" s="93"/>
      <c r="AP130" s="93"/>
      <c r="AQ130" s="93"/>
    </row>
    <row r="131" spans="1:43">
      <c r="A131" s="106">
        <v>6</v>
      </c>
      <c r="B131" s="93">
        <v>126</v>
      </c>
      <c r="C131" s="93" t="s">
        <v>5860</v>
      </c>
      <c r="D131" s="93" t="s">
        <v>6285</v>
      </c>
      <c r="E131" s="92" t="s">
        <v>5862</v>
      </c>
      <c r="F131" s="93" t="s">
        <v>6286</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5908</v>
      </c>
      <c r="U131" s="93">
        <v>398</v>
      </c>
      <c r="V131" s="107">
        <v>8241</v>
      </c>
      <c r="W131" s="107">
        <v>8000</v>
      </c>
      <c r="X131" s="110" t="s">
        <v>5903</v>
      </c>
      <c r="Y131" s="107">
        <v>4000</v>
      </c>
      <c r="Z131" s="92" t="s">
        <v>5866</v>
      </c>
      <c r="AA131" s="93"/>
      <c r="AB131" s="93"/>
      <c r="AC131" s="93"/>
      <c r="AD131" s="93" t="s">
        <v>6287</v>
      </c>
      <c r="AE131" s="93"/>
      <c r="AF131" s="93"/>
      <c r="AG131" s="93"/>
      <c r="AH131" s="93"/>
      <c r="AI131" s="93"/>
      <c r="AK131" s="262" t="s">
        <v>5889</v>
      </c>
      <c r="AL131" s="93"/>
      <c r="AM131" s="93"/>
      <c r="AN131" s="93"/>
      <c r="AO131" s="93"/>
      <c r="AP131" s="93"/>
      <c r="AQ131" s="93"/>
    </row>
    <row r="132" spans="1:43">
      <c r="A132" s="106">
        <v>6</v>
      </c>
      <c r="B132" s="93">
        <v>127</v>
      </c>
      <c r="C132" s="93" t="s">
        <v>5860</v>
      </c>
      <c r="D132" s="93" t="s">
        <v>6288</v>
      </c>
      <c r="E132" s="92" t="s">
        <v>5862</v>
      </c>
      <c r="F132" s="93" t="s">
        <v>6286</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5908</v>
      </c>
      <c r="U132" s="93">
        <v>398</v>
      </c>
      <c r="V132" s="107">
        <v>3850</v>
      </c>
      <c r="W132" s="107">
        <v>4000</v>
      </c>
      <c r="X132" s="110" t="s">
        <v>5903</v>
      </c>
      <c r="Y132" s="107">
        <v>2000</v>
      </c>
      <c r="Z132" s="92" t="s">
        <v>5866</v>
      </c>
      <c r="AA132" s="93"/>
      <c r="AB132" s="93"/>
      <c r="AC132" s="93"/>
      <c r="AD132" s="93" t="s">
        <v>6289</v>
      </c>
      <c r="AE132" s="93"/>
      <c r="AF132" s="93"/>
      <c r="AG132" s="93"/>
      <c r="AH132" s="93"/>
      <c r="AI132" s="93"/>
      <c r="AK132" s="262" t="s">
        <v>6290</v>
      </c>
      <c r="AL132" s="93"/>
      <c r="AM132" s="93"/>
      <c r="AN132" s="93"/>
      <c r="AO132" s="93"/>
      <c r="AP132" s="93"/>
      <c r="AQ132" s="93"/>
    </row>
    <row r="133" spans="1:43">
      <c r="A133" s="106">
        <v>6</v>
      </c>
      <c r="B133" s="93">
        <v>128</v>
      </c>
      <c r="C133" s="93" t="s">
        <v>5860</v>
      </c>
      <c r="D133" s="93" t="s">
        <v>6291</v>
      </c>
      <c r="E133" s="92" t="s">
        <v>5862</v>
      </c>
      <c r="F133" s="93" t="s">
        <v>6292</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5864</v>
      </c>
      <c r="U133" s="93">
        <v>398</v>
      </c>
      <c r="V133" s="107">
        <v>62177</v>
      </c>
      <c r="W133" s="107">
        <v>62000</v>
      </c>
      <c r="X133" s="110" t="s">
        <v>6293</v>
      </c>
      <c r="Y133" s="107">
        <v>18000</v>
      </c>
      <c r="Z133" s="92" t="s">
        <v>5866</v>
      </c>
      <c r="AA133" s="93"/>
      <c r="AB133" s="93"/>
      <c r="AC133" s="93"/>
      <c r="AD133" s="93" t="s">
        <v>6294</v>
      </c>
      <c r="AE133" s="93"/>
      <c r="AF133" s="93"/>
      <c r="AG133" s="93"/>
      <c r="AH133" s="93"/>
      <c r="AI133" s="93"/>
      <c r="AK133" s="262" t="s">
        <v>181</v>
      </c>
      <c r="AL133" s="93"/>
      <c r="AM133" s="93"/>
      <c r="AN133" s="93"/>
      <c r="AO133" s="93"/>
      <c r="AP133" s="93"/>
      <c r="AQ133" s="93"/>
    </row>
    <row r="134" spans="1:43" ht="25.5">
      <c r="A134" s="106">
        <v>6</v>
      </c>
      <c r="B134" s="93">
        <v>129</v>
      </c>
      <c r="C134" s="93" t="s">
        <v>5860</v>
      </c>
      <c r="D134" s="93" t="s">
        <v>6295</v>
      </c>
      <c r="E134" s="92" t="s">
        <v>5862</v>
      </c>
      <c r="F134" s="93" t="s">
        <v>6296</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5908</v>
      </c>
      <c r="U134" s="93">
        <v>391</v>
      </c>
      <c r="V134" s="107">
        <v>47376</v>
      </c>
      <c r="W134" s="107">
        <v>47000</v>
      </c>
      <c r="X134" s="110" t="s">
        <v>5938</v>
      </c>
      <c r="Y134" s="107">
        <v>33000</v>
      </c>
      <c r="Z134" s="92" t="s">
        <v>5866</v>
      </c>
      <c r="AA134" s="93"/>
      <c r="AB134" s="93"/>
      <c r="AC134" s="93"/>
      <c r="AD134" s="93" t="s">
        <v>6297</v>
      </c>
      <c r="AE134" s="93"/>
      <c r="AF134" s="93"/>
      <c r="AG134" s="93"/>
      <c r="AH134" s="93"/>
      <c r="AI134" s="93"/>
      <c r="AK134" s="262" t="s">
        <v>6298</v>
      </c>
      <c r="AL134" s="93"/>
      <c r="AM134" s="93"/>
      <c r="AN134" s="93"/>
      <c r="AO134" s="93"/>
      <c r="AP134" s="93"/>
      <c r="AQ134" s="93"/>
    </row>
    <row r="135" spans="1:43" ht="25.5">
      <c r="A135" s="106">
        <v>6</v>
      </c>
      <c r="B135" s="93">
        <v>130</v>
      </c>
      <c r="C135" s="93" t="s">
        <v>5860</v>
      </c>
      <c r="D135" s="93" t="s">
        <v>6299</v>
      </c>
      <c r="E135" s="92" t="s">
        <v>5862</v>
      </c>
      <c r="F135" s="93" t="s">
        <v>6300</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5864</v>
      </c>
      <c r="U135" s="93">
        <v>398</v>
      </c>
      <c r="V135" s="107">
        <v>19013</v>
      </c>
      <c r="W135" s="107">
        <v>19000</v>
      </c>
      <c r="X135" s="110" t="s">
        <v>6091</v>
      </c>
      <c r="Y135" s="107">
        <v>11000</v>
      </c>
      <c r="Z135" s="92" t="s">
        <v>5866</v>
      </c>
      <c r="AA135" s="93"/>
      <c r="AB135" s="93"/>
      <c r="AC135" s="93"/>
      <c r="AD135" s="93" t="s">
        <v>6301</v>
      </c>
      <c r="AE135" s="93"/>
      <c r="AF135" s="93"/>
      <c r="AG135" s="93"/>
      <c r="AH135" s="93"/>
      <c r="AI135" s="93"/>
      <c r="AK135" s="262" t="s">
        <v>6302</v>
      </c>
      <c r="AL135" s="93"/>
      <c r="AM135" s="93"/>
      <c r="AN135" s="93"/>
      <c r="AO135" s="93"/>
      <c r="AP135" s="93"/>
      <c r="AQ135" s="93"/>
    </row>
    <row r="136" spans="1:43">
      <c r="A136" s="106">
        <v>6</v>
      </c>
      <c r="B136" s="93">
        <v>131</v>
      </c>
      <c r="C136" s="93" t="s">
        <v>5860</v>
      </c>
      <c r="D136" s="93" t="s">
        <v>6303</v>
      </c>
      <c r="E136" s="92" t="s">
        <v>5862</v>
      </c>
      <c r="F136" s="93" t="s">
        <v>6304</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5908</v>
      </c>
      <c r="U136" s="93">
        <v>398</v>
      </c>
      <c r="V136" s="107">
        <v>25653</v>
      </c>
      <c r="W136" s="107">
        <v>26000</v>
      </c>
      <c r="X136" s="110" t="s">
        <v>5892</v>
      </c>
      <c r="Y136" s="107">
        <v>9000</v>
      </c>
      <c r="Z136" s="92" t="s">
        <v>5866</v>
      </c>
      <c r="AA136" s="93"/>
      <c r="AB136" s="93"/>
      <c r="AC136" s="93"/>
      <c r="AD136" s="93" t="s">
        <v>6305</v>
      </c>
      <c r="AE136" s="93"/>
      <c r="AF136" s="93"/>
      <c r="AG136" s="93"/>
      <c r="AH136" s="93"/>
      <c r="AI136" s="93"/>
      <c r="AK136" s="262" t="s">
        <v>181</v>
      </c>
      <c r="AL136" s="93"/>
      <c r="AM136" s="93"/>
      <c r="AN136" s="93"/>
      <c r="AO136" s="93"/>
      <c r="AP136" s="93"/>
      <c r="AQ136" s="93"/>
    </row>
    <row r="137" spans="1:43" ht="25.5">
      <c r="A137" s="106">
        <v>6</v>
      </c>
      <c r="B137" s="93">
        <v>132</v>
      </c>
      <c r="C137" s="93" t="s">
        <v>5860</v>
      </c>
      <c r="D137" s="93" t="s">
        <v>6306</v>
      </c>
      <c r="E137" s="92" t="s">
        <v>5862</v>
      </c>
      <c r="F137" s="93" t="s">
        <v>6307</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5864</v>
      </c>
      <c r="U137" s="93">
        <v>398</v>
      </c>
      <c r="V137" s="107">
        <v>93179</v>
      </c>
      <c r="W137" s="107">
        <v>93000</v>
      </c>
      <c r="X137" s="110" t="s">
        <v>6308</v>
      </c>
      <c r="Y137" s="107">
        <v>21000</v>
      </c>
      <c r="Z137" s="92" t="s">
        <v>5866</v>
      </c>
      <c r="AA137" s="93"/>
      <c r="AB137" s="93"/>
      <c r="AC137" s="93"/>
      <c r="AD137" s="93" t="s">
        <v>6309</v>
      </c>
      <c r="AE137" s="93"/>
      <c r="AF137" s="93"/>
      <c r="AG137" s="93"/>
      <c r="AH137" s="93"/>
      <c r="AI137" s="93"/>
      <c r="AK137" s="262" t="s">
        <v>6310</v>
      </c>
      <c r="AL137" s="93"/>
      <c r="AM137" s="93"/>
      <c r="AN137" s="93"/>
      <c r="AO137" s="93"/>
      <c r="AP137" s="93"/>
      <c r="AQ137" s="93"/>
    </row>
    <row r="138" spans="1:43">
      <c r="A138" s="106">
        <v>6</v>
      </c>
      <c r="B138" s="93">
        <v>133</v>
      </c>
      <c r="C138" s="93" t="s">
        <v>5860</v>
      </c>
      <c r="D138" s="93" t="s">
        <v>6311</v>
      </c>
      <c r="E138" s="92" t="s">
        <v>5862</v>
      </c>
      <c r="F138" s="93" t="s">
        <v>6312</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5864</v>
      </c>
      <c r="U138" s="93">
        <v>398</v>
      </c>
      <c r="V138" s="107">
        <v>12488</v>
      </c>
      <c r="W138" s="107">
        <v>12000</v>
      </c>
      <c r="X138" s="110" t="s">
        <v>6065</v>
      </c>
      <c r="Y138" s="107">
        <v>8000</v>
      </c>
      <c r="Z138" s="92" t="s">
        <v>5866</v>
      </c>
      <c r="AA138" s="93"/>
      <c r="AB138" s="93"/>
      <c r="AC138" s="93"/>
      <c r="AD138" s="93" t="s">
        <v>6313</v>
      </c>
      <c r="AE138" s="93"/>
      <c r="AF138" s="93"/>
      <c r="AG138" s="93"/>
      <c r="AH138" s="93"/>
      <c r="AI138" s="93"/>
      <c r="AK138" s="262" t="s">
        <v>181</v>
      </c>
      <c r="AL138" s="93"/>
      <c r="AM138" s="93"/>
      <c r="AN138" s="93"/>
      <c r="AO138" s="93"/>
      <c r="AP138" s="93"/>
      <c r="AQ138" s="93"/>
    </row>
    <row r="139" spans="1:43">
      <c r="A139" s="106">
        <v>6</v>
      </c>
      <c r="B139" s="93">
        <v>134</v>
      </c>
      <c r="C139" s="93" t="s">
        <v>5860</v>
      </c>
      <c r="D139" s="93" t="s">
        <v>6314</v>
      </c>
      <c r="E139" s="92" t="s">
        <v>5862</v>
      </c>
      <c r="F139" s="93" t="s">
        <v>6315</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6316</v>
      </c>
      <c r="U139" s="93">
        <v>398</v>
      </c>
      <c r="V139" s="107">
        <v>18830</v>
      </c>
      <c r="W139" s="107">
        <v>19000</v>
      </c>
      <c r="X139" s="110" t="s">
        <v>5920</v>
      </c>
      <c r="Y139" s="107">
        <v>8000</v>
      </c>
      <c r="Z139" s="92" t="s">
        <v>5866</v>
      </c>
      <c r="AA139" s="93"/>
      <c r="AB139" s="93"/>
      <c r="AC139" s="93"/>
      <c r="AD139" s="93" t="s">
        <v>6317</v>
      </c>
      <c r="AE139" s="93"/>
      <c r="AF139" s="93"/>
      <c r="AG139" s="93"/>
      <c r="AH139" s="93"/>
      <c r="AI139" s="93"/>
      <c r="AK139" s="262" t="s">
        <v>5889</v>
      </c>
      <c r="AL139" s="93"/>
      <c r="AM139" s="93"/>
      <c r="AN139" s="93"/>
      <c r="AO139" s="93"/>
      <c r="AP139" s="93"/>
      <c r="AQ139" s="93"/>
    </row>
    <row r="140" spans="1:43">
      <c r="A140" s="106">
        <v>6</v>
      </c>
      <c r="B140" s="93">
        <v>135</v>
      </c>
      <c r="C140" s="93" t="s">
        <v>5860</v>
      </c>
      <c r="D140" s="93" t="s">
        <v>6318</v>
      </c>
      <c r="E140" s="92" t="s">
        <v>5862</v>
      </c>
      <c r="F140" s="93" t="s">
        <v>6319</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6075</v>
      </c>
      <c r="U140" s="93">
        <v>398</v>
      </c>
      <c r="V140" s="107">
        <v>17625</v>
      </c>
      <c r="W140" s="107">
        <v>18000</v>
      </c>
      <c r="X140" s="110" t="s">
        <v>6155</v>
      </c>
      <c r="Y140" s="107">
        <v>4000</v>
      </c>
      <c r="Z140" s="92" t="s">
        <v>5866</v>
      </c>
      <c r="AA140" s="93"/>
      <c r="AB140" s="93"/>
      <c r="AC140" s="93"/>
      <c r="AD140" s="93" t="s">
        <v>6320</v>
      </c>
      <c r="AE140" s="93"/>
      <c r="AF140" s="93"/>
      <c r="AG140" s="93"/>
      <c r="AH140" s="93"/>
      <c r="AI140" s="93"/>
      <c r="AK140" s="262" t="s">
        <v>5893</v>
      </c>
      <c r="AL140" s="93"/>
      <c r="AM140" s="93"/>
      <c r="AN140" s="93"/>
      <c r="AO140" s="93"/>
      <c r="AP140" s="93"/>
      <c r="AQ140" s="93"/>
    </row>
    <row r="141" spans="1:43" ht="25.5">
      <c r="A141" s="106">
        <v>6</v>
      </c>
      <c r="B141" s="93">
        <v>136</v>
      </c>
      <c r="C141" s="93" t="s">
        <v>5860</v>
      </c>
      <c r="D141" s="93" t="s">
        <v>6321</v>
      </c>
      <c r="E141" s="92" t="s">
        <v>5862</v>
      </c>
      <c r="F141" s="93" t="s">
        <v>6322</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6075</v>
      </c>
      <c r="U141" s="93">
        <v>398</v>
      </c>
      <c r="V141" s="107">
        <v>6250</v>
      </c>
      <c r="W141" s="107">
        <v>6000</v>
      </c>
      <c r="X141" s="110" t="s">
        <v>6128</v>
      </c>
      <c r="Y141" s="107">
        <v>5000</v>
      </c>
      <c r="Z141" s="92" t="s">
        <v>5866</v>
      </c>
      <c r="AA141" s="93"/>
      <c r="AB141" s="93"/>
      <c r="AC141" s="93"/>
      <c r="AD141" s="93" t="s">
        <v>181</v>
      </c>
      <c r="AE141" s="93"/>
      <c r="AF141" s="93"/>
      <c r="AG141" s="93"/>
      <c r="AH141" s="93"/>
      <c r="AI141" s="93"/>
      <c r="AK141" s="262" t="s">
        <v>6323</v>
      </c>
      <c r="AL141" s="93"/>
      <c r="AM141" s="93"/>
      <c r="AN141" s="93"/>
      <c r="AO141" s="93"/>
      <c r="AP141" s="93"/>
      <c r="AQ141" s="93"/>
    </row>
    <row r="142" spans="1:43" ht="25.5">
      <c r="A142" s="106">
        <v>6</v>
      </c>
      <c r="B142" s="93">
        <v>137</v>
      </c>
      <c r="C142" s="93" t="s">
        <v>5860</v>
      </c>
      <c r="D142" s="93" t="s">
        <v>6324</v>
      </c>
      <c r="E142" s="92" t="s">
        <v>5862</v>
      </c>
      <c r="F142" s="93" t="s">
        <v>6325</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6075</v>
      </c>
      <c r="U142" s="93">
        <v>398</v>
      </c>
      <c r="V142" s="107">
        <v>6250</v>
      </c>
      <c r="W142" s="107">
        <v>6000</v>
      </c>
      <c r="X142" s="110" t="s">
        <v>6128</v>
      </c>
      <c r="Y142" s="107">
        <v>5000</v>
      </c>
      <c r="Z142" s="92" t="s">
        <v>5866</v>
      </c>
      <c r="AA142" s="93"/>
      <c r="AB142" s="93"/>
      <c r="AC142" s="93"/>
      <c r="AD142" s="93" t="s">
        <v>6326</v>
      </c>
      <c r="AE142" s="93"/>
      <c r="AF142" s="93"/>
      <c r="AG142" s="93"/>
      <c r="AH142" s="93"/>
      <c r="AI142" s="93"/>
      <c r="AK142" s="262" t="s">
        <v>6327</v>
      </c>
      <c r="AL142" s="93"/>
      <c r="AM142" s="93"/>
      <c r="AN142" s="93"/>
      <c r="AO142" s="93"/>
      <c r="AP142" s="93"/>
      <c r="AQ142" s="93"/>
    </row>
    <row r="143" spans="1:43">
      <c r="A143" s="106">
        <v>6</v>
      </c>
      <c r="B143" s="93">
        <v>138</v>
      </c>
      <c r="C143" s="93" t="s">
        <v>5860</v>
      </c>
      <c r="D143" s="93" t="s">
        <v>6328</v>
      </c>
      <c r="E143" s="92" t="s">
        <v>5862</v>
      </c>
      <c r="F143" s="93" t="s">
        <v>6329</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6330</v>
      </c>
      <c r="U143" s="93">
        <v>398</v>
      </c>
      <c r="V143" s="107">
        <v>12500</v>
      </c>
      <c r="W143" s="107">
        <v>13000</v>
      </c>
      <c r="X143" s="110" t="s">
        <v>6331</v>
      </c>
      <c r="Y143" s="107">
        <v>10000</v>
      </c>
      <c r="Z143" s="92" t="s">
        <v>5866</v>
      </c>
      <c r="AA143" s="93"/>
      <c r="AB143" s="93"/>
      <c r="AC143" s="93"/>
      <c r="AD143" s="93" t="s">
        <v>181</v>
      </c>
      <c r="AE143" s="93"/>
      <c r="AF143" s="93"/>
      <c r="AG143" s="93"/>
      <c r="AH143" s="93"/>
      <c r="AI143" s="93"/>
      <c r="AK143" s="262" t="s">
        <v>6332</v>
      </c>
      <c r="AL143" s="93"/>
      <c r="AM143" s="93"/>
      <c r="AN143" s="93"/>
      <c r="AO143" s="93"/>
      <c r="AP143" s="93"/>
      <c r="AQ143" s="93"/>
    </row>
    <row r="144" spans="1:43" ht="25.5">
      <c r="A144" s="106">
        <v>6</v>
      </c>
      <c r="B144" s="93">
        <v>139</v>
      </c>
      <c r="C144" s="93" t="s">
        <v>5860</v>
      </c>
      <c r="D144" s="93" t="s">
        <v>6333</v>
      </c>
      <c r="E144" s="92" t="s">
        <v>5862</v>
      </c>
      <c r="F144" s="93" t="s">
        <v>6334</v>
      </c>
      <c r="G144" s="93" t="s">
        <v>6239</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5864</v>
      </c>
      <c r="U144" s="93">
        <v>396</v>
      </c>
      <c r="V144" s="107">
        <v>31250</v>
      </c>
      <c r="W144" s="107">
        <v>31000</v>
      </c>
      <c r="X144" s="110" t="s">
        <v>6065</v>
      </c>
      <c r="Y144" s="107">
        <v>21000</v>
      </c>
      <c r="Z144" s="92" t="s">
        <v>5866</v>
      </c>
      <c r="AA144" s="93"/>
      <c r="AB144" s="93"/>
      <c r="AC144" s="93"/>
      <c r="AD144" s="93" t="s">
        <v>6335</v>
      </c>
      <c r="AE144" s="93"/>
      <c r="AF144" s="93"/>
      <c r="AG144" s="93"/>
      <c r="AH144" s="93"/>
      <c r="AI144" s="93"/>
      <c r="AK144" s="262" t="s">
        <v>6336</v>
      </c>
      <c r="AL144" s="93"/>
      <c r="AM144" s="93"/>
      <c r="AN144" s="93"/>
      <c r="AO144" s="93"/>
      <c r="AP144" s="93"/>
      <c r="AQ144" s="93"/>
    </row>
    <row r="145" spans="1:43">
      <c r="A145" s="106">
        <v>6</v>
      </c>
      <c r="B145" s="93">
        <v>140</v>
      </c>
      <c r="C145" s="93" t="s">
        <v>5860</v>
      </c>
      <c r="D145" s="93" t="s">
        <v>6337</v>
      </c>
      <c r="E145" s="92" t="s">
        <v>5862</v>
      </c>
      <c r="F145" s="93" t="s">
        <v>6338</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6339</v>
      </c>
      <c r="U145" s="93">
        <v>398</v>
      </c>
      <c r="V145" s="107">
        <v>6250</v>
      </c>
      <c r="W145" s="107">
        <v>6000</v>
      </c>
      <c r="X145" s="110" t="s">
        <v>5920</v>
      </c>
      <c r="Y145" s="107">
        <v>3000</v>
      </c>
      <c r="Z145" s="92" t="s">
        <v>5866</v>
      </c>
      <c r="AA145" s="93"/>
      <c r="AB145" s="93"/>
      <c r="AC145" s="93"/>
      <c r="AD145" s="93" t="s">
        <v>6340</v>
      </c>
      <c r="AE145" s="93"/>
      <c r="AF145" s="93"/>
      <c r="AG145" s="93"/>
      <c r="AH145" s="93"/>
      <c r="AI145" s="93"/>
      <c r="AK145" s="262" t="s">
        <v>5893</v>
      </c>
      <c r="AL145" s="93"/>
      <c r="AM145" s="93"/>
      <c r="AN145" s="93"/>
      <c r="AO145" s="93"/>
      <c r="AP145" s="93"/>
      <c r="AQ145" s="93"/>
    </row>
    <row r="146" spans="1:43" ht="25.5">
      <c r="A146" s="106">
        <v>6</v>
      </c>
      <c r="B146" s="93">
        <v>141</v>
      </c>
      <c r="C146" s="93" t="s">
        <v>5860</v>
      </c>
      <c r="D146" s="93" t="s">
        <v>6341</v>
      </c>
      <c r="E146" s="92" t="s">
        <v>5862</v>
      </c>
      <c r="F146" s="93" t="s">
        <v>6342</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6343</v>
      </c>
      <c r="U146" s="93">
        <v>398</v>
      </c>
      <c r="V146" s="107">
        <v>12500</v>
      </c>
      <c r="W146" s="107">
        <v>13000</v>
      </c>
      <c r="X146" s="110" t="s">
        <v>6182</v>
      </c>
      <c r="Y146" s="107">
        <v>7000</v>
      </c>
      <c r="Z146" s="92" t="s">
        <v>5866</v>
      </c>
      <c r="AA146" s="93"/>
      <c r="AB146" s="93"/>
      <c r="AC146" s="93"/>
      <c r="AD146" s="93" t="s">
        <v>6344</v>
      </c>
      <c r="AE146" s="93"/>
      <c r="AF146" s="93"/>
      <c r="AG146" s="93"/>
      <c r="AH146" s="93"/>
      <c r="AI146" s="93"/>
      <c r="AK146" s="262" t="s">
        <v>6345</v>
      </c>
      <c r="AL146" s="93"/>
      <c r="AM146" s="93"/>
      <c r="AN146" s="93"/>
      <c r="AO146" s="93"/>
      <c r="AP146" s="93"/>
      <c r="AQ146" s="93"/>
    </row>
    <row r="147" spans="1:43">
      <c r="A147" s="106">
        <v>6</v>
      </c>
      <c r="B147" s="93">
        <v>142</v>
      </c>
      <c r="C147" s="93" t="s">
        <v>5860</v>
      </c>
      <c r="D147" s="93" t="s">
        <v>6346</v>
      </c>
      <c r="E147" s="92" t="s">
        <v>5862</v>
      </c>
      <c r="F147" s="93" t="s">
        <v>6347</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6343</v>
      </c>
      <c r="U147" s="93">
        <v>401</v>
      </c>
      <c r="V147" s="107">
        <v>27680</v>
      </c>
      <c r="W147" s="107">
        <v>28000</v>
      </c>
      <c r="X147" s="110" t="s">
        <v>5887</v>
      </c>
      <c r="Y147" s="107">
        <v>7000</v>
      </c>
      <c r="Z147" s="92" t="s">
        <v>5866</v>
      </c>
      <c r="AA147" s="93"/>
      <c r="AB147" s="93"/>
      <c r="AC147" s="93"/>
      <c r="AD147" s="93" t="s">
        <v>6348</v>
      </c>
      <c r="AE147" s="93"/>
      <c r="AF147" s="93"/>
      <c r="AG147" s="93"/>
      <c r="AH147" s="93"/>
      <c r="AI147" s="93"/>
      <c r="AK147" s="262" t="s">
        <v>6332</v>
      </c>
      <c r="AL147" s="93"/>
      <c r="AM147" s="93"/>
      <c r="AN147" s="93"/>
      <c r="AO147" s="93"/>
      <c r="AP147" s="93"/>
      <c r="AQ147" s="93"/>
    </row>
    <row r="148" spans="1:43">
      <c r="A148" s="106">
        <v>6</v>
      </c>
      <c r="B148" s="93">
        <v>143</v>
      </c>
      <c r="C148" s="93" t="s">
        <v>5860</v>
      </c>
      <c r="D148" s="93" t="s">
        <v>6349</v>
      </c>
      <c r="E148" s="92" t="s">
        <v>5862</v>
      </c>
      <c r="F148" s="93" t="s">
        <v>6350</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6351</v>
      </c>
      <c r="U148" s="93">
        <v>401</v>
      </c>
      <c r="V148" s="107">
        <v>18720</v>
      </c>
      <c r="W148" s="107">
        <v>19000</v>
      </c>
      <c r="X148" s="110" t="s">
        <v>6245</v>
      </c>
      <c r="Y148" s="107">
        <v>4000</v>
      </c>
      <c r="Z148" s="92" t="s">
        <v>5866</v>
      </c>
      <c r="AA148" s="93"/>
      <c r="AB148" s="93"/>
      <c r="AC148" s="93"/>
      <c r="AD148" s="93" t="s">
        <v>181</v>
      </c>
      <c r="AE148" s="93"/>
      <c r="AF148" s="93"/>
      <c r="AG148" s="93"/>
      <c r="AH148" s="93"/>
      <c r="AI148" s="93"/>
      <c r="AK148" s="262" t="s">
        <v>6352</v>
      </c>
      <c r="AL148" s="93"/>
      <c r="AM148" s="93"/>
      <c r="AN148" s="93"/>
      <c r="AO148" s="93"/>
      <c r="AP148" s="93"/>
      <c r="AQ148" s="93"/>
    </row>
    <row r="149" spans="1:43">
      <c r="A149" s="106">
        <v>6</v>
      </c>
      <c r="B149" s="93">
        <v>144</v>
      </c>
      <c r="C149" s="93" t="s">
        <v>5860</v>
      </c>
      <c r="D149" s="93" t="s">
        <v>6353</v>
      </c>
      <c r="E149" s="92" t="s">
        <v>5862</v>
      </c>
      <c r="F149" s="93" t="s">
        <v>6354</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6075</v>
      </c>
      <c r="U149" s="93">
        <v>398</v>
      </c>
      <c r="V149" s="107">
        <v>31287</v>
      </c>
      <c r="W149" s="107">
        <v>31000</v>
      </c>
      <c r="X149" s="110" t="s">
        <v>6065</v>
      </c>
      <c r="Y149" s="107">
        <v>20000</v>
      </c>
      <c r="Z149" s="92" t="s">
        <v>5866</v>
      </c>
      <c r="AA149" s="93"/>
      <c r="AB149" s="93"/>
      <c r="AC149" s="93"/>
      <c r="AD149" s="93" t="s">
        <v>181</v>
      </c>
      <c r="AE149" s="93"/>
      <c r="AF149" s="93"/>
      <c r="AG149" s="93"/>
      <c r="AH149" s="93"/>
      <c r="AI149" s="93"/>
      <c r="AK149" s="262" t="s">
        <v>181</v>
      </c>
      <c r="AL149" s="93"/>
      <c r="AM149" s="93"/>
      <c r="AN149" s="93"/>
      <c r="AO149" s="93"/>
      <c r="AP149" s="93"/>
      <c r="AQ149" s="93"/>
    </row>
    <row r="150" spans="1:43">
      <c r="A150" s="106">
        <v>6</v>
      </c>
      <c r="B150" s="93">
        <v>145</v>
      </c>
      <c r="C150" s="93" t="s">
        <v>5860</v>
      </c>
      <c r="D150" s="93" t="s">
        <v>6355</v>
      </c>
      <c r="E150" s="92" t="s">
        <v>5862</v>
      </c>
      <c r="F150" s="93" t="s">
        <v>6356</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6075</v>
      </c>
      <c r="U150" s="93">
        <v>398</v>
      </c>
      <c r="V150" s="107">
        <v>15644</v>
      </c>
      <c r="W150" s="107">
        <v>16000</v>
      </c>
      <c r="X150" s="110" t="s">
        <v>6308</v>
      </c>
      <c r="Y150" s="107">
        <v>3000</v>
      </c>
      <c r="Z150" s="92" t="s">
        <v>5866</v>
      </c>
      <c r="AA150" s="93"/>
      <c r="AB150" s="93"/>
      <c r="AC150" s="93"/>
      <c r="AD150" s="93" t="s">
        <v>5904</v>
      </c>
      <c r="AE150" s="93"/>
      <c r="AF150" s="93"/>
      <c r="AG150" s="93"/>
      <c r="AH150" s="93"/>
      <c r="AI150" s="93"/>
      <c r="AK150" s="262" t="s">
        <v>181</v>
      </c>
      <c r="AL150" s="93"/>
      <c r="AM150" s="93"/>
      <c r="AN150" s="93"/>
      <c r="AO150" s="93"/>
      <c r="AP150" s="93"/>
      <c r="AQ150" s="93"/>
    </row>
    <row r="151" spans="1:43">
      <c r="A151" s="106">
        <v>6</v>
      </c>
      <c r="B151" s="93">
        <v>146</v>
      </c>
      <c r="C151" s="93" t="s">
        <v>5860</v>
      </c>
      <c r="D151" s="93" t="s">
        <v>6357</v>
      </c>
      <c r="E151" s="92" t="s">
        <v>5862</v>
      </c>
      <c r="F151" s="93" t="s">
        <v>6358</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6075</v>
      </c>
      <c r="U151" s="93">
        <v>398</v>
      </c>
      <c r="V151" s="107">
        <v>31313</v>
      </c>
      <c r="W151" s="107">
        <v>31000</v>
      </c>
      <c r="X151" s="110" t="s">
        <v>6182</v>
      </c>
      <c r="Y151" s="107">
        <v>19000</v>
      </c>
      <c r="Z151" s="92" t="s">
        <v>5866</v>
      </c>
      <c r="AA151" s="93"/>
      <c r="AB151" s="93"/>
      <c r="AC151" s="93"/>
      <c r="AD151" s="93" t="s">
        <v>5879</v>
      </c>
      <c r="AE151" s="93"/>
      <c r="AF151" s="93"/>
      <c r="AG151" s="93"/>
      <c r="AH151" s="93"/>
      <c r="AI151" s="93"/>
      <c r="AK151" s="262" t="s">
        <v>181</v>
      </c>
      <c r="AL151" s="93"/>
      <c r="AM151" s="93"/>
      <c r="AN151" s="93"/>
      <c r="AO151" s="93"/>
      <c r="AP151" s="93"/>
      <c r="AQ151" s="93"/>
    </row>
    <row r="152" spans="1:43" ht="25.5">
      <c r="A152" s="106">
        <v>6</v>
      </c>
      <c r="B152" s="93">
        <v>147</v>
      </c>
      <c r="C152" s="93" t="s">
        <v>5860</v>
      </c>
      <c r="D152" s="93" t="s">
        <v>6357</v>
      </c>
      <c r="E152" s="92" t="s">
        <v>5862</v>
      </c>
      <c r="F152" s="93" t="s">
        <v>6358</v>
      </c>
      <c r="G152" s="93">
        <v>44.2</v>
      </c>
      <c r="H152" s="93">
        <v>9210</v>
      </c>
      <c r="I152" s="92">
        <v>0</v>
      </c>
      <c r="J152" s="107">
        <v>18816</v>
      </c>
      <c r="K152" s="105">
        <v>6.74</v>
      </c>
      <c r="L152" s="108">
        <v>0</v>
      </c>
      <c r="M152" s="97">
        <v>0</v>
      </c>
      <c r="N152" s="93">
        <v>1934</v>
      </c>
      <c r="O152" s="93">
        <v>2358</v>
      </c>
      <c r="P152" s="93">
        <v>0</v>
      </c>
      <c r="Q152" s="93">
        <v>14</v>
      </c>
      <c r="R152" s="93">
        <v>1</v>
      </c>
      <c r="S152" s="93">
        <v>1</v>
      </c>
      <c r="T152" s="92" t="s">
        <v>6075</v>
      </c>
      <c r="U152" s="93">
        <v>398</v>
      </c>
      <c r="V152" s="107">
        <v>31313</v>
      </c>
      <c r="W152" s="107">
        <v>31000</v>
      </c>
      <c r="X152" s="110" t="s">
        <v>6182</v>
      </c>
      <c r="Y152" s="107">
        <v>19000</v>
      </c>
      <c r="Z152" s="92" t="s">
        <v>5866</v>
      </c>
      <c r="AA152" s="93"/>
      <c r="AB152" s="93"/>
      <c r="AC152" s="93"/>
      <c r="AD152" s="93" t="s">
        <v>5879</v>
      </c>
      <c r="AE152" s="93"/>
      <c r="AF152" s="93"/>
      <c r="AG152" s="93"/>
      <c r="AH152" s="93"/>
      <c r="AI152" s="93"/>
      <c r="AK152" s="262" t="s">
        <v>6359</v>
      </c>
      <c r="AL152" s="93"/>
      <c r="AM152" s="93"/>
      <c r="AN152" s="93"/>
      <c r="AO152" s="93"/>
      <c r="AP152" s="93"/>
      <c r="AQ152" s="93"/>
    </row>
    <row r="153" spans="1:43">
      <c r="A153" s="106">
        <v>6</v>
      </c>
      <c r="B153" s="93">
        <v>148</v>
      </c>
      <c r="C153" s="93" t="s">
        <v>5860</v>
      </c>
      <c r="D153" s="93" t="s">
        <v>6360</v>
      </c>
      <c r="E153" s="92" t="s">
        <v>5862</v>
      </c>
      <c r="F153" s="93" t="s">
        <v>6361</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5864</v>
      </c>
      <c r="U153" s="93">
        <v>398</v>
      </c>
      <c r="V153" s="107">
        <v>6277</v>
      </c>
      <c r="W153" s="107">
        <v>6000</v>
      </c>
      <c r="X153" s="110" t="s">
        <v>6091</v>
      </c>
      <c r="Y153" s="107">
        <v>3000</v>
      </c>
      <c r="Z153" s="92" t="s">
        <v>5866</v>
      </c>
      <c r="AA153" s="93"/>
      <c r="AB153" s="93"/>
      <c r="AC153" s="93"/>
      <c r="AD153" s="93" t="s">
        <v>5904</v>
      </c>
      <c r="AE153" s="93"/>
      <c r="AF153" s="93"/>
      <c r="AG153" s="93"/>
      <c r="AH153" s="93"/>
      <c r="AI153" s="93"/>
      <c r="AK153" s="262" t="s">
        <v>181</v>
      </c>
      <c r="AL153" s="93"/>
      <c r="AM153" s="93"/>
      <c r="AN153" s="93"/>
      <c r="AO153" s="93"/>
      <c r="AP153" s="93"/>
      <c r="AQ153" s="93"/>
    </row>
    <row r="154" spans="1:43">
      <c r="A154" s="106">
        <v>6</v>
      </c>
      <c r="B154" s="93">
        <v>149</v>
      </c>
      <c r="C154" s="93" t="s">
        <v>5860</v>
      </c>
      <c r="D154" s="93" t="s">
        <v>6362</v>
      </c>
      <c r="E154" s="92" t="s">
        <v>5862</v>
      </c>
      <c r="F154" s="93" t="s">
        <v>6363</v>
      </c>
      <c r="G154" s="93">
        <v>44.2</v>
      </c>
      <c r="H154" s="93">
        <v>9210</v>
      </c>
      <c r="I154" s="92">
        <v>0</v>
      </c>
      <c r="J154" s="107">
        <v>12500</v>
      </c>
      <c r="K154" s="105">
        <v>7.36</v>
      </c>
      <c r="L154" s="108">
        <v>0</v>
      </c>
      <c r="M154" s="97">
        <v>0</v>
      </c>
      <c r="N154" s="93">
        <v>1926</v>
      </c>
      <c r="O154" s="93">
        <v>1512</v>
      </c>
      <c r="P154" s="93">
        <v>0</v>
      </c>
      <c r="Q154" s="93">
        <v>16</v>
      </c>
      <c r="R154" s="93">
        <v>1</v>
      </c>
      <c r="S154" s="93">
        <v>3</v>
      </c>
      <c r="T154" s="92" t="s">
        <v>6339</v>
      </c>
      <c r="U154" s="93">
        <v>398</v>
      </c>
      <c r="V154" s="107">
        <v>12525</v>
      </c>
      <c r="W154" s="107">
        <v>13000</v>
      </c>
      <c r="X154" s="110" t="s">
        <v>6249</v>
      </c>
      <c r="Y154" s="107">
        <v>13000</v>
      </c>
      <c r="Z154" s="92" t="s">
        <v>5866</v>
      </c>
      <c r="AA154" s="93"/>
      <c r="AB154" s="93"/>
      <c r="AC154" s="93"/>
      <c r="AD154" s="93" t="s">
        <v>6364</v>
      </c>
      <c r="AE154" s="93"/>
      <c r="AF154" s="93"/>
      <c r="AG154" s="93"/>
      <c r="AH154" s="93"/>
      <c r="AI154" s="93"/>
      <c r="AK154" s="262" t="s">
        <v>181</v>
      </c>
      <c r="AL154" s="93"/>
      <c r="AM154" s="93"/>
      <c r="AN154" s="93"/>
      <c r="AO154" s="93"/>
      <c r="AP154" s="93"/>
      <c r="AQ154" s="93"/>
    </row>
    <row r="155" spans="1:43">
      <c r="A155" s="106">
        <v>6</v>
      </c>
      <c r="B155" s="93">
        <v>150</v>
      </c>
      <c r="C155" s="93" t="s">
        <v>5860</v>
      </c>
      <c r="D155" s="93" t="s">
        <v>6365</v>
      </c>
      <c r="E155" s="92" t="s">
        <v>5862</v>
      </c>
      <c r="F155" s="93" t="s">
        <v>6366</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5864</v>
      </c>
      <c r="U155" s="93">
        <v>401</v>
      </c>
      <c r="V155" s="107">
        <v>18750</v>
      </c>
      <c r="W155" s="107">
        <v>19000</v>
      </c>
      <c r="X155" s="110" t="s">
        <v>5871</v>
      </c>
      <c r="Y155" s="107">
        <v>6000</v>
      </c>
      <c r="Z155" s="92" t="s">
        <v>5866</v>
      </c>
      <c r="AA155" s="93"/>
      <c r="AB155" s="93"/>
      <c r="AC155" s="93"/>
      <c r="AD155" s="93" t="s">
        <v>6367</v>
      </c>
      <c r="AE155" s="93"/>
      <c r="AF155" s="93"/>
      <c r="AG155" s="93"/>
      <c r="AH155" s="93"/>
      <c r="AI155" s="93"/>
      <c r="AK155" s="262" t="s">
        <v>181</v>
      </c>
      <c r="AL155" s="93"/>
      <c r="AM155" s="93"/>
      <c r="AN155" s="93"/>
      <c r="AO155" s="93"/>
      <c r="AP155" s="93"/>
      <c r="AQ155" s="93"/>
    </row>
    <row r="156" spans="1:43">
      <c r="A156" s="106">
        <v>6</v>
      </c>
      <c r="B156" s="93">
        <v>151</v>
      </c>
      <c r="C156" s="93" t="s">
        <v>5860</v>
      </c>
      <c r="D156" s="93" t="s">
        <v>6368</v>
      </c>
      <c r="E156" s="92" t="s">
        <v>5862</v>
      </c>
      <c r="F156" s="93" t="s">
        <v>6369</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6339</v>
      </c>
      <c r="U156" s="93">
        <v>398</v>
      </c>
      <c r="V156" s="107">
        <v>9588</v>
      </c>
      <c r="W156" s="107">
        <v>10000</v>
      </c>
      <c r="X156" s="110" t="s">
        <v>6182</v>
      </c>
      <c r="Y156" s="107">
        <v>6000</v>
      </c>
      <c r="Z156" s="92" t="s">
        <v>5866</v>
      </c>
      <c r="AA156" s="93"/>
      <c r="AB156" s="93"/>
      <c r="AC156" s="93"/>
      <c r="AD156" s="93" t="s">
        <v>6370</v>
      </c>
      <c r="AE156" s="93"/>
      <c r="AF156" s="93"/>
      <c r="AG156" s="93"/>
      <c r="AH156" s="93"/>
      <c r="AI156" s="93"/>
      <c r="AK156" s="262" t="s">
        <v>181</v>
      </c>
      <c r="AL156" s="93"/>
      <c r="AM156" s="93"/>
      <c r="AN156" s="93"/>
      <c r="AO156" s="93"/>
      <c r="AP156" s="93"/>
      <c r="AQ156" s="93"/>
    </row>
    <row r="157" spans="1:43">
      <c r="A157" s="106">
        <v>6</v>
      </c>
      <c r="B157" s="93">
        <v>152</v>
      </c>
      <c r="C157" s="93" t="s">
        <v>5860</v>
      </c>
      <c r="D157" s="93" t="s">
        <v>6371</v>
      </c>
      <c r="E157" s="92" t="s">
        <v>5862</v>
      </c>
      <c r="F157" s="93" t="s">
        <v>6372</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6339</v>
      </c>
      <c r="U157" s="93">
        <v>398</v>
      </c>
      <c r="V157" s="107">
        <v>10793</v>
      </c>
      <c r="W157" s="107">
        <v>11000</v>
      </c>
      <c r="X157" s="110" t="s">
        <v>5896</v>
      </c>
      <c r="Y157" s="107">
        <v>7000</v>
      </c>
      <c r="Z157" s="92" t="s">
        <v>5866</v>
      </c>
      <c r="AA157" s="93"/>
      <c r="AB157" s="93"/>
      <c r="AC157" s="93"/>
      <c r="AD157" s="93" t="s">
        <v>181</v>
      </c>
      <c r="AE157" s="93"/>
      <c r="AF157" s="93"/>
      <c r="AG157" s="93"/>
      <c r="AH157" s="93"/>
      <c r="AI157" s="93"/>
      <c r="AK157" s="262" t="s">
        <v>181</v>
      </c>
      <c r="AL157" s="93"/>
      <c r="AM157" s="93"/>
      <c r="AN157" s="93"/>
      <c r="AO157" s="93"/>
      <c r="AP157" s="93"/>
      <c r="AQ157" s="93"/>
    </row>
    <row r="158" spans="1:43">
      <c r="A158" s="106">
        <v>6</v>
      </c>
      <c r="B158" s="93">
        <v>153</v>
      </c>
      <c r="C158" s="93" t="s">
        <v>5860</v>
      </c>
      <c r="D158" s="93" t="s">
        <v>6373</v>
      </c>
      <c r="E158" s="92" t="s">
        <v>5862</v>
      </c>
      <c r="F158" s="93" t="s">
        <v>6374</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6221</v>
      </c>
      <c r="U158" s="93">
        <v>398</v>
      </c>
      <c r="V158" s="107">
        <v>16812</v>
      </c>
      <c r="W158" s="107">
        <v>17000</v>
      </c>
      <c r="X158" s="110" t="s">
        <v>5887</v>
      </c>
      <c r="Y158" s="107">
        <v>4000</v>
      </c>
      <c r="Z158" s="92" t="s">
        <v>5866</v>
      </c>
      <c r="AA158" s="93"/>
      <c r="AB158" s="93"/>
      <c r="AC158" s="93"/>
      <c r="AD158" s="93" t="s">
        <v>6375</v>
      </c>
      <c r="AE158" s="93"/>
      <c r="AF158" s="93"/>
      <c r="AG158" s="93"/>
      <c r="AH158" s="93"/>
      <c r="AI158" s="93"/>
      <c r="AK158" s="262" t="s">
        <v>181</v>
      </c>
      <c r="AL158" s="93"/>
      <c r="AM158" s="93"/>
      <c r="AN158" s="93"/>
      <c r="AO158" s="93"/>
      <c r="AP158" s="93"/>
      <c r="AQ158" s="93"/>
    </row>
    <row r="159" spans="1:43" ht="25.5">
      <c r="A159" s="106">
        <v>6</v>
      </c>
      <c r="B159" s="93">
        <v>154</v>
      </c>
      <c r="C159" s="93" t="s">
        <v>5860</v>
      </c>
      <c r="D159" s="93" t="s">
        <v>6376</v>
      </c>
      <c r="E159" s="92" t="s">
        <v>5862</v>
      </c>
      <c r="F159" s="93" t="s">
        <v>6377</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6339</v>
      </c>
      <c r="U159" s="93">
        <v>391</v>
      </c>
      <c r="V159" s="107">
        <v>12500</v>
      </c>
      <c r="W159" s="107">
        <v>13000</v>
      </c>
      <c r="X159" s="110" t="s">
        <v>6182</v>
      </c>
      <c r="Y159" s="107">
        <v>7000</v>
      </c>
      <c r="Z159" s="92" t="s">
        <v>5866</v>
      </c>
      <c r="AA159" s="93"/>
      <c r="AB159" s="93"/>
      <c r="AC159" s="93"/>
      <c r="AD159" s="93" t="s">
        <v>6378</v>
      </c>
      <c r="AE159" s="93"/>
      <c r="AF159" s="93"/>
      <c r="AG159" s="93"/>
      <c r="AH159" s="93"/>
      <c r="AI159" s="93"/>
      <c r="AK159" s="262" t="s">
        <v>5935</v>
      </c>
      <c r="AL159" s="93"/>
      <c r="AM159" s="93"/>
      <c r="AN159" s="93"/>
      <c r="AO159" s="93"/>
      <c r="AP159" s="93"/>
      <c r="AQ159" s="93"/>
    </row>
    <row r="160" spans="1:43">
      <c r="A160" s="106">
        <v>6</v>
      </c>
      <c r="B160" s="93">
        <v>155</v>
      </c>
      <c r="C160" s="93" t="s">
        <v>5860</v>
      </c>
      <c r="D160" s="93" t="s">
        <v>6379</v>
      </c>
      <c r="E160" s="92" t="s">
        <v>5862</v>
      </c>
      <c r="F160" s="93" t="s">
        <v>6380</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6339</v>
      </c>
      <c r="U160" s="93">
        <v>398</v>
      </c>
      <c r="V160" s="107">
        <v>17569</v>
      </c>
      <c r="W160" s="107">
        <v>18000</v>
      </c>
      <c r="X160" s="110" t="s">
        <v>6182</v>
      </c>
      <c r="Y160" s="107">
        <v>11000</v>
      </c>
      <c r="Z160" s="92" t="s">
        <v>5924</v>
      </c>
      <c r="AA160" s="93"/>
      <c r="AB160" s="93"/>
      <c r="AC160" s="93"/>
      <c r="AD160" s="93" t="s">
        <v>6381</v>
      </c>
      <c r="AE160" s="93"/>
      <c r="AF160" s="93"/>
      <c r="AG160" s="93"/>
      <c r="AH160" s="93"/>
      <c r="AI160" s="93"/>
      <c r="AK160" s="262" t="s">
        <v>181</v>
      </c>
      <c r="AL160" s="93"/>
      <c r="AM160" s="93"/>
      <c r="AN160" s="93"/>
      <c r="AO160" s="93"/>
      <c r="AP160" s="93"/>
      <c r="AQ160" s="93"/>
    </row>
    <row r="161" spans="1:43">
      <c r="A161" s="106">
        <v>6</v>
      </c>
      <c r="B161" s="93">
        <v>156</v>
      </c>
      <c r="C161" s="93" t="s">
        <v>5860</v>
      </c>
      <c r="D161" s="93" t="s">
        <v>6382</v>
      </c>
      <c r="E161" s="92" t="s">
        <v>5862</v>
      </c>
      <c r="F161" s="93" t="s">
        <v>6383</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6339</v>
      </c>
      <c r="U161" s="93">
        <v>398</v>
      </c>
      <c r="V161" s="107">
        <v>14360</v>
      </c>
      <c r="W161" s="107">
        <v>14000</v>
      </c>
      <c r="X161" s="110" t="s">
        <v>5874</v>
      </c>
      <c r="Y161" s="107">
        <v>6000</v>
      </c>
      <c r="Z161" s="92" t="s">
        <v>5866</v>
      </c>
      <c r="AA161" s="93"/>
      <c r="AB161" s="93"/>
      <c r="AC161" s="93"/>
      <c r="AD161" s="93" t="s">
        <v>6384</v>
      </c>
      <c r="AE161" s="93"/>
      <c r="AF161" s="93"/>
      <c r="AG161" s="93"/>
      <c r="AH161" s="93"/>
      <c r="AI161" s="93"/>
      <c r="AK161" s="262" t="s">
        <v>6385</v>
      </c>
      <c r="AL161" s="93"/>
      <c r="AM161" s="93"/>
      <c r="AN161" s="93"/>
      <c r="AO161" s="93"/>
      <c r="AP161" s="93"/>
      <c r="AQ161" s="93"/>
    </row>
    <row r="162" spans="1:43" ht="25.5">
      <c r="A162" s="106">
        <v>6</v>
      </c>
      <c r="B162" s="93">
        <v>157</v>
      </c>
      <c r="C162" s="93" t="s">
        <v>5860</v>
      </c>
      <c r="D162" s="93" t="s">
        <v>6386</v>
      </c>
      <c r="E162" s="92" t="s">
        <v>5862</v>
      </c>
      <c r="F162" s="93" t="s">
        <v>6387</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6388</v>
      </c>
      <c r="U162" s="93">
        <v>398</v>
      </c>
      <c r="V162" s="107">
        <v>18893</v>
      </c>
      <c r="W162" s="107">
        <v>19000</v>
      </c>
      <c r="X162" s="110" t="s">
        <v>6249</v>
      </c>
      <c r="Y162" s="107">
        <v>18000</v>
      </c>
      <c r="Z162" s="92" t="s">
        <v>5866</v>
      </c>
      <c r="AA162" s="93"/>
      <c r="AB162" s="93"/>
      <c r="AC162" s="93"/>
      <c r="AD162" s="93" t="s">
        <v>6389</v>
      </c>
      <c r="AE162" s="93"/>
      <c r="AF162" s="93"/>
      <c r="AG162" s="93"/>
      <c r="AH162" s="93"/>
      <c r="AI162" s="93"/>
      <c r="AK162" s="262" t="s">
        <v>6390</v>
      </c>
      <c r="AL162" s="93"/>
      <c r="AM162" s="93"/>
      <c r="AN162" s="93"/>
      <c r="AO162" s="93"/>
      <c r="AP162" s="93"/>
      <c r="AQ162" s="93"/>
    </row>
    <row r="163" spans="1:43" ht="25.5">
      <c r="A163" s="106">
        <v>6</v>
      </c>
      <c r="B163" s="93">
        <v>158</v>
      </c>
      <c r="C163" s="93" t="s">
        <v>5860</v>
      </c>
      <c r="D163" s="93" t="s">
        <v>6391</v>
      </c>
      <c r="E163" s="92" t="s">
        <v>5862</v>
      </c>
      <c r="F163" s="93" t="s">
        <v>6392</v>
      </c>
      <c r="G163" s="93">
        <v>44.1</v>
      </c>
      <c r="H163" s="93">
        <v>9202</v>
      </c>
      <c r="I163" s="92">
        <v>5</v>
      </c>
      <c r="J163" s="107">
        <v>10010</v>
      </c>
      <c r="K163" s="105">
        <v>10</v>
      </c>
      <c r="L163" s="108">
        <v>0</v>
      </c>
      <c r="M163" s="97">
        <v>0</v>
      </c>
      <c r="N163" s="93">
        <v>1955</v>
      </c>
      <c r="O163" s="93">
        <v>922</v>
      </c>
      <c r="P163" s="93">
        <v>0</v>
      </c>
      <c r="Q163" s="93">
        <v>14</v>
      </c>
      <c r="R163" s="93">
        <v>3</v>
      </c>
      <c r="S163" s="93">
        <v>1</v>
      </c>
      <c r="T163" s="92" t="s">
        <v>6393</v>
      </c>
      <c r="U163" s="93">
        <v>398</v>
      </c>
      <c r="V163" s="107">
        <v>10968</v>
      </c>
      <c r="W163" s="107">
        <v>11000</v>
      </c>
      <c r="X163" s="110" t="s">
        <v>6271</v>
      </c>
      <c r="Y163" s="107">
        <v>10000</v>
      </c>
      <c r="Z163" s="92" t="s">
        <v>5866</v>
      </c>
      <c r="AA163" s="93"/>
      <c r="AB163" s="93"/>
      <c r="AC163" s="93"/>
      <c r="AD163" s="93" t="s">
        <v>6394</v>
      </c>
      <c r="AE163" s="93"/>
      <c r="AF163" s="93"/>
      <c r="AG163" s="93"/>
      <c r="AH163" s="93"/>
      <c r="AI163" s="93"/>
      <c r="AK163" s="262" t="s">
        <v>6395</v>
      </c>
      <c r="AL163" s="93"/>
      <c r="AM163" s="93"/>
      <c r="AN163" s="93"/>
      <c r="AO163" s="93"/>
      <c r="AP163" s="93"/>
      <c r="AQ163" s="93"/>
    </row>
    <row r="164" spans="1:43">
      <c r="A164" s="106">
        <v>6</v>
      </c>
      <c r="B164" s="93">
        <v>159</v>
      </c>
      <c r="C164" s="93" t="s">
        <v>5860</v>
      </c>
      <c r="D164" s="93" t="s">
        <v>6396</v>
      </c>
      <c r="E164" s="92" t="s">
        <v>5862</v>
      </c>
      <c r="F164" s="93" t="s">
        <v>6397</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6393</v>
      </c>
      <c r="U164" s="93">
        <v>401</v>
      </c>
      <c r="V164" s="107">
        <v>5029</v>
      </c>
      <c r="W164" s="107">
        <v>5000</v>
      </c>
      <c r="X164" s="110" t="s">
        <v>6398</v>
      </c>
      <c r="Y164" s="107">
        <v>10000</v>
      </c>
      <c r="Z164" s="92" t="s">
        <v>5866</v>
      </c>
      <c r="AA164" s="93"/>
      <c r="AB164" s="93"/>
      <c r="AC164" s="93"/>
      <c r="AD164" s="93" t="s">
        <v>6399</v>
      </c>
      <c r="AE164" s="93"/>
      <c r="AF164" s="93"/>
      <c r="AG164" s="93"/>
      <c r="AH164" s="93"/>
      <c r="AI164" s="93"/>
      <c r="AK164" s="262" t="s">
        <v>181</v>
      </c>
      <c r="AL164" s="93"/>
      <c r="AM164" s="93"/>
      <c r="AN164" s="93"/>
      <c r="AO164" s="93"/>
      <c r="AP164" s="93"/>
      <c r="AQ164" s="93"/>
    </row>
    <row r="165" spans="1:43">
      <c r="A165" s="106">
        <v>6</v>
      </c>
      <c r="B165" s="93">
        <v>160</v>
      </c>
      <c r="C165" s="93" t="s">
        <v>5860</v>
      </c>
      <c r="D165" s="93" t="s">
        <v>6400</v>
      </c>
      <c r="E165" s="92" t="s">
        <v>5862</v>
      </c>
      <c r="F165" s="93" t="s">
        <v>6401</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6393</v>
      </c>
      <c r="U165" s="93">
        <v>398</v>
      </c>
      <c r="V165" s="107">
        <v>6251</v>
      </c>
      <c r="W165" s="107">
        <v>6000</v>
      </c>
      <c r="X165" s="110" t="s">
        <v>6398</v>
      </c>
      <c r="Y165" s="107">
        <v>12000</v>
      </c>
      <c r="Z165" s="92" t="s">
        <v>5866</v>
      </c>
      <c r="AA165" s="93"/>
      <c r="AB165" s="93"/>
      <c r="AC165" s="93"/>
      <c r="AD165" s="93" t="s">
        <v>181</v>
      </c>
      <c r="AE165" s="93"/>
      <c r="AF165" s="93"/>
      <c r="AG165" s="93"/>
      <c r="AH165" s="93"/>
      <c r="AI165" s="93"/>
      <c r="AK165" s="262" t="s">
        <v>181</v>
      </c>
      <c r="AL165" s="93"/>
      <c r="AM165" s="93"/>
      <c r="AN165" s="93"/>
      <c r="AO165" s="93"/>
      <c r="AP165" s="93"/>
      <c r="AQ165" s="93"/>
    </row>
    <row r="166" spans="1:43" ht="25.5">
      <c r="A166" s="106">
        <v>6</v>
      </c>
      <c r="B166" s="93">
        <v>161</v>
      </c>
      <c r="C166" s="93" t="s">
        <v>5860</v>
      </c>
      <c r="D166" s="93" t="s">
        <v>6402</v>
      </c>
      <c r="E166" s="92" t="s">
        <v>5862</v>
      </c>
      <c r="F166" s="93" t="s">
        <v>6403</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6404</v>
      </c>
      <c r="U166" s="93">
        <v>398</v>
      </c>
      <c r="V166" s="107">
        <v>19156</v>
      </c>
      <c r="W166" s="107">
        <v>19000</v>
      </c>
      <c r="X166" s="110" t="s">
        <v>6091</v>
      </c>
      <c r="Y166" s="107">
        <v>10000</v>
      </c>
      <c r="Z166" s="92" t="s">
        <v>5866</v>
      </c>
      <c r="AA166" s="93"/>
      <c r="AB166" s="93"/>
      <c r="AC166" s="93"/>
      <c r="AD166" s="93" t="s">
        <v>6405</v>
      </c>
      <c r="AE166" s="93"/>
      <c r="AF166" s="93"/>
      <c r="AG166" s="93"/>
      <c r="AH166" s="93"/>
      <c r="AI166" s="93"/>
      <c r="AK166" s="262" t="s">
        <v>6390</v>
      </c>
      <c r="AL166" s="93"/>
      <c r="AM166" s="93"/>
      <c r="AN166" s="93"/>
      <c r="AO166" s="93"/>
      <c r="AP166" s="93"/>
      <c r="AQ166" s="93"/>
    </row>
    <row r="167" spans="1:43">
      <c r="A167" s="106">
        <v>6</v>
      </c>
      <c r="B167" s="93">
        <v>162</v>
      </c>
      <c r="C167" s="93" t="s">
        <v>5860</v>
      </c>
      <c r="D167" s="93" t="s">
        <v>6406</v>
      </c>
      <c r="E167" s="92" t="s">
        <v>5862</v>
      </c>
      <c r="F167" s="93" t="s">
        <v>6407</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6408</v>
      </c>
      <c r="U167" s="93">
        <v>397</v>
      </c>
      <c r="V167" s="107">
        <v>25019</v>
      </c>
      <c r="W167" s="107">
        <v>25000</v>
      </c>
      <c r="X167" s="110" t="s">
        <v>5878</v>
      </c>
      <c r="Y167" s="107">
        <v>11000</v>
      </c>
      <c r="Z167" s="92" t="s">
        <v>5866</v>
      </c>
      <c r="AA167" s="93"/>
      <c r="AB167" s="93"/>
      <c r="AC167" s="93"/>
      <c r="AD167" s="93" t="s">
        <v>6409</v>
      </c>
      <c r="AE167" s="93"/>
      <c r="AF167" s="93"/>
      <c r="AG167" s="93"/>
      <c r="AH167" s="93"/>
      <c r="AI167" s="93"/>
      <c r="AK167" s="262" t="s">
        <v>181</v>
      </c>
      <c r="AL167" s="93"/>
      <c r="AM167" s="93"/>
      <c r="AN167" s="93"/>
      <c r="AO167" s="93"/>
      <c r="AP167" s="93"/>
      <c r="AQ167" s="93"/>
    </row>
    <row r="168" spans="1:43">
      <c r="A168" s="106">
        <v>6</v>
      </c>
      <c r="B168" s="93">
        <v>163</v>
      </c>
      <c r="C168" s="93" t="s">
        <v>5860</v>
      </c>
      <c r="D168" s="93" t="s">
        <v>6410</v>
      </c>
      <c r="E168" s="92" t="s">
        <v>5862</v>
      </c>
      <c r="F168" s="93" t="s">
        <v>6411</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5870</v>
      </c>
      <c r="U168" s="93">
        <v>398</v>
      </c>
      <c r="V168" s="107">
        <v>25929</v>
      </c>
      <c r="W168" s="107">
        <v>26000</v>
      </c>
      <c r="X168" s="110" t="s">
        <v>6412</v>
      </c>
      <c r="Y168" s="107">
        <v>5000</v>
      </c>
      <c r="Z168" s="92" t="s">
        <v>5866</v>
      </c>
      <c r="AA168" s="93"/>
      <c r="AB168" s="93"/>
      <c r="AC168" s="93"/>
      <c r="AD168" s="93" t="s">
        <v>181</v>
      </c>
      <c r="AE168" s="93"/>
      <c r="AF168" s="93"/>
      <c r="AG168" s="93"/>
      <c r="AH168" s="93"/>
      <c r="AI168" s="93"/>
      <c r="AK168" s="262" t="s">
        <v>5889</v>
      </c>
      <c r="AL168" s="93"/>
      <c r="AM168" s="93"/>
      <c r="AN168" s="93"/>
      <c r="AO168" s="93"/>
      <c r="AP168" s="93"/>
      <c r="AQ168" s="93"/>
    </row>
    <row r="169" spans="1:43">
      <c r="A169" s="106">
        <v>6</v>
      </c>
      <c r="B169" s="93">
        <v>164</v>
      </c>
      <c r="C169" s="93" t="s">
        <v>5860</v>
      </c>
      <c r="D169" s="93" t="s">
        <v>6413</v>
      </c>
      <c r="E169" s="92" t="s">
        <v>5862</v>
      </c>
      <c r="F169" s="93" t="s">
        <v>6414</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5870</v>
      </c>
      <c r="U169" s="93">
        <v>398</v>
      </c>
      <c r="V169" s="107">
        <v>13115</v>
      </c>
      <c r="W169" s="107">
        <v>13000</v>
      </c>
      <c r="X169" s="110" t="s">
        <v>5928</v>
      </c>
      <c r="Y169" s="107">
        <v>6000</v>
      </c>
      <c r="Z169" s="92" t="s">
        <v>5866</v>
      </c>
      <c r="AA169" s="93"/>
      <c r="AB169" s="93"/>
      <c r="AC169" s="93"/>
      <c r="AD169" s="93" t="s">
        <v>181</v>
      </c>
      <c r="AE169" s="93"/>
      <c r="AF169" s="93"/>
      <c r="AG169" s="93"/>
      <c r="AH169" s="93"/>
      <c r="AI169" s="93"/>
      <c r="AK169" s="262" t="s">
        <v>5889</v>
      </c>
      <c r="AL169" s="93"/>
      <c r="AM169" s="93"/>
      <c r="AN169" s="93"/>
      <c r="AO169" s="93"/>
      <c r="AP169" s="93"/>
      <c r="AQ169" s="93"/>
    </row>
    <row r="170" spans="1:43">
      <c r="A170" s="106">
        <v>6</v>
      </c>
      <c r="B170" s="93">
        <v>165</v>
      </c>
      <c r="C170" s="93" t="s">
        <v>5860</v>
      </c>
      <c r="D170" s="93" t="s">
        <v>6415</v>
      </c>
      <c r="E170" s="92" t="s">
        <v>5862</v>
      </c>
      <c r="F170" s="93" t="s">
        <v>6416</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6075</v>
      </c>
      <c r="U170" s="93">
        <v>398</v>
      </c>
      <c r="V170" s="107">
        <v>53550</v>
      </c>
      <c r="W170" s="107">
        <v>54000</v>
      </c>
      <c r="X170" s="110" t="s">
        <v>6182</v>
      </c>
      <c r="Y170" s="107">
        <v>32000</v>
      </c>
      <c r="Z170" s="92" t="s">
        <v>5866</v>
      </c>
      <c r="AA170" s="93"/>
      <c r="AB170" s="93"/>
      <c r="AC170" s="93"/>
      <c r="AD170" s="93" t="s">
        <v>181</v>
      </c>
      <c r="AE170" s="93"/>
      <c r="AF170" s="93"/>
      <c r="AG170" s="93"/>
      <c r="AH170" s="93"/>
      <c r="AI170" s="93"/>
      <c r="AK170" s="262" t="s">
        <v>5925</v>
      </c>
      <c r="AL170" s="93"/>
      <c r="AM170" s="93"/>
      <c r="AN170" s="93"/>
      <c r="AO170" s="93"/>
      <c r="AP170" s="93"/>
      <c r="AQ170" s="93"/>
    </row>
    <row r="171" spans="1:43">
      <c r="A171" s="106">
        <v>6</v>
      </c>
      <c r="B171" s="93">
        <v>166</v>
      </c>
      <c r="C171" s="93" t="s">
        <v>5860</v>
      </c>
      <c r="D171" s="93" t="s">
        <v>6417</v>
      </c>
      <c r="E171" s="92" t="s">
        <v>5862</v>
      </c>
      <c r="F171" s="93" t="s">
        <v>6418</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6075</v>
      </c>
      <c r="U171" s="93">
        <v>398</v>
      </c>
      <c r="V171" s="107">
        <v>53100</v>
      </c>
      <c r="W171" s="107">
        <v>53000</v>
      </c>
      <c r="X171" s="110" t="s">
        <v>6419</v>
      </c>
      <c r="Y171" s="107">
        <v>9000</v>
      </c>
      <c r="Z171" s="92" t="s">
        <v>5866</v>
      </c>
      <c r="AA171" s="93"/>
      <c r="AB171" s="93"/>
      <c r="AC171" s="93"/>
      <c r="AD171" s="93" t="s">
        <v>6420</v>
      </c>
      <c r="AE171" s="93"/>
      <c r="AF171" s="93"/>
      <c r="AG171" s="93"/>
      <c r="AH171" s="93"/>
      <c r="AI171" s="93"/>
      <c r="AK171" s="262" t="s">
        <v>181</v>
      </c>
      <c r="AL171" s="93"/>
      <c r="AM171" s="93"/>
      <c r="AN171" s="93"/>
      <c r="AO171" s="93"/>
      <c r="AP171" s="93"/>
      <c r="AQ171" s="93"/>
    </row>
    <row r="172" spans="1:43">
      <c r="A172" s="106">
        <v>6</v>
      </c>
      <c r="B172" s="93">
        <v>167</v>
      </c>
      <c r="C172" s="93" t="s">
        <v>5860</v>
      </c>
      <c r="D172" s="93" t="s">
        <v>6421</v>
      </c>
      <c r="E172" s="92" t="s">
        <v>5862</v>
      </c>
      <c r="F172" s="93" t="s">
        <v>6422</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6075</v>
      </c>
      <c r="U172" s="93">
        <v>401</v>
      </c>
      <c r="V172" s="107">
        <v>10845</v>
      </c>
      <c r="W172" s="107">
        <v>11000</v>
      </c>
      <c r="X172" s="110" t="s">
        <v>5995</v>
      </c>
      <c r="Y172" s="107">
        <v>5000</v>
      </c>
      <c r="Z172" s="92" t="s">
        <v>5866</v>
      </c>
      <c r="AA172" s="93"/>
      <c r="AB172" s="93"/>
      <c r="AC172" s="93"/>
      <c r="AD172" s="93" t="s">
        <v>181</v>
      </c>
      <c r="AE172" s="93"/>
      <c r="AF172" s="93"/>
      <c r="AG172" s="93"/>
      <c r="AH172" s="93"/>
      <c r="AI172" s="93"/>
      <c r="AK172" s="262" t="s">
        <v>5925</v>
      </c>
      <c r="AL172" s="93"/>
      <c r="AM172" s="93"/>
      <c r="AN172" s="93"/>
      <c r="AO172" s="93"/>
      <c r="AP172" s="93"/>
      <c r="AQ172" s="93"/>
    </row>
    <row r="173" spans="1:43">
      <c r="A173" s="106">
        <v>6</v>
      </c>
      <c r="B173" s="93">
        <v>168</v>
      </c>
      <c r="C173" s="93" t="s">
        <v>5860</v>
      </c>
      <c r="D173" s="93" t="s">
        <v>6423</v>
      </c>
      <c r="E173" s="92" t="s">
        <v>5862</v>
      </c>
      <c r="F173" s="93" t="s">
        <v>6424</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6075</v>
      </c>
      <c r="U173" s="93">
        <v>398</v>
      </c>
      <c r="V173" s="107">
        <v>15845</v>
      </c>
      <c r="W173" s="107">
        <v>16000</v>
      </c>
      <c r="X173" s="110" t="s">
        <v>5878</v>
      </c>
      <c r="Y173" s="107">
        <v>7000</v>
      </c>
      <c r="Z173" s="92" t="s">
        <v>5866</v>
      </c>
      <c r="AA173" s="93"/>
      <c r="AB173" s="93"/>
      <c r="AC173" s="93"/>
      <c r="AD173" s="93" t="s">
        <v>181</v>
      </c>
      <c r="AE173" s="93"/>
      <c r="AF173" s="93"/>
      <c r="AG173" s="93"/>
      <c r="AH173" s="93"/>
      <c r="AI173" s="93"/>
      <c r="AK173" s="262" t="s">
        <v>181</v>
      </c>
      <c r="AL173" s="93"/>
      <c r="AM173" s="93"/>
      <c r="AN173" s="93"/>
      <c r="AO173" s="93"/>
      <c r="AP173" s="93"/>
      <c r="AQ173" s="93"/>
    </row>
    <row r="174" spans="1:43">
      <c r="A174" s="106">
        <v>6</v>
      </c>
      <c r="B174" s="93">
        <v>169</v>
      </c>
      <c r="C174" s="93" t="s">
        <v>5860</v>
      </c>
      <c r="D174" s="93" t="s">
        <v>6425</v>
      </c>
      <c r="E174" s="92" t="s">
        <v>5862</v>
      </c>
      <c r="F174" s="93" t="s">
        <v>6426</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5870</v>
      </c>
      <c r="U174" s="93">
        <v>398</v>
      </c>
      <c r="V174" s="107">
        <v>58979</v>
      </c>
      <c r="W174" s="107">
        <v>59000</v>
      </c>
      <c r="X174" s="110" t="s">
        <v>6065</v>
      </c>
      <c r="Y174" s="107">
        <v>38000</v>
      </c>
      <c r="Z174" s="92" t="s">
        <v>5866</v>
      </c>
      <c r="AA174" s="93"/>
      <c r="AB174" s="93"/>
      <c r="AC174" s="93"/>
      <c r="AD174" s="93" t="s">
        <v>6427</v>
      </c>
      <c r="AE174" s="93"/>
      <c r="AF174" s="93"/>
      <c r="AG174" s="93"/>
      <c r="AH174" s="93"/>
      <c r="AI174" s="93"/>
      <c r="AK174" s="262" t="s">
        <v>181</v>
      </c>
      <c r="AL174" s="93"/>
      <c r="AM174" s="93"/>
      <c r="AN174" s="93"/>
      <c r="AO174" s="93"/>
      <c r="AP174" s="93"/>
      <c r="AQ174" s="93"/>
    </row>
    <row r="175" spans="1:43">
      <c r="A175" s="106">
        <v>6</v>
      </c>
      <c r="B175" s="93">
        <v>170</v>
      </c>
      <c r="C175" s="93" t="s">
        <v>5860</v>
      </c>
      <c r="D175" s="93" t="s">
        <v>6428</v>
      </c>
      <c r="E175" s="92" t="s">
        <v>5862</v>
      </c>
      <c r="F175" s="93" t="s">
        <v>6429</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5870</v>
      </c>
      <c r="U175" s="93">
        <v>398</v>
      </c>
      <c r="V175" s="107">
        <v>13219</v>
      </c>
      <c r="W175" s="107">
        <v>13000</v>
      </c>
      <c r="X175" s="110" t="s">
        <v>5928</v>
      </c>
      <c r="Y175" s="107">
        <v>6000</v>
      </c>
      <c r="Z175" s="92" t="s">
        <v>5866</v>
      </c>
      <c r="AA175" s="93"/>
      <c r="AB175" s="93"/>
      <c r="AC175" s="93"/>
      <c r="AD175" s="93" t="s">
        <v>181</v>
      </c>
      <c r="AE175" s="93"/>
      <c r="AF175" s="93"/>
      <c r="AG175" s="93"/>
      <c r="AH175" s="93"/>
      <c r="AI175" s="93"/>
      <c r="AK175" s="262" t="s">
        <v>181</v>
      </c>
      <c r="AL175" s="93"/>
      <c r="AM175" s="93"/>
      <c r="AN175" s="93"/>
      <c r="AO175" s="93"/>
      <c r="AP175" s="93"/>
      <c r="AQ175" s="93"/>
    </row>
    <row r="176" spans="1:43">
      <c r="A176" s="106">
        <v>6</v>
      </c>
      <c r="B176" s="93">
        <v>171</v>
      </c>
      <c r="C176" s="93" t="s">
        <v>5860</v>
      </c>
      <c r="D176" s="93" t="s">
        <v>6430</v>
      </c>
      <c r="E176" s="92" t="s">
        <v>5862</v>
      </c>
      <c r="F176" s="93" t="s">
        <v>6431</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5908</v>
      </c>
      <c r="U176" s="93">
        <v>398</v>
      </c>
      <c r="V176" s="107">
        <v>8800</v>
      </c>
      <c r="W176" s="107">
        <v>9000</v>
      </c>
      <c r="X176" s="110" t="s">
        <v>5896</v>
      </c>
      <c r="Y176" s="107">
        <v>6000</v>
      </c>
      <c r="Z176" s="92" t="s">
        <v>5866</v>
      </c>
      <c r="AA176" s="93"/>
      <c r="AB176" s="93"/>
      <c r="AC176" s="93"/>
      <c r="AD176" s="93" t="s">
        <v>181</v>
      </c>
      <c r="AE176" s="93"/>
      <c r="AF176" s="93"/>
      <c r="AG176" s="93"/>
      <c r="AH176" s="93"/>
      <c r="AI176" s="93"/>
      <c r="AK176" s="262" t="s">
        <v>5893</v>
      </c>
      <c r="AL176" s="93"/>
      <c r="AM176" s="93"/>
      <c r="AN176" s="93"/>
      <c r="AO176" s="93"/>
      <c r="AP176" s="93"/>
      <c r="AQ176" s="93"/>
    </row>
    <row r="177" spans="1:43">
      <c r="A177" s="106">
        <v>6</v>
      </c>
      <c r="B177" s="93">
        <v>171.2</v>
      </c>
      <c r="C177" s="93" t="s">
        <v>5860</v>
      </c>
      <c r="D177" s="93" t="s">
        <v>6432</v>
      </c>
      <c r="E177" s="92" t="s">
        <v>5862</v>
      </c>
      <c r="F177" s="93" t="s">
        <v>6433</v>
      </c>
      <c r="G177" s="93">
        <v>44.2</v>
      </c>
      <c r="H177" s="93">
        <v>9505</v>
      </c>
      <c r="I177" s="92">
        <v>0</v>
      </c>
      <c r="J177" s="107">
        <v>14906</v>
      </c>
      <c r="K177" s="105">
        <v>4.75</v>
      </c>
      <c r="L177" s="108">
        <v>0</v>
      </c>
      <c r="M177" s="97">
        <v>0.05</v>
      </c>
      <c r="N177" s="93">
        <v>1963</v>
      </c>
      <c r="O177" s="93">
        <v>5000</v>
      </c>
      <c r="P177" s="93">
        <v>0</v>
      </c>
      <c r="Q177" s="93">
        <v>19</v>
      </c>
      <c r="R177" s="93">
        <v>3</v>
      </c>
      <c r="S177" s="93">
        <v>1</v>
      </c>
      <c r="T177" s="92" t="s">
        <v>5908</v>
      </c>
      <c r="U177" s="93">
        <v>398</v>
      </c>
      <c r="V177" s="107">
        <v>31899</v>
      </c>
      <c r="W177" s="107">
        <v>32000</v>
      </c>
      <c r="X177" s="110" t="s">
        <v>5982</v>
      </c>
      <c r="Y177" s="107">
        <v>15000</v>
      </c>
      <c r="Z177" s="92" t="s">
        <v>5866</v>
      </c>
      <c r="AA177" s="93"/>
      <c r="AB177" s="93"/>
      <c r="AC177" s="93"/>
      <c r="AD177" s="93"/>
      <c r="AE177" s="93"/>
      <c r="AF177" s="93"/>
      <c r="AG177" s="93"/>
      <c r="AH177" s="93"/>
      <c r="AI177" s="93"/>
      <c r="AK177" s="93"/>
      <c r="AL177" s="93"/>
      <c r="AM177" s="93"/>
      <c r="AN177" s="93"/>
      <c r="AO177" s="93"/>
      <c r="AP177" s="93"/>
      <c r="AQ177" s="93"/>
    </row>
    <row r="178" spans="1:43">
      <c r="A178" s="106">
        <v>6</v>
      </c>
      <c r="B178" s="93">
        <v>172</v>
      </c>
      <c r="C178" s="93" t="s">
        <v>5860</v>
      </c>
      <c r="D178" s="93" t="s">
        <v>6434</v>
      </c>
      <c r="E178" s="92" t="s">
        <v>5862</v>
      </c>
      <c r="F178" s="93" t="s">
        <v>6435</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6339</v>
      </c>
      <c r="U178" s="93">
        <v>398</v>
      </c>
      <c r="V178" s="107">
        <v>17464</v>
      </c>
      <c r="W178" s="107">
        <v>17000</v>
      </c>
      <c r="X178" s="110" t="s">
        <v>6436</v>
      </c>
      <c r="Y178" s="107">
        <v>5000</v>
      </c>
      <c r="Z178" s="92" t="s">
        <v>5866</v>
      </c>
      <c r="AA178" s="93"/>
      <c r="AB178" s="93"/>
      <c r="AC178" s="93"/>
      <c r="AD178" s="93" t="s">
        <v>6437</v>
      </c>
      <c r="AE178" s="93"/>
      <c r="AF178" s="93"/>
      <c r="AG178" s="93"/>
      <c r="AH178" s="93"/>
      <c r="AI178" s="93"/>
      <c r="AK178" s="262" t="s">
        <v>6218</v>
      </c>
      <c r="AL178" s="93"/>
      <c r="AM178" s="93"/>
      <c r="AN178" s="93"/>
      <c r="AO178" s="93"/>
      <c r="AP178" s="93"/>
      <c r="AQ178" s="93"/>
    </row>
    <row r="179" spans="1:43">
      <c r="A179" s="106">
        <v>6</v>
      </c>
      <c r="B179" s="93">
        <v>173</v>
      </c>
      <c r="C179" s="93" t="s">
        <v>5860</v>
      </c>
      <c r="D179" s="93" t="s">
        <v>6438</v>
      </c>
      <c r="E179" s="92" t="s">
        <v>5862</v>
      </c>
      <c r="F179" s="93" t="s">
        <v>6439</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5908</v>
      </c>
      <c r="U179" s="93">
        <v>398</v>
      </c>
      <c r="V179" s="107">
        <v>77700</v>
      </c>
      <c r="W179" s="107">
        <v>78000</v>
      </c>
      <c r="X179" s="110" t="s">
        <v>6182</v>
      </c>
      <c r="Y179" s="107">
        <v>45000</v>
      </c>
      <c r="Z179" s="92" t="s">
        <v>5866</v>
      </c>
      <c r="AA179" s="93"/>
      <c r="AB179" s="93"/>
      <c r="AC179" s="93"/>
      <c r="AD179" s="93" t="s">
        <v>181</v>
      </c>
      <c r="AE179" s="93"/>
      <c r="AF179" s="93"/>
      <c r="AG179" s="93"/>
      <c r="AH179" s="93"/>
      <c r="AI179" s="93"/>
      <c r="AK179" s="262" t="s">
        <v>6440</v>
      </c>
      <c r="AL179" s="93"/>
      <c r="AM179" s="93"/>
      <c r="AN179" s="93"/>
      <c r="AO179" s="93"/>
      <c r="AP179" s="93"/>
      <c r="AQ179" s="93"/>
    </row>
    <row r="180" spans="1:43">
      <c r="A180" s="106">
        <v>6</v>
      </c>
      <c r="B180" s="93">
        <v>174</v>
      </c>
      <c r="C180" s="93" t="s">
        <v>5860</v>
      </c>
      <c r="D180" s="93" t="s">
        <v>6441</v>
      </c>
      <c r="E180" s="92" t="s">
        <v>5862</v>
      </c>
      <c r="F180" s="93" t="s">
        <v>6442</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6200</v>
      </c>
      <c r="U180" s="93">
        <v>401</v>
      </c>
      <c r="V180" s="107">
        <v>12500</v>
      </c>
      <c r="W180" s="107">
        <v>13000</v>
      </c>
      <c r="X180" s="110" t="s">
        <v>6182</v>
      </c>
      <c r="Y180" s="107">
        <v>7000</v>
      </c>
      <c r="Z180" s="92" t="s">
        <v>5866</v>
      </c>
      <c r="AA180" s="93"/>
      <c r="AB180" s="93"/>
      <c r="AC180" s="93"/>
      <c r="AD180" s="93" t="s">
        <v>6443</v>
      </c>
      <c r="AE180" s="93"/>
      <c r="AF180" s="93"/>
      <c r="AG180" s="93"/>
      <c r="AH180" s="93"/>
      <c r="AI180" s="93"/>
      <c r="AK180" s="262" t="s">
        <v>181</v>
      </c>
      <c r="AL180" s="93"/>
      <c r="AM180" s="93"/>
      <c r="AN180" s="93"/>
      <c r="AO180" s="93"/>
      <c r="AP180" s="93"/>
      <c r="AQ180" s="93"/>
    </row>
    <row r="181" spans="1:43">
      <c r="A181" s="106">
        <v>6</v>
      </c>
      <c r="B181" s="93">
        <v>175</v>
      </c>
      <c r="C181" s="93" t="s">
        <v>5860</v>
      </c>
      <c r="D181" s="93" t="s">
        <v>6444</v>
      </c>
      <c r="E181" s="92" t="s">
        <v>5862</v>
      </c>
      <c r="F181" s="93" t="s">
        <v>6445</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5908</v>
      </c>
      <c r="U181" s="93">
        <v>398</v>
      </c>
      <c r="V181" s="107">
        <v>34375</v>
      </c>
      <c r="W181" s="107">
        <v>34000</v>
      </c>
      <c r="X181" s="110" t="s">
        <v>5903</v>
      </c>
      <c r="Y181" s="107">
        <v>18000</v>
      </c>
      <c r="Z181" s="92" t="s">
        <v>5866</v>
      </c>
      <c r="AA181" s="93"/>
      <c r="AB181" s="93"/>
      <c r="AC181" s="93"/>
      <c r="AD181" s="93" t="s">
        <v>6446</v>
      </c>
      <c r="AE181" s="93"/>
      <c r="AF181" s="93"/>
      <c r="AG181" s="93"/>
      <c r="AH181" s="93"/>
      <c r="AI181" s="93"/>
      <c r="AK181" s="262" t="s">
        <v>181</v>
      </c>
      <c r="AL181" s="93"/>
      <c r="AM181" s="93"/>
      <c r="AN181" s="93"/>
      <c r="AO181" s="93"/>
      <c r="AP181" s="93"/>
      <c r="AQ181" s="93"/>
    </row>
    <row r="182" spans="1:43">
      <c r="A182" s="106">
        <v>6</v>
      </c>
      <c r="B182" s="93">
        <v>176</v>
      </c>
      <c r="C182" s="93" t="s">
        <v>5860</v>
      </c>
      <c r="D182" s="93" t="s">
        <v>6447</v>
      </c>
      <c r="E182" s="92" t="s">
        <v>5862</v>
      </c>
      <c r="F182" s="93" t="s">
        <v>6448</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5908</v>
      </c>
      <c r="U182" s="93">
        <v>398</v>
      </c>
      <c r="V182" s="107">
        <v>6000</v>
      </c>
      <c r="W182" s="107">
        <v>6000</v>
      </c>
      <c r="X182" s="110" t="s">
        <v>5896</v>
      </c>
      <c r="Y182" s="107">
        <v>4000</v>
      </c>
      <c r="Z182" s="92" t="s">
        <v>5866</v>
      </c>
      <c r="AA182" s="93"/>
      <c r="AB182" s="93"/>
      <c r="AC182" s="93"/>
      <c r="AD182" s="93" t="s">
        <v>6449</v>
      </c>
      <c r="AE182" s="93"/>
      <c r="AF182" s="93"/>
      <c r="AG182" s="93"/>
      <c r="AH182" s="93"/>
      <c r="AI182" s="93"/>
      <c r="AK182" s="262" t="s">
        <v>5893</v>
      </c>
      <c r="AL182" s="93"/>
      <c r="AM182" s="93"/>
      <c r="AN182" s="93"/>
      <c r="AO182" s="93"/>
      <c r="AP182" s="93"/>
      <c r="AQ182" s="93"/>
    </row>
    <row r="183" spans="1:43" ht="25.5">
      <c r="A183" s="106">
        <v>6</v>
      </c>
      <c r="B183" s="93">
        <v>177</v>
      </c>
      <c r="C183" s="93" t="s">
        <v>5860</v>
      </c>
      <c r="D183" s="93" t="s">
        <v>6450</v>
      </c>
      <c r="E183" s="92" t="s">
        <v>5862</v>
      </c>
      <c r="F183" s="93" t="s">
        <v>6451</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5908</v>
      </c>
      <c r="U183" s="93">
        <v>398</v>
      </c>
      <c r="V183" s="107">
        <v>30000</v>
      </c>
      <c r="W183" s="107">
        <v>30000</v>
      </c>
      <c r="X183" s="110" t="s">
        <v>5903</v>
      </c>
      <c r="Y183" s="107">
        <v>16000</v>
      </c>
      <c r="Z183" s="92" t="s">
        <v>5866</v>
      </c>
      <c r="AA183" s="93"/>
      <c r="AB183" s="93"/>
      <c r="AC183" s="93"/>
      <c r="AD183" s="93" t="s">
        <v>6452</v>
      </c>
      <c r="AE183" s="93"/>
      <c r="AF183" s="93"/>
      <c r="AG183" s="93"/>
      <c r="AH183" s="93"/>
      <c r="AI183" s="93"/>
      <c r="AK183" s="262" t="s">
        <v>6453</v>
      </c>
      <c r="AL183" s="93"/>
      <c r="AM183" s="93"/>
      <c r="AN183" s="93"/>
      <c r="AO183" s="93"/>
      <c r="AP183" s="93"/>
      <c r="AQ183" s="93"/>
    </row>
    <row r="184" spans="1:43">
      <c r="A184" s="106">
        <v>6</v>
      </c>
      <c r="B184" s="93">
        <v>178</v>
      </c>
      <c r="C184" s="93" t="s">
        <v>5860</v>
      </c>
      <c r="D184" s="93" t="s">
        <v>6454</v>
      </c>
      <c r="E184" s="92" t="s">
        <v>5862</v>
      </c>
      <c r="F184" s="93" t="s">
        <v>6455</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5864</v>
      </c>
      <c r="U184" s="93">
        <v>398</v>
      </c>
      <c r="V184" s="107">
        <v>27787</v>
      </c>
      <c r="W184" s="107">
        <v>28000</v>
      </c>
      <c r="X184" s="110" t="s">
        <v>5995</v>
      </c>
      <c r="Y184" s="107">
        <v>14000</v>
      </c>
      <c r="Z184" s="92" t="s">
        <v>5866</v>
      </c>
      <c r="AA184" s="93"/>
      <c r="AB184" s="93"/>
      <c r="AC184" s="93"/>
      <c r="AD184" s="93" t="s">
        <v>6456</v>
      </c>
      <c r="AE184" s="93"/>
      <c r="AF184" s="93"/>
      <c r="AG184" s="93"/>
      <c r="AH184" s="93"/>
      <c r="AI184" s="93"/>
      <c r="AK184" s="262" t="s">
        <v>181</v>
      </c>
      <c r="AL184" s="93"/>
      <c r="AM184" s="93"/>
      <c r="AN184" s="93"/>
      <c r="AO184" s="93"/>
      <c r="AP184" s="93"/>
      <c r="AQ184" s="93"/>
    </row>
    <row r="185" spans="1:43">
      <c r="A185" s="106">
        <v>6</v>
      </c>
      <c r="B185" s="93">
        <v>179</v>
      </c>
      <c r="C185" s="93" t="s">
        <v>5860</v>
      </c>
      <c r="D185" s="93" t="s">
        <v>6457</v>
      </c>
      <c r="E185" s="92" t="s">
        <v>5862</v>
      </c>
      <c r="F185" s="93" t="s">
        <v>6458</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5864</v>
      </c>
      <c r="U185" s="93">
        <v>398</v>
      </c>
      <c r="V185" s="107">
        <v>32000</v>
      </c>
      <c r="W185" s="107">
        <v>32000</v>
      </c>
      <c r="X185" s="110" t="s">
        <v>6308</v>
      </c>
      <c r="Y185" s="107">
        <v>7000</v>
      </c>
      <c r="Z185" s="92" t="s">
        <v>5866</v>
      </c>
      <c r="AA185" s="93"/>
      <c r="AB185" s="93"/>
      <c r="AC185" s="93"/>
      <c r="AD185" s="93" t="s">
        <v>181</v>
      </c>
      <c r="AE185" s="93"/>
      <c r="AF185" s="93"/>
      <c r="AG185" s="93"/>
      <c r="AH185" s="93"/>
      <c r="AI185" s="93"/>
      <c r="AK185" s="262" t="s">
        <v>181</v>
      </c>
      <c r="AL185" s="93"/>
      <c r="AM185" s="93"/>
      <c r="AN185" s="93"/>
      <c r="AO185" s="93"/>
      <c r="AP185" s="93"/>
      <c r="AQ185" s="93"/>
    </row>
    <row r="186" spans="1:43">
      <c r="A186" s="106">
        <v>6</v>
      </c>
      <c r="B186" s="93">
        <v>180</v>
      </c>
      <c r="C186" s="93" t="s">
        <v>5860</v>
      </c>
      <c r="D186" s="93" t="s">
        <v>6459</v>
      </c>
      <c r="E186" s="92" t="s">
        <v>5862</v>
      </c>
      <c r="F186" s="93" t="s">
        <v>6460</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5864</v>
      </c>
      <c r="U186" s="93">
        <v>398</v>
      </c>
      <c r="V186" s="107">
        <v>16250</v>
      </c>
      <c r="W186" s="107">
        <v>16000</v>
      </c>
      <c r="X186" s="110" t="s">
        <v>5982</v>
      </c>
      <c r="Y186" s="107">
        <v>8000</v>
      </c>
      <c r="Z186" s="92" t="s">
        <v>5866</v>
      </c>
      <c r="AA186" s="93"/>
      <c r="AB186" s="93"/>
      <c r="AC186" s="93"/>
      <c r="AD186" s="93" t="s">
        <v>181</v>
      </c>
      <c r="AE186" s="93"/>
      <c r="AF186" s="93"/>
      <c r="AG186" s="93"/>
      <c r="AH186" s="93"/>
      <c r="AI186" s="93"/>
      <c r="AK186" s="262" t="s">
        <v>6461</v>
      </c>
      <c r="AL186" s="93"/>
      <c r="AM186" s="93"/>
      <c r="AN186" s="93"/>
      <c r="AO186" s="93"/>
      <c r="AP186" s="93"/>
      <c r="AQ186" s="93"/>
    </row>
    <row r="187" spans="1:43">
      <c r="A187" s="106">
        <v>6</v>
      </c>
      <c r="B187" s="93">
        <v>181</v>
      </c>
      <c r="C187" s="93" t="s">
        <v>5860</v>
      </c>
      <c r="D187" s="93" t="s">
        <v>6462</v>
      </c>
      <c r="E187" s="92" t="s">
        <v>5862</v>
      </c>
      <c r="F187" s="93" t="s">
        <v>6463</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5908</v>
      </c>
      <c r="U187" s="93">
        <v>398</v>
      </c>
      <c r="V187" s="107">
        <v>14086</v>
      </c>
      <c r="W187" s="107">
        <v>14000</v>
      </c>
      <c r="X187" s="110" t="s">
        <v>6271</v>
      </c>
      <c r="Y187" s="107">
        <v>13000</v>
      </c>
      <c r="Z187" s="92" t="s">
        <v>5866</v>
      </c>
      <c r="AA187" s="93"/>
      <c r="AB187" s="93"/>
      <c r="AC187" s="93"/>
      <c r="AD187" s="93" t="s">
        <v>181</v>
      </c>
      <c r="AE187" s="93"/>
      <c r="AF187" s="93"/>
      <c r="AG187" s="93"/>
      <c r="AH187" s="93"/>
      <c r="AI187" s="93"/>
      <c r="AK187" s="262" t="s">
        <v>6464</v>
      </c>
      <c r="AL187" s="93"/>
      <c r="AM187" s="93"/>
      <c r="AN187" s="93"/>
      <c r="AO187" s="93"/>
      <c r="AP187" s="93"/>
      <c r="AQ187" s="93"/>
    </row>
    <row r="188" spans="1:43" ht="25.5">
      <c r="A188" s="106">
        <v>6</v>
      </c>
      <c r="B188" s="93">
        <v>182</v>
      </c>
      <c r="C188" s="93" t="s">
        <v>5860</v>
      </c>
      <c r="D188" s="93" t="s">
        <v>6465</v>
      </c>
      <c r="E188" s="92" t="s">
        <v>5862</v>
      </c>
      <c r="F188" s="93" t="s">
        <v>6466</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5908</v>
      </c>
      <c r="U188" s="93">
        <v>398</v>
      </c>
      <c r="V188" s="107">
        <v>120008</v>
      </c>
      <c r="W188" s="107">
        <v>120000</v>
      </c>
      <c r="X188" s="110" t="s">
        <v>6249</v>
      </c>
      <c r="Y188" s="107">
        <v>114000</v>
      </c>
      <c r="Z188" s="92" t="s">
        <v>5866</v>
      </c>
      <c r="AA188" s="93"/>
      <c r="AB188" s="93"/>
      <c r="AC188" s="93"/>
      <c r="AD188" s="93" t="s">
        <v>6467</v>
      </c>
      <c r="AE188" s="93"/>
      <c r="AF188" s="93"/>
      <c r="AG188" s="93"/>
      <c r="AH188" s="93"/>
      <c r="AI188" s="93"/>
      <c r="AK188" s="262" t="s">
        <v>6468</v>
      </c>
      <c r="AL188" s="93"/>
      <c r="AM188" s="93"/>
      <c r="AN188" s="93"/>
      <c r="AO188" s="93"/>
      <c r="AP188" s="93"/>
      <c r="AQ188" s="93"/>
    </row>
    <row r="189" spans="1:43" ht="25.5">
      <c r="A189" s="106">
        <v>6</v>
      </c>
      <c r="B189" s="93">
        <v>183</v>
      </c>
      <c r="C189" s="93" t="s">
        <v>5860</v>
      </c>
      <c r="D189" s="93" t="s">
        <v>6469</v>
      </c>
      <c r="E189" s="92" t="s">
        <v>5862</v>
      </c>
      <c r="F189" s="93" t="s">
        <v>6470</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5908</v>
      </c>
      <c r="U189" s="93">
        <v>398</v>
      </c>
      <c r="V189" s="107">
        <v>20500</v>
      </c>
      <c r="W189" s="107">
        <v>21000</v>
      </c>
      <c r="X189" s="110" t="s">
        <v>5896</v>
      </c>
      <c r="Y189" s="107">
        <v>13000</v>
      </c>
      <c r="Z189" s="92" t="s">
        <v>5866</v>
      </c>
      <c r="AA189" s="93"/>
      <c r="AB189" s="93"/>
      <c r="AC189" s="93"/>
      <c r="AD189" s="93" t="s">
        <v>6471</v>
      </c>
      <c r="AE189" s="93"/>
      <c r="AF189" s="93"/>
      <c r="AG189" s="93"/>
      <c r="AH189" s="93"/>
      <c r="AI189" s="93"/>
      <c r="AK189" s="262" t="s">
        <v>6472</v>
      </c>
      <c r="AL189" s="93"/>
      <c r="AM189" s="93"/>
      <c r="AN189" s="93"/>
      <c r="AO189" s="93"/>
      <c r="AP189" s="93"/>
      <c r="AQ189" s="93"/>
    </row>
    <row r="190" spans="1:43">
      <c r="A190" s="106">
        <v>6</v>
      </c>
      <c r="B190" s="93">
        <v>184</v>
      </c>
      <c r="C190" s="93" t="s">
        <v>5860</v>
      </c>
      <c r="D190" s="93" t="s">
        <v>6473</v>
      </c>
      <c r="E190" s="92" t="s">
        <v>5862</v>
      </c>
      <c r="F190" s="93" t="s">
        <v>6474</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5908</v>
      </c>
      <c r="U190" s="93">
        <v>398</v>
      </c>
      <c r="V190" s="107">
        <v>12400</v>
      </c>
      <c r="W190" s="107">
        <v>12000</v>
      </c>
      <c r="X190" s="110" t="s">
        <v>6065</v>
      </c>
      <c r="Y190" s="107">
        <v>9000</v>
      </c>
      <c r="Z190" s="92" t="s">
        <v>5866</v>
      </c>
      <c r="AA190" s="93"/>
      <c r="AB190" s="93"/>
      <c r="AC190" s="93"/>
      <c r="AD190" s="93" t="s">
        <v>181</v>
      </c>
      <c r="AE190" s="93"/>
      <c r="AF190" s="93"/>
      <c r="AG190" s="93"/>
      <c r="AH190" s="93"/>
      <c r="AI190" s="93"/>
      <c r="AK190" s="262" t="s">
        <v>5893</v>
      </c>
      <c r="AL190" s="93"/>
      <c r="AM190" s="93"/>
      <c r="AN190" s="93"/>
      <c r="AO190" s="93"/>
      <c r="AP190" s="93"/>
      <c r="AQ190" s="93"/>
    </row>
    <row r="191" spans="1:43">
      <c r="A191" s="106">
        <v>6</v>
      </c>
      <c r="B191" s="93">
        <v>185</v>
      </c>
      <c r="C191" s="93" t="s">
        <v>5860</v>
      </c>
      <c r="D191" s="93" t="s">
        <v>6475</v>
      </c>
      <c r="E191" s="92" t="s">
        <v>5862</v>
      </c>
      <c r="F191" s="93" t="s">
        <v>6476</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6127</v>
      </c>
      <c r="U191" s="93">
        <v>401</v>
      </c>
      <c r="V191" s="107">
        <v>2624</v>
      </c>
      <c r="W191" s="107">
        <v>3000</v>
      </c>
      <c r="X191" s="110" t="s">
        <v>6271</v>
      </c>
      <c r="Y191" s="107">
        <v>2000</v>
      </c>
      <c r="Z191" s="92" t="s">
        <v>5866</v>
      </c>
      <c r="AA191" s="93"/>
      <c r="AB191" s="93"/>
      <c r="AC191" s="93"/>
      <c r="AD191" s="93" t="s">
        <v>6477</v>
      </c>
      <c r="AE191" s="93"/>
      <c r="AF191" s="93"/>
      <c r="AG191" s="93"/>
      <c r="AH191" s="93"/>
      <c r="AI191" s="93"/>
      <c r="AK191" s="262" t="s">
        <v>181</v>
      </c>
      <c r="AL191" s="93"/>
      <c r="AM191" s="93"/>
      <c r="AN191" s="93"/>
      <c r="AO191" s="93"/>
      <c r="AP191" s="93"/>
      <c r="AQ191" s="93"/>
    </row>
    <row r="192" spans="1:43">
      <c r="A192" s="106">
        <v>6</v>
      </c>
      <c r="B192" s="93">
        <v>186</v>
      </c>
      <c r="C192" s="93" t="s">
        <v>5860</v>
      </c>
      <c r="D192" s="93" t="s">
        <v>6478</v>
      </c>
      <c r="E192" s="92" t="s">
        <v>5862</v>
      </c>
      <c r="F192" s="93" t="s">
        <v>6479</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6075</v>
      </c>
      <c r="U192" s="93">
        <v>398</v>
      </c>
      <c r="V192" s="107">
        <v>3900</v>
      </c>
      <c r="W192" s="107">
        <v>4000</v>
      </c>
      <c r="X192" s="110" t="s">
        <v>5896</v>
      </c>
      <c r="Y192" s="107">
        <v>3000</v>
      </c>
      <c r="Z192" s="92" t="s">
        <v>5866</v>
      </c>
      <c r="AA192" s="93"/>
      <c r="AB192" s="93"/>
      <c r="AC192" s="93"/>
      <c r="AD192" s="93" t="s">
        <v>6480</v>
      </c>
      <c r="AE192" s="93"/>
      <c r="AF192" s="93"/>
      <c r="AG192" s="93"/>
      <c r="AH192" s="93"/>
      <c r="AI192" s="93"/>
      <c r="AK192" s="262" t="s">
        <v>6212</v>
      </c>
      <c r="AL192" s="93"/>
      <c r="AM192" s="93"/>
      <c r="AN192" s="93"/>
      <c r="AO192" s="93"/>
      <c r="AP192" s="93"/>
      <c r="AQ192" s="93"/>
    </row>
    <row r="193" spans="1:43">
      <c r="A193" s="106">
        <v>6</v>
      </c>
      <c r="B193" s="93">
        <v>187</v>
      </c>
      <c r="C193" s="93" t="s">
        <v>5860</v>
      </c>
      <c r="D193" s="93" t="s">
        <v>6481</v>
      </c>
      <c r="E193" s="92" t="s">
        <v>5862</v>
      </c>
      <c r="F193" s="93" t="s">
        <v>6482</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5864</v>
      </c>
      <c r="U193" s="93">
        <v>398</v>
      </c>
      <c r="V193" s="107">
        <v>36500</v>
      </c>
      <c r="W193" s="107">
        <v>37000</v>
      </c>
      <c r="X193" s="110" t="s">
        <v>5982</v>
      </c>
      <c r="Y193" s="107">
        <v>17000</v>
      </c>
      <c r="Z193" s="92" t="s">
        <v>5866</v>
      </c>
      <c r="AA193" s="93"/>
      <c r="AB193" s="93"/>
      <c r="AC193" s="93"/>
      <c r="AD193" s="93" t="s">
        <v>6483</v>
      </c>
      <c r="AE193" s="93"/>
      <c r="AF193" s="93"/>
      <c r="AG193" s="93"/>
      <c r="AH193" s="93"/>
      <c r="AI193" s="93"/>
      <c r="AK193" s="262" t="s">
        <v>181</v>
      </c>
      <c r="AL193" s="93"/>
      <c r="AM193" s="93"/>
      <c r="AN193" s="93"/>
      <c r="AO193" s="93"/>
      <c r="AP193" s="93"/>
      <c r="AQ193" s="93"/>
    </row>
    <row r="194" spans="1:43" ht="25.5">
      <c r="A194" s="106">
        <v>6</v>
      </c>
      <c r="B194" s="93">
        <v>188</v>
      </c>
      <c r="C194" s="93" t="s">
        <v>5860</v>
      </c>
      <c r="D194" s="93" t="s">
        <v>6484</v>
      </c>
      <c r="E194" s="92" t="s">
        <v>5862</v>
      </c>
      <c r="F194" s="93" t="s">
        <v>6485</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5908</v>
      </c>
      <c r="U194" s="93">
        <v>398</v>
      </c>
      <c r="V194" s="107">
        <v>17625</v>
      </c>
      <c r="W194" s="107">
        <v>18000</v>
      </c>
      <c r="X194" s="110" t="s">
        <v>6065</v>
      </c>
      <c r="Y194" s="107">
        <v>12000</v>
      </c>
      <c r="Z194" s="92" t="s">
        <v>5866</v>
      </c>
      <c r="AA194" s="93"/>
      <c r="AB194" s="93"/>
      <c r="AC194" s="93"/>
      <c r="AD194" s="93" t="s">
        <v>6486</v>
      </c>
      <c r="AE194" s="93"/>
      <c r="AF194" s="93"/>
      <c r="AG194" s="93"/>
      <c r="AH194" s="93"/>
      <c r="AI194" s="93"/>
      <c r="AK194" s="262" t="s">
        <v>6487</v>
      </c>
      <c r="AL194" s="93"/>
      <c r="AM194" s="93"/>
      <c r="AN194" s="93"/>
      <c r="AO194" s="93"/>
      <c r="AP194" s="93"/>
      <c r="AQ194" s="93"/>
    </row>
    <row r="195" spans="1:43">
      <c r="A195" s="106">
        <v>6</v>
      </c>
      <c r="B195" s="93">
        <v>189</v>
      </c>
      <c r="C195" s="93" t="s">
        <v>5860</v>
      </c>
      <c r="D195" s="93" t="s">
        <v>6488</v>
      </c>
      <c r="E195" s="92" t="s">
        <v>5862</v>
      </c>
      <c r="F195" s="93" t="s">
        <v>6489</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5870</v>
      </c>
      <c r="U195" s="93">
        <v>398</v>
      </c>
      <c r="V195" s="107">
        <v>17908</v>
      </c>
      <c r="W195" s="107">
        <v>18000</v>
      </c>
      <c r="X195" s="110" t="s">
        <v>5903</v>
      </c>
      <c r="Y195" s="107">
        <v>9000</v>
      </c>
      <c r="Z195" s="92" t="s">
        <v>5866</v>
      </c>
      <c r="AA195" s="93"/>
      <c r="AB195" s="93"/>
      <c r="AC195" s="93"/>
      <c r="AD195" s="93" t="s">
        <v>181</v>
      </c>
      <c r="AE195" s="93"/>
      <c r="AF195" s="93"/>
      <c r="AG195" s="93"/>
      <c r="AH195" s="93"/>
      <c r="AI195" s="93"/>
      <c r="AK195" s="262" t="s">
        <v>5889</v>
      </c>
      <c r="AL195" s="93"/>
      <c r="AM195" s="93"/>
      <c r="AN195" s="93"/>
      <c r="AO195" s="93"/>
      <c r="AP195" s="93"/>
      <c r="AQ195" s="93"/>
    </row>
    <row r="196" spans="1:43" ht="25.5">
      <c r="A196" s="106">
        <v>6</v>
      </c>
      <c r="B196" s="93">
        <v>190</v>
      </c>
      <c r="C196" s="93" t="s">
        <v>5860</v>
      </c>
      <c r="D196" s="93" t="s">
        <v>6490</v>
      </c>
      <c r="E196" s="92" t="s">
        <v>5862</v>
      </c>
      <c r="F196" s="93" t="s">
        <v>6491</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5908</v>
      </c>
      <c r="U196" s="93">
        <v>398</v>
      </c>
      <c r="V196" s="107">
        <v>162000</v>
      </c>
      <c r="W196" s="107">
        <v>162000</v>
      </c>
      <c r="X196" s="110" t="s">
        <v>5938</v>
      </c>
      <c r="Y196" s="107">
        <v>113000</v>
      </c>
      <c r="Z196" s="92" t="s">
        <v>5866</v>
      </c>
      <c r="AA196" s="93"/>
      <c r="AB196" s="93"/>
      <c r="AC196" s="93"/>
      <c r="AD196" s="93" t="s">
        <v>6492</v>
      </c>
      <c r="AE196" s="93"/>
      <c r="AF196" s="93"/>
      <c r="AG196" s="93"/>
      <c r="AH196" s="93"/>
      <c r="AI196" s="93"/>
      <c r="AK196" s="262" t="s">
        <v>6493</v>
      </c>
      <c r="AL196" s="93"/>
      <c r="AM196" s="93"/>
      <c r="AN196" s="93"/>
      <c r="AO196" s="93"/>
      <c r="AP196" s="93"/>
      <c r="AQ196" s="93"/>
    </row>
    <row r="197" spans="1:43">
      <c r="A197" s="106">
        <v>6</v>
      </c>
      <c r="B197" s="93">
        <v>191</v>
      </c>
      <c r="C197" s="93" t="s">
        <v>5860</v>
      </c>
      <c r="D197" s="93" t="s">
        <v>6494</v>
      </c>
      <c r="E197" s="92" t="s">
        <v>5862</v>
      </c>
      <c r="F197" s="93" t="s">
        <v>6495</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5908</v>
      </c>
      <c r="U197" s="93">
        <v>398</v>
      </c>
      <c r="V197" s="107">
        <v>6000</v>
      </c>
      <c r="W197" s="107">
        <v>6000</v>
      </c>
      <c r="X197" s="110" t="s">
        <v>5982</v>
      </c>
      <c r="Y197" s="107">
        <v>3000</v>
      </c>
      <c r="Z197" s="92" t="s">
        <v>5866</v>
      </c>
      <c r="AA197" s="93"/>
      <c r="AB197" s="93"/>
      <c r="AC197" s="93"/>
      <c r="AD197" s="93" t="s">
        <v>6496</v>
      </c>
      <c r="AE197" s="93"/>
      <c r="AF197" s="93"/>
      <c r="AG197" s="93"/>
      <c r="AH197" s="93"/>
      <c r="AI197" s="93"/>
      <c r="AK197" s="262" t="s">
        <v>181</v>
      </c>
      <c r="AL197" s="93"/>
      <c r="AM197" s="93"/>
      <c r="AN197" s="93"/>
      <c r="AO197" s="93"/>
      <c r="AP197" s="93"/>
      <c r="AQ197" s="93"/>
    </row>
    <row r="198" spans="1:43">
      <c r="A198" s="106">
        <v>6</v>
      </c>
      <c r="B198" s="93">
        <v>192</v>
      </c>
      <c r="C198" s="93" t="s">
        <v>5860</v>
      </c>
      <c r="D198" s="93" t="s">
        <v>6497</v>
      </c>
      <c r="E198" s="92" t="s">
        <v>5862</v>
      </c>
      <c r="F198" s="93" t="s">
        <v>6498</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5908</v>
      </c>
      <c r="U198" s="93">
        <v>398</v>
      </c>
      <c r="V198" s="107">
        <v>17400</v>
      </c>
      <c r="W198" s="107">
        <v>17000</v>
      </c>
      <c r="X198" s="110" t="s">
        <v>5896</v>
      </c>
      <c r="Y198" s="107">
        <v>11000</v>
      </c>
      <c r="Z198" s="92" t="s">
        <v>5866</v>
      </c>
      <c r="AA198" s="93"/>
      <c r="AB198" s="93"/>
      <c r="AC198" s="93"/>
      <c r="AD198" s="93" t="s">
        <v>181</v>
      </c>
      <c r="AE198" s="93"/>
      <c r="AF198" s="93"/>
      <c r="AG198" s="93"/>
      <c r="AH198" s="93"/>
      <c r="AI198" s="93"/>
      <c r="AK198" s="262" t="s">
        <v>6461</v>
      </c>
      <c r="AL198" s="93"/>
      <c r="AM198" s="93"/>
      <c r="AN198" s="93"/>
      <c r="AO198" s="93"/>
      <c r="AP198" s="93"/>
      <c r="AQ198" s="93"/>
    </row>
    <row r="199" spans="1:43">
      <c r="A199" s="106">
        <v>6</v>
      </c>
      <c r="B199" s="93">
        <v>193</v>
      </c>
      <c r="C199" s="93" t="s">
        <v>5860</v>
      </c>
      <c r="D199" s="93" t="s">
        <v>6499</v>
      </c>
      <c r="E199" s="92" t="s">
        <v>5862</v>
      </c>
      <c r="F199" s="93" t="s">
        <v>6500</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5908</v>
      </c>
      <c r="U199" s="93">
        <v>398</v>
      </c>
      <c r="V199" s="107">
        <v>18000</v>
      </c>
      <c r="W199" s="107">
        <v>18000</v>
      </c>
      <c r="X199" s="110" t="s">
        <v>6065</v>
      </c>
      <c r="Y199" s="107">
        <v>12000</v>
      </c>
      <c r="Z199" s="92" t="s">
        <v>5866</v>
      </c>
      <c r="AA199" s="93"/>
      <c r="AB199" s="93"/>
      <c r="AC199" s="93"/>
      <c r="AD199" s="93" t="s">
        <v>5879</v>
      </c>
      <c r="AE199" s="93"/>
      <c r="AF199" s="93"/>
      <c r="AG199" s="93"/>
      <c r="AH199" s="93"/>
      <c r="AI199" s="93"/>
      <c r="AK199" s="262" t="s">
        <v>5893</v>
      </c>
      <c r="AL199" s="93"/>
      <c r="AM199" s="93"/>
      <c r="AN199" s="93"/>
      <c r="AO199" s="93"/>
      <c r="AP199" s="93"/>
      <c r="AQ199" s="93"/>
    </row>
    <row r="200" spans="1:43" ht="25.5">
      <c r="A200" s="106">
        <v>6</v>
      </c>
      <c r="B200" s="93">
        <v>194</v>
      </c>
      <c r="C200" s="93" t="s">
        <v>5860</v>
      </c>
      <c r="D200" s="93" t="s">
        <v>6501</v>
      </c>
      <c r="E200" s="92" t="s">
        <v>5862</v>
      </c>
      <c r="F200" s="93" t="s">
        <v>6502</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5908</v>
      </c>
      <c r="U200" s="93">
        <v>398</v>
      </c>
      <c r="V200" s="107">
        <v>14136</v>
      </c>
      <c r="W200" s="107">
        <v>14000</v>
      </c>
      <c r="X200" s="110" t="s">
        <v>5971</v>
      </c>
      <c r="Y200" s="107">
        <v>5000</v>
      </c>
      <c r="Z200" s="92" t="s">
        <v>5866</v>
      </c>
      <c r="AA200" s="93"/>
      <c r="AB200" s="93"/>
      <c r="AC200" s="93"/>
      <c r="AD200" s="93" t="s">
        <v>6503</v>
      </c>
      <c r="AE200" s="93"/>
      <c r="AF200" s="93"/>
      <c r="AG200" s="93"/>
      <c r="AH200" s="93"/>
      <c r="AI200" s="93"/>
      <c r="AK200" s="262" t="s">
        <v>6504</v>
      </c>
      <c r="AL200" s="93"/>
      <c r="AM200" s="93"/>
      <c r="AN200" s="93"/>
      <c r="AO200" s="93"/>
      <c r="AP200" s="93"/>
      <c r="AQ200" s="93"/>
    </row>
    <row r="201" spans="1:43">
      <c r="A201" s="106">
        <v>6</v>
      </c>
      <c r="B201" s="93">
        <v>195</v>
      </c>
      <c r="C201" s="93" t="s">
        <v>5860</v>
      </c>
      <c r="D201" s="93" t="s">
        <v>6505</v>
      </c>
      <c r="E201" s="92" t="s">
        <v>5862</v>
      </c>
      <c r="F201" s="93" t="s">
        <v>6506</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5908</v>
      </c>
      <c r="U201" s="93">
        <v>398</v>
      </c>
      <c r="V201" s="107">
        <v>18900</v>
      </c>
      <c r="W201" s="107">
        <v>19000</v>
      </c>
      <c r="X201" s="110" t="s">
        <v>5985</v>
      </c>
      <c r="Y201" s="107">
        <v>7000</v>
      </c>
      <c r="Z201" s="92" t="s">
        <v>5866</v>
      </c>
      <c r="AA201" s="93"/>
      <c r="AB201" s="93"/>
      <c r="AC201" s="93"/>
      <c r="AD201" s="93" t="s">
        <v>181</v>
      </c>
      <c r="AE201" s="93"/>
      <c r="AF201" s="93"/>
      <c r="AG201" s="93"/>
      <c r="AH201" s="93"/>
      <c r="AI201" s="93"/>
      <c r="AK201" s="262" t="s">
        <v>5893</v>
      </c>
      <c r="AL201" s="93"/>
      <c r="AM201" s="93"/>
      <c r="AN201" s="93"/>
      <c r="AO201" s="93"/>
      <c r="AP201" s="93"/>
      <c r="AQ201" s="93"/>
    </row>
    <row r="202" spans="1:43">
      <c r="A202" s="106">
        <v>6</v>
      </c>
      <c r="B202" s="93">
        <v>196</v>
      </c>
      <c r="C202" s="93" t="s">
        <v>5860</v>
      </c>
      <c r="D202" s="93" t="s">
        <v>6507</v>
      </c>
      <c r="E202" s="92" t="s">
        <v>5862</v>
      </c>
      <c r="F202" s="93" t="s">
        <v>6508</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5864</v>
      </c>
      <c r="U202" s="93">
        <v>398</v>
      </c>
      <c r="V202" s="107">
        <v>6250</v>
      </c>
      <c r="W202" s="107">
        <v>6000</v>
      </c>
      <c r="X202" s="110" t="s">
        <v>5920</v>
      </c>
      <c r="Y202" s="107">
        <v>3000</v>
      </c>
      <c r="Z202" s="92" t="s">
        <v>5866</v>
      </c>
      <c r="AA202" s="93"/>
      <c r="AB202" s="93"/>
      <c r="AC202" s="93"/>
      <c r="AD202" s="93" t="s">
        <v>5879</v>
      </c>
      <c r="AE202" s="93"/>
      <c r="AF202" s="93"/>
      <c r="AG202" s="93"/>
      <c r="AH202" s="93"/>
      <c r="AI202" s="93"/>
      <c r="AK202" s="262" t="s">
        <v>6509</v>
      </c>
      <c r="AL202" s="93"/>
      <c r="AM202" s="93"/>
      <c r="AN202" s="93"/>
      <c r="AO202" s="93"/>
      <c r="AP202" s="93"/>
      <c r="AQ202" s="93"/>
    </row>
    <row r="203" spans="1:43">
      <c r="A203" s="106">
        <v>6</v>
      </c>
      <c r="B203" s="93">
        <v>197</v>
      </c>
      <c r="C203" s="93" t="s">
        <v>5860</v>
      </c>
      <c r="D203" s="93" t="s">
        <v>6510</v>
      </c>
      <c r="E203" s="92" t="s">
        <v>5862</v>
      </c>
      <c r="F203" s="93" t="s">
        <v>6511</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5864</v>
      </c>
      <c r="U203" s="93">
        <v>398</v>
      </c>
      <c r="V203" s="107">
        <v>35000</v>
      </c>
      <c r="W203" s="107">
        <v>35000</v>
      </c>
      <c r="X203" s="110" t="s">
        <v>6512</v>
      </c>
      <c r="Y203" s="107">
        <v>7000</v>
      </c>
      <c r="Z203" s="92" t="s">
        <v>5866</v>
      </c>
      <c r="AA203" s="93"/>
      <c r="AB203" s="93"/>
      <c r="AC203" s="93"/>
      <c r="AD203" s="93" t="s">
        <v>6513</v>
      </c>
      <c r="AE203" s="93"/>
      <c r="AF203" s="93"/>
      <c r="AG203" s="93"/>
      <c r="AH203" s="93"/>
      <c r="AI203" s="93"/>
      <c r="AK203" s="262" t="s">
        <v>5889</v>
      </c>
      <c r="AL203" s="93"/>
      <c r="AM203" s="93"/>
      <c r="AN203" s="93"/>
      <c r="AO203" s="93"/>
      <c r="AP203" s="93"/>
      <c r="AQ203" s="93"/>
    </row>
    <row r="204" spans="1:43">
      <c r="A204" s="106">
        <v>6</v>
      </c>
      <c r="B204" s="93">
        <v>198</v>
      </c>
      <c r="C204" s="93" t="s">
        <v>5860</v>
      </c>
      <c r="D204" s="93" t="s">
        <v>6514</v>
      </c>
      <c r="E204" s="92" t="s">
        <v>5862</v>
      </c>
      <c r="F204" s="93" t="s">
        <v>6515</v>
      </c>
      <c r="G204" s="93">
        <v>44.1</v>
      </c>
      <c r="H204" s="93">
        <v>9508</v>
      </c>
      <c r="I204" s="92">
        <v>0</v>
      </c>
      <c r="J204" s="107">
        <v>6000</v>
      </c>
      <c r="K204" s="105">
        <v>15</v>
      </c>
      <c r="L204" s="108">
        <v>0</v>
      </c>
      <c r="M204" s="97">
        <v>0</v>
      </c>
      <c r="N204" s="93">
        <v>1976</v>
      </c>
      <c r="O204" s="93">
        <v>1179</v>
      </c>
      <c r="P204" s="93">
        <v>744</v>
      </c>
      <c r="Q204" s="93">
        <v>18</v>
      </c>
      <c r="R204" s="93">
        <v>14</v>
      </c>
      <c r="S204" s="93">
        <v>1</v>
      </c>
      <c r="T204" s="92" t="s">
        <v>5864</v>
      </c>
      <c r="U204" s="93">
        <v>398</v>
      </c>
      <c r="V204" s="107">
        <v>17185</v>
      </c>
      <c r="W204" s="107">
        <v>17000</v>
      </c>
      <c r="X204" s="110" t="s">
        <v>6516</v>
      </c>
      <c r="Y204" s="107">
        <v>6000</v>
      </c>
      <c r="Z204" s="92" t="s">
        <v>5866</v>
      </c>
      <c r="AA204" s="93"/>
      <c r="AB204" s="93"/>
      <c r="AC204" s="93"/>
      <c r="AD204" s="93" t="s">
        <v>6517</v>
      </c>
      <c r="AE204" s="93"/>
      <c r="AF204" s="93"/>
      <c r="AG204" s="93"/>
      <c r="AH204" s="93"/>
      <c r="AI204" s="93"/>
      <c r="AK204" s="262" t="s">
        <v>181</v>
      </c>
      <c r="AL204" s="93"/>
      <c r="AM204" s="93"/>
      <c r="AN204" s="93"/>
      <c r="AO204" s="93"/>
      <c r="AP204" s="93"/>
      <c r="AQ204" s="93"/>
    </row>
    <row r="205" spans="1:43">
      <c r="A205" s="106">
        <v>6</v>
      </c>
      <c r="B205" s="93">
        <v>199</v>
      </c>
      <c r="C205" s="93" t="s">
        <v>5860</v>
      </c>
      <c r="D205" s="93" t="s">
        <v>6518</v>
      </c>
      <c r="E205" s="92" t="s">
        <v>5862</v>
      </c>
      <c r="F205" s="93" t="s">
        <v>6519</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6388</v>
      </c>
      <c r="U205" s="93">
        <v>398</v>
      </c>
      <c r="V205" s="107">
        <v>10000</v>
      </c>
      <c r="W205" s="107">
        <v>10000</v>
      </c>
      <c r="X205" s="110" t="s">
        <v>5928</v>
      </c>
      <c r="Y205" s="107">
        <v>4000</v>
      </c>
      <c r="Z205" s="92" t="s">
        <v>5866</v>
      </c>
      <c r="AA205" s="93"/>
      <c r="AB205" s="93"/>
      <c r="AC205" s="93"/>
      <c r="AD205" s="93" t="s">
        <v>6520</v>
      </c>
      <c r="AE205" s="93"/>
      <c r="AF205" s="93"/>
      <c r="AG205" s="93"/>
      <c r="AH205" s="93"/>
      <c r="AI205" s="93"/>
      <c r="AK205" s="262" t="s">
        <v>181</v>
      </c>
      <c r="AL205" s="93"/>
      <c r="AM205" s="93"/>
      <c r="AN205" s="93"/>
      <c r="AO205" s="93"/>
      <c r="AP205" s="93"/>
      <c r="AQ205" s="93"/>
    </row>
    <row r="206" spans="1:43" ht="25.5">
      <c r="A206" s="106">
        <v>6</v>
      </c>
      <c r="B206" s="93">
        <v>200</v>
      </c>
      <c r="C206" s="93" t="s">
        <v>5860</v>
      </c>
      <c r="D206" s="93" t="s">
        <v>6521</v>
      </c>
      <c r="E206" s="92" t="s">
        <v>5862</v>
      </c>
      <c r="F206" s="93" t="s">
        <v>6522</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5864</v>
      </c>
      <c r="U206" s="93">
        <v>398</v>
      </c>
      <c r="V206" s="107">
        <v>19950</v>
      </c>
      <c r="W206" s="107">
        <v>20000</v>
      </c>
      <c r="X206" s="110" t="s">
        <v>6182</v>
      </c>
      <c r="Y206" s="107">
        <v>12000</v>
      </c>
      <c r="Z206" s="92" t="s">
        <v>5866</v>
      </c>
      <c r="AA206" s="93"/>
      <c r="AB206" s="93"/>
      <c r="AC206" s="93"/>
      <c r="AD206" s="93" t="s">
        <v>6523</v>
      </c>
      <c r="AE206" s="93"/>
      <c r="AF206" s="93"/>
      <c r="AG206" s="93"/>
      <c r="AH206" s="93"/>
      <c r="AI206" s="93"/>
      <c r="AK206" s="262" t="s">
        <v>6524</v>
      </c>
      <c r="AL206" s="93"/>
      <c r="AM206" s="93"/>
      <c r="AN206" s="93"/>
      <c r="AO206" s="93"/>
      <c r="AP206" s="93"/>
      <c r="AQ206" s="93"/>
    </row>
    <row r="207" spans="1:43">
      <c r="A207" s="106">
        <v>6</v>
      </c>
      <c r="B207" s="93">
        <v>201</v>
      </c>
      <c r="C207" s="93" t="s">
        <v>5860</v>
      </c>
      <c r="D207" s="93" t="s">
        <v>6525</v>
      </c>
      <c r="E207" s="92" t="s">
        <v>5862</v>
      </c>
      <c r="F207" s="93" t="s">
        <v>6526</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5864</v>
      </c>
      <c r="U207" s="93">
        <v>398</v>
      </c>
      <c r="V207" s="107">
        <v>17187</v>
      </c>
      <c r="W207" s="107">
        <v>17000</v>
      </c>
      <c r="X207" s="110" t="s">
        <v>5982</v>
      </c>
      <c r="Y207" s="107">
        <v>8000</v>
      </c>
      <c r="Z207" s="92" t="s">
        <v>5866</v>
      </c>
      <c r="AA207" s="93"/>
      <c r="AB207" s="93"/>
      <c r="AC207" s="93"/>
      <c r="AD207" s="93" t="s">
        <v>6527</v>
      </c>
      <c r="AE207" s="93"/>
      <c r="AF207" s="93"/>
      <c r="AG207" s="93"/>
      <c r="AH207" s="93"/>
      <c r="AI207" s="93"/>
      <c r="AK207" s="262" t="s">
        <v>6461</v>
      </c>
      <c r="AL207" s="93"/>
      <c r="AM207" s="93"/>
      <c r="AN207" s="93"/>
      <c r="AO207" s="93"/>
      <c r="AP207" s="93"/>
      <c r="AQ207" s="93"/>
    </row>
    <row r="208" spans="1:43" ht="25.5">
      <c r="A208" s="106">
        <v>6</v>
      </c>
      <c r="B208" s="93">
        <v>202</v>
      </c>
      <c r="C208" s="93" t="s">
        <v>5860</v>
      </c>
      <c r="D208" s="93" t="s">
        <v>6528</v>
      </c>
      <c r="E208" s="92" t="s">
        <v>5862</v>
      </c>
      <c r="F208" s="93" t="s">
        <v>6529</v>
      </c>
      <c r="G208" s="93">
        <v>44.2</v>
      </c>
      <c r="H208" s="93">
        <v>9508</v>
      </c>
      <c r="I208" s="92">
        <v>0</v>
      </c>
      <c r="J208" s="107">
        <v>4842</v>
      </c>
      <c r="K208" s="105">
        <v>7.2</v>
      </c>
      <c r="L208" s="108">
        <v>0</v>
      </c>
      <c r="M208" s="97">
        <v>0</v>
      </c>
      <c r="N208" s="93">
        <v>1979</v>
      </c>
      <c r="O208" s="93">
        <v>2242</v>
      </c>
      <c r="P208" s="93">
        <v>521</v>
      </c>
      <c r="Q208" s="93">
        <v>16</v>
      </c>
      <c r="R208" s="93">
        <v>3</v>
      </c>
      <c r="S208" s="93">
        <v>1</v>
      </c>
      <c r="T208" s="92" t="s">
        <v>5864</v>
      </c>
      <c r="U208" s="93">
        <v>398</v>
      </c>
      <c r="V208" s="107">
        <v>10000</v>
      </c>
      <c r="W208" s="107">
        <v>10000</v>
      </c>
      <c r="X208" s="110" t="s">
        <v>5982</v>
      </c>
      <c r="Y208" s="107">
        <v>5000</v>
      </c>
      <c r="Z208" s="92" t="s">
        <v>5866</v>
      </c>
      <c r="AA208" s="93"/>
      <c r="AB208" s="93"/>
      <c r="AC208" s="93"/>
      <c r="AD208" s="93" t="s">
        <v>6530</v>
      </c>
      <c r="AE208" s="93"/>
      <c r="AF208" s="93"/>
      <c r="AG208" s="93"/>
      <c r="AH208" s="93"/>
      <c r="AI208" s="93"/>
      <c r="AK208" s="262" t="s">
        <v>6531</v>
      </c>
      <c r="AL208" s="93"/>
      <c r="AM208" s="93"/>
      <c r="AN208" s="93"/>
      <c r="AO208" s="93"/>
      <c r="AP208" s="93"/>
      <c r="AQ208" s="93"/>
    </row>
    <row r="209" spans="1:43">
      <c r="A209" s="106">
        <v>6</v>
      </c>
      <c r="B209" s="93">
        <v>203</v>
      </c>
      <c r="C209" s="93" t="s">
        <v>5860</v>
      </c>
      <c r="D209" s="93" t="s">
        <v>6532</v>
      </c>
      <c r="E209" s="92" t="s">
        <v>5862</v>
      </c>
      <c r="F209" s="93" t="s">
        <v>6533</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5864</v>
      </c>
      <c r="U209" s="93">
        <v>398</v>
      </c>
      <c r="V209" s="107">
        <v>18125</v>
      </c>
      <c r="W209" s="107">
        <v>18000</v>
      </c>
      <c r="X209" s="110" t="s">
        <v>5995</v>
      </c>
      <c r="Y209" s="107">
        <v>9000</v>
      </c>
      <c r="Z209" s="92" t="s">
        <v>5866</v>
      </c>
      <c r="AA209" s="93"/>
      <c r="AB209" s="93"/>
      <c r="AC209" s="93"/>
      <c r="AD209" s="93" t="s">
        <v>181</v>
      </c>
      <c r="AE209" s="93"/>
      <c r="AF209" s="93"/>
      <c r="AG209" s="93"/>
      <c r="AH209" s="93"/>
      <c r="AI209" s="93"/>
      <c r="AK209" s="262" t="s">
        <v>6534</v>
      </c>
      <c r="AL209" s="93"/>
      <c r="AM209" s="93"/>
      <c r="AN209" s="93"/>
      <c r="AO209" s="93"/>
      <c r="AP209" s="93"/>
      <c r="AQ209" s="93"/>
    </row>
    <row r="210" spans="1:43" ht="25.5">
      <c r="A210" s="106">
        <v>6</v>
      </c>
      <c r="B210" s="93">
        <v>204</v>
      </c>
      <c r="C210" s="93" t="s">
        <v>5860</v>
      </c>
      <c r="D210" s="93" t="s">
        <v>6535</v>
      </c>
      <c r="E210" s="92" t="s">
        <v>5862</v>
      </c>
      <c r="F210" s="93" t="s">
        <v>6536</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5864</v>
      </c>
      <c r="U210" s="93">
        <v>398</v>
      </c>
      <c r="V210" s="107">
        <v>12500</v>
      </c>
      <c r="W210" s="107">
        <v>13000</v>
      </c>
      <c r="X210" s="110" t="s">
        <v>6065</v>
      </c>
      <c r="Y210" s="107">
        <v>8000</v>
      </c>
      <c r="Z210" s="92" t="s">
        <v>5866</v>
      </c>
      <c r="AA210" s="93"/>
      <c r="AB210" s="93"/>
      <c r="AC210" s="93"/>
      <c r="AD210" s="93" t="s">
        <v>181</v>
      </c>
      <c r="AE210" s="93"/>
      <c r="AF210" s="93"/>
      <c r="AG210" s="93"/>
      <c r="AH210" s="93"/>
      <c r="AI210" s="93"/>
      <c r="AK210" s="262" t="s">
        <v>6537</v>
      </c>
      <c r="AL210" s="93"/>
      <c r="AM210" s="93"/>
      <c r="AN210" s="93"/>
      <c r="AO210" s="93"/>
      <c r="AP210" s="93"/>
      <c r="AQ210" s="93"/>
    </row>
    <row r="211" spans="1:43">
      <c r="A211" s="106">
        <v>6</v>
      </c>
      <c r="B211" s="93">
        <v>205</v>
      </c>
      <c r="C211" s="93" t="s">
        <v>5860</v>
      </c>
      <c r="D211" s="93" t="s">
        <v>6538</v>
      </c>
      <c r="E211" s="92" t="s">
        <v>5862</v>
      </c>
      <c r="F211" s="93" t="s">
        <v>6539</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5908</v>
      </c>
      <c r="U211" s="93">
        <v>401</v>
      </c>
      <c r="V211" s="107">
        <v>19000</v>
      </c>
      <c r="W211" s="107">
        <v>19000</v>
      </c>
      <c r="X211" s="110" t="s">
        <v>5920</v>
      </c>
      <c r="Y211" s="107">
        <v>8000</v>
      </c>
      <c r="Z211" s="92" t="s">
        <v>5866</v>
      </c>
      <c r="AA211" s="93"/>
      <c r="AB211" s="93"/>
      <c r="AC211" s="93"/>
      <c r="AD211" s="93" t="s">
        <v>181</v>
      </c>
      <c r="AE211" s="93"/>
      <c r="AF211" s="93"/>
      <c r="AG211" s="93"/>
      <c r="AH211" s="93"/>
      <c r="AI211" s="93"/>
      <c r="AK211" s="262" t="s">
        <v>181</v>
      </c>
      <c r="AL211" s="93"/>
      <c r="AM211" s="93"/>
      <c r="AN211" s="93"/>
      <c r="AO211" s="93"/>
      <c r="AP211" s="93"/>
      <c r="AQ211" s="93"/>
    </row>
    <row r="212" spans="1:43">
      <c r="A212" s="106">
        <v>6</v>
      </c>
      <c r="B212" s="93">
        <v>206</v>
      </c>
      <c r="C212" s="93" t="s">
        <v>5860</v>
      </c>
      <c r="D212" s="93" t="s">
        <v>6540</v>
      </c>
      <c r="E212" s="92" t="s">
        <v>5862</v>
      </c>
      <c r="F212" s="93" t="s">
        <v>6541</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5908</v>
      </c>
      <c r="U212" s="93">
        <v>398</v>
      </c>
      <c r="V212" s="107">
        <v>13864</v>
      </c>
      <c r="W212" s="107">
        <v>14000</v>
      </c>
      <c r="X212" s="110" t="s">
        <v>5995</v>
      </c>
      <c r="Y212" s="107">
        <v>7000</v>
      </c>
      <c r="Z212" s="92" t="s">
        <v>5866</v>
      </c>
      <c r="AA212" s="93"/>
      <c r="AB212" s="93"/>
      <c r="AC212" s="93"/>
      <c r="AD212" s="93" t="s">
        <v>6542</v>
      </c>
      <c r="AE212" s="93"/>
      <c r="AF212" s="93"/>
      <c r="AG212" s="93"/>
      <c r="AH212" s="93"/>
      <c r="AI212" s="93"/>
      <c r="AK212" s="262" t="s">
        <v>5893</v>
      </c>
      <c r="AL212" s="93"/>
      <c r="AM212" s="93"/>
      <c r="AN212" s="93"/>
      <c r="AO212" s="93"/>
      <c r="AP212" s="93"/>
      <c r="AQ212" s="93"/>
    </row>
    <row r="213" spans="1:43">
      <c r="A213" s="106">
        <v>6</v>
      </c>
      <c r="B213" s="93">
        <v>207</v>
      </c>
      <c r="C213" s="93" t="s">
        <v>5860</v>
      </c>
      <c r="D213" s="93" t="s">
        <v>6543</v>
      </c>
      <c r="E213" s="92" t="s">
        <v>5862</v>
      </c>
      <c r="F213" s="93" t="s">
        <v>6544</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6075</v>
      </c>
      <c r="U213" s="93">
        <v>401</v>
      </c>
      <c r="V213" s="107">
        <v>18200</v>
      </c>
      <c r="W213" s="107">
        <v>18000</v>
      </c>
      <c r="X213" s="110" t="s">
        <v>5985</v>
      </c>
      <c r="Y213" s="107">
        <v>7000</v>
      </c>
      <c r="Z213" s="92" t="s">
        <v>5866</v>
      </c>
      <c r="AA213" s="93"/>
      <c r="AB213" s="93"/>
      <c r="AC213" s="93"/>
      <c r="AD213" s="93" t="s">
        <v>6545</v>
      </c>
      <c r="AE213" s="93"/>
      <c r="AF213" s="93"/>
      <c r="AG213" s="93"/>
      <c r="AH213" s="93"/>
      <c r="AI213" s="93"/>
      <c r="AK213" s="262" t="s">
        <v>5893</v>
      </c>
      <c r="AL213" s="93"/>
      <c r="AM213" s="93"/>
      <c r="AN213" s="93"/>
      <c r="AO213" s="93"/>
      <c r="AP213" s="93"/>
      <c r="AQ213" s="93"/>
    </row>
    <row r="214" spans="1:43">
      <c r="A214" s="106">
        <v>6</v>
      </c>
      <c r="B214" s="93">
        <v>208</v>
      </c>
      <c r="C214" s="93" t="s">
        <v>5860</v>
      </c>
      <c r="D214" s="93" t="s">
        <v>6546</v>
      </c>
      <c r="E214" s="92" t="s">
        <v>5862</v>
      </c>
      <c r="F214" s="93" t="s">
        <v>6547</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6548</v>
      </c>
      <c r="U214" s="93">
        <v>401</v>
      </c>
      <c r="V214" s="107">
        <v>12500</v>
      </c>
      <c r="W214" s="107">
        <v>13000</v>
      </c>
      <c r="X214" s="110" t="s">
        <v>5938</v>
      </c>
      <c r="Y214" s="107">
        <v>9000</v>
      </c>
      <c r="Z214" s="92" t="s">
        <v>5866</v>
      </c>
      <c r="AA214" s="93"/>
      <c r="AB214" s="93"/>
      <c r="AC214" s="93"/>
      <c r="AD214" s="93" t="s">
        <v>6549</v>
      </c>
      <c r="AE214" s="93"/>
      <c r="AF214" s="93"/>
      <c r="AG214" s="93"/>
      <c r="AH214" s="93"/>
      <c r="AI214" s="93"/>
      <c r="AK214" s="262" t="s">
        <v>6550</v>
      </c>
      <c r="AL214" s="93"/>
      <c r="AM214" s="93" t="s">
        <v>181</v>
      </c>
      <c r="AN214" s="93"/>
      <c r="AO214" s="93"/>
      <c r="AP214" s="93"/>
      <c r="AQ214" s="93"/>
    </row>
    <row r="215" spans="1:43">
      <c r="A215" s="106">
        <v>6</v>
      </c>
      <c r="B215" s="93">
        <v>209</v>
      </c>
      <c r="C215" s="93" t="s">
        <v>5860</v>
      </c>
      <c r="D215" s="93" t="s">
        <v>6551</v>
      </c>
      <c r="E215" s="92" t="s">
        <v>5862</v>
      </c>
      <c r="F215" s="93" t="s">
        <v>6552</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5908</v>
      </c>
      <c r="U215" s="93">
        <v>398</v>
      </c>
      <c r="V215" s="107">
        <v>62533</v>
      </c>
      <c r="W215" s="107">
        <v>63000</v>
      </c>
      <c r="X215" s="110" t="s">
        <v>5896</v>
      </c>
      <c r="Y215" s="107">
        <v>39000</v>
      </c>
      <c r="Z215" s="92" t="s">
        <v>5866</v>
      </c>
      <c r="AA215" s="93"/>
      <c r="AB215" s="93"/>
      <c r="AC215" s="93"/>
      <c r="AD215" s="93" t="s">
        <v>6471</v>
      </c>
      <c r="AE215" s="93"/>
      <c r="AF215" s="93"/>
      <c r="AG215" s="93"/>
      <c r="AH215" s="93"/>
      <c r="AI215" s="93"/>
      <c r="AK215" s="262" t="s">
        <v>181</v>
      </c>
      <c r="AL215" s="93"/>
      <c r="AM215" s="93"/>
      <c r="AN215" s="93"/>
      <c r="AO215" s="93"/>
      <c r="AP215" s="93"/>
      <c r="AQ215" s="93"/>
    </row>
    <row r="216" spans="1:43">
      <c r="A216" s="106">
        <v>6</v>
      </c>
      <c r="B216" s="93">
        <v>210</v>
      </c>
      <c r="C216" s="93" t="s">
        <v>5860</v>
      </c>
      <c r="D216" s="93" t="s">
        <v>6553</v>
      </c>
      <c r="E216" s="92" t="s">
        <v>5862</v>
      </c>
      <c r="F216" s="93" t="s">
        <v>6554</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5908</v>
      </c>
      <c r="U216" s="93">
        <v>398</v>
      </c>
      <c r="V216" s="107">
        <v>25695</v>
      </c>
      <c r="W216" s="107">
        <v>26000</v>
      </c>
      <c r="X216" s="110" t="s">
        <v>5892</v>
      </c>
      <c r="Y216" s="107">
        <v>9000</v>
      </c>
      <c r="Z216" s="92" t="s">
        <v>5866</v>
      </c>
      <c r="AA216" s="93"/>
      <c r="AB216" s="93"/>
      <c r="AC216" s="93"/>
      <c r="AD216" s="93" t="s">
        <v>6555</v>
      </c>
      <c r="AE216" s="93"/>
      <c r="AF216" s="93"/>
      <c r="AG216" s="93"/>
      <c r="AH216" s="93"/>
      <c r="AI216" s="93"/>
      <c r="AK216" s="262" t="s">
        <v>181</v>
      </c>
      <c r="AL216" s="93"/>
      <c r="AM216" s="93"/>
      <c r="AN216" s="93"/>
      <c r="AO216" s="93"/>
      <c r="AP216" s="93"/>
      <c r="AQ216" s="93"/>
    </row>
    <row r="217" spans="1:43" ht="25.5">
      <c r="A217" s="106">
        <v>6</v>
      </c>
      <c r="B217" s="93">
        <v>211</v>
      </c>
      <c r="C217" s="93" t="s">
        <v>5860</v>
      </c>
      <c r="D217" s="93" t="s">
        <v>6556</v>
      </c>
      <c r="E217" s="92" t="s">
        <v>5862</v>
      </c>
      <c r="F217" s="93" t="s">
        <v>6557</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6548</v>
      </c>
      <c r="U217" s="93">
        <v>398</v>
      </c>
      <c r="V217" s="107">
        <v>11913</v>
      </c>
      <c r="W217" s="107">
        <v>12000</v>
      </c>
      <c r="X217" s="110" t="s">
        <v>6091</v>
      </c>
      <c r="Y217" s="107">
        <v>7000</v>
      </c>
      <c r="Z217" s="92" t="s">
        <v>5866</v>
      </c>
      <c r="AA217" s="93"/>
      <c r="AB217" s="93"/>
      <c r="AC217" s="93"/>
      <c r="AD217" s="93" t="s">
        <v>181</v>
      </c>
      <c r="AE217" s="93"/>
      <c r="AF217" s="93"/>
      <c r="AG217" s="93"/>
      <c r="AH217" s="93"/>
      <c r="AI217" s="93"/>
      <c r="AK217" s="262" t="s">
        <v>6558</v>
      </c>
      <c r="AL217" s="93"/>
      <c r="AM217" s="93"/>
      <c r="AN217" s="93"/>
      <c r="AO217" s="93"/>
      <c r="AP217" s="93"/>
      <c r="AQ217" s="93"/>
    </row>
    <row r="218" spans="1:43">
      <c r="A218" s="106">
        <v>6</v>
      </c>
      <c r="B218" s="93">
        <v>212</v>
      </c>
      <c r="C218" s="93" t="s">
        <v>5860</v>
      </c>
      <c r="D218" s="93" t="s">
        <v>6559</v>
      </c>
      <c r="E218" s="92" t="s">
        <v>5862</v>
      </c>
      <c r="F218" s="93" t="s">
        <v>6560</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5864</v>
      </c>
      <c r="U218" s="93">
        <v>398</v>
      </c>
      <c r="V218" s="107">
        <v>32824</v>
      </c>
      <c r="W218" s="107">
        <v>33000</v>
      </c>
      <c r="X218" s="110" t="s">
        <v>5985</v>
      </c>
      <c r="Y218" s="107">
        <v>12000</v>
      </c>
      <c r="Z218" s="92" t="s">
        <v>5866</v>
      </c>
      <c r="AA218" s="93"/>
      <c r="AB218" s="93"/>
      <c r="AC218" s="93"/>
      <c r="AD218" s="93" t="s">
        <v>181</v>
      </c>
      <c r="AE218" s="93"/>
      <c r="AF218" s="93"/>
      <c r="AG218" s="93"/>
      <c r="AH218" s="93"/>
      <c r="AI218" s="93"/>
      <c r="AK218" s="262" t="s">
        <v>6561</v>
      </c>
      <c r="AL218" s="93"/>
      <c r="AM218" s="93"/>
      <c r="AN218" s="93"/>
      <c r="AO218" s="93"/>
      <c r="AP218" s="93"/>
      <c r="AQ218" s="93"/>
    </row>
    <row r="219" spans="1:43">
      <c r="A219" s="106">
        <v>6</v>
      </c>
      <c r="B219" s="93">
        <v>213</v>
      </c>
      <c r="C219" s="93" t="s">
        <v>5860</v>
      </c>
      <c r="D219" s="93" t="s">
        <v>6562</v>
      </c>
      <c r="E219" s="92" t="s">
        <v>5862</v>
      </c>
      <c r="F219" s="93" t="s">
        <v>6563</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5864</v>
      </c>
      <c r="U219" s="93">
        <v>396</v>
      </c>
      <c r="V219" s="107">
        <v>9375</v>
      </c>
      <c r="W219" s="107">
        <v>9000</v>
      </c>
      <c r="X219" s="110" t="s">
        <v>5985</v>
      </c>
      <c r="Y219" s="107">
        <v>3000</v>
      </c>
      <c r="Z219" s="92" t="s">
        <v>5866</v>
      </c>
      <c r="AA219" s="93"/>
      <c r="AB219" s="93"/>
      <c r="AC219" s="93"/>
      <c r="AD219" s="93" t="s">
        <v>6564</v>
      </c>
      <c r="AE219" s="93"/>
      <c r="AF219" s="93"/>
      <c r="AG219" s="93"/>
      <c r="AH219" s="93"/>
      <c r="AI219" s="93"/>
      <c r="AK219" s="262" t="s">
        <v>181</v>
      </c>
      <c r="AL219" s="93"/>
      <c r="AM219" s="93"/>
      <c r="AN219" s="93"/>
      <c r="AO219" s="93"/>
      <c r="AP219" s="93"/>
      <c r="AQ219" s="93"/>
    </row>
    <row r="220" spans="1:43">
      <c r="A220" s="106">
        <v>6</v>
      </c>
      <c r="B220" s="93">
        <v>214</v>
      </c>
      <c r="C220" s="93" t="s">
        <v>5860</v>
      </c>
      <c r="D220" s="93" t="s">
        <v>6565</v>
      </c>
      <c r="E220" s="92" t="s">
        <v>5862</v>
      </c>
      <c r="F220" s="93" t="s">
        <v>6566</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5864</v>
      </c>
      <c r="U220" s="93">
        <v>398</v>
      </c>
      <c r="V220" s="107">
        <v>12500</v>
      </c>
      <c r="W220" s="107">
        <v>13000</v>
      </c>
      <c r="X220" s="110" t="s">
        <v>5982</v>
      </c>
      <c r="Y220" s="107">
        <v>6000</v>
      </c>
      <c r="Z220" s="92" t="s">
        <v>5866</v>
      </c>
      <c r="AA220" s="93"/>
      <c r="AB220" s="93"/>
      <c r="AC220" s="93"/>
      <c r="AD220" s="93" t="s">
        <v>181</v>
      </c>
      <c r="AE220" s="93"/>
      <c r="AF220" s="93"/>
      <c r="AG220" s="93"/>
      <c r="AH220" s="93"/>
      <c r="AI220" s="93"/>
      <c r="AK220" s="262" t="s">
        <v>181</v>
      </c>
      <c r="AL220" s="93"/>
      <c r="AM220" s="93"/>
      <c r="AN220" s="93"/>
      <c r="AO220" s="93"/>
      <c r="AP220" s="93"/>
      <c r="AQ220" s="93"/>
    </row>
    <row r="221" spans="1:43">
      <c r="A221" s="106">
        <v>6</v>
      </c>
      <c r="B221" s="93">
        <v>215</v>
      </c>
      <c r="C221" s="93" t="s">
        <v>5860</v>
      </c>
      <c r="D221" s="93" t="s">
        <v>6567</v>
      </c>
      <c r="E221" s="92" t="s">
        <v>5862</v>
      </c>
      <c r="F221" s="93" t="s">
        <v>6568</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5864</v>
      </c>
      <c r="U221" s="93">
        <v>398</v>
      </c>
      <c r="V221" s="107">
        <v>43765</v>
      </c>
      <c r="W221" s="107">
        <v>44000</v>
      </c>
      <c r="X221" s="110" t="s">
        <v>6569</v>
      </c>
      <c r="Y221" s="107">
        <v>8000</v>
      </c>
      <c r="Z221" s="92" t="s">
        <v>5866</v>
      </c>
      <c r="AA221" s="93"/>
      <c r="AB221" s="93"/>
      <c r="AC221" s="93"/>
      <c r="AD221" s="93" t="s">
        <v>6570</v>
      </c>
      <c r="AE221" s="93"/>
      <c r="AF221" s="93"/>
      <c r="AG221" s="93"/>
      <c r="AH221" s="93"/>
      <c r="AI221" s="93"/>
      <c r="AK221" s="262" t="s">
        <v>181</v>
      </c>
      <c r="AL221" s="93"/>
      <c r="AM221" s="93"/>
      <c r="AN221" s="93"/>
      <c r="AO221" s="93"/>
      <c r="AP221" s="93"/>
      <c r="AQ221" s="93"/>
    </row>
    <row r="222" spans="1:43" ht="25.5">
      <c r="A222" s="106">
        <v>6</v>
      </c>
      <c r="B222" s="93">
        <v>216</v>
      </c>
      <c r="C222" s="93" t="s">
        <v>5860</v>
      </c>
      <c r="D222" s="93" t="s">
        <v>6571</v>
      </c>
      <c r="E222" s="92" t="s">
        <v>5862</v>
      </c>
      <c r="F222" s="93" t="s">
        <v>6572</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5908</v>
      </c>
      <c r="U222" s="93">
        <v>398</v>
      </c>
      <c r="V222" s="107">
        <v>10027</v>
      </c>
      <c r="W222" s="107">
        <v>10000</v>
      </c>
      <c r="X222" s="110" t="s">
        <v>6065</v>
      </c>
      <c r="Y222" s="107">
        <v>7000</v>
      </c>
      <c r="Z222" s="92" t="s">
        <v>5866</v>
      </c>
      <c r="AA222" s="93"/>
      <c r="AB222" s="93"/>
      <c r="AC222" s="93"/>
      <c r="AD222" s="93" t="s">
        <v>6573</v>
      </c>
      <c r="AE222" s="93"/>
      <c r="AF222" s="93"/>
      <c r="AG222" s="93"/>
      <c r="AH222" s="93"/>
      <c r="AI222" s="93"/>
      <c r="AK222" s="262" t="s">
        <v>6574</v>
      </c>
      <c r="AL222" s="93"/>
      <c r="AM222" s="93"/>
      <c r="AN222" s="93"/>
      <c r="AO222" s="93"/>
      <c r="AP222" s="93"/>
      <c r="AQ222" s="93"/>
    </row>
    <row r="223" spans="1:43">
      <c r="A223" s="106">
        <v>6</v>
      </c>
      <c r="B223" s="93">
        <v>217</v>
      </c>
      <c r="C223" s="93" t="s">
        <v>5860</v>
      </c>
      <c r="D223" s="93" t="s">
        <v>6575</v>
      </c>
      <c r="E223" s="92" t="s">
        <v>5862</v>
      </c>
      <c r="F223" s="93" t="s">
        <v>6576</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5908</v>
      </c>
      <c r="U223" s="93">
        <v>398</v>
      </c>
      <c r="V223" s="107">
        <v>8565</v>
      </c>
      <c r="W223" s="107">
        <v>9000</v>
      </c>
      <c r="X223" s="110" t="s">
        <v>6065</v>
      </c>
      <c r="Y223" s="107">
        <v>6000</v>
      </c>
      <c r="Z223" s="92" t="s">
        <v>5866</v>
      </c>
      <c r="AA223" s="93"/>
      <c r="AB223" s="93"/>
      <c r="AC223" s="93"/>
      <c r="AD223" s="93" t="s">
        <v>6577</v>
      </c>
      <c r="AE223" s="93"/>
      <c r="AF223" s="93"/>
      <c r="AG223" s="93"/>
      <c r="AH223" s="93"/>
      <c r="AI223" s="93"/>
      <c r="AK223" s="262" t="s">
        <v>5893</v>
      </c>
      <c r="AL223" s="93"/>
      <c r="AM223" s="93"/>
      <c r="AN223" s="93"/>
      <c r="AO223" s="93"/>
      <c r="AP223" s="93"/>
      <c r="AQ223" s="93"/>
    </row>
    <row r="224" spans="1:43">
      <c r="A224" s="106">
        <v>6</v>
      </c>
      <c r="B224" s="93">
        <v>218</v>
      </c>
      <c r="C224" s="93" t="s">
        <v>5860</v>
      </c>
      <c r="D224" s="93" t="s">
        <v>6578</v>
      </c>
      <c r="E224" s="92" t="s">
        <v>5862</v>
      </c>
      <c r="F224" s="93" t="s">
        <v>6579</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5908</v>
      </c>
      <c r="U224" s="93">
        <v>398</v>
      </c>
      <c r="V224" s="107">
        <v>8565</v>
      </c>
      <c r="W224" s="107">
        <v>9000</v>
      </c>
      <c r="X224" s="110" t="s">
        <v>5938</v>
      </c>
      <c r="Y224" s="107">
        <v>6000</v>
      </c>
      <c r="Z224" s="92" t="s">
        <v>5866</v>
      </c>
      <c r="AA224" s="93"/>
      <c r="AB224" s="93"/>
      <c r="AC224" s="93"/>
      <c r="AD224" s="93" t="s">
        <v>6580</v>
      </c>
      <c r="AE224" s="93"/>
      <c r="AF224" s="93"/>
      <c r="AG224" s="93"/>
      <c r="AH224" s="93"/>
      <c r="AI224" s="93"/>
      <c r="AK224" s="262" t="s">
        <v>181</v>
      </c>
      <c r="AL224" s="93"/>
      <c r="AM224" s="93"/>
      <c r="AN224" s="93"/>
      <c r="AO224" s="93"/>
      <c r="AP224" s="93"/>
      <c r="AQ224" s="93"/>
    </row>
    <row r="225" spans="1:43">
      <c r="A225" s="106">
        <v>6</v>
      </c>
      <c r="B225" s="93">
        <v>219</v>
      </c>
      <c r="C225" s="93" t="s">
        <v>5860</v>
      </c>
      <c r="D225" s="93" t="s">
        <v>6581</v>
      </c>
      <c r="E225" s="92" t="s">
        <v>5862</v>
      </c>
      <c r="F225" s="93" t="s">
        <v>6582</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5908</v>
      </c>
      <c r="U225" s="93">
        <v>398</v>
      </c>
      <c r="V225" s="107">
        <v>8565</v>
      </c>
      <c r="W225" s="107">
        <v>9000</v>
      </c>
      <c r="X225" s="110" t="s">
        <v>6065</v>
      </c>
      <c r="Y225" s="107">
        <v>6000</v>
      </c>
      <c r="Z225" s="92" t="s">
        <v>5866</v>
      </c>
      <c r="AA225" s="93"/>
      <c r="AB225" s="93"/>
      <c r="AC225" s="93"/>
      <c r="AD225" s="93" t="s">
        <v>6583</v>
      </c>
      <c r="AE225" s="93"/>
      <c r="AF225" s="93"/>
      <c r="AG225" s="93"/>
      <c r="AH225" s="93"/>
      <c r="AI225" s="93"/>
      <c r="AK225" s="262" t="s">
        <v>181</v>
      </c>
      <c r="AL225" s="93"/>
      <c r="AM225" s="93"/>
      <c r="AN225" s="93"/>
      <c r="AO225" s="93"/>
      <c r="AP225" s="93"/>
      <c r="AQ225" s="93"/>
    </row>
    <row r="226" spans="1:43">
      <c r="A226" s="106">
        <v>6</v>
      </c>
      <c r="B226" s="93">
        <v>220</v>
      </c>
      <c r="C226" s="93" t="s">
        <v>5860</v>
      </c>
      <c r="D226" s="93" t="s">
        <v>6584</v>
      </c>
      <c r="E226" s="92" t="s">
        <v>5862</v>
      </c>
      <c r="F226" s="93" t="s">
        <v>6585</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5908</v>
      </c>
      <c r="U226" s="93">
        <v>398</v>
      </c>
      <c r="V226" s="107">
        <v>8565</v>
      </c>
      <c r="W226" s="107">
        <v>9000</v>
      </c>
      <c r="X226" s="110" t="s">
        <v>6065</v>
      </c>
      <c r="Y226" s="107">
        <v>6000</v>
      </c>
      <c r="Z226" s="92" t="s">
        <v>5866</v>
      </c>
      <c r="AA226" s="93"/>
      <c r="AB226" s="93"/>
      <c r="AC226" s="93"/>
      <c r="AD226" s="93" t="s">
        <v>6586</v>
      </c>
      <c r="AE226" s="93"/>
      <c r="AF226" s="93"/>
      <c r="AG226" s="93"/>
      <c r="AH226" s="93"/>
      <c r="AI226" s="93"/>
      <c r="AK226" s="262" t="s">
        <v>181</v>
      </c>
      <c r="AL226" s="93"/>
      <c r="AM226" s="93"/>
      <c r="AN226" s="93"/>
      <c r="AO226" s="93"/>
      <c r="AP226" s="93"/>
      <c r="AQ226" s="93"/>
    </row>
    <row r="227" spans="1:43">
      <c r="A227" s="106">
        <v>6</v>
      </c>
      <c r="B227" s="93">
        <v>221</v>
      </c>
      <c r="C227" s="93" t="s">
        <v>5860</v>
      </c>
      <c r="D227" s="93" t="s">
        <v>6587</v>
      </c>
      <c r="E227" s="92" t="s">
        <v>5862</v>
      </c>
      <c r="F227" s="93" t="s">
        <v>6588</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6589</v>
      </c>
      <c r="U227" s="93">
        <v>398</v>
      </c>
      <c r="V227" s="107">
        <v>6350</v>
      </c>
      <c r="W227" s="107">
        <v>6000</v>
      </c>
      <c r="X227" s="110" t="s">
        <v>5928</v>
      </c>
      <c r="Y227" s="107">
        <v>3000</v>
      </c>
      <c r="Z227" s="92" t="s">
        <v>5866</v>
      </c>
      <c r="AA227" s="93"/>
      <c r="AB227" s="93"/>
      <c r="AC227" s="93"/>
      <c r="AD227" s="93" t="s">
        <v>6590</v>
      </c>
      <c r="AE227" s="93"/>
      <c r="AF227" s="93"/>
      <c r="AG227" s="93"/>
      <c r="AH227" s="93"/>
      <c r="AI227" s="93"/>
      <c r="AK227" s="262" t="s">
        <v>181</v>
      </c>
      <c r="AL227" s="93"/>
      <c r="AM227" s="93"/>
      <c r="AN227" s="93"/>
      <c r="AO227" s="93"/>
      <c r="AP227" s="93"/>
      <c r="AQ227" s="93"/>
    </row>
    <row r="228" spans="1:43">
      <c r="A228" s="106">
        <v>6</v>
      </c>
      <c r="B228" s="93">
        <v>222</v>
      </c>
      <c r="C228" s="93" t="s">
        <v>5860</v>
      </c>
      <c r="D228" s="93" t="s">
        <v>6591</v>
      </c>
      <c r="E228" s="92" t="s">
        <v>5862</v>
      </c>
      <c r="F228" s="93" t="s">
        <v>6592</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5908</v>
      </c>
      <c r="U228" s="93">
        <v>398</v>
      </c>
      <c r="V228" s="107">
        <v>17685</v>
      </c>
      <c r="W228" s="107">
        <v>18000</v>
      </c>
      <c r="X228" s="110" t="s">
        <v>6065</v>
      </c>
      <c r="Y228" s="107">
        <v>12000</v>
      </c>
      <c r="Z228" s="92" t="s">
        <v>5866</v>
      </c>
      <c r="AA228" s="93"/>
      <c r="AB228" s="93"/>
      <c r="AC228" s="93"/>
      <c r="AD228" s="93" t="s">
        <v>6593</v>
      </c>
      <c r="AE228" s="93"/>
      <c r="AF228" s="93"/>
      <c r="AG228" s="93"/>
      <c r="AH228" s="93"/>
      <c r="AI228" s="93"/>
      <c r="AK228" s="262" t="s">
        <v>181</v>
      </c>
      <c r="AL228" s="93"/>
      <c r="AM228" s="93"/>
      <c r="AN228" s="93"/>
      <c r="AO228" s="93"/>
      <c r="AP228" s="93"/>
      <c r="AQ228" s="93"/>
    </row>
    <row r="229" spans="1:43">
      <c r="A229" s="106">
        <v>6</v>
      </c>
      <c r="B229" s="93">
        <v>223</v>
      </c>
      <c r="C229" s="93" t="s">
        <v>5860</v>
      </c>
      <c r="D229" s="93" t="s">
        <v>6594</v>
      </c>
      <c r="E229" s="92" t="s">
        <v>5862</v>
      </c>
      <c r="F229" s="93" t="s">
        <v>6595</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5908</v>
      </c>
      <c r="U229" s="93">
        <v>398</v>
      </c>
      <c r="V229" s="107">
        <v>19050</v>
      </c>
      <c r="W229" s="107">
        <v>19000</v>
      </c>
      <c r="X229" s="110" t="s">
        <v>5982</v>
      </c>
      <c r="Y229" s="107">
        <v>9000</v>
      </c>
      <c r="Z229" s="92" t="s">
        <v>5866</v>
      </c>
      <c r="AA229" s="93"/>
      <c r="AB229" s="93"/>
      <c r="AC229" s="93"/>
      <c r="AD229" s="93" t="s">
        <v>6596</v>
      </c>
      <c r="AE229" s="93"/>
      <c r="AF229" s="93"/>
      <c r="AG229" s="93"/>
      <c r="AH229" s="93"/>
      <c r="AI229" s="93"/>
      <c r="AK229" s="262" t="s">
        <v>181</v>
      </c>
      <c r="AL229" s="93"/>
      <c r="AM229" s="93"/>
      <c r="AN229" s="93"/>
      <c r="AO229" s="93"/>
      <c r="AP229" s="93"/>
      <c r="AQ229" s="93"/>
    </row>
    <row r="230" spans="1:43" ht="25.5">
      <c r="A230" s="106">
        <v>6</v>
      </c>
      <c r="B230" s="93">
        <v>224</v>
      </c>
      <c r="C230" s="93" t="s">
        <v>5860</v>
      </c>
      <c r="D230" s="93" t="s">
        <v>6597</v>
      </c>
      <c r="E230" s="92" t="s">
        <v>5862</v>
      </c>
      <c r="F230" s="93" t="s">
        <v>6598</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5908</v>
      </c>
      <c r="U230" s="93">
        <v>398</v>
      </c>
      <c r="V230" s="107">
        <v>19113</v>
      </c>
      <c r="W230" s="107">
        <v>19000</v>
      </c>
      <c r="X230" s="110" t="s">
        <v>5892</v>
      </c>
      <c r="Y230" s="107">
        <v>7000</v>
      </c>
      <c r="Z230" s="92" t="s">
        <v>5866</v>
      </c>
      <c r="AA230" s="93"/>
      <c r="AB230" s="93"/>
      <c r="AC230" s="93"/>
      <c r="AD230" s="93" t="s">
        <v>6599</v>
      </c>
      <c r="AE230" s="93"/>
      <c r="AF230" s="93"/>
      <c r="AG230" s="93"/>
      <c r="AH230" s="93"/>
      <c r="AI230" s="93"/>
      <c r="AK230" s="262" t="s">
        <v>6600</v>
      </c>
      <c r="AL230" s="93"/>
      <c r="AM230" s="93"/>
      <c r="AN230" s="93"/>
      <c r="AO230" s="93"/>
      <c r="AP230" s="93"/>
      <c r="AQ230" s="93"/>
    </row>
    <row r="231" spans="1:43">
      <c r="A231" s="106">
        <v>6</v>
      </c>
      <c r="B231" s="93">
        <v>225</v>
      </c>
      <c r="C231" s="93" t="s">
        <v>5860</v>
      </c>
      <c r="D231" s="93" t="s">
        <v>6601</v>
      </c>
      <c r="E231" s="92" t="s">
        <v>5862</v>
      </c>
      <c r="F231" s="93" t="s">
        <v>6602</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5908</v>
      </c>
      <c r="U231" s="93">
        <v>398</v>
      </c>
      <c r="V231" s="107">
        <v>6477</v>
      </c>
      <c r="W231" s="107">
        <v>6000</v>
      </c>
      <c r="X231" s="110" t="s">
        <v>6603</v>
      </c>
      <c r="Y231" s="107">
        <v>8000</v>
      </c>
      <c r="Z231" s="92" t="s">
        <v>5866</v>
      </c>
      <c r="AA231" s="93"/>
      <c r="AB231" s="93"/>
      <c r="AC231" s="93"/>
      <c r="AD231" s="93" t="s">
        <v>181</v>
      </c>
      <c r="AE231" s="93"/>
      <c r="AF231" s="93"/>
      <c r="AG231" s="93"/>
      <c r="AH231" s="93"/>
      <c r="AI231" s="93"/>
      <c r="AK231" s="262" t="s">
        <v>181</v>
      </c>
      <c r="AL231" s="93"/>
      <c r="AM231" s="93"/>
      <c r="AN231" s="93"/>
      <c r="AO231" s="93"/>
      <c r="AP231" s="93"/>
      <c r="AQ231" s="93"/>
    </row>
    <row r="232" spans="1:43" ht="25.5">
      <c r="A232" s="106">
        <v>6</v>
      </c>
      <c r="B232" s="93">
        <v>226</v>
      </c>
      <c r="C232" s="93" t="s">
        <v>5860</v>
      </c>
      <c r="D232" s="93" t="s">
        <v>6604</v>
      </c>
      <c r="E232" s="92" t="s">
        <v>5862</v>
      </c>
      <c r="F232" s="93" t="s">
        <v>6605</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5864</v>
      </c>
      <c r="U232" s="93">
        <v>401</v>
      </c>
      <c r="V232" s="107">
        <v>28630</v>
      </c>
      <c r="W232" s="107">
        <v>29000</v>
      </c>
      <c r="X232" s="110" t="s">
        <v>5952</v>
      </c>
      <c r="Y232" s="107">
        <v>11000</v>
      </c>
      <c r="Z232" s="92" t="s">
        <v>5866</v>
      </c>
      <c r="AA232" s="93"/>
      <c r="AB232" s="93"/>
      <c r="AC232" s="93"/>
      <c r="AD232" s="93" t="s">
        <v>6606</v>
      </c>
      <c r="AE232" s="93"/>
      <c r="AF232" s="93"/>
      <c r="AG232" s="93"/>
      <c r="AH232" s="93"/>
      <c r="AI232" s="93"/>
      <c r="AK232" s="262" t="s">
        <v>5935</v>
      </c>
      <c r="AL232" s="93"/>
      <c r="AM232" s="93"/>
      <c r="AN232" s="93"/>
      <c r="AO232" s="93"/>
      <c r="AP232" s="93"/>
      <c r="AQ232" s="93"/>
    </row>
    <row r="233" spans="1:43">
      <c r="A233" s="106">
        <v>6</v>
      </c>
      <c r="B233" s="93">
        <v>227</v>
      </c>
      <c r="C233" s="93" t="s">
        <v>5860</v>
      </c>
      <c r="D233" s="93" t="s">
        <v>6607</v>
      </c>
      <c r="E233" s="92" t="s">
        <v>5862</v>
      </c>
      <c r="F233" s="93" t="s">
        <v>6608</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5864</v>
      </c>
      <c r="U233" s="93">
        <v>398</v>
      </c>
      <c r="V233" s="107">
        <v>12700</v>
      </c>
      <c r="W233" s="107">
        <v>13000</v>
      </c>
      <c r="X233" s="110" t="s">
        <v>6609</v>
      </c>
      <c r="Y233" s="107">
        <v>1000</v>
      </c>
      <c r="Z233" s="92" t="s">
        <v>5866</v>
      </c>
      <c r="AA233" s="93"/>
      <c r="AB233" s="93"/>
      <c r="AC233" s="93"/>
      <c r="AD233" s="93" t="s">
        <v>6610</v>
      </c>
      <c r="AE233" s="93"/>
      <c r="AF233" s="93"/>
      <c r="AG233" s="93"/>
      <c r="AH233" s="93"/>
      <c r="AI233" s="93"/>
      <c r="AK233" s="262" t="s">
        <v>181</v>
      </c>
      <c r="AL233" s="93"/>
      <c r="AM233" s="93"/>
      <c r="AN233" s="93"/>
      <c r="AO233" s="93"/>
      <c r="AP233" s="93"/>
      <c r="AQ233" s="93"/>
    </row>
    <row r="234" spans="1:43">
      <c r="A234" s="106">
        <v>6</v>
      </c>
      <c r="B234" s="93">
        <v>228</v>
      </c>
      <c r="C234" s="93" t="s">
        <v>5860</v>
      </c>
      <c r="D234" s="93" t="s">
        <v>6611</v>
      </c>
      <c r="E234" s="92" t="s">
        <v>5862</v>
      </c>
      <c r="F234" s="93" t="s">
        <v>6612</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5908</v>
      </c>
      <c r="U234" s="93">
        <v>398</v>
      </c>
      <c r="V234" s="107">
        <v>6350</v>
      </c>
      <c r="W234" s="107">
        <v>6000</v>
      </c>
      <c r="X234" s="110" t="s">
        <v>5878</v>
      </c>
      <c r="Y234" s="107">
        <v>3000</v>
      </c>
      <c r="Z234" s="92" t="s">
        <v>5866</v>
      </c>
      <c r="AA234" s="93"/>
      <c r="AB234" s="93"/>
      <c r="AC234" s="93"/>
      <c r="AD234" s="93" t="s">
        <v>6613</v>
      </c>
      <c r="AE234" s="93"/>
      <c r="AF234" s="93"/>
      <c r="AG234" s="93"/>
      <c r="AH234" s="93"/>
      <c r="AI234" s="93"/>
      <c r="AK234" s="262" t="s">
        <v>5893</v>
      </c>
      <c r="AL234" s="93"/>
      <c r="AM234" s="93"/>
      <c r="AN234" s="93"/>
      <c r="AO234" s="93"/>
      <c r="AP234" s="93"/>
      <c r="AQ234" s="93"/>
    </row>
    <row r="235" spans="1:43">
      <c r="A235" s="106">
        <v>6</v>
      </c>
      <c r="B235" s="93">
        <v>229</v>
      </c>
      <c r="C235" s="93" t="s">
        <v>5860</v>
      </c>
      <c r="D235" s="93" t="s">
        <v>6614</v>
      </c>
      <c r="E235" s="92" t="s">
        <v>5862</v>
      </c>
      <c r="F235" s="93" t="s">
        <v>6615</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5908</v>
      </c>
      <c r="U235" s="93">
        <v>398</v>
      </c>
      <c r="V235" s="107">
        <v>19050</v>
      </c>
      <c r="W235" s="107">
        <v>19000</v>
      </c>
      <c r="X235" s="110" t="s">
        <v>6616</v>
      </c>
      <c r="Y235" s="107">
        <v>3000</v>
      </c>
      <c r="Z235" s="92" t="s">
        <v>5866</v>
      </c>
      <c r="AA235" s="93"/>
      <c r="AB235" s="93"/>
      <c r="AC235" s="93"/>
      <c r="AD235" s="93" t="s">
        <v>6617</v>
      </c>
      <c r="AE235" s="93"/>
      <c r="AF235" s="93"/>
      <c r="AG235" s="93"/>
      <c r="AH235" s="93"/>
      <c r="AI235" s="93"/>
      <c r="AK235" s="262" t="s">
        <v>181</v>
      </c>
      <c r="AL235" s="93"/>
      <c r="AM235" s="93"/>
      <c r="AN235" s="93"/>
      <c r="AO235" s="93"/>
      <c r="AP235" s="93"/>
      <c r="AQ235" s="93"/>
    </row>
    <row r="236" spans="1:43">
      <c r="A236" s="106">
        <v>6</v>
      </c>
      <c r="B236" s="93">
        <v>230</v>
      </c>
      <c r="C236" s="93" t="s">
        <v>5860</v>
      </c>
      <c r="D236" s="93" t="s">
        <v>6618</v>
      </c>
      <c r="E236" s="92" t="s">
        <v>5862</v>
      </c>
      <c r="F236" s="93" t="s">
        <v>6619</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5864</v>
      </c>
      <c r="U236" s="93">
        <v>397</v>
      </c>
      <c r="V236" s="107">
        <v>22600</v>
      </c>
      <c r="W236" s="107">
        <v>23000</v>
      </c>
      <c r="X236" s="110" t="s">
        <v>5928</v>
      </c>
      <c r="Y236" s="107">
        <v>10000</v>
      </c>
      <c r="Z236" s="92" t="s">
        <v>5866</v>
      </c>
      <c r="AA236" s="93"/>
      <c r="AB236" s="93"/>
      <c r="AC236" s="93"/>
      <c r="AD236" s="93" t="s">
        <v>181</v>
      </c>
      <c r="AE236" s="93"/>
      <c r="AF236" s="93"/>
      <c r="AG236" s="93"/>
      <c r="AH236" s="93"/>
      <c r="AI236" s="93"/>
      <c r="AK236" s="262" t="s">
        <v>5893</v>
      </c>
      <c r="AL236" s="93"/>
      <c r="AM236" s="93"/>
      <c r="AN236" s="93"/>
      <c r="AO236" s="93"/>
      <c r="AP236" s="93"/>
      <c r="AQ236" s="93"/>
    </row>
    <row r="237" spans="1:43">
      <c r="A237" s="106">
        <v>6</v>
      </c>
      <c r="B237" s="93">
        <v>231</v>
      </c>
      <c r="C237" s="93" t="s">
        <v>5860</v>
      </c>
      <c r="D237" s="93" t="s">
        <v>6620</v>
      </c>
      <c r="E237" s="92" t="s">
        <v>5862</v>
      </c>
      <c r="F237" s="93" t="s">
        <v>6621</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6127</v>
      </c>
      <c r="U237" s="93">
        <v>398</v>
      </c>
      <c r="V237" s="107">
        <v>10300</v>
      </c>
      <c r="W237" s="107">
        <v>10000</v>
      </c>
      <c r="X237" s="110" t="s">
        <v>6182</v>
      </c>
      <c r="Y237" s="107">
        <v>6000</v>
      </c>
      <c r="Z237" s="92" t="s">
        <v>5866</v>
      </c>
      <c r="AA237" s="93"/>
      <c r="AB237" s="93"/>
      <c r="AC237" s="93"/>
      <c r="AD237" s="93" t="s">
        <v>6622</v>
      </c>
      <c r="AE237" s="93"/>
      <c r="AF237" s="93"/>
      <c r="AG237" s="93"/>
      <c r="AH237" s="93"/>
      <c r="AI237" s="93"/>
      <c r="AK237" s="262" t="s">
        <v>181</v>
      </c>
      <c r="AL237" s="93"/>
      <c r="AM237" s="93"/>
      <c r="AN237" s="93"/>
      <c r="AO237" s="93"/>
      <c r="AP237" s="93"/>
      <c r="AQ237" s="93"/>
    </row>
    <row r="238" spans="1:43">
      <c r="A238" s="106">
        <v>6</v>
      </c>
      <c r="B238" s="93">
        <v>232</v>
      </c>
      <c r="C238" s="93" t="s">
        <v>5860</v>
      </c>
      <c r="D238" s="93" t="s">
        <v>6623</v>
      </c>
      <c r="E238" s="92" t="s">
        <v>5862</v>
      </c>
      <c r="F238" s="93" t="s">
        <v>6624</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6200</v>
      </c>
      <c r="U238" s="93">
        <v>398</v>
      </c>
      <c r="V238" s="107">
        <v>14300</v>
      </c>
      <c r="W238" s="107">
        <v>14000</v>
      </c>
      <c r="X238" s="110" t="s">
        <v>5896</v>
      </c>
      <c r="Y238" s="107">
        <v>9000</v>
      </c>
      <c r="Z238" s="92" t="s">
        <v>5866</v>
      </c>
      <c r="AA238" s="93"/>
      <c r="AB238" s="93"/>
      <c r="AC238" s="93"/>
      <c r="AD238" s="93" t="s">
        <v>6625</v>
      </c>
      <c r="AE238" s="93"/>
      <c r="AF238" s="93"/>
      <c r="AG238" s="93"/>
      <c r="AH238" s="93"/>
      <c r="AI238" s="93"/>
      <c r="AK238" s="262" t="s">
        <v>5889</v>
      </c>
      <c r="AL238" s="93"/>
      <c r="AM238" s="93"/>
      <c r="AN238" s="93"/>
      <c r="AO238" s="93"/>
      <c r="AP238" s="93"/>
      <c r="AQ238" s="93"/>
    </row>
    <row r="239" spans="1:43">
      <c r="A239" s="106">
        <v>6</v>
      </c>
      <c r="B239" s="93">
        <v>233</v>
      </c>
      <c r="C239" s="93" t="s">
        <v>5860</v>
      </c>
      <c r="D239" s="93" t="s">
        <v>6626</v>
      </c>
      <c r="E239" s="92" t="s">
        <v>5862</v>
      </c>
      <c r="F239" s="93" t="s">
        <v>6627</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5908</v>
      </c>
      <c r="U239" s="93">
        <v>398</v>
      </c>
      <c r="V239" s="107">
        <v>12229</v>
      </c>
      <c r="W239" s="107">
        <v>12000</v>
      </c>
      <c r="X239" s="110" t="s">
        <v>6271</v>
      </c>
      <c r="Y239" s="107">
        <v>11000</v>
      </c>
      <c r="Z239" s="92" t="s">
        <v>5924</v>
      </c>
      <c r="AA239" s="93"/>
      <c r="AB239" s="93"/>
      <c r="AC239" s="93"/>
      <c r="AD239" s="93" t="s">
        <v>6628</v>
      </c>
      <c r="AE239" s="93"/>
      <c r="AF239" s="93"/>
      <c r="AG239" s="93"/>
      <c r="AH239" s="93"/>
      <c r="AI239" s="93"/>
      <c r="AK239" s="262" t="s">
        <v>5889</v>
      </c>
      <c r="AL239" s="93"/>
      <c r="AM239" s="93"/>
      <c r="AN239" s="93"/>
      <c r="AO239" s="93"/>
      <c r="AP239" s="93"/>
      <c r="AQ239" s="93"/>
    </row>
    <row r="240" spans="1:43">
      <c r="A240" s="106">
        <v>6</v>
      </c>
      <c r="B240" s="93">
        <v>234</v>
      </c>
      <c r="C240" s="93" t="s">
        <v>5860</v>
      </c>
      <c r="D240" s="93" t="s">
        <v>6629</v>
      </c>
      <c r="E240" s="92" t="s">
        <v>5862</v>
      </c>
      <c r="F240" s="93" t="s">
        <v>6630</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5908</v>
      </c>
      <c r="U240" s="93">
        <v>398</v>
      </c>
      <c r="V240" s="107">
        <v>6250</v>
      </c>
      <c r="W240" s="107">
        <v>6000</v>
      </c>
      <c r="X240" s="110" t="s">
        <v>5938</v>
      </c>
      <c r="Y240" s="107">
        <v>4000</v>
      </c>
      <c r="Z240" s="92" t="s">
        <v>5866</v>
      </c>
      <c r="AA240" s="93"/>
      <c r="AB240" s="93"/>
      <c r="AC240" s="93"/>
      <c r="AD240" s="93" t="s">
        <v>6631</v>
      </c>
      <c r="AE240" s="93"/>
      <c r="AF240" s="93"/>
      <c r="AG240" s="93"/>
      <c r="AH240" s="93"/>
      <c r="AI240" s="93"/>
      <c r="AK240" s="262" t="s">
        <v>6550</v>
      </c>
      <c r="AL240" s="93"/>
      <c r="AM240" s="93"/>
      <c r="AN240" s="93"/>
      <c r="AO240" s="93"/>
      <c r="AP240" s="93"/>
      <c r="AQ240" s="93"/>
    </row>
    <row r="241" spans="1:43">
      <c r="A241" s="106">
        <v>6</v>
      </c>
      <c r="B241" s="93">
        <v>235</v>
      </c>
      <c r="C241" s="93" t="s">
        <v>5860</v>
      </c>
      <c r="D241" s="93" t="s">
        <v>6632</v>
      </c>
      <c r="E241" s="92" t="s">
        <v>5862</v>
      </c>
      <c r="F241" s="93" t="s">
        <v>6633</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6127</v>
      </c>
      <c r="U241" s="93">
        <v>398</v>
      </c>
      <c r="V241" s="107">
        <v>6250</v>
      </c>
      <c r="W241" s="107">
        <v>6000</v>
      </c>
      <c r="X241" s="110" t="s">
        <v>5871</v>
      </c>
      <c r="Y241" s="107">
        <v>2000</v>
      </c>
      <c r="Z241" s="92" t="s">
        <v>5866</v>
      </c>
      <c r="AA241" s="93"/>
      <c r="AB241" s="93"/>
      <c r="AC241" s="93"/>
      <c r="AD241" s="93" t="s">
        <v>6634</v>
      </c>
      <c r="AE241" s="93"/>
      <c r="AF241" s="93"/>
      <c r="AG241" s="93"/>
      <c r="AH241" s="93"/>
      <c r="AI241" s="93"/>
      <c r="AK241" s="262" t="s">
        <v>5893</v>
      </c>
      <c r="AL241" s="93"/>
      <c r="AM241" s="93"/>
      <c r="AN241" s="93"/>
      <c r="AO241" s="93"/>
      <c r="AP241" s="93"/>
      <c r="AQ241" s="93"/>
    </row>
    <row r="242" spans="1:43">
      <c r="A242" s="106">
        <v>6</v>
      </c>
      <c r="B242" s="93">
        <v>236</v>
      </c>
      <c r="C242" s="93" t="s">
        <v>5860</v>
      </c>
      <c r="D242" s="93" t="s">
        <v>6635</v>
      </c>
      <c r="E242" s="92" t="s">
        <v>5862</v>
      </c>
      <c r="F242" s="93" t="s">
        <v>6636</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5908</v>
      </c>
      <c r="U242" s="93">
        <v>398</v>
      </c>
      <c r="V242" s="107">
        <v>9375</v>
      </c>
      <c r="W242" s="107">
        <v>9000</v>
      </c>
      <c r="X242" s="110" t="s">
        <v>6182</v>
      </c>
      <c r="Y242" s="107">
        <v>6000</v>
      </c>
      <c r="Z242" s="92" t="s">
        <v>5866</v>
      </c>
      <c r="AA242" s="93"/>
      <c r="AB242" s="93"/>
      <c r="AC242" s="93"/>
      <c r="AD242" s="93" t="s">
        <v>181</v>
      </c>
      <c r="AE242" s="93"/>
      <c r="AF242" s="93"/>
      <c r="AG242" s="93"/>
      <c r="AH242" s="93"/>
      <c r="AI242" s="93"/>
      <c r="AK242" s="262" t="s">
        <v>181</v>
      </c>
      <c r="AL242" s="93"/>
      <c r="AM242" s="93"/>
      <c r="AN242" s="93"/>
      <c r="AO242" s="93"/>
      <c r="AP242" s="93"/>
      <c r="AQ242" s="93"/>
    </row>
    <row r="243" spans="1:43" ht="25.5">
      <c r="A243" s="106">
        <v>6</v>
      </c>
      <c r="B243" s="93">
        <v>237</v>
      </c>
      <c r="C243" s="93" t="s">
        <v>5860</v>
      </c>
      <c r="D243" s="93" t="s">
        <v>6637</v>
      </c>
      <c r="E243" s="92" t="s">
        <v>5862</v>
      </c>
      <c r="F243" s="93" t="s">
        <v>6638</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5870</v>
      </c>
      <c r="U243" s="93">
        <v>398</v>
      </c>
      <c r="V243" s="107">
        <v>14600</v>
      </c>
      <c r="W243" s="107">
        <v>15000</v>
      </c>
      <c r="X243" s="110" t="s">
        <v>5938</v>
      </c>
      <c r="Y243" s="107">
        <v>11000</v>
      </c>
      <c r="Z243" s="92" t="s">
        <v>5866</v>
      </c>
      <c r="AA243" s="93"/>
      <c r="AB243" s="93"/>
      <c r="AC243" s="93"/>
      <c r="AD243" s="93" t="s">
        <v>181</v>
      </c>
      <c r="AE243" s="93"/>
      <c r="AF243" s="93"/>
      <c r="AG243" s="93"/>
      <c r="AH243" s="93"/>
      <c r="AI243" s="93"/>
      <c r="AK243" s="262" t="s">
        <v>6157</v>
      </c>
      <c r="AL243" s="93"/>
      <c r="AM243" s="93"/>
      <c r="AN243" s="93"/>
      <c r="AO243" s="93"/>
      <c r="AP243" s="93"/>
      <c r="AQ243" s="93"/>
    </row>
    <row r="244" spans="1:43" ht="25.5">
      <c r="A244" s="106">
        <v>6</v>
      </c>
      <c r="B244" s="93">
        <v>238</v>
      </c>
      <c r="C244" s="93" t="s">
        <v>5860</v>
      </c>
      <c r="D244" s="93" t="s">
        <v>6639</v>
      </c>
      <c r="E244" s="92" t="s">
        <v>5862</v>
      </c>
      <c r="F244" s="93" t="s">
        <v>6640</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5908</v>
      </c>
      <c r="U244" s="93">
        <v>398</v>
      </c>
      <c r="V244" s="107">
        <v>12500</v>
      </c>
      <c r="W244" s="107">
        <v>13000</v>
      </c>
      <c r="X244" s="110" t="s">
        <v>5874</v>
      </c>
      <c r="Y244" s="107">
        <v>5000</v>
      </c>
      <c r="Z244" s="92" t="s">
        <v>5866</v>
      </c>
      <c r="AA244" s="93"/>
      <c r="AB244" s="93"/>
      <c r="AC244" s="93"/>
      <c r="AD244" s="93" t="s">
        <v>181</v>
      </c>
      <c r="AE244" s="93"/>
      <c r="AF244" s="93"/>
      <c r="AG244" s="93"/>
      <c r="AH244" s="93"/>
      <c r="AI244" s="93"/>
      <c r="AK244" s="262" t="s">
        <v>6641</v>
      </c>
      <c r="AL244" s="93"/>
      <c r="AM244" s="93"/>
      <c r="AN244" s="93"/>
      <c r="AO244" s="93"/>
      <c r="AP244" s="93"/>
      <c r="AQ244" s="93"/>
    </row>
    <row r="245" spans="1:43" ht="25.5">
      <c r="A245" s="106">
        <v>6</v>
      </c>
      <c r="B245" s="93">
        <v>239</v>
      </c>
      <c r="C245" s="93" t="s">
        <v>5860</v>
      </c>
      <c r="D245" s="93" t="s">
        <v>6642</v>
      </c>
      <c r="E245" s="92" t="s">
        <v>5862</v>
      </c>
      <c r="F245" s="93" t="s">
        <v>6643</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5870</v>
      </c>
      <c r="U245" s="93">
        <v>398</v>
      </c>
      <c r="V245" s="107">
        <v>35250</v>
      </c>
      <c r="W245" s="107">
        <v>35000</v>
      </c>
      <c r="X245" s="110" t="s">
        <v>5903</v>
      </c>
      <c r="Y245" s="107">
        <v>19000</v>
      </c>
      <c r="Z245" s="92" t="s">
        <v>5866</v>
      </c>
      <c r="AA245" s="93"/>
      <c r="AB245" s="93"/>
      <c r="AC245" s="93"/>
      <c r="AD245" s="93" t="s">
        <v>5879</v>
      </c>
      <c r="AE245" s="93"/>
      <c r="AF245" s="93"/>
      <c r="AG245" s="93"/>
      <c r="AH245" s="93"/>
      <c r="AI245" s="93"/>
      <c r="AK245" s="262" t="s">
        <v>6644</v>
      </c>
      <c r="AL245" s="93"/>
      <c r="AM245" s="93"/>
      <c r="AN245" s="93"/>
      <c r="AO245" s="93"/>
      <c r="AP245" s="93"/>
      <c r="AQ245" s="93"/>
    </row>
    <row r="246" spans="1:43">
      <c r="A246" s="106">
        <v>6</v>
      </c>
      <c r="B246" s="93">
        <v>240</v>
      </c>
      <c r="C246" s="93" t="s">
        <v>5860</v>
      </c>
      <c r="D246" s="93" t="s">
        <v>6645</v>
      </c>
      <c r="E246" s="92" t="s">
        <v>5862</v>
      </c>
      <c r="F246" s="93" t="s">
        <v>6646</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5908</v>
      </c>
      <c r="U246" s="93">
        <v>398</v>
      </c>
      <c r="V246" s="107">
        <v>22750</v>
      </c>
      <c r="W246" s="107">
        <v>23000</v>
      </c>
      <c r="X246" s="110" t="s">
        <v>5899</v>
      </c>
      <c r="Y246" s="107">
        <v>4000</v>
      </c>
      <c r="Z246" s="92" t="s">
        <v>5866</v>
      </c>
      <c r="AA246" s="93"/>
      <c r="AB246" s="93"/>
      <c r="AC246" s="93"/>
      <c r="AD246" s="93" t="s">
        <v>5904</v>
      </c>
      <c r="AE246" s="93"/>
      <c r="AF246" s="93"/>
      <c r="AG246" s="93"/>
      <c r="AH246" s="93"/>
      <c r="AI246" s="93"/>
      <c r="AK246" s="262" t="s">
        <v>5893</v>
      </c>
      <c r="AL246" s="93"/>
      <c r="AM246" s="93"/>
      <c r="AN246" s="93"/>
      <c r="AO246" s="93"/>
      <c r="AP246" s="93"/>
      <c r="AQ246" s="93"/>
    </row>
    <row r="247" spans="1:43">
      <c r="A247" s="106">
        <v>6</v>
      </c>
      <c r="B247" s="93">
        <v>241</v>
      </c>
      <c r="C247" s="93" t="s">
        <v>5860</v>
      </c>
      <c r="D247" s="93" t="s">
        <v>6647</v>
      </c>
      <c r="E247" s="92" t="s">
        <v>5862</v>
      </c>
      <c r="F247" s="93" t="s">
        <v>6648</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5908</v>
      </c>
      <c r="U247" s="93">
        <v>398</v>
      </c>
      <c r="V247" s="107">
        <v>9370</v>
      </c>
      <c r="W247" s="107">
        <v>9000</v>
      </c>
      <c r="X247" s="110" t="s">
        <v>5933</v>
      </c>
      <c r="Y247" s="107">
        <v>2000</v>
      </c>
      <c r="Z247" s="92" t="s">
        <v>5866</v>
      </c>
      <c r="AA247" s="93"/>
      <c r="AB247" s="93"/>
      <c r="AC247" s="93"/>
      <c r="AD247" s="93" t="s">
        <v>181</v>
      </c>
      <c r="AE247" s="93"/>
      <c r="AF247" s="93"/>
      <c r="AG247" s="93"/>
      <c r="AH247" s="93"/>
      <c r="AI247" s="93"/>
      <c r="AK247" s="262" t="s">
        <v>181</v>
      </c>
      <c r="AL247" s="93"/>
      <c r="AM247" s="93"/>
      <c r="AN247" s="93"/>
      <c r="AO247" s="93"/>
      <c r="AP247" s="93"/>
      <c r="AQ247" s="93"/>
    </row>
    <row r="248" spans="1:43">
      <c r="A248" s="106">
        <v>6</v>
      </c>
      <c r="B248" s="93">
        <v>242</v>
      </c>
      <c r="C248" s="93" t="s">
        <v>5860</v>
      </c>
      <c r="D248" s="93" t="s">
        <v>6649</v>
      </c>
      <c r="E248" s="92" t="s">
        <v>5862</v>
      </c>
      <c r="F248" s="93" t="s">
        <v>6650</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5908</v>
      </c>
      <c r="U248" s="93">
        <v>401</v>
      </c>
      <c r="V248" s="107">
        <v>10000</v>
      </c>
      <c r="W248" s="107">
        <v>10000</v>
      </c>
      <c r="X248" s="110" t="s">
        <v>6065</v>
      </c>
      <c r="Y248" s="107">
        <v>7000</v>
      </c>
      <c r="Z248" s="92" t="s">
        <v>5866</v>
      </c>
      <c r="AA248" s="93"/>
      <c r="AB248" s="93"/>
      <c r="AC248" s="93"/>
      <c r="AD248" s="93" t="s">
        <v>6651</v>
      </c>
      <c r="AE248" s="93"/>
      <c r="AF248" s="93"/>
      <c r="AG248" s="93"/>
      <c r="AH248" s="93"/>
      <c r="AI248" s="93"/>
      <c r="AK248" s="262" t="s">
        <v>5889</v>
      </c>
      <c r="AL248" s="93"/>
      <c r="AM248" s="93"/>
      <c r="AN248" s="93"/>
      <c r="AO248" s="93"/>
      <c r="AP248" s="93"/>
      <c r="AQ248" s="93"/>
    </row>
    <row r="249" spans="1:43">
      <c r="A249" s="106">
        <v>6</v>
      </c>
      <c r="B249" s="93">
        <v>243</v>
      </c>
      <c r="C249" s="93" t="s">
        <v>5860</v>
      </c>
      <c r="D249" s="93" t="s">
        <v>6652</v>
      </c>
      <c r="E249" s="92" t="s">
        <v>5862</v>
      </c>
      <c r="F249" s="93" t="s">
        <v>6653</v>
      </c>
      <c r="G249" s="93">
        <v>44.1</v>
      </c>
      <c r="H249" s="93">
        <v>9506</v>
      </c>
      <c r="I249" s="92">
        <v>3</v>
      </c>
      <c r="J249" s="107">
        <v>38802</v>
      </c>
      <c r="K249" s="105">
        <v>3.92</v>
      </c>
      <c r="L249" s="108">
        <v>0</v>
      </c>
      <c r="M249" s="97">
        <v>0</v>
      </c>
      <c r="N249" s="93">
        <v>1983</v>
      </c>
      <c r="O249" s="93">
        <v>7359</v>
      </c>
      <c r="P249" s="93">
        <v>0</v>
      </c>
      <c r="Q249" s="93">
        <v>20</v>
      </c>
      <c r="R249" s="93">
        <v>1</v>
      </c>
      <c r="S249" s="93">
        <v>1</v>
      </c>
      <c r="T249" s="92" t="s">
        <v>6654</v>
      </c>
      <c r="U249" s="93">
        <v>398</v>
      </c>
      <c r="V249" s="107">
        <v>17600</v>
      </c>
      <c r="W249" s="107">
        <v>18000</v>
      </c>
      <c r="X249" s="110" t="s">
        <v>6398</v>
      </c>
      <c r="Y249" s="107">
        <v>39000</v>
      </c>
      <c r="Z249" s="92" t="s">
        <v>5866</v>
      </c>
      <c r="AA249" s="93"/>
      <c r="AB249" s="93"/>
      <c r="AC249" s="93"/>
      <c r="AD249" s="93" t="s">
        <v>6655</v>
      </c>
      <c r="AE249" s="93"/>
      <c r="AF249" s="93"/>
      <c r="AG249" s="93"/>
      <c r="AH249" s="93"/>
      <c r="AI249" s="93"/>
      <c r="AK249" s="262" t="s">
        <v>5889</v>
      </c>
      <c r="AL249" s="93"/>
      <c r="AM249" s="93"/>
      <c r="AN249" s="93"/>
      <c r="AO249" s="93"/>
      <c r="AP249" s="93"/>
      <c r="AQ249" s="93"/>
    </row>
    <row r="250" spans="1:43">
      <c r="A250" s="106">
        <v>6</v>
      </c>
      <c r="B250" s="93">
        <v>244</v>
      </c>
      <c r="C250" s="93" t="s">
        <v>5860</v>
      </c>
      <c r="D250" s="93" t="s">
        <v>6656</v>
      </c>
      <c r="E250" s="92" t="s">
        <v>5862</v>
      </c>
      <c r="F250" s="93" t="s">
        <v>6657</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5908</v>
      </c>
      <c r="U250" s="93">
        <v>398</v>
      </c>
      <c r="V250" s="107">
        <v>7620</v>
      </c>
      <c r="W250" s="107">
        <v>8000</v>
      </c>
      <c r="X250" s="110" t="s">
        <v>6065</v>
      </c>
      <c r="Y250" s="107">
        <v>5000</v>
      </c>
      <c r="Z250" s="92" t="s">
        <v>5866</v>
      </c>
      <c r="AA250" s="93"/>
      <c r="AB250" s="93"/>
      <c r="AC250" s="93"/>
      <c r="AD250" s="93" t="s">
        <v>181</v>
      </c>
      <c r="AE250" s="93"/>
      <c r="AF250" s="93"/>
      <c r="AG250" s="93"/>
      <c r="AH250" s="93"/>
      <c r="AI250" s="93"/>
      <c r="AK250" s="262" t="s">
        <v>6658</v>
      </c>
      <c r="AL250" s="93"/>
      <c r="AM250" s="93"/>
      <c r="AN250" s="93"/>
      <c r="AO250" s="93"/>
      <c r="AP250" s="93"/>
      <c r="AQ250" s="93"/>
    </row>
    <row r="251" spans="1:43">
      <c r="A251" s="106">
        <v>6</v>
      </c>
      <c r="B251" s="93">
        <v>245</v>
      </c>
      <c r="C251" s="93" t="s">
        <v>5860</v>
      </c>
      <c r="D251" s="93" t="s">
        <v>6659</v>
      </c>
      <c r="E251" s="92" t="s">
        <v>5862</v>
      </c>
      <c r="F251" s="93" t="s">
        <v>6660</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5870</v>
      </c>
      <c r="U251" s="93">
        <v>398</v>
      </c>
      <c r="V251" s="107">
        <v>9834</v>
      </c>
      <c r="W251" s="107">
        <v>10000</v>
      </c>
      <c r="X251" s="110" t="s">
        <v>5920</v>
      </c>
      <c r="Y251" s="107">
        <v>4000</v>
      </c>
      <c r="Z251" s="92" t="s">
        <v>5866</v>
      </c>
      <c r="AA251" s="93"/>
      <c r="AB251" s="93"/>
      <c r="AC251" s="93"/>
      <c r="AD251" s="93" t="s">
        <v>6661</v>
      </c>
      <c r="AE251" s="93"/>
      <c r="AF251" s="93"/>
      <c r="AG251" s="93"/>
      <c r="AH251" s="93"/>
      <c r="AI251" s="93"/>
      <c r="AK251" s="262" t="s">
        <v>181</v>
      </c>
      <c r="AL251" s="93"/>
      <c r="AM251" s="93"/>
      <c r="AN251" s="93"/>
      <c r="AO251" s="93"/>
      <c r="AP251" s="93"/>
      <c r="AQ251" s="93"/>
    </row>
    <row r="252" spans="1:43">
      <c r="A252" s="106">
        <v>6</v>
      </c>
      <c r="B252" s="93">
        <v>246</v>
      </c>
      <c r="C252" s="93" t="s">
        <v>5860</v>
      </c>
      <c r="D252" s="93" t="s">
        <v>6662</v>
      </c>
      <c r="E252" s="92" t="s">
        <v>5862</v>
      </c>
      <c r="F252" s="93" t="s">
        <v>6663</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5908</v>
      </c>
      <c r="U252" s="93">
        <v>398</v>
      </c>
      <c r="V252" s="107">
        <v>10950</v>
      </c>
      <c r="W252" s="107">
        <v>11000</v>
      </c>
      <c r="X252" s="110" t="s">
        <v>5878</v>
      </c>
      <c r="Y252" s="107">
        <v>5000</v>
      </c>
      <c r="Z252" s="92" t="s">
        <v>5866</v>
      </c>
      <c r="AA252" s="93"/>
      <c r="AB252" s="93"/>
      <c r="AC252" s="93"/>
      <c r="AD252" s="93" t="s">
        <v>6427</v>
      </c>
      <c r="AE252" s="93"/>
      <c r="AF252" s="93"/>
      <c r="AG252" s="93"/>
      <c r="AH252" s="93"/>
      <c r="AI252" s="93"/>
      <c r="AK252" s="262" t="s">
        <v>181</v>
      </c>
      <c r="AL252" s="93"/>
      <c r="AM252" s="93"/>
      <c r="AN252" s="93"/>
      <c r="AO252" s="93"/>
      <c r="AP252" s="93"/>
      <c r="AQ252" s="93"/>
    </row>
    <row r="253" spans="1:43">
      <c r="A253" s="106">
        <v>6</v>
      </c>
      <c r="B253" s="93">
        <v>247</v>
      </c>
      <c r="C253" s="93" t="s">
        <v>5860</v>
      </c>
      <c r="D253" s="93" t="s">
        <v>6664</v>
      </c>
      <c r="E253" s="92" t="s">
        <v>5862</v>
      </c>
      <c r="F253" s="93" t="s">
        <v>6665</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5908</v>
      </c>
      <c r="U253" s="93">
        <v>398</v>
      </c>
      <c r="V253" s="107">
        <v>12500</v>
      </c>
      <c r="W253" s="107">
        <v>13000</v>
      </c>
      <c r="X253" s="110" t="s">
        <v>6091</v>
      </c>
      <c r="Y253" s="107">
        <v>7000</v>
      </c>
      <c r="Z253" s="92" t="s">
        <v>5866</v>
      </c>
      <c r="AA253" s="93"/>
      <c r="AB253" s="93"/>
      <c r="AC253" s="93"/>
      <c r="AD253" s="93" t="s">
        <v>181</v>
      </c>
      <c r="AE253" s="93"/>
      <c r="AF253" s="93"/>
      <c r="AG253" s="93"/>
      <c r="AH253" s="93"/>
      <c r="AI253" s="93"/>
      <c r="AK253" s="262" t="s">
        <v>6550</v>
      </c>
      <c r="AL253" s="93"/>
      <c r="AM253" s="93"/>
      <c r="AN253" s="93"/>
      <c r="AO253" s="93"/>
      <c r="AP253" s="93"/>
      <c r="AQ253" s="93"/>
    </row>
    <row r="254" spans="1:43">
      <c r="A254" s="106">
        <v>6</v>
      </c>
      <c r="B254" s="93">
        <v>248</v>
      </c>
      <c r="C254" s="93" t="s">
        <v>5860</v>
      </c>
      <c r="D254" s="93" t="s">
        <v>6666</v>
      </c>
      <c r="E254" s="92" t="s">
        <v>5862</v>
      </c>
      <c r="F254" s="93" t="s">
        <v>6667</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6200</v>
      </c>
      <c r="U254" s="93">
        <v>398</v>
      </c>
      <c r="V254" s="107">
        <v>15624</v>
      </c>
      <c r="W254" s="107">
        <v>16000</v>
      </c>
      <c r="X254" s="110" t="s">
        <v>6249</v>
      </c>
      <c r="Y254" s="107">
        <v>16000</v>
      </c>
      <c r="Z254" s="92" t="s">
        <v>5866</v>
      </c>
      <c r="AA254" s="93"/>
      <c r="AB254" s="93"/>
      <c r="AC254" s="93"/>
      <c r="AD254" s="93" t="s">
        <v>181</v>
      </c>
      <c r="AE254" s="93"/>
      <c r="AF254" s="93"/>
      <c r="AG254" s="93"/>
      <c r="AH254" s="93"/>
      <c r="AI254" s="93"/>
      <c r="AK254" s="262" t="s">
        <v>181</v>
      </c>
      <c r="AL254" s="93"/>
      <c r="AM254" s="93"/>
      <c r="AN254" s="93"/>
      <c r="AO254" s="93"/>
      <c r="AP254" s="93"/>
      <c r="AQ254" s="93"/>
    </row>
    <row r="255" spans="1:43">
      <c r="A255" s="106">
        <v>6</v>
      </c>
      <c r="B255" s="93">
        <v>249</v>
      </c>
      <c r="C255" s="93" t="s">
        <v>5860</v>
      </c>
      <c r="D255" s="93" t="s">
        <v>6668</v>
      </c>
      <c r="E255" s="92" t="s">
        <v>5862</v>
      </c>
      <c r="F255" s="93" t="s">
        <v>6669</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5908</v>
      </c>
      <c r="U255" s="93">
        <v>398</v>
      </c>
      <c r="V255" s="107">
        <v>9430</v>
      </c>
      <c r="W255" s="107">
        <v>9000</v>
      </c>
      <c r="X255" s="110" t="s">
        <v>5896</v>
      </c>
      <c r="Y255" s="107">
        <v>6000</v>
      </c>
      <c r="Z255" s="92" t="s">
        <v>5866</v>
      </c>
      <c r="AA255" s="93"/>
      <c r="AB255" s="93"/>
      <c r="AC255" s="93"/>
      <c r="AD255" s="93" t="s">
        <v>181</v>
      </c>
      <c r="AE255" s="93"/>
      <c r="AF255" s="93"/>
      <c r="AG255" s="93"/>
      <c r="AH255" s="93"/>
      <c r="AI255" s="93"/>
      <c r="AK255" s="262" t="s">
        <v>181</v>
      </c>
      <c r="AL255" s="93"/>
      <c r="AM255" s="93"/>
      <c r="AN255" s="93"/>
      <c r="AO255" s="93"/>
      <c r="AP255" s="93"/>
      <c r="AQ255" s="93"/>
    </row>
    <row r="256" spans="1:43">
      <c r="A256" s="106">
        <v>6</v>
      </c>
      <c r="B256" s="93">
        <v>250</v>
      </c>
      <c r="C256" s="93" t="s">
        <v>5860</v>
      </c>
      <c r="D256" s="93" t="s">
        <v>6670</v>
      </c>
      <c r="E256" s="92" t="s">
        <v>5862</v>
      </c>
      <c r="F256" s="93" t="s">
        <v>6671</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5908</v>
      </c>
      <c r="U256" s="93">
        <v>397</v>
      </c>
      <c r="V256" s="107">
        <v>9370</v>
      </c>
      <c r="W256" s="107">
        <v>9000</v>
      </c>
      <c r="X256" s="110" t="s">
        <v>5896</v>
      </c>
      <c r="Y256" s="107">
        <v>6000</v>
      </c>
      <c r="Z256" s="92" t="s">
        <v>5866</v>
      </c>
      <c r="AA256" s="93"/>
      <c r="AB256" s="93"/>
      <c r="AC256" s="93"/>
      <c r="AD256" s="93" t="s">
        <v>6672</v>
      </c>
      <c r="AE256" s="93"/>
      <c r="AF256" s="93"/>
      <c r="AG256" s="93"/>
      <c r="AH256" s="93"/>
      <c r="AI256" s="93"/>
      <c r="AK256" s="262" t="s">
        <v>181</v>
      </c>
      <c r="AL256" s="93"/>
      <c r="AM256" s="93"/>
      <c r="AN256" s="93"/>
      <c r="AO256" s="93"/>
      <c r="AP256" s="93"/>
      <c r="AQ256" s="93"/>
    </row>
    <row r="257" spans="1:43">
      <c r="A257" s="106">
        <v>6</v>
      </c>
      <c r="B257" s="93">
        <v>251</v>
      </c>
      <c r="C257" s="93" t="s">
        <v>5860</v>
      </c>
      <c r="D257" s="93" t="s">
        <v>6673</v>
      </c>
      <c r="E257" s="92" t="s">
        <v>5862</v>
      </c>
      <c r="F257" s="93" t="s">
        <v>6674</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6548</v>
      </c>
      <c r="U257" s="93">
        <v>398</v>
      </c>
      <c r="V257" s="107">
        <v>3125</v>
      </c>
      <c r="W257" s="107">
        <v>3000</v>
      </c>
      <c r="X257" s="110" t="s">
        <v>5896</v>
      </c>
      <c r="Y257" s="107">
        <v>2000</v>
      </c>
      <c r="Z257" s="92" t="s">
        <v>5866</v>
      </c>
      <c r="AA257" s="93"/>
      <c r="AB257" s="93"/>
      <c r="AC257" s="93"/>
      <c r="AD257" s="93" t="s">
        <v>6675</v>
      </c>
      <c r="AE257" s="93"/>
      <c r="AF257" s="93"/>
      <c r="AG257" s="93"/>
      <c r="AH257" s="93"/>
      <c r="AI257" s="93"/>
      <c r="AK257" s="262" t="s">
        <v>181</v>
      </c>
      <c r="AL257" s="93"/>
      <c r="AM257" s="93"/>
      <c r="AN257" s="93"/>
      <c r="AO257" s="93"/>
      <c r="AP257" s="93"/>
      <c r="AQ257" s="93"/>
    </row>
    <row r="258" spans="1:43">
      <c r="A258" s="106">
        <v>6</v>
      </c>
      <c r="B258" s="93">
        <v>252</v>
      </c>
      <c r="C258" s="93" t="s">
        <v>5860</v>
      </c>
      <c r="D258" s="93" t="s">
        <v>6676</v>
      </c>
      <c r="E258" s="92" t="s">
        <v>5862</v>
      </c>
      <c r="F258" s="93" t="s">
        <v>6677</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5908</v>
      </c>
      <c r="U258" s="93">
        <v>401</v>
      </c>
      <c r="V258" s="107">
        <v>6250</v>
      </c>
      <c r="W258" s="107">
        <v>6000</v>
      </c>
      <c r="X258" s="110" t="s">
        <v>5982</v>
      </c>
      <c r="Y258" s="107">
        <v>3000</v>
      </c>
      <c r="Z258" s="92" t="s">
        <v>5866</v>
      </c>
      <c r="AA258" s="93"/>
      <c r="AB258" s="93"/>
      <c r="AC258" s="93"/>
      <c r="AD258" s="93" t="s">
        <v>181</v>
      </c>
      <c r="AE258" s="93"/>
      <c r="AF258" s="93"/>
      <c r="AG258" s="93"/>
      <c r="AH258" s="93"/>
      <c r="AI258" s="93"/>
      <c r="AK258" s="262" t="s">
        <v>5889</v>
      </c>
      <c r="AL258" s="93"/>
      <c r="AM258" s="93"/>
      <c r="AN258" s="93"/>
      <c r="AO258" s="93"/>
      <c r="AP258" s="93"/>
      <c r="AQ258" s="93"/>
    </row>
    <row r="259" spans="1:43">
      <c r="A259" s="106">
        <v>6</v>
      </c>
      <c r="B259" s="93">
        <v>253</v>
      </c>
      <c r="C259" s="93" t="s">
        <v>5860</v>
      </c>
      <c r="D259" s="93" t="s">
        <v>6678</v>
      </c>
      <c r="E259" s="92" t="s">
        <v>5862</v>
      </c>
      <c r="F259" s="93" t="s">
        <v>6679</v>
      </c>
      <c r="G259" s="93">
        <v>44.2</v>
      </c>
      <c r="H259" s="93">
        <v>9506</v>
      </c>
      <c r="I259" s="92">
        <v>0</v>
      </c>
      <c r="J259" s="107">
        <v>3840</v>
      </c>
      <c r="K259" s="105">
        <v>7.1875</v>
      </c>
      <c r="L259" s="108">
        <v>0</v>
      </c>
      <c r="M259" s="97">
        <v>0</v>
      </c>
      <c r="N259" s="93">
        <v>1964</v>
      </c>
      <c r="O259" s="93">
        <v>1350</v>
      </c>
      <c r="P259" s="93">
        <v>0</v>
      </c>
      <c r="Q259" s="93">
        <v>13</v>
      </c>
      <c r="R259" s="93">
        <v>3</v>
      </c>
      <c r="S259" s="93">
        <v>1</v>
      </c>
      <c r="T259" s="92" t="s">
        <v>5864</v>
      </c>
      <c r="U259" s="93">
        <v>398</v>
      </c>
      <c r="V259" s="107">
        <v>6250</v>
      </c>
      <c r="W259" s="107">
        <v>6000</v>
      </c>
      <c r="X259" s="110" t="s">
        <v>5896</v>
      </c>
      <c r="Y259" s="107">
        <v>4000</v>
      </c>
      <c r="Z259" s="92" t="s">
        <v>5866</v>
      </c>
      <c r="AA259" s="93"/>
      <c r="AB259" s="93"/>
      <c r="AC259" s="93"/>
      <c r="AD259" s="93" t="s">
        <v>6680</v>
      </c>
      <c r="AE259" s="93"/>
      <c r="AF259" s="93"/>
      <c r="AG259" s="93"/>
      <c r="AH259" s="93"/>
      <c r="AI259" s="93"/>
      <c r="AK259" s="262" t="s">
        <v>181</v>
      </c>
      <c r="AL259" s="93"/>
      <c r="AM259" s="93"/>
      <c r="AN259" s="93"/>
      <c r="AO259" s="93"/>
      <c r="AP259" s="93"/>
      <c r="AQ259" s="93"/>
    </row>
    <row r="260" spans="1:43">
      <c r="A260" s="106">
        <v>6</v>
      </c>
      <c r="B260" s="93">
        <v>254</v>
      </c>
      <c r="C260" s="93" t="s">
        <v>5860</v>
      </c>
      <c r="D260" s="93" t="s">
        <v>6681</v>
      </c>
      <c r="E260" s="92" t="s">
        <v>5862</v>
      </c>
      <c r="F260" s="93" t="s">
        <v>6682</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5864</v>
      </c>
      <c r="U260" s="93">
        <v>398</v>
      </c>
      <c r="V260" s="107">
        <v>17968</v>
      </c>
      <c r="W260" s="107">
        <v>18000</v>
      </c>
      <c r="X260" s="110" t="s">
        <v>6128</v>
      </c>
      <c r="Y260" s="107">
        <v>15000</v>
      </c>
      <c r="Z260" s="92" t="s">
        <v>5866</v>
      </c>
      <c r="AA260" s="93"/>
      <c r="AB260" s="93"/>
      <c r="AC260" s="93"/>
      <c r="AD260" s="93" t="s">
        <v>181</v>
      </c>
      <c r="AE260" s="93"/>
      <c r="AF260" s="93"/>
      <c r="AG260" s="93"/>
      <c r="AH260" s="93"/>
      <c r="AI260" s="93"/>
      <c r="AK260" s="262" t="s">
        <v>181</v>
      </c>
      <c r="AL260" s="93"/>
      <c r="AM260" s="93"/>
      <c r="AN260" s="93"/>
      <c r="AO260" s="93"/>
      <c r="AP260" s="93"/>
      <c r="AQ260" s="93"/>
    </row>
    <row r="261" spans="1:43">
      <c r="A261" s="106">
        <v>6</v>
      </c>
      <c r="B261" s="93">
        <v>255</v>
      </c>
      <c r="C261" s="93" t="s">
        <v>5860</v>
      </c>
      <c r="D261" s="93" t="s">
        <v>6683</v>
      </c>
      <c r="E261" s="92" t="s">
        <v>5862</v>
      </c>
      <c r="F261" s="93" t="s">
        <v>6684</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5864</v>
      </c>
      <c r="U261" s="93">
        <v>401</v>
      </c>
      <c r="V261" s="107">
        <v>38282</v>
      </c>
      <c r="W261" s="107">
        <v>38000</v>
      </c>
      <c r="X261" s="110" t="s">
        <v>6331</v>
      </c>
      <c r="Y261" s="107">
        <v>29000</v>
      </c>
      <c r="Z261" s="92" t="s">
        <v>5866</v>
      </c>
      <c r="AA261" s="93"/>
      <c r="AB261" s="93"/>
      <c r="AC261" s="93"/>
      <c r="AD261" s="93" t="s">
        <v>6685</v>
      </c>
      <c r="AE261" s="93"/>
      <c r="AF261" s="93"/>
      <c r="AG261" s="93"/>
      <c r="AH261" s="93"/>
      <c r="AI261" s="93"/>
      <c r="AK261" s="262" t="s">
        <v>181</v>
      </c>
      <c r="AL261" s="93"/>
      <c r="AM261" s="93"/>
      <c r="AN261" s="93"/>
      <c r="AO261" s="93"/>
      <c r="AP261" s="93"/>
      <c r="AQ261" s="93"/>
    </row>
    <row r="262" spans="1:43">
      <c r="A262" s="106">
        <v>6</v>
      </c>
      <c r="B262" s="93">
        <v>256</v>
      </c>
      <c r="C262" s="93" t="s">
        <v>5860</v>
      </c>
      <c r="D262" s="93" t="s">
        <v>6686</v>
      </c>
      <c r="E262" s="92" t="s">
        <v>5862</v>
      </c>
      <c r="F262" s="93" t="s">
        <v>6687</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5864</v>
      </c>
      <c r="U262" s="93">
        <v>398</v>
      </c>
      <c r="V262" s="107">
        <v>6250</v>
      </c>
      <c r="W262" s="107">
        <v>6000</v>
      </c>
      <c r="X262" s="110" t="s">
        <v>6065</v>
      </c>
      <c r="Y262" s="107">
        <v>4000</v>
      </c>
      <c r="Z262" s="92" t="s">
        <v>5866</v>
      </c>
      <c r="AA262" s="93"/>
      <c r="AB262" s="93"/>
      <c r="AC262" s="93"/>
      <c r="AD262" s="93" t="s">
        <v>6688</v>
      </c>
      <c r="AE262" s="93"/>
      <c r="AF262" s="93"/>
      <c r="AG262" s="93"/>
      <c r="AH262" s="93"/>
      <c r="AI262" s="93"/>
      <c r="AK262" s="262" t="s">
        <v>181</v>
      </c>
      <c r="AL262" s="93"/>
      <c r="AM262" s="93"/>
      <c r="AN262" s="93"/>
      <c r="AO262" s="93"/>
      <c r="AP262" s="93"/>
      <c r="AQ262" s="93"/>
    </row>
    <row r="263" spans="1:43">
      <c r="A263" s="106">
        <v>6</v>
      </c>
      <c r="B263" s="93">
        <v>257</v>
      </c>
      <c r="C263" s="93" t="s">
        <v>5860</v>
      </c>
      <c r="D263" s="93" t="s">
        <v>6689</v>
      </c>
      <c r="E263" s="92" t="s">
        <v>5862</v>
      </c>
      <c r="F263" s="93" t="s">
        <v>6690</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5864</v>
      </c>
      <c r="U263" s="93">
        <v>401</v>
      </c>
      <c r="V263" s="107">
        <v>12500</v>
      </c>
      <c r="W263" s="107">
        <v>13000</v>
      </c>
      <c r="X263" s="110" t="s">
        <v>6245</v>
      </c>
      <c r="Y263" s="107">
        <v>2000</v>
      </c>
      <c r="Z263" s="92" t="s">
        <v>5866</v>
      </c>
      <c r="AA263" s="93"/>
      <c r="AB263" s="93"/>
      <c r="AC263" s="93"/>
      <c r="AD263" s="93" t="s">
        <v>6691</v>
      </c>
      <c r="AE263" s="93"/>
      <c r="AF263" s="93"/>
      <c r="AG263" s="93"/>
      <c r="AH263" s="93"/>
      <c r="AI263" s="93"/>
      <c r="AK263" s="262" t="s">
        <v>5893</v>
      </c>
      <c r="AL263" s="93"/>
      <c r="AM263" s="93"/>
      <c r="AN263" s="93"/>
      <c r="AO263" s="93"/>
      <c r="AP263" s="93"/>
      <c r="AQ263" s="93"/>
    </row>
    <row r="264" spans="1:43">
      <c r="A264" s="106">
        <v>6</v>
      </c>
      <c r="B264" s="93">
        <v>258</v>
      </c>
      <c r="C264" s="93" t="s">
        <v>5860</v>
      </c>
      <c r="D264" s="93" t="s">
        <v>6692</v>
      </c>
      <c r="E264" s="92" t="s">
        <v>5862</v>
      </c>
      <c r="F264" s="93" t="s">
        <v>6693</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5864</v>
      </c>
      <c r="U264" s="93">
        <v>398</v>
      </c>
      <c r="V264" s="107">
        <v>18750</v>
      </c>
      <c r="W264" s="107">
        <v>19000</v>
      </c>
      <c r="X264" s="110" t="s">
        <v>6091</v>
      </c>
      <c r="Y264" s="107">
        <v>10000</v>
      </c>
      <c r="Z264" s="92" t="s">
        <v>5866</v>
      </c>
      <c r="AA264" s="93"/>
      <c r="AB264" s="93"/>
      <c r="AC264" s="93"/>
      <c r="AD264" s="93" t="s">
        <v>181</v>
      </c>
      <c r="AE264" s="93"/>
      <c r="AF264" s="93"/>
      <c r="AG264" s="93"/>
      <c r="AH264" s="93"/>
      <c r="AI264" s="93"/>
      <c r="AK264" s="262" t="s">
        <v>181</v>
      </c>
      <c r="AL264" s="93"/>
      <c r="AM264" s="93"/>
      <c r="AN264" s="93"/>
      <c r="AO264" s="93"/>
      <c r="AP264" s="93"/>
      <c r="AQ264" s="93"/>
    </row>
    <row r="265" spans="1:43">
      <c r="A265" s="106">
        <v>6</v>
      </c>
      <c r="B265" s="93">
        <v>259</v>
      </c>
      <c r="C265" s="93" t="s">
        <v>5860</v>
      </c>
      <c r="D265" s="93" t="s">
        <v>6694</v>
      </c>
      <c r="E265" s="92" t="s">
        <v>5862</v>
      </c>
      <c r="F265" s="93" t="s">
        <v>6695</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6221</v>
      </c>
      <c r="U265" s="93">
        <v>398</v>
      </c>
      <c r="V265" s="107">
        <v>4687</v>
      </c>
      <c r="W265" s="107">
        <v>5000</v>
      </c>
      <c r="X265" s="110" t="s">
        <v>6091</v>
      </c>
      <c r="Y265" s="107">
        <v>3000</v>
      </c>
      <c r="Z265" s="92" t="s">
        <v>5866</v>
      </c>
      <c r="AA265" s="93"/>
      <c r="AB265" s="93"/>
      <c r="AC265" s="93"/>
      <c r="AD265" s="93" t="s">
        <v>6696</v>
      </c>
      <c r="AE265" s="93"/>
      <c r="AF265" s="93"/>
      <c r="AG265" s="93"/>
      <c r="AH265" s="93"/>
      <c r="AI265" s="93"/>
      <c r="AK265" s="262" t="s">
        <v>6697</v>
      </c>
      <c r="AL265" s="93"/>
      <c r="AM265" s="93"/>
      <c r="AN265" s="93"/>
      <c r="AO265" s="93"/>
      <c r="AP265" s="93"/>
      <c r="AQ265" s="93"/>
    </row>
    <row r="266" spans="1:43">
      <c r="A266" s="106">
        <v>6</v>
      </c>
      <c r="B266" s="93">
        <v>260</v>
      </c>
      <c r="C266" s="93" t="s">
        <v>5860</v>
      </c>
      <c r="D266" s="93" t="s">
        <v>6698</v>
      </c>
      <c r="E266" s="92" t="s">
        <v>5862</v>
      </c>
      <c r="F266" s="93" t="s">
        <v>6699</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5908</v>
      </c>
      <c r="U266" s="93">
        <v>398</v>
      </c>
      <c r="V266" s="107">
        <v>21128</v>
      </c>
      <c r="W266" s="107">
        <v>21000</v>
      </c>
      <c r="X266" s="110" t="s">
        <v>5874</v>
      </c>
      <c r="Y266" s="107">
        <v>9000</v>
      </c>
      <c r="Z266" s="92" t="s">
        <v>5866</v>
      </c>
      <c r="AA266" s="93"/>
      <c r="AB266" s="93"/>
      <c r="AC266" s="93"/>
      <c r="AD266" s="93" t="s">
        <v>181</v>
      </c>
      <c r="AE266" s="93"/>
      <c r="AF266" s="93"/>
      <c r="AG266" s="93"/>
      <c r="AH266" s="93"/>
      <c r="AI266" s="93"/>
      <c r="AK266" s="262" t="s">
        <v>181</v>
      </c>
      <c r="AL266" s="93"/>
      <c r="AM266" s="93"/>
      <c r="AN266" s="93"/>
      <c r="AO266" s="93"/>
      <c r="AP266" s="93"/>
      <c r="AQ266" s="93"/>
    </row>
    <row r="267" spans="1:43">
      <c r="A267" s="106">
        <v>6</v>
      </c>
      <c r="B267" s="93">
        <v>261</v>
      </c>
      <c r="C267" s="93" t="s">
        <v>5860</v>
      </c>
      <c r="D267" s="93" t="s">
        <v>6700</v>
      </c>
      <c r="E267" s="92" t="s">
        <v>5862</v>
      </c>
      <c r="F267" s="93" t="s">
        <v>6701</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5908</v>
      </c>
      <c r="U267" s="93">
        <v>398</v>
      </c>
      <c r="V267" s="107">
        <v>9375</v>
      </c>
      <c r="W267" s="107">
        <v>9000</v>
      </c>
      <c r="X267" s="110" t="s">
        <v>5874</v>
      </c>
      <c r="Y267" s="107">
        <v>4000</v>
      </c>
      <c r="Z267" s="92" t="s">
        <v>5866</v>
      </c>
      <c r="AA267" s="93"/>
      <c r="AB267" s="93"/>
      <c r="AC267" s="93"/>
      <c r="AD267" s="93" t="s">
        <v>6702</v>
      </c>
      <c r="AE267" s="93"/>
      <c r="AF267" s="93"/>
      <c r="AG267" s="93"/>
      <c r="AH267" s="93"/>
      <c r="AI267" s="93"/>
      <c r="AK267" s="262" t="s">
        <v>6461</v>
      </c>
      <c r="AL267" s="93"/>
      <c r="AM267" s="93"/>
      <c r="AN267" s="93"/>
      <c r="AO267" s="93"/>
      <c r="AP267" s="93"/>
      <c r="AQ267" s="93"/>
    </row>
    <row r="268" spans="1:43">
      <c r="A268" s="106">
        <v>6</v>
      </c>
      <c r="B268" s="93">
        <v>262</v>
      </c>
      <c r="C268" s="93" t="s">
        <v>5860</v>
      </c>
      <c r="D268" s="93" t="s">
        <v>6703</v>
      </c>
      <c r="E268" s="92" t="s">
        <v>5862</v>
      </c>
      <c r="F268" s="93" t="s">
        <v>6704</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5908</v>
      </c>
      <c r="U268" s="93">
        <v>398</v>
      </c>
      <c r="V268" s="107">
        <v>9375</v>
      </c>
      <c r="W268" s="107">
        <v>9000</v>
      </c>
      <c r="X268" s="110" t="s">
        <v>5878</v>
      </c>
      <c r="Y268" s="107">
        <v>4000</v>
      </c>
      <c r="Z268" s="92" t="s">
        <v>5866</v>
      </c>
      <c r="AA268" s="93"/>
      <c r="AB268" s="93"/>
      <c r="AC268" s="93"/>
      <c r="AD268" s="93" t="s">
        <v>6705</v>
      </c>
      <c r="AE268" s="93"/>
      <c r="AF268" s="93"/>
      <c r="AG268" s="93"/>
      <c r="AH268" s="93"/>
      <c r="AI268" s="93"/>
      <c r="AK268" s="262" t="s">
        <v>5987</v>
      </c>
      <c r="AL268" s="93"/>
      <c r="AM268" s="93"/>
      <c r="AN268" s="93"/>
      <c r="AO268" s="93"/>
      <c r="AP268" s="93"/>
      <c r="AQ268" s="93"/>
    </row>
    <row r="269" spans="1:43">
      <c r="A269" s="106">
        <v>6</v>
      </c>
      <c r="B269" s="93">
        <v>263</v>
      </c>
      <c r="C269" s="93" t="s">
        <v>5860</v>
      </c>
      <c r="D269" s="93" t="s">
        <v>6706</v>
      </c>
      <c r="E269" s="92" t="s">
        <v>5862</v>
      </c>
      <c r="F269" s="93" t="s">
        <v>6707</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5908</v>
      </c>
      <c r="U269" s="93">
        <v>398</v>
      </c>
      <c r="V269" s="107">
        <v>9375</v>
      </c>
      <c r="W269" s="107">
        <v>9000</v>
      </c>
      <c r="X269" s="110" t="s">
        <v>5874</v>
      </c>
      <c r="Y269" s="107">
        <v>4000</v>
      </c>
      <c r="Z269" s="92" t="s">
        <v>5866</v>
      </c>
      <c r="AA269" s="93"/>
      <c r="AB269" s="93"/>
      <c r="AC269" s="93"/>
      <c r="AD269" s="93" t="s">
        <v>6708</v>
      </c>
      <c r="AE269" s="93"/>
      <c r="AF269" s="93"/>
      <c r="AG269" s="93"/>
      <c r="AH269" s="93"/>
      <c r="AI269" s="93"/>
      <c r="AK269" s="262" t="s">
        <v>6550</v>
      </c>
      <c r="AL269" s="93"/>
      <c r="AM269" s="93"/>
      <c r="AN269" s="93"/>
      <c r="AO269" s="93"/>
      <c r="AP269" s="93"/>
      <c r="AQ269" s="93"/>
    </row>
    <row r="270" spans="1:43">
      <c r="A270" s="106">
        <v>6</v>
      </c>
      <c r="B270" s="93">
        <v>264</v>
      </c>
      <c r="C270" s="93" t="s">
        <v>5860</v>
      </c>
      <c r="D270" s="93" t="s">
        <v>6709</v>
      </c>
      <c r="E270" s="92" t="s">
        <v>5862</v>
      </c>
      <c r="F270" s="93" t="s">
        <v>6710</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5908</v>
      </c>
      <c r="U270" s="93">
        <v>401</v>
      </c>
      <c r="V270" s="107">
        <v>12500</v>
      </c>
      <c r="W270" s="107">
        <v>13000</v>
      </c>
      <c r="X270" s="110" t="s">
        <v>5979</v>
      </c>
      <c r="Y270" s="107">
        <v>4000</v>
      </c>
      <c r="Z270" s="92" t="s">
        <v>5866</v>
      </c>
      <c r="AA270" s="93"/>
      <c r="AB270" s="93"/>
      <c r="AC270" s="93"/>
      <c r="AD270" s="93" t="s">
        <v>6711</v>
      </c>
      <c r="AE270" s="93"/>
      <c r="AF270" s="93"/>
      <c r="AG270" s="93"/>
      <c r="AH270" s="93"/>
      <c r="AI270" s="93"/>
      <c r="AK270" s="262" t="s">
        <v>6550</v>
      </c>
      <c r="AL270" s="93"/>
      <c r="AM270" s="93"/>
      <c r="AN270" s="93"/>
      <c r="AO270" s="93"/>
      <c r="AP270" s="93"/>
      <c r="AQ270" s="93"/>
    </row>
    <row r="271" spans="1:43">
      <c r="A271" s="106">
        <v>6</v>
      </c>
      <c r="B271" s="93">
        <v>265</v>
      </c>
      <c r="C271" s="93" t="s">
        <v>5860</v>
      </c>
      <c r="D271" s="93" t="s">
        <v>6712</v>
      </c>
      <c r="E271" s="92" t="s">
        <v>5862</v>
      </c>
      <c r="F271" s="93" t="s">
        <v>6713</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5908</v>
      </c>
      <c r="U271" s="93">
        <v>397</v>
      </c>
      <c r="V271" s="107">
        <v>15625</v>
      </c>
      <c r="W271" s="107">
        <v>16000</v>
      </c>
      <c r="X271" s="110" t="s">
        <v>5896</v>
      </c>
      <c r="Y271" s="107">
        <v>10000</v>
      </c>
      <c r="Z271" s="92" t="s">
        <v>5866</v>
      </c>
      <c r="AA271" s="93"/>
      <c r="AB271" s="93"/>
      <c r="AC271" s="93"/>
      <c r="AD271" s="93" t="s">
        <v>181</v>
      </c>
      <c r="AE271" s="93"/>
      <c r="AF271" s="93"/>
      <c r="AG271" s="93"/>
      <c r="AH271" s="93"/>
      <c r="AI271" s="93"/>
      <c r="AK271" s="262" t="s">
        <v>5893</v>
      </c>
      <c r="AL271" s="93"/>
      <c r="AM271" s="93"/>
      <c r="AN271" s="93"/>
      <c r="AO271" s="93"/>
      <c r="AP271" s="93"/>
      <c r="AQ271" s="93"/>
    </row>
    <row r="272" spans="1:43">
      <c r="A272" s="106">
        <v>6</v>
      </c>
      <c r="B272" s="93">
        <v>266</v>
      </c>
      <c r="C272" s="93" t="s">
        <v>5860</v>
      </c>
      <c r="D272" s="93" t="s">
        <v>6714</v>
      </c>
      <c r="E272" s="92" t="s">
        <v>5862</v>
      </c>
      <c r="F272" s="93" t="s">
        <v>6715</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5908</v>
      </c>
      <c r="U272" s="93">
        <v>398</v>
      </c>
      <c r="V272" s="107">
        <v>12500</v>
      </c>
      <c r="W272" s="107">
        <v>13000</v>
      </c>
      <c r="X272" s="110" t="s">
        <v>6716</v>
      </c>
      <c r="Y272" s="107">
        <v>2000</v>
      </c>
      <c r="Z272" s="92" t="s">
        <v>5866</v>
      </c>
      <c r="AA272" s="93"/>
      <c r="AB272" s="93"/>
      <c r="AC272" s="93"/>
      <c r="AD272" s="93" t="s">
        <v>6717</v>
      </c>
      <c r="AE272" s="93"/>
      <c r="AF272" s="93"/>
      <c r="AG272" s="93"/>
      <c r="AH272" s="93"/>
      <c r="AI272" s="93"/>
      <c r="AK272" s="262" t="s">
        <v>5889</v>
      </c>
      <c r="AL272" s="93"/>
      <c r="AM272" s="93"/>
      <c r="AN272" s="93"/>
      <c r="AO272" s="93"/>
      <c r="AP272" s="93"/>
      <c r="AQ272" s="93"/>
    </row>
    <row r="273" spans="1:43">
      <c r="A273" s="106">
        <v>6</v>
      </c>
      <c r="B273" s="93">
        <v>267</v>
      </c>
      <c r="C273" s="93" t="s">
        <v>5860</v>
      </c>
      <c r="D273" s="93" t="s">
        <v>6718</v>
      </c>
      <c r="E273" s="92" t="s">
        <v>5862</v>
      </c>
      <c r="F273" s="93" t="s">
        <v>6719</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5908</v>
      </c>
      <c r="U273" s="93">
        <v>398</v>
      </c>
      <c r="V273" s="107">
        <v>6650</v>
      </c>
      <c r="W273" s="107">
        <v>7000</v>
      </c>
      <c r="X273" s="110" t="s">
        <v>6065</v>
      </c>
      <c r="Y273" s="107">
        <v>5000</v>
      </c>
      <c r="Z273" s="92" t="s">
        <v>5866</v>
      </c>
      <c r="AA273" s="93"/>
      <c r="AB273" s="93"/>
      <c r="AC273" s="93"/>
      <c r="AD273" s="93" t="s">
        <v>6720</v>
      </c>
      <c r="AE273" s="93"/>
      <c r="AF273" s="93"/>
      <c r="AG273" s="93"/>
      <c r="AH273" s="93"/>
      <c r="AI273" s="93"/>
      <c r="AK273" s="262" t="s">
        <v>181</v>
      </c>
      <c r="AL273" s="93"/>
      <c r="AM273" s="93"/>
      <c r="AN273" s="93"/>
      <c r="AO273" s="93"/>
      <c r="AP273" s="93"/>
      <c r="AQ273" s="93"/>
    </row>
    <row r="274" spans="1:43">
      <c r="A274" s="106">
        <v>6</v>
      </c>
      <c r="B274" s="93">
        <v>268</v>
      </c>
      <c r="C274" s="93" t="s">
        <v>5860</v>
      </c>
      <c r="D274" s="93" t="s">
        <v>6721</v>
      </c>
      <c r="E274" s="92" t="s">
        <v>5862</v>
      </c>
      <c r="F274" s="93" t="s">
        <v>6722</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5908</v>
      </c>
      <c r="U274" s="93">
        <v>398</v>
      </c>
      <c r="V274" s="107">
        <v>12500</v>
      </c>
      <c r="W274" s="107">
        <v>13000</v>
      </c>
      <c r="X274" s="110" t="s">
        <v>6128</v>
      </c>
      <c r="Y274" s="107">
        <v>10000</v>
      </c>
      <c r="Z274" s="92" t="s">
        <v>5963</v>
      </c>
      <c r="AA274" s="93"/>
      <c r="AB274" s="93"/>
      <c r="AC274" s="93"/>
      <c r="AD274" s="93" t="s">
        <v>6723</v>
      </c>
      <c r="AE274" s="93"/>
      <c r="AF274" s="93"/>
      <c r="AG274" s="93"/>
      <c r="AH274" s="93"/>
      <c r="AI274" s="93"/>
      <c r="AK274" s="262" t="s">
        <v>5889</v>
      </c>
      <c r="AL274" s="93"/>
      <c r="AM274" s="93"/>
      <c r="AN274" s="93"/>
      <c r="AO274" s="93"/>
      <c r="AP274" s="93"/>
      <c r="AQ274" s="93"/>
    </row>
    <row r="275" spans="1:43" ht="25.5">
      <c r="A275" s="106">
        <v>6</v>
      </c>
      <c r="B275" s="93">
        <v>269</v>
      </c>
      <c r="C275" s="93" t="s">
        <v>5860</v>
      </c>
      <c r="D275" s="93" t="s">
        <v>6724</v>
      </c>
      <c r="E275" s="92" t="s">
        <v>5862</v>
      </c>
      <c r="F275" s="93" t="s">
        <v>6725</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5908</v>
      </c>
      <c r="U275" s="93">
        <v>398</v>
      </c>
      <c r="V275" s="107">
        <v>6250</v>
      </c>
      <c r="W275" s="107">
        <v>6000</v>
      </c>
      <c r="X275" s="110" t="s">
        <v>6331</v>
      </c>
      <c r="Y275" s="107">
        <v>5000</v>
      </c>
      <c r="Z275" s="92" t="s">
        <v>5866</v>
      </c>
      <c r="AA275" s="93"/>
      <c r="AB275" s="93"/>
      <c r="AC275" s="93"/>
      <c r="AD275" s="93" t="s">
        <v>6726</v>
      </c>
      <c r="AE275" s="93"/>
      <c r="AF275" s="93"/>
      <c r="AG275" s="93"/>
      <c r="AH275" s="93"/>
      <c r="AI275" s="93"/>
      <c r="AK275" s="262" t="s">
        <v>5935</v>
      </c>
      <c r="AL275" s="93"/>
      <c r="AM275" s="93"/>
      <c r="AN275" s="93"/>
      <c r="AO275" s="93"/>
      <c r="AP275" s="93"/>
      <c r="AQ275" s="93"/>
    </row>
    <row r="276" spans="1:43" ht="25.5">
      <c r="A276" s="106">
        <v>6</v>
      </c>
      <c r="B276" s="93">
        <v>270</v>
      </c>
      <c r="C276" s="93" t="s">
        <v>5860</v>
      </c>
      <c r="D276" s="93" t="s">
        <v>6727</v>
      </c>
      <c r="E276" s="92" t="s">
        <v>5862</v>
      </c>
      <c r="F276" s="93" t="s">
        <v>6728</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5908</v>
      </c>
      <c r="U276" s="93">
        <v>398</v>
      </c>
      <c r="V276" s="107">
        <v>12500</v>
      </c>
      <c r="W276" s="107">
        <v>13000</v>
      </c>
      <c r="X276" s="110" t="s">
        <v>6128</v>
      </c>
      <c r="Y276" s="107">
        <v>10000</v>
      </c>
      <c r="Z276" s="92" t="s">
        <v>5866</v>
      </c>
      <c r="AA276" s="93"/>
      <c r="AB276" s="93"/>
      <c r="AC276" s="93"/>
      <c r="AD276" s="93" t="s">
        <v>6729</v>
      </c>
      <c r="AE276" s="93"/>
      <c r="AF276" s="93"/>
      <c r="AG276" s="93"/>
      <c r="AH276" s="93"/>
      <c r="AI276" s="93"/>
      <c r="AK276" s="262" t="s">
        <v>6730</v>
      </c>
      <c r="AL276" s="93"/>
      <c r="AM276" s="93"/>
      <c r="AN276" s="93"/>
      <c r="AO276" s="93"/>
      <c r="AP276" s="93"/>
      <c r="AQ276" s="93"/>
    </row>
    <row r="277" spans="1:43">
      <c r="A277" s="106">
        <v>6</v>
      </c>
      <c r="B277" s="93">
        <v>271</v>
      </c>
      <c r="C277" s="93" t="s">
        <v>5860</v>
      </c>
      <c r="D277" s="93" t="s">
        <v>6731</v>
      </c>
      <c r="E277" s="92" t="s">
        <v>5862</v>
      </c>
      <c r="F277" s="93" t="s">
        <v>6732</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5908</v>
      </c>
      <c r="U277" s="93">
        <v>398</v>
      </c>
      <c r="V277" s="107">
        <v>18750</v>
      </c>
      <c r="W277" s="107">
        <v>19000</v>
      </c>
      <c r="X277" s="110" t="s">
        <v>5896</v>
      </c>
      <c r="Y277" s="107">
        <v>12000</v>
      </c>
      <c r="Z277" s="92" t="s">
        <v>5866</v>
      </c>
      <c r="AA277" s="93"/>
      <c r="AB277" s="93"/>
      <c r="AC277" s="93"/>
      <c r="AD277" s="93" t="s">
        <v>181</v>
      </c>
      <c r="AE277" s="93"/>
      <c r="AF277" s="93"/>
      <c r="AG277" s="93"/>
      <c r="AH277" s="93"/>
      <c r="AI277" s="93"/>
      <c r="AK277" s="262" t="s">
        <v>181</v>
      </c>
      <c r="AL277" s="93"/>
      <c r="AM277" s="93"/>
      <c r="AN277" s="93"/>
      <c r="AO277" s="93"/>
      <c r="AP277" s="93"/>
      <c r="AQ277" s="93"/>
    </row>
    <row r="278" spans="1:43">
      <c r="A278" s="106">
        <v>6</v>
      </c>
      <c r="B278" s="93">
        <v>272</v>
      </c>
      <c r="C278" s="93" t="s">
        <v>5860</v>
      </c>
      <c r="D278" s="93" t="s">
        <v>6733</v>
      </c>
      <c r="E278" s="92" t="s">
        <v>5862</v>
      </c>
      <c r="F278" s="93" t="s">
        <v>6734</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5908</v>
      </c>
      <c r="U278" s="93">
        <v>401</v>
      </c>
      <c r="V278" s="107">
        <v>83665</v>
      </c>
      <c r="W278" s="107">
        <v>84000</v>
      </c>
      <c r="X278" s="110" t="s">
        <v>5995</v>
      </c>
      <c r="Y278" s="107">
        <v>42000</v>
      </c>
      <c r="Z278" s="92" t="s">
        <v>5866</v>
      </c>
      <c r="AA278" s="93"/>
      <c r="AB278" s="93"/>
      <c r="AC278" s="93"/>
      <c r="AD278" s="93" t="s">
        <v>6735</v>
      </c>
      <c r="AE278" s="93"/>
      <c r="AF278" s="93"/>
      <c r="AG278" s="93"/>
      <c r="AH278" s="93"/>
      <c r="AI278" s="93"/>
      <c r="AK278" s="262" t="s">
        <v>181</v>
      </c>
      <c r="AL278" s="93"/>
      <c r="AM278" s="93"/>
      <c r="AN278" s="93"/>
      <c r="AO278" s="93"/>
      <c r="AP278" s="93"/>
      <c r="AQ278" s="93"/>
    </row>
    <row r="279" spans="1:43">
      <c r="A279" s="106">
        <v>6</v>
      </c>
      <c r="B279" s="93">
        <v>273</v>
      </c>
      <c r="C279" s="93" t="s">
        <v>5860</v>
      </c>
      <c r="D279" s="93" t="s">
        <v>6736</v>
      </c>
      <c r="E279" s="92" t="s">
        <v>5862</v>
      </c>
      <c r="F279" s="93" t="s">
        <v>6737</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5864</v>
      </c>
      <c r="U279" s="93">
        <v>398</v>
      </c>
      <c r="V279" s="107">
        <v>51719</v>
      </c>
      <c r="W279" s="107">
        <v>52000</v>
      </c>
      <c r="X279" s="110" t="s">
        <v>5995</v>
      </c>
      <c r="Y279" s="107">
        <v>26000</v>
      </c>
      <c r="Z279" s="92" t="s">
        <v>5866</v>
      </c>
      <c r="AA279" s="93"/>
      <c r="AB279" s="93"/>
      <c r="AC279" s="93"/>
      <c r="AD279" s="93" t="s">
        <v>6738</v>
      </c>
      <c r="AE279" s="93"/>
      <c r="AF279" s="93"/>
      <c r="AG279" s="93"/>
      <c r="AH279" s="93"/>
      <c r="AI279" s="93"/>
      <c r="AK279" s="262" t="s">
        <v>181</v>
      </c>
      <c r="AL279" s="93"/>
      <c r="AM279" s="93"/>
      <c r="AN279" s="93"/>
      <c r="AO279" s="93"/>
      <c r="AP279" s="93"/>
      <c r="AQ279" s="93"/>
    </row>
    <row r="280" spans="1:43">
      <c r="A280" s="106">
        <v>6</v>
      </c>
      <c r="B280" s="93">
        <v>274</v>
      </c>
      <c r="C280" s="93" t="s">
        <v>5860</v>
      </c>
      <c r="D280" s="93" t="s">
        <v>6739</v>
      </c>
      <c r="E280" s="92" t="s">
        <v>5862</v>
      </c>
      <c r="F280" s="93" t="s">
        <v>6740</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5864</v>
      </c>
      <c r="U280" s="93">
        <v>398</v>
      </c>
      <c r="V280" s="107">
        <v>43775</v>
      </c>
      <c r="W280" s="107">
        <v>44000</v>
      </c>
      <c r="X280" s="110" t="s">
        <v>6240</v>
      </c>
      <c r="Y280" s="107">
        <v>12000</v>
      </c>
      <c r="Z280" s="92" t="s">
        <v>5866</v>
      </c>
      <c r="AA280" s="93"/>
      <c r="AB280" s="93"/>
      <c r="AC280" s="93"/>
      <c r="AD280" s="93" t="s">
        <v>6741</v>
      </c>
      <c r="AE280" s="93"/>
      <c r="AF280" s="93"/>
      <c r="AG280" s="93"/>
      <c r="AH280" s="93"/>
      <c r="AI280" s="93"/>
      <c r="AK280" s="262" t="s">
        <v>5893</v>
      </c>
      <c r="AL280" s="93"/>
      <c r="AM280" s="93"/>
      <c r="AN280" s="93"/>
      <c r="AO280" s="93"/>
      <c r="AP280" s="93"/>
      <c r="AQ280" s="93"/>
    </row>
    <row r="281" spans="1:43">
      <c r="A281" s="106">
        <v>6</v>
      </c>
      <c r="B281" s="93">
        <v>275</v>
      </c>
      <c r="C281" s="93" t="s">
        <v>5860</v>
      </c>
      <c r="D281" s="93" t="s">
        <v>6742</v>
      </c>
      <c r="E281" s="92" t="s">
        <v>5862</v>
      </c>
      <c r="F281" s="93" t="s">
        <v>6743</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5864</v>
      </c>
      <c r="U281" s="93">
        <v>398</v>
      </c>
      <c r="V281" s="107">
        <v>16345</v>
      </c>
      <c r="W281" s="107">
        <v>16000</v>
      </c>
      <c r="X281" s="110" t="s">
        <v>6293</v>
      </c>
      <c r="Y281" s="107">
        <v>5000</v>
      </c>
      <c r="Z281" s="92" t="s">
        <v>5866</v>
      </c>
      <c r="AA281" s="93"/>
      <c r="AB281" s="93"/>
      <c r="AC281" s="93"/>
      <c r="AD281" s="93" t="s">
        <v>6744</v>
      </c>
      <c r="AE281" s="93"/>
      <c r="AF281" s="93"/>
      <c r="AG281" s="93"/>
      <c r="AH281" s="93"/>
      <c r="AI281" s="93"/>
      <c r="AK281" s="262" t="s">
        <v>5893</v>
      </c>
      <c r="AL281" s="93"/>
      <c r="AM281" s="93"/>
      <c r="AN281" s="93"/>
      <c r="AO281" s="93"/>
      <c r="AP281" s="93"/>
      <c r="AQ281" s="93"/>
    </row>
    <row r="282" spans="1:43" ht="25.5">
      <c r="A282" s="106">
        <v>6</v>
      </c>
      <c r="B282" s="93">
        <v>276</v>
      </c>
      <c r="C282" s="93" t="s">
        <v>5860</v>
      </c>
      <c r="D282" s="93" t="s">
        <v>6745</v>
      </c>
      <c r="E282" s="92" t="s">
        <v>5862</v>
      </c>
      <c r="F282" s="93" t="s">
        <v>6746</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5864</v>
      </c>
      <c r="U282" s="93">
        <v>398</v>
      </c>
      <c r="V282" s="107">
        <v>39818</v>
      </c>
      <c r="W282" s="107">
        <v>40000</v>
      </c>
      <c r="X282" s="110" t="s">
        <v>5995</v>
      </c>
      <c r="Y282" s="107">
        <v>20000</v>
      </c>
      <c r="Z282" s="92" t="s">
        <v>5866</v>
      </c>
      <c r="AA282" s="93"/>
      <c r="AB282" s="93"/>
      <c r="AC282" s="93"/>
      <c r="AD282" s="93" t="s">
        <v>6747</v>
      </c>
      <c r="AE282" s="93"/>
      <c r="AF282" s="93"/>
      <c r="AG282" s="93"/>
      <c r="AH282" s="93"/>
      <c r="AI282" s="93"/>
      <c r="AK282" s="262" t="s">
        <v>6748</v>
      </c>
      <c r="AL282" s="93"/>
      <c r="AM282" s="93"/>
      <c r="AN282" s="93"/>
      <c r="AO282" s="93"/>
      <c r="AP282" s="93"/>
      <c r="AQ282" s="93"/>
    </row>
    <row r="283" spans="1:43">
      <c r="A283" s="106">
        <v>6</v>
      </c>
      <c r="B283" s="93">
        <v>277</v>
      </c>
      <c r="C283" s="93" t="s">
        <v>5860</v>
      </c>
      <c r="D283" s="93" t="s">
        <v>6749</v>
      </c>
      <c r="E283" s="92" t="s">
        <v>5862</v>
      </c>
      <c r="F283" s="93" t="s">
        <v>6750</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5864</v>
      </c>
      <c r="U283" s="93">
        <v>398</v>
      </c>
      <c r="V283" s="107">
        <v>29232</v>
      </c>
      <c r="W283" s="107">
        <v>29000</v>
      </c>
      <c r="X283" s="110" t="s">
        <v>5903</v>
      </c>
      <c r="Y283" s="107">
        <v>15000</v>
      </c>
      <c r="Z283" s="92" t="s">
        <v>5866</v>
      </c>
      <c r="AA283" s="93"/>
      <c r="AB283" s="93"/>
      <c r="AC283" s="93"/>
      <c r="AD283" s="93" t="s">
        <v>181</v>
      </c>
      <c r="AE283" s="93"/>
      <c r="AF283" s="93"/>
      <c r="AG283" s="93"/>
      <c r="AH283" s="93"/>
      <c r="AI283" s="93"/>
      <c r="AK283" s="262" t="s">
        <v>5889</v>
      </c>
      <c r="AL283" s="93"/>
      <c r="AM283" s="93"/>
      <c r="AN283" s="93"/>
      <c r="AO283" s="93"/>
      <c r="AP283" s="93"/>
      <c r="AQ283" s="93"/>
    </row>
    <row r="284" spans="1:43">
      <c r="A284" s="62">
        <v>6</v>
      </c>
      <c r="B284" s="93">
        <v>324</v>
      </c>
      <c r="C284" s="68" t="s">
        <v>6751</v>
      </c>
      <c r="D284" s="59" t="s">
        <v>6752</v>
      </c>
      <c r="E284" s="72" t="s">
        <v>5862</v>
      </c>
      <c r="F284" s="73" t="s">
        <v>6753</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6754</v>
      </c>
      <c r="U284" s="63">
        <v>398</v>
      </c>
      <c r="V284" s="70">
        <v>100759</v>
      </c>
      <c r="W284" s="70">
        <v>101000</v>
      </c>
      <c r="X284" s="83" t="s">
        <v>5928</v>
      </c>
      <c r="Y284" s="70">
        <v>46000</v>
      </c>
      <c r="Z284" s="63" t="s">
        <v>5866</v>
      </c>
      <c r="AC284" s="67"/>
      <c r="AD284" s="61" t="s">
        <v>181</v>
      </c>
      <c r="AE284" s="71"/>
      <c r="AF284" s="71"/>
      <c r="AG284" s="71"/>
      <c r="AH284" s="71"/>
      <c r="AI284" s="71"/>
      <c r="AJ284" s="71"/>
      <c r="AK284" s="263" t="s">
        <v>6755</v>
      </c>
      <c r="AM284" s="59" t="s">
        <v>181</v>
      </c>
    </row>
    <row r="285" spans="1:43">
      <c r="A285" s="62">
        <v>6</v>
      </c>
      <c r="B285" s="93">
        <v>326</v>
      </c>
      <c r="C285" s="68" t="s">
        <v>6751</v>
      </c>
      <c r="D285" s="59" t="s">
        <v>6066</v>
      </c>
      <c r="E285" s="72" t="s">
        <v>5862</v>
      </c>
      <c r="F285" s="73" t="s">
        <v>6756</v>
      </c>
      <c r="G285" s="67">
        <v>44.1</v>
      </c>
      <c r="H285" s="67">
        <v>9101</v>
      </c>
      <c r="I285" s="69">
        <v>0</v>
      </c>
      <c r="J285" s="70">
        <v>29376</v>
      </c>
      <c r="K285" s="75">
        <v>4.0420751633986924</v>
      </c>
      <c r="L285" s="74">
        <v>0</v>
      </c>
      <c r="M285" s="76">
        <v>0</v>
      </c>
      <c r="N285" s="67">
        <v>1971</v>
      </c>
      <c r="O285" s="64">
        <v>5421</v>
      </c>
      <c r="Q285" s="59">
        <v>22</v>
      </c>
      <c r="R285" s="59">
        <v>10</v>
      </c>
      <c r="S285" s="59">
        <v>1</v>
      </c>
      <c r="T285" s="63" t="s">
        <v>6757</v>
      </c>
      <c r="U285" s="63">
        <v>398</v>
      </c>
      <c r="V285" s="70">
        <v>61218</v>
      </c>
      <c r="W285" s="70">
        <v>61000</v>
      </c>
      <c r="X285" s="83" t="s">
        <v>5982</v>
      </c>
      <c r="Y285" s="70">
        <v>29000</v>
      </c>
      <c r="Z285" s="63" t="s">
        <v>5866</v>
      </c>
      <c r="AC285" s="67"/>
      <c r="AD285" s="61" t="s">
        <v>181</v>
      </c>
      <c r="AE285" s="71"/>
      <c r="AF285" s="71"/>
      <c r="AG285" s="71"/>
      <c r="AH285" s="71"/>
      <c r="AI285" s="71"/>
      <c r="AJ285" s="71"/>
      <c r="AK285" s="263" t="s">
        <v>181</v>
      </c>
      <c r="AL285" s="71"/>
      <c r="AM285" s="71"/>
      <c r="AN285" s="71"/>
      <c r="AO285" s="71"/>
      <c r="AP285" s="71"/>
    </row>
    <row r="286" spans="1:43">
      <c r="A286" s="62">
        <v>6</v>
      </c>
      <c r="B286" s="93">
        <v>327</v>
      </c>
      <c r="C286" s="68" t="s">
        <v>6751</v>
      </c>
      <c r="D286" s="59" t="s">
        <v>6068</v>
      </c>
      <c r="E286" s="72" t="s">
        <v>5862</v>
      </c>
      <c r="F286" s="73" t="s">
        <v>6758</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6759</v>
      </c>
      <c r="U286" s="63">
        <v>398</v>
      </c>
      <c r="V286" s="70">
        <v>129650</v>
      </c>
      <c r="W286" s="70">
        <v>130000</v>
      </c>
      <c r="X286" s="83" t="s">
        <v>5982</v>
      </c>
      <c r="Y286" s="70">
        <v>27000</v>
      </c>
      <c r="Z286" s="63" t="s">
        <v>5866</v>
      </c>
      <c r="AC286" s="67"/>
      <c r="AD286" s="61" t="s">
        <v>6070</v>
      </c>
      <c r="AE286" s="71"/>
      <c r="AF286" s="71"/>
      <c r="AG286" s="71"/>
      <c r="AH286" s="71"/>
      <c r="AI286" s="71"/>
      <c r="AJ286" s="71"/>
      <c r="AK286" s="263" t="s">
        <v>6760</v>
      </c>
      <c r="AM286" s="59" t="s">
        <v>181</v>
      </c>
    </row>
    <row r="287" spans="1:43" ht="25.5">
      <c r="A287" s="62">
        <v>7</v>
      </c>
      <c r="B287" s="93">
        <v>278</v>
      </c>
      <c r="C287" s="68" t="s">
        <v>6751</v>
      </c>
      <c r="D287" s="59" t="s">
        <v>6761</v>
      </c>
      <c r="E287" s="72" t="s">
        <v>5862</v>
      </c>
      <c r="F287" s="73" t="s">
        <v>6762</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6763</v>
      </c>
      <c r="U287" s="63">
        <v>396</v>
      </c>
      <c r="V287" s="70">
        <v>223537</v>
      </c>
      <c r="W287" s="70">
        <v>220000</v>
      </c>
      <c r="X287" s="83" t="s">
        <v>5945</v>
      </c>
      <c r="Y287" s="70">
        <v>60000</v>
      </c>
      <c r="Z287" s="63" t="s">
        <v>5866</v>
      </c>
      <c r="AC287" s="67"/>
      <c r="AD287" s="61" t="s">
        <v>6764</v>
      </c>
      <c r="AE287" s="71"/>
      <c r="AF287" s="71"/>
      <c r="AG287" s="71"/>
      <c r="AH287" s="71"/>
      <c r="AI287" s="71"/>
      <c r="AJ287" s="71"/>
      <c r="AK287" s="263" t="s">
        <v>6765</v>
      </c>
      <c r="AM287" s="59" t="s">
        <v>181</v>
      </c>
    </row>
    <row r="288" spans="1:43">
      <c r="A288" s="62">
        <v>7</v>
      </c>
      <c r="B288" s="93">
        <v>279</v>
      </c>
      <c r="C288" s="104" t="s">
        <v>6766</v>
      </c>
      <c r="D288" s="93" t="s">
        <v>6767</v>
      </c>
      <c r="E288" s="92" t="s">
        <v>5862</v>
      </c>
      <c r="F288" s="93" t="s">
        <v>6768</v>
      </c>
      <c r="G288" s="94" t="s">
        <v>6769</v>
      </c>
      <c r="H288" s="93">
        <v>9102</v>
      </c>
      <c r="I288" s="92">
        <v>0</v>
      </c>
      <c r="J288" s="95">
        <v>172400</v>
      </c>
      <c r="K288" s="96">
        <v>3.5</v>
      </c>
      <c r="L288" s="97">
        <v>0</v>
      </c>
      <c r="M288" s="97">
        <v>0.05</v>
      </c>
      <c r="N288" s="93">
        <v>1986</v>
      </c>
      <c r="O288" s="64">
        <v>2232</v>
      </c>
      <c r="Q288" s="59">
        <v>28</v>
      </c>
      <c r="R288" s="59">
        <v>14</v>
      </c>
      <c r="S288" s="59">
        <v>1</v>
      </c>
      <c r="T288" s="92" t="s">
        <v>6770</v>
      </c>
      <c r="U288" s="93">
        <v>398</v>
      </c>
      <c r="V288" s="95">
        <v>311752</v>
      </c>
      <c r="W288" s="95">
        <f>MROUND(V288,1000)</f>
        <v>312000</v>
      </c>
      <c r="X288" s="98" t="s">
        <v>6091</v>
      </c>
      <c r="Y288" s="95">
        <f>MROUND(J288,1000)</f>
        <v>172000</v>
      </c>
      <c r="Z288" s="92" t="s">
        <v>209</v>
      </c>
      <c r="AA288" s="93">
        <v>3</v>
      </c>
      <c r="AB288" s="93">
        <v>3</v>
      </c>
      <c r="AC288" s="93">
        <v>33</v>
      </c>
      <c r="AD288" s="93" t="s">
        <v>6771</v>
      </c>
      <c r="AE288" s="99"/>
      <c r="AF288" s="100"/>
      <c r="AG288" s="100"/>
      <c r="AH288" s="67"/>
      <c r="AI288" s="61"/>
      <c r="AJ288" s="71"/>
      <c r="AK288" s="71"/>
      <c r="AM288" s="59" t="s">
        <v>181</v>
      </c>
    </row>
    <row r="289" spans="1:42" ht="25.5">
      <c r="A289" s="62">
        <v>7</v>
      </c>
      <c r="B289" s="93">
        <v>280</v>
      </c>
      <c r="C289" s="68" t="s">
        <v>6751</v>
      </c>
      <c r="D289" s="59" t="s">
        <v>6772</v>
      </c>
      <c r="E289" s="72" t="s">
        <v>5862</v>
      </c>
      <c r="F289" s="73" t="s">
        <v>6773</v>
      </c>
      <c r="G289" s="82">
        <v>44.4</v>
      </c>
      <c r="H289" s="67">
        <v>9102</v>
      </c>
      <c r="I289" s="69">
        <v>0</v>
      </c>
      <c r="J289" s="70">
        <v>168112</v>
      </c>
      <c r="K289" s="75">
        <v>3.22</v>
      </c>
      <c r="L289" s="74">
        <v>0.35</v>
      </c>
      <c r="M289" s="76">
        <v>5.3153924687180963E-2</v>
      </c>
      <c r="N289" s="67">
        <v>1985</v>
      </c>
      <c r="O289" s="64">
        <v>9741</v>
      </c>
      <c r="Q289" s="59">
        <v>20</v>
      </c>
      <c r="R289" s="59">
        <v>4</v>
      </c>
      <c r="S289" s="59">
        <v>5</v>
      </c>
      <c r="T289" s="63" t="s">
        <v>6759</v>
      </c>
      <c r="U289" s="63">
        <v>398</v>
      </c>
      <c r="V289" s="70">
        <v>339340</v>
      </c>
      <c r="W289" s="70">
        <v>340000</v>
      </c>
      <c r="X289" s="83" t="s">
        <v>6774</v>
      </c>
      <c r="Y289" s="70">
        <v>170000</v>
      </c>
      <c r="Z289" s="63" t="s">
        <v>5866</v>
      </c>
      <c r="AC289" s="67"/>
      <c r="AD289" s="61" t="s">
        <v>6775</v>
      </c>
      <c r="AE289" s="71"/>
      <c r="AF289" s="71"/>
      <c r="AG289" s="71"/>
      <c r="AH289" s="71"/>
      <c r="AI289" s="71"/>
      <c r="AJ289" s="71"/>
      <c r="AK289" s="263" t="s">
        <v>6776</v>
      </c>
      <c r="AM289" s="59" t="s">
        <v>181</v>
      </c>
    </row>
    <row r="290" spans="1:42">
      <c r="A290" s="62">
        <v>7</v>
      </c>
      <c r="B290" s="93">
        <v>281</v>
      </c>
      <c r="C290" s="68" t="s">
        <v>6751</v>
      </c>
      <c r="D290" s="59" t="s">
        <v>6777</v>
      </c>
      <c r="E290" s="72" t="s">
        <v>5862</v>
      </c>
      <c r="F290" s="73" t="s">
        <v>6778</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6759</v>
      </c>
      <c r="U290" s="63">
        <v>398</v>
      </c>
      <c r="V290" s="70">
        <v>45956</v>
      </c>
      <c r="W290" s="70">
        <v>46000</v>
      </c>
      <c r="X290" s="83" t="s">
        <v>5874</v>
      </c>
      <c r="Y290" s="70">
        <v>20000</v>
      </c>
      <c r="Z290" s="63" t="s">
        <v>5866</v>
      </c>
      <c r="AC290" s="67"/>
      <c r="AD290" s="61" t="s">
        <v>6779</v>
      </c>
      <c r="AE290" s="71"/>
      <c r="AF290" s="71"/>
      <c r="AG290" s="71"/>
      <c r="AH290" s="71"/>
      <c r="AI290" s="71"/>
      <c r="AJ290" s="71"/>
      <c r="AK290" s="263" t="s">
        <v>6755</v>
      </c>
      <c r="AM290" s="59" t="s">
        <v>181</v>
      </c>
    </row>
    <row r="291" spans="1:42">
      <c r="A291" s="62">
        <v>7</v>
      </c>
      <c r="B291" s="93">
        <v>282</v>
      </c>
      <c r="C291" s="68" t="s">
        <v>6751</v>
      </c>
      <c r="D291" s="59" t="s">
        <v>5876</v>
      </c>
      <c r="E291" s="72" t="s">
        <v>5862</v>
      </c>
      <c r="F291" s="73" t="s">
        <v>6780</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6759</v>
      </c>
      <c r="U291" s="63">
        <v>398</v>
      </c>
      <c r="V291" s="70">
        <v>87567</v>
      </c>
      <c r="W291" s="70">
        <v>88000</v>
      </c>
      <c r="X291" s="83" t="s">
        <v>5878</v>
      </c>
      <c r="Y291" s="70">
        <v>37000</v>
      </c>
      <c r="Z291" s="63" t="s">
        <v>5866</v>
      </c>
      <c r="AC291" s="67"/>
      <c r="AD291" s="61" t="s">
        <v>5879</v>
      </c>
      <c r="AE291" s="71"/>
      <c r="AF291" s="71"/>
      <c r="AG291" s="71"/>
      <c r="AH291" s="71"/>
      <c r="AI291" s="71"/>
      <c r="AJ291" s="71"/>
      <c r="AK291" s="263" t="s">
        <v>181</v>
      </c>
      <c r="AM291" s="59" t="s">
        <v>181</v>
      </c>
    </row>
    <row r="292" spans="1:42" ht="25.5">
      <c r="A292" s="62">
        <v>7</v>
      </c>
      <c r="B292" s="93">
        <v>283</v>
      </c>
      <c r="C292" s="68" t="s">
        <v>6751</v>
      </c>
      <c r="D292" s="59" t="s">
        <v>6781</v>
      </c>
      <c r="E292" s="72" t="s">
        <v>5862</v>
      </c>
      <c r="F292" s="73" t="s">
        <v>6782</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6759</v>
      </c>
      <c r="U292" s="63">
        <v>398</v>
      </c>
      <c r="V292" s="70">
        <v>104089</v>
      </c>
      <c r="W292" s="70">
        <v>100000</v>
      </c>
      <c r="X292" s="83" t="s">
        <v>5928</v>
      </c>
      <c r="Y292" s="70">
        <v>24000</v>
      </c>
      <c r="Z292" s="63" t="s">
        <v>5866</v>
      </c>
      <c r="AC292" s="67"/>
      <c r="AD292" s="61" t="s">
        <v>6783</v>
      </c>
      <c r="AE292" s="71"/>
      <c r="AF292" s="71"/>
      <c r="AG292" s="71"/>
      <c r="AH292" s="71"/>
      <c r="AI292" s="71"/>
      <c r="AJ292" s="71"/>
      <c r="AK292" s="263" t="s">
        <v>6784</v>
      </c>
      <c r="AM292" s="59" t="s">
        <v>181</v>
      </c>
    </row>
    <row r="293" spans="1:42" ht="25.5">
      <c r="A293" s="62">
        <v>7</v>
      </c>
      <c r="B293" s="93">
        <v>284</v>
      </c>
      <c r="C293" s="68" t="s">
        <v>6751</v>
      </c>
      <c r="D293" s="59" t="s">
        <v>6785</v>
      </c>
      <c r="E293" s="72" t="s">
        <v>5862</v>
      </c>
      <c r="F293" s="73" t="s">
        <v>6786</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6759</v>
      </c>
      <c r="U293" s="63">
        <v>398</v>
      </c>
      <c r="V293" s="70">
        <v>146020</v>
      </c>
      <c r="W293" s="70">
        <v>150000</v>
      </c>
      <c r="X293" s="83" t="s">
        <v>6774</v>
      </c>
      <c r="Y293" s="70">
        <v>72000</v>
      </c>
      <c r="Z293" s="63" t="s">
        <v>5866</v>
      </c>
      <c r="AC293" s="67"/>
      <c r="AD293" s="61" t="s">
        <v>6787</v>
      </c>
      <c r="AE293" s="71"/>
      <c r="AF293" s="71"/>
      <c r="AG293" s="71"/>
      <c r="AH293" s="71"/>
      <c r="AI293" s="71"/>
      <c r="AJ293" s="71"/>
      <c r="AK293" s="263" t="s">
        <v>6788</v>
      </c>
      <c r="AM293" s="59" t="s">
        <v>181</v>
      </c>
    </row>
    <row r="294" spans="1:42" ht="25.5">
      <c r="A294" s="62">
        <v>7</v>
      </c>
      <c r="B294" s="93">
        <v>285</v>
      </c>
      <c r="C294" s="68" t="s">
        <v>6751</v>
      </c>
      <c r="D294" s="59" t="s">
        <v>6789</v>
      </c>
      <c r="E294" s="72" t="s">
        <v>5862</v>
      </c>
      <c r="F294" s="73" t="s">
        <v>6790</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6759</v>
      </c>
      <c r="U294" s="63">
        <v>397</v>
      </c>
      <c r="V294" s="70">
        <v>169147</v>
      </c>
      <c r="W294" s="70">
        <v>170000</v>
      </c>
      <c r="X294" s="83" t="s">
        <v>6791</v>
      </c>
      <c r="Y294" s="70">
        <v>57000</v>
      </c>
      <c r="Z294" s="63" t="s">
        <v>5866</v>
      </c>
      <c r="AC294" s="67"/>
      <c r="AD294" s="61" t="s">
        <v>6792</v>
      </c>
      <c r="AE294" s="71"/>
      <c r="AF294" s="71"/>
      <c r="AG294" s="71"/>
      <c r="AH294" s="71"/>
      <c r="AI294" s="71"/>
      <c r="AJ294" s="71"/>
      <c r="AK294" s="263" t="s">
        <v>6793</v>
      </c>
      <c r="AM294" s="59" t="s">
        <v>181</v>
      </c>
    </row>
    <row r="295" spans="1:42">
      <c r="A295" s="62">
        <v>7</v>
      </c>
      <c r="B295" s="93">
        <v>286</v>
      </c>
      <c r="C295" s="68" t="s">
        <v>6751</v>
      </c>
      <c r="D295" s="59" t="s">
        <v>5890</v>
      </c>
      <c r="E295" s="72" t="s">
        <v>5862</v>
      </c>
      <c r="F295" s="73" t="s">
        <v>6794</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6759</v>
      </c>
      <c r="U295" s="63">
        <v>398</v>
      </c>
      <c r="V295" s="70">
        <v>27610</v>
      </c>
      <c r="W295" s="70">
        <v>28000</v>
      </c>
      <c r="X295" s="83" t="s">
        <v>5892</v>
      </c>
      <c r="Y295" s="70">
        <v>10000</v>
      </c>
      <c r="Z295" s="63" t="s">
        <v>5866</v>
      </c>
      <c r="AC295" s="67"/>
      <c r="AD295" s="61" t="s">
        <v>181</v>
      </c>
      <c r="AE295" s="71"/>
      <c r="AF295" s="71"/>
      <c r="AG295" s="71"/>
      <c r="AH295" s="71"/>
      <c r="AI295" s="71"/>
      <c r="AJ295" s="71"/>
      <c r="AK295" s="263" t="s">
        <v>181</v>
      </c>
      <c r="AM295" s="59" t="s">
        <v>181</v>
      </c>
    </row>
    <row r="296" spans="1:42">
      <c r="A296" s="62">
        <v>7</v>
      </c>
      <c r="B296" s="93">
        <v>287</v>
      </c>
      <c r="C296" s="68" t="s">
        <v>6751</v>
      </c>
      <c r="D296" s="59" t="s">
        <v>6795</v>
      </c>
      <c r="E296" s="72" t="s">
        <v>5862</v>
      </c>
      <c r="F296" s="73" t="s">
        <v>6796</v>
      </c>
      <c r="G296" s="67">
        <v>44.1</v>
      </c>
      <c r="H296" s="67">
        <v>9102</v>
      </c>
      <c r="I296" s="69">
        <v>0</v>
      </c>
      <c r="J296" s="70">
        <v>53947</v>
      </c>
      <c r="K296" s="75">
        <v>5.0716443917177969</v>
      </c>
      <c r="L296" s="74">
        <v>0</v>
      </c>
      <c r="M296" s="76">
        <v>0</v>
      </c>
      <c r="N296" s="67">
        <v>1999</v>
      </c>
      <c r="O296" s="64">
        <v>2507</v>
      </c>
      <c r="Q296" s="59">
        <v>20</v>
      </c>
      <c r="R296" s="59">
        <v>14</v>
      </c>
      <c r="S296" s="59">
        <v>1</v>
      </c>
      <c r="T296" s="63" t="s">
        <v>6759</v>
      </c>
      <c r="U296" s="63">
        <v>398</v>
      </c>
      <c r="V296" s="70">
        <v>74836</v>
      </c>
      <c r="W296" s="70">
        <v>75000</v>
      </c>
      <c r="X296" s="83" t="s">
        <v>5938</v>
      </c>
      <c r="Y296" s="70">
        <v>54000</v>
      </c>
      <c r="Z296" s="63" t="s">
        <v>5866</v>
      </c>
      <c r="AC296" s="67"/>
      <c r="AD296" s="61" t="s">
        <v>6797</v>
      </c>
      <c r="AE296" s="71"/>
      <c r="AF296" s="71"/>
      <c r="AG296" s="71"/>
      <c r="AH296" s="71"/>
      <c r="AI296" s="71"/>
      <c r="AJ296" s="71"/>
      <c r="AK296" s="263" t="s">
        <v>181</v>
      </c>
      <c r="AM296" s="59" t="s">
        <v>181</v>
      </c>
    </row>
    <row r="297" spans="1:42">
      <c r="A297" s="62">
        <v>7</v>
      </c>
      <c r="B297" s="93">
        <v>288</v>
      </c>
      <c r="C297" s="68" t="s">
        <v>6751</v>
      </c>
      <c r="D297" s="59" t="s">
        <v>5897</v>
      </c>
      <c r="E297" s="72" t="s">
        <v>5862</v>
      </c>
      <c r="F297" s="73" t="s">
        <v>6798</v>
      </c>
      <c r="G297" s="82">
        <v>44.2</v>
      </c>
      <c r="H297" s="67">
        <v>9102</v>
      </c>
      <c r="I297" s="69">
        <v>0</v>
      </c>
      <c r="J297" s="70">
        <v>3321</v>
      </c>
      <c r="K297" s="75">
        <v>4.5167118337850054</v>
      </c>
      <c r="L297" s="74">
        <v>0</v>
      </c>
      <c r="M297" s="76">
        <v>0</v>
      </c>
      <c r="N297" s="67">
        <v>1973</v>
      </c>
      <c r="O297" s="64">
        <v>820</v>
      </c>
      <c r="Q297" s="59">
        <v>16</v>
      </c>
      <c r="R297" s="59">
        <v>7</v>
      </c>
      <c r="S297" s="59">
        <v>1</v>
      </c>
      <c r="T297" s="63" t="s">
        <v>6759</v>
      </c>
      <c r="U297" s="63">
        <v>398</v>
      </c>
      <c r="V297" s="70">
        <v>18097</v>
      </c>
      <c r="W297" s="70">
        <v>18000</v>
      </c>
      <c r="X297" s="83" t="s">
        <v>5899</v>
      </c>
      <c r="Y297" s="70">
        <v>3000</v>
      </c>
      <c r="Z297" s="63" t="s">
        <v>5866</v>
      </c>
      <c r="AC297" s="67"/>
      <c r="AD297" s="61" t="s">
        <v>5900</v>
      </c>
      <c r="AE297" s="71"/>
      <c r="AF297" s="71"/>
      <c r="AG297" s="71"/>
      <c r="AH297" s="71"/>
      <c r="AI297" s="71"/>
      <c r="AJ297" s="71"/>
      <c r="AK297" s="263" t="s">
        <v>181</v>
      </c>
      <c r="AM297" s="59" t="s">
        <v>181</v>
      </c>
    </row>
    <row r="298" spans="1:42" ht="25.5">
      <c r="A298" s="62">
        <v>7</v>
      </c>
      <c r="B298" s="93">
        <v>289</v>
      </c>
      <c r="C298" s="68" t="s">
        <v>6751</v>
      </c>
      <c r="D298" s="59" t="s">
        <v>5901</v>
      </c>
      <c r="E298" s="72" t="s">
        <v>5862</v>
      </c>
      <c r="F298" s="73" t="s">
        <v>6799</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6759</v>
      </c>
      <c r="U298" s="63">
        <v>398</v>
      </c>
      <c r="V298" s="70">
        <v>77488</v>
      </c>
      <c r="W298" s="70">
        <v>77000</v>
      </c>
      <c r="X298" s="83" t="s">
        <v>5903</v>
      </c>
      <c r="Y298" s="70">
        <v>40000</v>
      </c>
      <c r="Z298" s="63" t="s">
        <v>5866</v>
      </c>
      <c r="AC298" s="67"/>
      <c r="AD298" s="61" t="s">
        <v>5904</v>
      </c>
      <c r="AE298" s="71"/>
      <c r="AF298" s="71"/>
      <c r="AG298" s="71"/>
      <c r="AH298" s="71"/>
      <c r="AI298" s="71"/>
      <c r="AJ298" s="71"/>
      <c r="AK298" s="263" t="s">
        <v>6800</v>
      </c>
      <c r="AM298" s="59" t="s">
        <v>181</v>
      </c>
    </row>
    <row r="299" spans="1:42">
      <c r="A299" s="62">
        <v>7</v>
      </c>
      <c r="B299" s="93">
        <v>290</v>
      </c>
      <c r="C299" s="68" t="s">
        <v>6751</v>
      </c>
      <c r="D299" s="59" t="s">
        <v>6801</v>
      </c>
      <c r="E299" s="72" t="s">
        <v>5862</v>
      </c>
      <c r="F299" s="73" t="s">
        <v>6802</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6754</v>
      </c>
      <c r="U299" s="63">
        <v>398</v>
      </c>
      <c r="V299" s="70">
        <v>42336</v>
      </c>
      <c r="W299" s="70">
        <v>42000</v>
      </c>
      <c r="X299" s="83" t="s">
        <v>5933</v>
      </c>
      <c r="Y299" s="70">
        <v>10000</v>
      </c>
      <c r="Z299" s="63" t="s">
        <v>5866</v>
      </c>
      <c r="AC299" s="67"/>
      <c r="AD299" s="61" t="s">
        <v>6803</v>
      </c>
      <c r="AE299" s="71"/>
      <c r="AF299" s="71"/>
      <c r="AG299" s="71"/>
      <c r="AH299" s="71"/>
      <c r="AI299" s="71"/>
      <c r="AJ299" s="71"/>
      <c r="AK299" s="263" t="s">
        <v>181</v>
      </c>
      <c r="AM299" s="59" t="s">
        <v>181</v>
      </c>
    </row>
    <row r="300" spans="1:42">
      <c r="A300" s="62">
        <v>7</v>
      </c>
      <c r="B300" s="93">
        <v>291</v>
      </c>
      <c r="C300" s="68" t="s">
        <v>6751</v>
      </c>
      <c r="D300" s="59" t="s">
        <v>5915</v>
      </c>
      <c r="E300" s="72" t="s">
        <v>5862</v>
      </c>
      <c r="F300" s="73" t="s">
        <v>6804</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6754</v>
      </c>
      <c r="U300" s="63">
        <v>398</v>
      </c>
      <c r="V300" s="70">
        <v>51811</v>
      </c>
      <c r="W300" s="70">
        <v>52000</v>
      </c>
      <c r="X300" s="83" t="s">
        <v>5903</v>
      </c>
      <c r="Y300" s="70">
        <v>27000</v>
      </c>
      <c r="Z300" s="63" t="s">
        <v>5866</v>
      </c>
      <c r="AC300" s="67"/>
      <c r="AD300" s="61" t="s">
        <v>5917</v>
      </c>
      <c r="AE300" s="71"/>
      <c r="AF300" s="71"/>
      <c r="AG300" s="71"/>
      <c r="AH300" s="71"/>
      <c r="AI300" s="71"/>
      <c r="AJ300" s="71"/>
      <c r="AK300" s="263" t="s">
        <v>181</v>
      </c>
      <c r="AL300" s="71"/>
      <c r="AM300" s="71"/>
      <c r="AN300" s="71"/>
      <c r="AO300" s="71"/>
      <c r="AP300" s="71"/>
    </row>
    <row r="301" spans="1:42">
      <c r="A301" s="62">
        <v>7</v>
      </c>
      <c r="B301" s="93">
        <v>292</v>
      </c>
      <c r="C301" s="68" t="s">
        <v>6751</v>
      </c>
      <c r="D301" s="59" t="s">
        <v>6805</v>
      </c>
      <c r="E301" s="72" t="s">
        <v>5862</v>
      </c>
      <c r="F301" s="73" t="s">
        <v>6806</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6754</v>
      </c>
      <c r="U301" s="63">
        <v>401</v>
      </c>
      <c r="V301" s="70">
        <v>30504</v>
      </c>
      <c r="W301" s="70">
        <v>31000</v>
      </c>
      <c r="X301" s="83" t="s">
        <v>6791</v>
      </c>
      <c r="Y301" s="70">
        <v>10000</v>
      </c>
      <c r="Z301" s="63" t="s">
        <v>5866</v>
      </c>
      <c r="AC301" s="67"/>
      <c r="AD301" s="61" t="s">
        <v>181</v>
      </c>
      <c r="AE301" s="71"/>
      <c r="AF301" s="71"/>
      <c r="AG301" s="71"/>
      <c r="AH301" s="71"/>
      <c r="AI301" s="71"/>
      <c r="AJ301" s="71"/>
      <c r="AK301" s="263" t="s">
        <v>181</v>
      </c>
      <c r="AM301" s="59" t="s">
        <v>181</v>
      </c>
    </row>
    <row r="302" spans="1:42">
      <c r="A302" s="62">
        <v>7</v>
      </c>
      <c r="B302" s="93">
        <v>293</v>
      </c>
      <c r="C302" s="68" t="s">
        <v>6751</v>
      </c>
      <c r="D302" s="59" t="s">
        <v>5918</v>
      </c>
      <c r="E302" s="72" t="s">
        <v>5862</v>
      </c>
      <c r="F302" s="73" t="s">
        <v>6807</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6754</v>
      </c>
      <c r="U302" s="63">
        <v>398</v>
      </c>
      <c r="V302" s="70">
        <v>40424</v>
      </c>
      <c r="W302" s="70">
        <v>40000</v>
      </c>
      <c r="X302" s="83" t="s">
        <v>5920</v>
      </c>
      <c r="Y302" s="70">
        <v>16000</v>
      </c>
      <c r="Z302" s="63" t="s">
        <v>5866</v>
      </c>
      <c r="AC302" s="67"/>
      <c r="AD302" s="61" t="s">
        <v>181</v>
      </c>
      <c r="AE302" s="71"/>
      <c r="AF302" s="71"/>
      <c r="AG302" s="71"/>
      <c r="AH302" s="71"/>
      <c r="AI302" s="71"/>
      <c r="AJ302" s="71"/>
      <c r="AK302" s="263" t="s">
        <v>181</v>
      </c>
      <c r="AM302" s="59" t="s">
        <v>181</v>
      </c>
    </row>
    <row r="303" spans="1:42">
      <c r="A303" s="62">
        <v>7</v>
      </c>
      <c r="B303" s="93">
        <v>294</v>
      </c>
      <c r="C303" s="92" t="s">
        <v>6766</v>
      </c>
      <c r="D303" s="93" t="s">
        <v>6808</v>
      </c>
      <c r="E303" s="92" t="s">
        <v>5862</v>
      </c>
      <c r="F303" s="93" t="s">
        <v>6809</v>
      </c>
      <c r="G303" s="94" t="s">
        <v>6810</v>
      </c>
      <c r="H303" s="93">
        <v>9102</v>
      </c>
      <c r="I303" s="92">
        <v>0</v>
      </c>
      <c r="J303" s="95">
        <v>38194</v>
      </c>
      <c r="K303" s="96">
        <v>2.94</v>
      </c>
      <c r="L303" s="97">
        <v>0</v>
      </c>
      <c r="M303" s="97">
        <v>0</v>
      </c>
      <c r="N303" s="93">
        <v>1974</v>
      </c>
      <c r="O303" s="92">
        <v>2460</v>
      </c>
      <c r="P303" s="59">
        <v>2772</v>
      </c>
      <c r="Q303" s="59">
        <v>24</v>
      </c>
      <c r="R303" s="59">
        <v>10</v>
      </c>
      <c r="S303" s="59">
        <v>1</v>
      </c>
      <c r="T303" s="93" t="s">
        <v>6754</v>
      </c>
      <c r="U303" s="93">
        <v>398</v>
      </c>
      <c r="V303" s="95">
        <v>67926</v>
      </c>
      <c r="W303" s="95">
        <v>68000</v>
      </c>
      <c r="X303" s="98" t="s">
        <v>6091</v>
      </c>
      <c r="Y303" s="95">
        <v>38000</v>
      </c>
      <c r="Z303" s="93" t="s">
        <v>209</v>
      </c>
      <c r="AA303" s="93">
        <v>3</v>
      </c>
      <c r="AB303" s="93">
        <v>3</v>
      </c>
      <c r="AC303" s="93">
        <v>33</v>
      </c>
      <c r="AD303" s="93"/>
      <c r="AE303" s="99"/>
      <c r="AF303" s="100"/>
      <c r="AG303" s="100"/>
      <c r="AH303" s="99"/>
      <c r="AI303" s="100"/>
      <c r="AJ303" s="99"/>
      <c r="AK303" s="71"/>
      <c r="AM303" s="59" t="s">
        <v>181</v>
      </c>
    </row>
    <row r="304" spans="1:42">
      <c r="A304" s="62">
        <v>7</v>
      </c>
      <c r="B304" s="93">
        <v>295</v>
      </c>
      <c r="C304" s="68" t="s">
        <v>6751</v>
      </c>
      <c r="D304" s="59" t="s">
        <v>6811</v>
      </c>
      <c r="E304" s="72" t="s">
        <v>5862</v>
      </c>
      <c r="F304" s="73" t="s">
        <v>6812</v>
      </c>
      <c r="G304" s="82" t="s">
        <v>6239</v>
      </c>
      <c r="H304" s="67">
        <v>9103</v>
      </c>
      <c r="I304" s="69">
        <v>0</v>
      </c>
      <c r="J304" s="70">
        <v>22183</v>
      </c>
      <c r="K304" s="75">
        <v>10.27814091872154</v>
      </c>
      <c r="L304" s="74">
        <v>0</v>
      </c>
      <c r="M304" s="76">
        <v>0</v>
      </c>
      <c r="N304" s="67">
        <v>2008</v>
      </c>
      <c r="O304" s="64">
        <v>6965</v>
      </c>
      <c r="P304" s="64">
        <v>6150</v>
      </c>
      <c r="Q304" s="59">
        <v>32</v>
      </c>
      <c r="R304" s="59">
        <v>9</v>
      </c>
      <c r="S304" s="59">
        <v>1</v>
      </c>
      <c r="T304" s="63" t="s">
        <v>6813</v>
      </c>
      <c r="U304" s="63">
        <v>397</v>
      </c>
      <c r="V304" s="70">
        <v>45344</v>
      </c>
      <c r="W304" s="70">
        <v>45000</v>
      </c>
      <c r="X304" s="83" t="s">
        <v>6774</v>
      </c>
      <c r="Y304" s="70">
        <v>22000</v>
      </c>
      <c r="Z304" s="63" t="s">
        <v>5866</v>
      </c>
      <c r="AC304" s="67"/>
      <c r="AD304" s="61" t="s">
        <v>181</v>
      </c>
      <c r="AE304" s="71"/>
      <c r="AF304" s="71"/>
      <c r="AG304" s="71"/>
      <c r="AH304" s="71"/>
      <c r="AI304" s="71"/>
      <c r="AJ304" s="71"/>
      <c r="AK304" s="263" t="s">
        <v>181</v>
      </c>
      <c r="AM304" s="59" t="s">
        <v>181</v>
      </c>
    </row>
    <row r="305" spans="1:39">
      <c r="A305" s="62">
        <v>7</v>
      </c>
      <c r="B305" s="93">
        <v>296</v>
      </c>
      <c r="C305" s="68" t="s">
        <v>6751</v>
      </c>
      <c r="D305" s="59" t="s">
        <v>6814</v>
      </c>
      <c r="E305" s="72" t="s">
        <v>5862</v>
      </c>
      <c r="F305" s="73" t="s">
        <v>6815</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6813</v>
      </c>
      <c r="U305" s="63">
        <v>398</v>
      </c>
      <c r="V305" s="70">
        <v>202118</v>
      </c>
      <c r="W305" s="70">
        <v>200000</v>
      </c>
      <c r="X305" s="83" t="s">
        <v>6816</v>
      </c>
      <c r="Y305" s="70">
        <v>51000</v>
      </c>
      <c r="Z305" s="63" t="s">
        <v>5866</v>
      </c>
      <c r="AC305" s="67"/>
      <c r="AD305" s="61" t="s">
        <v>6817</v>
      </c>
      <c r="AE305" s="71"/>
      <c r="AF305" s="71"/>
      <c r="AG305" s="71"/>
      <c r="AH305" s="71"/>
      <c r="AI305" s="71"/>
      <c r="AJ305" s="71"/>
      <c r="AK305" s="263" t="s">
        <v>181</v>
      </c>
      <c r="AM305" s="59" t="s">
        <v>181</v>
      </c>
    </row>
    <row r="306" spans="1:39">
      <c r="A306" s="62">
        <v>7</v>
      </c>
      <c r="B306" s="93">
        <v>297</v>
      </c>
      <c r="C306" s="68" t="s">
        <v>6751</v>
      </c>
      <c r="D306" s="59" t="s">
        <v>6818</v>
      </c>
      <c r="E306" s="72" t="s">
        <v>5862</v>
      </c>
      <c r="F306" s="73" t="s">
        <v>6819</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6813</v>
      </c>
      <c r="U306" s="63">
        <v>398</v>
      </c>
      <c r="V306" s="70">
        <v>71003</v>
      </c>
      <c r="W306" s="70">
        <v>71000</v>
      </c>
      <c r="X306" s="83" t="s">
        <v>6436</v>
      </c>
      <c r="Y306" s="70">
        <v>20000</v>
      </c>
      <c r="Z306" s="63" t="s">
        <v>5866</v>
      </c>
      <c r="AC306" s="67"/>
      <c r="AD306" s="61" t="s">
        <v>6817</v>
      </c>
      <c r="AE306" s="71"/>
      <c r="AF306" s="71"/>
      <c r="AG306" s="71"/>
      <c r="AH306" s="71"/>
      <c r="AI306" s="71"/>
      <c r="AJ306" s="71"/>
      <c r="AK306" s="263" t="s">
        <v>181</v>
      </c>
      <c r="AM306" s="59" t="s">
        <v>181</v>
      </c>
    </row>
    <row r="307" spans="1:39" ht="25.5">
      <c r="A307" s="62">
        <v>7</v>
      </c>
      <c r="B307" s="93">
        <v>298</v>
      </c>
      <c r="C307" s="68" t="s">
        <v>6751</v>
      </c>
      <c r="D307" s="59" t="s">
        <v>5947</v>
      </c>
      <c r="E307" s="72" t="s">
        <v>5862</v>
      </c>
      <c r="F307" s="73" t="s">
        <v>6820</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6759</v>
      </c>
      <c r="U307" s="63">
        <v>398</v>
      </c>
      <c r="V307" s="70">
        <v>292070</v>
      </c>
      <c r="W307" s="70">
        <v>290000</v>
      </c>
      <c r="X307" s="83" t="s">
        <v>5874</v>
      </c>
      <c r="Y307" s="70">
        <v>130000</v>
      </c>
      <c r="Z307" s="63" t="s">
        <v>5866</v>
      </c>
      <c r="AC307" s="67"/>
      <c r="AD307" s="61" t="s">
        <v>5949</v>
      </c>
      <c r="AE307" s="71"/>
      <c r="AF307" s="71"/>
      <c r="AG307" s="71"/>
      <c r="AH307" s="71"/>
      <c r="AI307" s="71"/>
      <c r="AJ307" s="71"/>
      <c r="AK307" s="263" t="s">
        <v>6821</v>
      </c>
      <c r="AM307" s="59" t="s">
        <v>181</v>
      </c>
    </row>
    <row r="308" spans="1:39">
      <c r="A308" s="62">
        <v>7</v>
      </c>
      <c r="B308" s="93">
        <v>299</v>
      </c>
      <c r="C308" s="68" t="s">
        <v>6751</v>
      </c>
      <c r="D308" s="59" t="s">
        <v>6822</v>
      </c>
      <c r="E308" s="72" t="s">
        <v>5862</v>
      </c>
      <c r="F308" s="73" t="s">
        <v>6823</v>
      </c>
      <c r="G308" s="82">
        <v>44.2</v>
      </c>
      <c r="H308" s="67">
        <v>9101</v>
      </c>
      <c r="I308" s="69">
        <v>0</v>
      </c>
      <c r="J308" s="70">
        <v>19692</v>
      </c>
      <c r="K308" s="75">
        <v>2.412147064797888</v>
      </c>
      <c r="L308" s="74">
        <v>0</v>
      </c>
      <c r="M308" s="76">
        <v>0</v>
      </c>
      <c r="N308" s="67">
        <v>1959</v>
      </c>
      <c r="O308" s="64">
        <v>1400</v>
      </c>
      <c r="Q308" s="59">
        <v>17</v>
      </c>
      <c r="R308" s="59">
        <v>3</v>
      </c>
      <c r="S308" s="59">
        <v>1</v>
      </c>
      <c r="T308" s="63" t="s">
        <v>6759</v>
      </c>
      <c r="U308" s="63">
        <v>398</v>
      </c>
      <c r="V308" s="70">
        <v>45551</v>
      </c>
      <c r="W308" s="70">
        <v>46000</v>
      </c>
      <c r="X308" s="83" t="s">
        <v>5874</v>
      </c>
      <c r="Y308" s="70">
        <v>20000</v>
      </c>
      <c r="Z308" s="63" t="s">
        <v>5866</v>
      </c>
      <c r="AC308" s="67"/>
      <c r="AD308" s="61" t="s">
        <v>181</v>
      </c>
      <c r="AE308" s="71"/>
      <c r="AF308" s="71"/>
      <c r="AG308" s="71"/>
      <c r="AH308" s="71"/>
      <c r="AI308" s="71"/>
      <c r="AJ308" s="71"/>
      <c r="AK308" s="263" t="s">
        <v>181</v>
      </c>
      <c r="AM308" s="59" t="s">
        <v>181</v>
      </c>
    </row>
    <row r="309" spans="1:39">
      <c r="A309" s="62">
        <v>7</v>
      </c>
      <c r="B309" s="93">
        <v>300</v>
      </c>
      <c r="C309" s="68" t="s">
        <v>6751</v>
      </c>
      <c r="D309" s="59" t="s">
        <v>5950</v>
      </c>
      <c r="E309" s="72" t="s">
        <v>5862</v>
      </c>
      <c r="F309" s="73" t="s">
        <v>6824</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6759</v>
      </c>
      <c r="U309" s="63">
        <v>398</v>
      </c>
      <c r="V309" s="70">
        <v>317659</v>
      </c>
      <c r="W309" s="70">
        <v>320000</v>
      </c>
      <c r="X309" s="83" t="s">
        <v>5952</v>
      </c>
      <c r="Y309" s="70">
        <v>120000</v>
      </c>
      <c r="Z309" s="63" t="s">
        <v>5866</v>
      </c>
      <c r="AC309" s="67"/>
      <c r="AD309" s="61" t="s">
        <v>5953</v>
      </c>
      <c r="AE309" s="71"/>
      <c r="AF309" s="71"/>
      <c r="AG309" s="71"/>
      <c r="AH309" s="71"/>
      <c r="AI309" s="71"/>
      <c r="AJ309" s="71"/>
      <c r="AK309" s="263" t="s">
        <v>6825</v>
      </c>
      <c r="AM309" s="59" t="s">
        <v>181</v>
      </c>
    </row>
    <row r="310" spans="1:39">
      <c r="A310" s="62">
        <v>7</v>
      </c>
      <c r="B310" s="93">
        <v>301</v>
      </c>
      <c r="C310" s="68" t="s">
        <v>6751</v>
      </c>
      <c r="D310" s="59" t="s">
        <v>5964</v>
      </c>
      <c r="E310" s="72" t="s">
        <v>5862</v>
      </c>
      <c r="F310" s="73" t="s">
        <v>6826</v>
      </c>
      <c r="G310" s="82">
        <v>44.2</v>
      </c>
      <c r="H310" s="67">
        <v>9101</v>
      </c>
      <c r="I310" s="69">
        <v>0</v>
      </c>
      <c r="J310" s="70">
        <v>11440</v>
      </c>
      <c r="K310" s="75">
        <v>6.2937062937062933</v>
      </c>
      <c r="L310" s="74">
        <v>0</v>
      </c>
      <c r="M310" s="76">
        <v>0</v>
      </c>
      <c r="N310" s="67">
        <v>1974</v>
      </c>
      <c r="O310" s="64">
        <v>1564</v>
      </c>
      <c r="Q310" s="59">
        <v>22</v>
      </c>
      <c r="R310" s="59">
        <v>1</v>
      </c>
      <c r="S310" s="59">
        <v>1</v>
      </c>
      <c r="T310" s="63" t="s">
        <v>6759</v>
      </c>
      <c r="U310" s="63">
        <v>398</v>
      </c>
      <c r="V310" s="70">
        <v>21764</v>
      </c>
      <c r="W310" s="70">
        <v>22000</v>
      </c>
      <c r="X310" s="83" t="s">
        <v>5903</v>
      </c>
      <c r="Y310" s="70">
        <v>11000</v>
      </c>
      <c r="Z310" s="63" t="s">
        <v>5866</v>
      </c>
      <c r="AC310" s="67"/>
      <c r="AD310" s="61" t="s">
        <v>181</v>
      </c>
      <c r="AE310" s="71"/>
      <c r="AF310" s="71"/>
      <c r="AG310" s="71"/>
      <c r="AH310" s="71"/>
      <c r="AI310" s="71"/>
      <c r="AJ310" s="71"/>
      <c r="AK310" s="263" t="s">
        <v>6755</v>
      </c>
      <c r="AM310" s="59" t="s">
        <v>181</v>
      </c>
    </row>
    <row r="311" spans="1:39">
      <c r="A311" s="62">
        <v>7</v>
      </c>
      <c r="B311" s="93">
        <v>302</v>
      </c>
      <c r="C311" s="68" t="s">
        <v>6751</v>
      </c>
      <c r="D311" s="59" t="s">
        <v>5966</v>
      </c>
      <c r="E311" s="72" t="s">
        <v>5862</v>
      </c>
      <c r="F311" s="73" t="s">
        <v>6827</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6759</v>
      </c>
      <c r="U311" s="63">
        <v>398</v>
      </c>
      <c r="V311" s="70">
        <v>102703</v>
      </c>
      <c r="W311" s="70">
        <v>100000</v>
      </c>
      <c r="X311" s="83" t="s">
        <v>5952</v>
      </c>
      <c r="Y311" s="70">
        <v>40000</v>
      </c>
      <c r="Z311" s="63" t="s">
        <v>5866</v>
      </c>
      <c r="AC311" s="67"/>
      <c r="AD311" s="61" t="s">
        <v>5968</v>
      </c>
      <c r="AE311" s="71"/>
      <c r="AF311" s="71"/>
      <c r="AG311" s="71"/>
      <c r="AH311" s="71"/>
      <c r="AI311" s="71"/>
      <c r="AJ311" s="71"/>
      <c r="AK311" s="263" t="s">
        <v>181</v>
      </c>
      <c r="AM311" s="59" t="s">
        <v>181</v>
      </c>
    </row>
    <row r="312" spans="1:39">
      <c r="A312" s="62">
        <v>7</v>
      </c>
      <c r="B312" s="93">
        <v>303</v>
      </c>
      <c r="C312" s="68" t="s">
        <v>6751</v>
      </c>
      <c r="D312" s="59" t="s">
        <v>6828</v>
      </c>
      <c r="E312" s="72" t="s">
        <v>5862</v>
      </c>
      <c r="F312" s="73" t="s">
        <v>6829</v>
      </c>
      <c r="G312" s="82">
        <v>44.2</v>
      </c>
      <c r="H312" s="67">
        <v>9101</v>
      </c>
      <c r="I312" s="69">
        <v>0</v>
      </c>
      <c r="J312" s="70">
        <v>14222</v>
      </c>
      <c r="K312" s="75">
        <v>5.0625791027984812</v>
      </c>
      <c r="L312" s="74">
        <v>0</v>
      </c>
      <c r="M312" s="76">
        <v>0</v>
      </c>
      <c r="N312" s="67">
        <v>1986</v>
      </c>
      <c r="O312" s="64">
        <v>1731</v>
      </c>
      <c r="Q312" s="59">
        <v>18</v>
      </c>
      <c r="R312" s="59">
        <v>8</v>
      </c>
      <c r="S312" s="59">
        <v>1</v>
      </c>
      <c r="T312" s="63" t="s">
        <v>6759</v>
      </c>
      <c r="U312" s="63">
        <v>398</v>
      </c>
      <c r="V312" s="70">
        <v>99260</v>
      </c>
      <c r="W312" s="70">
        <v>99000</v>
      </c>
      <c r="X312" s="83" t="s">
        <v>6830</v>
      </c>
      <c r="Y312" s="70">
        <v>14000</v>
      </c>
      <c r="Z312" s="63" t="s">
        <v>5866</v>
      </c>
      <c r="AC312" s="67"/>
      <c r="AD312" s="61" t="s">
        <v>6831</v>
      </c>
      <c r="AE312" s="71"/>
      <c r="AF312" s="71"/>
      <c r="AG312" s="71"/>
      <c r="AH312" s="71"/>
      <c r="AI312" s="71"/>
      <c r="AJ312" s="71"/>
      <c r="AK312" s="263" t="s">
        <v>181</v>
      </c>
      <c r="AM312" s="59" t="s">
        <v>181</v>
      </c>
    </row>
    <row r="313" spans="1:39">
      <c r="A313" s="62">
        <v>7</v>
      </c>
      <c r="B313" s="93">
        <v>304</v>
      </c>
      <c r="C313" s="68" t="s">
        <v>6751</v>
      </c>
      <c r="D313" s="59" t="s">
        <v>6832</v>
      </c>
      <c r="E313" s="72" t="s">
        <v>5862</v>
      </c>
      <c r="F313" s="73" t="s">
        <v>6833</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6759</v>
      </c>
      <c r="U313" s="63">
        <v>398</v>
      </c>
      <c r="V313" s="70">
        <v>60517</v>
      </c>
      <c r="W313" s="70">
        <v>61000</v>
      </c>
      <c r="X313" s="83" t="s">
        <v>6791</v>
      </c>
      <c r="Y313" s="70">
        <v>20000</v>
      </c>
      <c r="Z313" s="63" t="s">
        <v>5866</v>
      </c>
      <c r="AC313" s="67"/>
      <c r="AD313" s="61" t="s">
        <v>6834</v>
      </c>
      <c r="AE313" s="71"/>
      <c r="AF313" s="71"/>
      <c r="AG313" s="71"/>
      <c r="AH313" s="71"/>
      <c r="AI313" s="71"/>
      <c r="AJ313" s="71"/>
      <c r="AK313" s="263" t="s">
        <v>181</v>
      </c>
      <c r="AM313" s="59" t="s">
        <v>181</v>
      </c>
    </row>
    <row r="314" spans="1:39">
      <c r="A314" s="62">
        <v>7</v>
      </c>
      <c r="B314" s="93">
        <v>305</v>
      </c>
      <c r="C314" s="68" t="s">
        <v>6751</v>
      </c>
      <c r="D314" s="59" t="s">
        <v>5977</v>
      </c>
      <c r="E314" s="72" t="s">
        <v>5862</v>
      </c>
      <c r="F314" s="73" t="s">
        <v>6835</v>
      </c>
      <c r="G314" s="82">
        <v>44.2</v>
      </c>
      <c r="H314" s="67">
        <v>9101</v>
      </c>
      <c r="I314" s="69">
        <v>0</v>
      </c>
      <c r="J314" s="70">
        <v>29447</v>
      </c>
      <c r="K314" s="75">
        <v>4.0751180086256662</v>
      </c>
      <c r="L314" s="74">
        <v>0</v>
      </c>
      <c r="M314" s="76">
        <v>0</v>
      </c>
      <c r="N314" s="67">
        <v>1967</v>
      </c>
      <c r="O314" s="64">
        <v>7053</v>
      </c>
      <c r="Q314" s="59">
        <v>24</v>
      </c>
      <c r="R314" s="59">
        <v>10</v>
      </c>
      <c r="S314" s="59">
        <v>1</v>
      </c>
      <c r="T314" s="63" t="s">
        <v>6759</v>
      </c>
      <c r="U314" s="63">
        <v>398</v>
      </c>
      <c r="V314" s="70">
        <v>90213</v>
      </c>
      <c r="W314" s="70">
        <v>90000</v>
      </c>
      <c r="X314" s="83" t="s">
        <v>5979</v>
      </c>
      <c r="Y314" s="70">
        <v>29000</v>
      </c>
      <c r="Z314" s="63" t="s">
        <v>5866</v>
      </c>
      <c r="AC314" s="67"/>
      <c r="AD314" s="61" t="s">
        <v>181</v>
      </c>
      <c r="AE314" s="71"/>
      <c r="AF314" s="71"/>
      <c r="AG314" s="71"/>
      <c r="AH314" s="71"/>
      <c r="AI314" s="71"/>
      <c r="AJ314" s="71"/>
      <c r="AK314" s="263" t="s">
        <v>6755</v>
      </c>
      <c r="AM314" s="59" t="s">
        <v>181</v>
      </c>
    </row>
    <row r="315" spans="1:39">
      <c r="A315" s="62">
        <v>7</v>
      </c>
      <c r="B315" s="93">
        <v>306</v>
      </c>
      <c r="C315" s="68" t="s">
        <v>6751</v>
      </c>
      <c r="D315" s="59" t="s">
        <v>6836</v>
      </c>
      <c r="E315" s="72" t="s">
        <v>5862</v>
      </c>
      <c r="F315" s="73" t="s">
        <v>6837</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6759</v>
      </c>
      <c r="U315" s="63">
        <v>398</v>
      </c>
      <c r="V315" s="70">
        <v>89166</v>
      </c>
      <c r="W315" s="70">
        <v>89000</v>
      </c>
      <c r="X315" s="83" t="s">
        <v>6774</v>
      </c>
      <c r="Y315" s="70">
        <v>44000</v>
      </c>
      <c r="Z315" s="63" t="s">
        <v>5866</v>
      </c>
      <c r="AC315" s="67"/>
      <c r="AD315" s="61" t="s">
        <v>6838</v>
      </c>
      <c r="AE315" s="71"/>
      <c r="AF315" s="71"/>
      <c r="AG315" s="71"/>
      <c r="AH315" s="71"/>
      <c r="AI315" s="71"/>
      <c r="AJ315" s="71"/>
      <c r="AK315" s="263" t="s">
        <v>6755</v>
      </c>
      <c r="AM315" s="59" t="s">
        <v>181</v>
      </c>
    </row>
    <row r="316" spans="1:39">
      <c r="A316" s="62">
        <v>7</v>
      </c>
      <c r="B316" s="93">
        <v>307</v>
      </c>
      <c r="C316" s="68" t="s">
        <v>6751</v>
      </c>
      <c r="D316" s="59" t="s">
        <v>6839</v>
      </c>
      <c r="E316" s="72" t="s">
        <v>5862</v>
      </c>
      <c r="F316" s="73" t="s">
        <v>6840</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6759</v>
      </c>
      <c r="U316" s="63">
        <v>398</v>
      </c>
      <c r="V316" s="70">
        <v>25000</v>
      </c>
      <c r="W316" s="70">
        <v>25000</v>
      </c>
      <c r="X316" s="83" t="s">
        <v>6774</v>
      </c>
      <c r="Y316" s="70">
        <v>13000</v>
      </c>
      <c r="Z316" s="63" t="s">
        <v>5866</v>
      </c>
      <c r="AC316" s="67"/>
      <c r="AD316" s="61" t="s">
        <v>181</v>
      </c>
      <c r="AE316" s="71"/>
      <c r="AF316" s="71"/>
      <c r="AG316" s="71"/>
      <c r="AH316" s="71"/>
      <c r="AI316" s="71"/>
      <c r="AJ316" s="71"/>
      <c r="AK316" s="263" t="s">
        <v>181</v>
      </c>
      <c r="AM316" s="59" t="s">
        <v>181</v>
      </c>
    </row>
    <row r="317" spans="1:39" ht="25.5">
      <c r="A317" s="62">
        <v>7</v>
      </c>
      <c r="B317" s="93">
        <v>308</v>
      </c>
      <c r="C317" s="68" t="s">
        <v>6751</v>
      </c>
      <c r="D317" s="59" t="s">
        <v>5993</v>
      </c>
      <c r="E317" s="72" t="s">
        <v>5862</v>
      </c>
      <c r="F317" s="73" t="s">
        <v>6841</v>
      </c>
      <c r="G317" s="82">
        <v>44.2</v>
      </c>
      <c r="H317" s="67">
        <v>9101</v>
      </c>
      <c r="I317" s="69">
        <v>0</v>
      </c>
      <c r="J317" s="70">
        <v>1200</v>
      </c>
      <c r="K317" s="75">
        <v>5.75</v>
      </c>
      <c r="L317" s="74">
        <v>0</v>
      </c>
      <c r="M317" s="76">
        <v>0.28579710144927528</v>
      </c>
      <c r="N317" s="67">
        <v>1961</v>
      </c>
      <c r="O317" s="64">
        <v>3164</v>
      </c>
      <c r="Q317" s="59">
        <v>15</v>
      </c>
      <c r="R317" s="59">
        <v>3</v>
      </c>
      <c r="S317" s="59">
        <v>1</v>
      </c>
      <c r="T317" s="63" t="s">
        <v>6757</v>
      </c>
      <c r="U317" s="63">
        <v>398</v>
      </c>
      <c r="V317" s="70">
        <v>14387</v>
      </c>
      <c r="W317" s="70">
        <v>14000</v>
      </c>
      <c r="X317" s="83" t="s">
        <v>6774</v>
      </c>
      <c r="Y317" s="70">
        <v>1000</v>
      </c>
      <c r="Z317" s="63" t="s">
        <v>5924</v>
      </c>
      <c r="AC317" s="67"/>
      <c r="AD317" s="61" t="s">
        <v>181</v>
      </c>
      <c r="AE317" s="71"/>
      <c r="AF317" s="71"/>
      <c r="AG317" s="71"/>
      <c r="AH317" s="71"/>
      <c r="AI317" s="71"/>
      <c r="AJ317" s="71"/>
      <c r="AK317" s="263" t="s">
        <v>6842</v>
      </c>
      <c r="AM317" s="59" t="s">
        <v>181</v>
      </c>
    </row>
    <row r="318" spans="1:39">
      <c r="A318" s="62">
        <v>7</v>
      </c>
      <c r="B318" s="93">
        <v>309</v>
      </c>
      <c r="C318" s="68" t="s">
        <v>6751</v>
      </c>
      <c r="D318" s="59" t="s">
        <v>6843</v>
      </c>
      <c r="E318" s="72" t="s">
        <v>5862</v>
      </c>
      <c r="F318" s="73" t="s">
        <v>6844</v>
      </c>
      <c r="G318" s="82">
        <v>45.1</v>
      </c>
      <c r="H318" s="67">
        <v>9101</v>
      </c>
      <c r="I318" s="69">
        <v>0</v>
      </c>
      <c r="J318" s="70">
        <v>10250</v>
      </c>
      <c r="K318" s="75">
        <v>6.3483902439024389</v>
      </c>
      <c r="L318" s="74">
        <v>1</v>
      </c>
      <c r="M318" s="76">
        <v>0</v>
      </c>
      <c r="N318" s="67">
        <v>1965</v>
      </c>
      <c r="O318" s="64">
        <v>2584</v>
      </c>
      <c r="Q318" s="59">
        <v>18</v>
      </c>
      <c r="R318" s="59">
        <v>1</v>
      </c>
      <c r="S318" s="59">
        <v>1</v>
      </c>
      <c r="T318" s="63" t="s">
        <v>6754</v>
      </c>
      <c r="U318" s="63">
        <v>401</v>
      </c>
      <c r="V318" s="70">
        <v>18500</v>
      </c>
      <c r="W318" s="70">
        <v>19000</v>
      </c>
      <c r="X318" s="83" t="s">
        <v>6091</v>
      </c>
      <c r="Y318" s="70">
        <v>10000</v>
      </c>
      <c r="Z318" s="63" t="s">
        <v>5866</v>
      </c>
      <c r="AC318" s="67"/>
      <c r="AD318" s="61" t="s">
        <v>6845</v>
      </c>
      <c r="AE318" s="71"/>
      <c r="AF318" s="71"/>
      <c r="AG318" s="71"/>
      <c r="AH318" s="71"/>
      <c r="AI318" s="71"/>
      <c r="AJ318" s="71"/>
      <c r="AK318" s="263" t="s">
        <v>6846</v>
      </c>
      <c r="AM318" s="59" t="s">
        <v>181</v>
      </c>
    </row>
    <row r="319" spans="1:39" ht="25.5">
      <c r="A319" s="62">
        <v>7</v>
      </c>
      <c r="B319" s="93">
        <v>310</v>
      </c>
      <c r="C319" s="68" t="s">
        <v>6751</v>
      </c>
      <c r="D319" s="59" t="s">
        <v>5998</v>
      </c>
      <c r="E319" s="72" t="s">
        <v>5862</v>
      </c>
      <c r="F319" s="73" t="s">
        <v>6847</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6754</v>
      </c>
      <c r="U319" s="63">
        <v>398</v>
      </c>
      <c r="V319" s="70">
        <v>39942</v>
      </c>
      <c r="W319" s="70">
        <v>40000</v>
      </c>
      <c r="X319" s="83" t="s">
        <v>5878</v>
      </c>
      <c r="Y319" s="70">
        <v>17000</v>
      </c>
      <c r="Z319" s="63" t="s">
        <v>5866</v>
      </c>
      <c r="AC319" s="67"/>
      <c r="AD319" s="61" t="s">
        <v>5879</v>
      </c>
      <c r="AE319" s="71"/>
      <c r="AF319" s="71"/>
      <c r="AG319" s="71"/>
      <c r="AH319" s="71"/>
      <c r="AI319" s="71"/>
      <c r="AJ319" s="71"/>
      <c r="AK319" s="263" t="s">
        <v>6848</v>
      </c>
      <c r="AM319" s="59" t="s">
        <v>181</v>
      </c>
    </row>
    <row r="320" spans="1:39">
      <c r="A320" s="62">
        <v>7</v>
      </c>
      <c r="B320" s="93">
        <v>311</v>
      </c>
      <c r="C320" s="68" t="s">
        <v>6751</v>
      </c>
      <c r="D320" s="59" t="s">
        <v>6849</v>
      </c>
      <c r="E320" s="72" t="s">
        <v>5862</v>
      </c>
      <c r="F320" s="73" t="s">
        <v>6850</v>
      </c>
      <c r="G320" s="67">
        <v>44.1</v>
      </c>
      <c r="H320" s="67">
        <v>9101</v>
      </c>
      <c r="I320" s="69">
        <v>0</v>
      </c>
      <c r="J320" s="70">
        <v>18901</v>
      </c>
      <c r="K320" s="75">
        <v>5.7139833871223749</v>
      </c>
      <c r="L320" s="74">
        <v>0.5</v>
      </c>
      <c r="M320" s="76">
        <v>0</v>
      </c>
      <c r="N320" s="67">
        <v>1959</v>
      </c>
      <c r="O320" s="64">
        <v>3532</v>
      </c>
      <c r="Q320" s="59">
        <v>12</v>
      </c>
      <c r="R320" s="59">
        <v>1</v>
      </c>
      <c r="S320" s="59">
        <v>1</v>
      </c>
      <c r="T320" s="63" t="s">
        <v>6757</v>
      </c>
      <c r="U320" s="63">
        <v>398</v>
      </c>
      <c r="V320" s="70">
        <v>43080</v>
      </c>
      <c r="W320" s="70">
        <v>43000</v>
      </c>
      <c r="X320" s="83" t="s">
        <v>5874</v>
      </c>
      <c r="Y320" s="70">
        <v>19000</v>
      </c>
      <c r="Z320" s="63" t="s">
        <v>5866</v>
      </c>
      <c r="AC320" s="67"/>
      <c r="AD320" s="61" t="s">
        <v>5986</v>
      </c>
      <c r="AE320" s="71"/>
      <c r="AF320" s="71"/>
      <c r="AG320" s="71"/>
      <c r="AH320" s="71"/>
      <c r="AI320" s="71"/>
      <c r="AJ320" s="71"/>
      <c r="AK320" s="263" t="s">
        <v>181</v>
      </c>
      <c r="AL320">
        <f>IF(AND(ISNUMBER($S320),$S320&gt;0,ISNUMBER($K320),ISNUMBER($J320)),($K320*$J320)/$S320,"")</f>
        <v>108000</v>
      </c>
    </row>
    <row r="321" spans="1:43">
      <c r="A321" s="62">
        <v>7</v>
      </c>
      <c r="B321" s="93">
        <v>312</v>
      </c>
      <c r="C321" s="68" t="s">
        <v>6751</v>
      </c>
      <c r="D321" s="59" t="s">
        <v>6851</v>
      </c>
      <c r="E321" s="72" t="s">
        <v>5862</v>
      </c>
      <c r="F321" s="73" t="s">
        <v>6852</v>
      </c>
      <c r="G321" s="67">
        <v>44.1</v>
      </c>
      <c r="H321" s="67">
        <v>9101</v>
      </c>
      <c r="I321" s="69">
        <v>0</v>
      </c>
      <c r="J321" s="70">
        <v>11308</v>
      </c>
      <c r="K321" s="75">
        <v>4.9876193845065444</v>
      </c>
      <c r="L321" s="74">
        <v>0.42</v>
      </c>
      <c r="M321" s="76">
        <v>0</v>
      </c>
      <c r="N321" s="67">
        <v>1976</v>
      </c>
      <c r="O321" s="64">
        <v>1392</v>
      </c>
      <c r="Q321" s="59">
        <v>19</v>
      </c>
      <c r="R321" s="59">
        <v>10</v>
      </c>
      <c r="S321" s="59">
        <v>1</v>
      </c>
      <c r="T321" s="63" t="s">
        <v>6754</v>
      </c>
      <c r="U321" s="63">
        <v>398</v>
      </c>
      <c r="V321" s="70">
        <v>35505</v>
      </c>
      <c r="W321" s="70">
        <v>36000</v>
      </c>
      <c r="X321" s="83" t="s">
        <v>5979</v>
      </c>
      <c r="Y321" s="70">
        <v>11000</v>
      </c>
      <c r="Z321" s="63" t="s">
        <v>5866</v>
      </c>
      <c r="AC321" s="67"/>
      <c r="AD321" s="61" t="s">
        <v>181</v>
      </c>
      <c r="AE321" s="71"/>
      <c r="AF321" s="71"/>
      <c r="AG321" s="71"/>
      <c r="AH321" s="71"/>
      <c r="AI321" s="71"/>
      <c r="AJ321" s="71"/>
      <c r="AK321" s="263" t="s">
        <v>181</v>
      </c>
      <c r="AM321" s="59" t="s">
        <v>181</v>
      </c>
    </row>
    <row r="322" spans="1:43">
      <c r="A322" s="62">
        <v>7</v>
      </c>
      <c r="B322" s="93">
        <v>313</v>
      </c>
      <c r="C322" s="68" t="s">
        <v>6751</v>
      </c>
      <c r="D322" s="59" t="s">
        <v>6853</v>
      </c>
      <c r="E322" s="72" t="s">
        <v>5862</v>
      </c>
      <c r="F322" s="73" t="s">
        <v>6854</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6754</v>
      </c>
      <c r="U322" s="63">
        <v>401</v>
      </c>
      <c r="V322" s="70">
        <v>157000</v>
      </c>
      <c r="W322" s="70">
        <v>160000</v>
      </c>
      <c r="X322" s="83" t="s">
        <v>6774</v>
      </c>
      <c r="Y322" s="70">
        <v>80000</v>
      </c>
      <c r="Z322" s="63" t="s">
        <v>5866</v>
      </c>
      <c r="AC322" s="67"/>
      <c r="AD322" s="61" t="s">
        <v>6855</v>
      </c>
      <c r="AE322" s="71"/>
      <c r="AF322" s="71"/>
      <c r="AG322" s="71"/>
      <c r="AH322" s="71"/>
      <c r="AI322" s="71"/>
      <c r="AJ322" s="71"/>
      <c r="AK322" s="263" t="s">
        <v>181</v>
      </c>
      <c r="AM322" s="59" t="s">
        <v>181</v>
      </c>
    </row>
    <row r="323" spans="1:43" ht="25.5">
      <c r="A323" s="62">
        <v>7</v>
      </c>
      <c r="B323" s="93">
        <v>314</v>
      </c>
      <c r="C323" s="68" t="s">
        <v>6751</v>
      </c>
      <c r="D323" s="59" t="s">
        <v>6004</v>
      </c>
      <c r="E323" s="72" t="s">
        <v>5862</v>
      </c>
      <c r="F323" s="73" t="s">
        <v>6856</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6757</v>
      </c>
      <c r="U323" s="63">
        <v>398</v>
      </c>
      <c r="V323" s="70">
        <v>92437</v>
      </c>
      <c r="W323" s="70">
        <v>92000</v>
      </c>
      <c r="X323" s="83" t="s">
        <v>6006</v>
      </c>
      <c r="Y323" s="70">
        <v>7000</v>
      </c>
      <c r="Z323" s="63" t="s">
        <v>5866</v>
      </c>
      <c r="AC323" s="67"/>
      <c r="AD323" s="61" t="s">
        <v>181</v>
      </c>
      <c r="AE323" s="71"/>
      <c r="AF323" s="71"/>
      <c r="AG323" s="71"/>
      <c r="AH323" s="71"/>
      <c r="AI323" s="71"/>
      <c r="AJ323" s="71"/>
      <c r="AK323" s="263" t="s">
        <v>6857</v>
      </c>
      <c r="AM323" s="59" t="s">
        <v>181</v>
      </c>
    </row>
    <row r="324" spans="1:43">
      <c r="A324" s="62">
        <v>7</v>
      </c>
      <c r="B324" s="93">
        <v>315</v>
      </c>
      <c r="C324" s="68" t="s">
        <v>6751</v>
      </c>
      <c r="D324" s="59" t="s">
        <v>6858</v>
      </c>
      <c r="E324" s="72" t="s">
        <v>5862</v>
      </c>
      <c r="F324" s="73" t="s">
        <v>6859</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6754</v>
      </c>
      <c r="U324" s="63">
        <v>398</v>
      </c>
      <c r="V324" s="70">
        <v>124455</v>
      </c>
      <c r="W324" s="70">
        <v>120000</v>
      </c>
      <c r="X324" s="83" t="s">
        <v>6182</v>
      </c>
      <c r="Y324" s="70">
        <v>73000</v>
      </c>
      <c r="Z324" s="63" t="s">
        <v>5866</v>
      </c>
      <c r="AC324" s="67"/>
      <c r="AD324" s="61" t="s">
        <v>6860</v>
      </c>
      <c r="AE324" s="71"/>
      <c r="AF324" s="71"/>
      <c r="AG324" s="71"/>
      <c r="AH324" s="71"/>
      <c r="AI324" s="71"/>
      <c r="AJ324" s="71"/>
      <c r="AK324" s="263" t="s">
        <v>181</v>
      </c>
      <c r="AM324" s="59" t="s">
        <v>181</v>
      </c>
    </row>
    <row r="325" spans="1:43">
      <c r="A325" s="62">
        <v>7</v>
      </c>
      <c r="B325" s="93">
        <v>316</v>
      </c>
      <c r="C325" s="68" t="s">
        <v>6751</v>
      </c>
      <c r="D325" s="59" t="s">
        <v>6861</v>
      </c>
      <c r="E325" s="72" t="s">
        <v>5862</v>
      </c>
      <c r="F325" s="73" t="s">
        <v>6862</v>
      </c>
      <c r="G325" s="67">
        <v>44.1</v>
      </c>
      <c r="H325" s="67">
        <v>9101</v>
      </c>
      <c r="I325" s="69">
        <v>0</v>
      </c>
      <c r="J325" s="70">
        <v>7000</v>
      </c>
      <c r="K325" s="75">
        <v>5.1428571428571432</v>
      </c>
      <c r="L325" s="74">
        <v>0</v>
      </c>
      <c r="M325" s="76">
        <v>0</v>
      </c>
      <c r="N325" s="67">
        <v>1963</v>
      </c>
      <c r="O325" s="64">
        <v>1400</v>
      </c>
      <c r="Q325" s="59">
        <v>12</v>
      </c>
      <c r="R325" s="59">
        <v>3</v>
      </c>
      <c r="S325" s="59">
        <v>1</v>
      </c>
      <c r="T325" s="63" t="s">
        <v>6754</v>
      </c>
      <c r="U325" s="63">
        <v>398</v>
      </c>
      <c r="V325" s="70">
        <v>18600</v>
      </c>
      <c r="W325" s="70">
        <v>19000</v>
      </c>
      <c r="X325" s="83" t="s">
        <v>5985</v>
      </c>
      <c r="Y325" s="70">
        <v>7000</v>
      </c>
      <c r="Z325" s="63" t="s">
        <v>5866</v>
      </c>
      <c r="AC325" s="67"/>
      <c r="AD325" s="61" t="s">
        <v>181</v>
      </c>
      <c r="AE325" s="71"/>
      <c r="AF325" s="71"/>
      <c r="AG325" s="71"/>
      <c r="AH325" s="71"/>
      <c r="AI325" s="71"/>
      <c r="AJ325" s="71"/>
      <c r="AK325" s="263" t="s">
        <v>6863</v>
      </c>
      <c r="AM325" s="59" t="s">
        <v>181</v>
      </c>
    </row>
    <row r="326" spans="1:43">
      <c r="A326" s="62">
        <v>7</v>
      </c>
      <c r="B326" s="93">
        <v>317</v>
      </c>
      <c r="C326" s="68" t="s">
        <v>6751</v>
      </c>
      <c r="D326" s="59" t="s">
        <v>6025</v>
      </c>
      <c r="E326" s="72" t="s">
        <v>5862</v>
      </c>
      <c r="F326" s="73" t="s">
        <v>6864</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6757</v>
      </c>
      <c r="U326" s="63">
        <v>398</v>
      </c>
      <c r="V326" s="70">
        <v>19800</v>
      </c>
      <c r="W326" s="70">
        <v>20000</v>
      </c>
      <c r="X326" s="83" t="s">
        <v>5892</v>
      </c>
      <c r="Y326" s="70">
        <v>7000</v>
      </c>
      <c r="Z326" s="63" t="s">
        <v>5866</v>
      </c>
      <c r="AC326" s="67"/>
      <c r="AD326" s="61" t="s">
        <v>6027</v>
      </c>
      <c r="AE326" s="71"/>
      <c r="AF326" s="71"/>
      <c r="AG326" s="71"/>
      <c r="AH326" s="71"/>
      <c r="AI326" s="71"/>
      <c r="AJ326" s="71"/>
      <c r="AK326" s="263" t="s">
        <v>6755</v>
      </c>
      <c r="AM326" s="59" t="s">
        <v>181</v>
      </c>
    </row>
    <row r="327" spans="1:43">
      <c r="A327" s="62">
        <v>7</v>
      </c>
      <c r="B327" s="93">
        <v>318</v>
      </c>
      <c r="C327" s="68" t="s">
        <v>6751</v>
      </c>
      <c r="D327" s="59" t="s">
        <v>6028</v>
      </c>
      <c r="E327" s="72" t="s">
        <v>5862</v>
      </c>
      <c r="F327" s="73" t="s">
        <v>6865</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6754</v>
      </c>
      <c r="U327" s="63">
        <v>401</v>
      </c>
      <c r="V327" s="70">
        <v>12951</v>
      </c>
      <c r="W327" s="70">
        <v>13000</v>
      </c>
      <c r="X327" s="83" t="s">
        <v>5982</v>
      </c>
      <c r="Y327" s="70">
        <v>6000</v>
      </c>
      <c r="Z327" s="63" t="s">
        <v>5866</v>
      </c>
      <c r="AC327" s="67"/>
      <c r="AD327" s="61" t="s">
        <v>6030</v>
      </c>
      <c r="AE327" s="71"/>
      <c r="AF327" s="71"/>
      <c r="AG327" s="71"/>
      <c r="AH327" s="71"/>
      <c r="AI327" s="71"/>
      <c r="AJ327" s="71"/>
      <c r="AK327" s="263" t="s">
        <v>181</v>
      </c>
      <c r="AM327" s="59" t="s">
        <v>181</v>
      </c>
    </row>
    <row r="328" spans="1:43" ht="25.5">
      <c r="A328" s="62">
        <v>7</v>
      </c>
      <c r="B328" s="93">
        <v>319</v>
      </c>
      <c r="C328" s="68" t="s">
        <v>6751</v>
      </c>
      <c r="D328" s="59" t="s">
        <v>6031</v>
      </c>
      <c r="E328" s="72" t="s">
        <v>5862</v>
      </c>
      <c r="F328" s="73" t="s">
        <v>6866</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6757</v>
      </c>
      <c r="U328" s="63">
        <v>398</v>
      </c>
      <c r="V328" s="70">
        <v>41400</v>
      </c>
      <c r="W328" s="70">
        <v>41000</v>
      </c>
      <c r="X328" s="83" t="s">
        <v>5874</v>
      </c>
      <c r="Y328" s="70">
        <v>18000</v>
      </c>
      <c r="Z328" s="63" t="s">
        <v>5866</v>
      </c>
      <c r="AC328" s="67"/>
      <c r="AD328" s="61" t="s">
        <v>6033</v>
      </c>
      <c r="AE328" s="71"/>
      <c r="AF328" s="71"/>
      <c r="AG328" s="71"/>
      <c r="AH328" s="71"/>
      <c r="AI328" s="71"/>
      <c r="AJ328" s="71"/>
      <c r="AK328" s="263" t="s">
        <v>6867</v>
      </c>
      <c r="AL328" s="93"/>
      <c r="AM328" s="93"/>
      <c r="AN328" s="93"/>
      <c r="AO328" s="93"/>
      <c r="AP328" s="93"/>
      <c r="AQ328" s="93"/>
    </row>
    <row r="329" spans="1:43">
      <c r="A329" s="62">
        <v>7</v>
      </c>
      <c r="B329" s="93">
        <v>320</v>
      </c>
      <c r="C329" s="68" t="s">
        <v>6751</v>
      </c>
      <c r="D329" s="59" t="s">
        <v>6038</v>
      </c>
      <c r="E329" s="72" t="s">
        <v>5862</v>
      </c>
      <c r="F329" s="73" t="s">
        <v>6868</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6759</v>
      </c>
      <c r="U329" s="63">
        <v>398</v>
      </c>
      <c r="V329" s="70">
        <v>97473</v>
      </c>
      <c r="W329" s="70">
        <v>97000</v>
      </c>
      <c r="X329" s="83" t="s">
        <v>5982</v>
      </c>
      <c r="Y329" s="70">
        <v>46000</v>
      </c>
      <c r="Z329" s="63" t="s">
        <v>5866</v>
      </c>
      <c r="AC329" s="67"/>
      <c r="AD329" s="61" t="s">
        <v>181</v>
      </c>
      <c r="AE329" s="71"/>
      <c r="AF329" s="71"/>
      <c r="AG329" s="71"/>
      <c r="AH329" s="71"/>
      <c r="AI329" s="71"/>
      <c r="AJ329" s="71"/>
      <c r="AK329" s="263" t="s">
        <v>6869</v>
      </c>
      <c r="AM329" s="59" t="s">
        <v>181</v>
      </c>
    </row>
    <row r="330" spans="1:43">
      <c r="A330" s="62">
        <v>7</v>
      </c>
      <c r="B330" s="93">
        <v>321</v>
      </c>
      <c r="C330" s="68" t="s">
        <v>6751</v>
      </c>
      <c r="D330" s="59" t="s">
        <v>6870</v>
      </c>
      <c r="E330" s="72" t="s">
        <v>5862</v>
      </c>
      <c r="F330" s="73" t="s">
        <v>6871</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6759</v>
      </c>
      <c r="U330" s="63">
        <v>398</v>
      </c>
      <c r="V330" s="70">
        <v>77626</v>
      </c>
      <c r="W330" s="70">
        <v>78000</v>
      </c>
      <c r="X330" s="83" t="s">
        <v>6182</v>
      </c>
      <c r="Y330" s="70">
        <v>46000</v>
      </c>
      <c r="Z330" s="63" t="s">
        <v>5866</v>
      </c>
      <c r="AC330" s="67"/>
      <c r="AD330" s="61" t="s">
        <v>6872</v>
      </c>
      <c r="AE330" s="71"/>
      <c r="AF330" s="71"/>
      <c r="AG330" s="71"/>
      <c r="AH330" s="71"/>
      <c r="AI330" s="71"/>
      <c r="AJ330" s="71"/>
      <c r="AK330" s="263" t="s">
        <v>6873</v>
      </c>
      <c r="AM330" s="59" t="s">
        <v>181</v>
      </c>
    </row>
    <row r="331" spans="1:43">
      <c r="A331" s="62">
        <v>7</v>
      </c>
      <c r="B331" s="93">
        <v>322</v>
      </c>
      <c r="C331" s="93" t="s">
        <v>6766</v>
      </c>
      <c r="D331" s="93" t="s">
        <v>6874</v>
      </c>
      <c r="E331" s="93" t="s">
        <v>6875</v>
      </c>
      <c r="F331" s="93" t="s">
        <v>6876</v>
      </c>
      <c r="G331" s="93">
        <v>44.4</v>
      </c>
      <c r="H331" s="93">
        <v>9101</v>
      </c>
      <c r="I331" s="93" t="s">
        <v>6877</v>
      </c>
      <c r="J331" s="93">
        <v>144820</v>
      </c>
      <c r="K331" s="101">
        <v>5.25</v>
      </c>
      <c r="L331" s="97">
        <v>7.0000000000000007E-2</v>
      </c>
      <c r="M331" s="102">
        <v>0</v>
      </c>
      <c r="N331" s="93">
        <v>1985</v>
      </c>
      <c r="O331" s="64">
        <v>23519</v>
      </c>
      <c r="Q331" s="59">
        <v>21</v>
      </c>
      <c r="R331" s="59">
        <v>10</v>
      </c>
      <c r="S331" s="59">
        <v>7</v>
      </c>
      <c r="T331" s="93" t="s">
        <v>6878</v>
      </c>
      <c r="U331" s="93">
        <v>398</v>
      </c>
      <c r="V331" s="95">
        <v>311856</v>
      </c>
      <c r="W331" s="93">
        <v>300000</v>
      </c>
      <c r="X331" s="93" t="s">
        <v>6879</v>
      </c>
      <c r="Y331" s="93">
        <v>140000</v>
      </c>
      <c r="Z331" s="93" t="s">
        <v>207</v>
      </c>
      <c r="AA331" s="93">
        <v>3</v>
      </c>
      <c r="AB331" s="93">
        <v>3</v>
      </c>
      <c r="AC331" s="93">
        <v>33</v>
      </c>
      <c r="AD331" s="93"/>
      <c r="AE331" s="93"/>
      <c r="AF331" s="93"/>
      <c r="AG331" s="93"/>
      <c r="AH331" s="93"/>
      <c r="AI331" s="93"/>
      <c r="AJ331" s="93"/>
      <c r="AK331" s="93"/>
      <c r="AM331" s="59" t="s">
        <v>181</v>
      </c>
    </row>
    <row r="332" spans="1:43">
      <c r="A332" s="62">
        <v>7</v>
      </c>
      <c r="B332" s="93">
        <v>323</v>
      </c>
      <c r="C332" s="68" t="s">
        <v>6751</v>
      </c>
      <c r="D332" s="59" t="s">
        <v>6880</v>
      </c>
      <c r="E332" s="72" t="s">
        <v>5862</v>
      </c>
      <c r="F332" s="73" t="s">
        <v>6881</v>
      </c>
      <c r="G332" s="82">
        <v>44.2</v>
      </c>
      <c r="H332" s="67">
        <v>9101</v>
      </c>
      <c r="I332" s="69">
        <v>0</v>
      </c>
      <c r="J332" s="70">
        <v>21280</v>
      </c>
      <c r="K332" s="75">
        <v>7.8947368421052628</v>
      </c>
      <c r="L332" s="74">
        <v>0</v>
      </c>
      <c r="M332" s="76">
        <v>0</v>
      </c>
      <c r="N332" s="67">
        <v>1974</v>
      </c>
      <c r="O332" s="64">
        <v>2700</v>
      </c>
      <c r="Q332" s="59">
        <v>28</v>
      </c>
      <c r="R332" s="59">
        <v>10</v>
      </c>
      <c r="S332" s="59">
        <v>1</v>
      </c>
      <c r="T332" s="63" t="s">
        <v>6759</v>
      </c>
      <c r="U332" s="63">
        <v>398</v>
      </c>
      <c r="V332" s="70">
        <v>89455</v>
      </c>
      <c r="W332" s="70">
        <v>89000</v>
      </c>
      <c r="X332" s="83" t="s">
        <v>6882</v>
      </c>
      <c r="Y332" s="70">
        <v>21000</v>
      </c>
      <c r="Z332" s="63" t="s">
        <v>5866</v>
      </c>
      <c r="AC332" s="67"/>
      <c r="AD332" s="61" t="s">
        <v>6883</v>
      </c>
      <c r="AE332" s="71"/>
      <c r="AF332" s="71"/>
      <c r="AG332" s="71"/>
      <c r="AH332" s="71"/>
      <c r="AI332" s="71"/>
      <c r="AJ332" s="71"/>
      <c r="AK332" s="263" t="s">
        <v>6755</v>
      </c>
      <c r="AM332" s="59" t="s">
        <v>181</v>
      </c>
    </row>
    <row r="333" spans="1:43">
      <c r="A333" s="62">
        <v>7</v>
      </c>
      <c r="B333" s="93">
        <v>325</v>
      </c>
      <c r="C333" s="68" t="s">
        <v>6751</v>
      </c>
      <c r="D333" s="59" t="s">
        <v>6060</v>
      </c>
      <c r="E333" s="72" t="s">
        <v>5862</v>
      </c>
      <c r="F333" s="73" t="s">
        <v>6884</v>
      </c>
      <c r="G333" s="82">
        <v>47.1</v>
      </c>
      <c r="H333" s="67">
        <v>9101</v>
      </c>
      <c r="I333" s="69">
        <v>0</v>
      </c>
      <c r="J333" s="70">
        <v>40388</v>
      </c>
      <c r="K333" s="75">
        <v>2.9711795582846392</v>
      </c>
      <c r="L333" s="74">
        <v>0</v>
      </c>
      <c r="M333" s="76">
        <v>0</v>
      </c>
      <c r="N333" s="67">
        <v>1965</v>
      </c>
      <c r="O333" s="64">
        <v>8677</v>
      </c>
      <c r="Q333" s="59">
        <v>19</v>
      </c>
      <c r="R333" s="59">
        <v>4</v>
      </c>
      <c r="S333" s="59">
        <v>1</v>
      </c>
      <c r="T333" s="63" t="s">
        <v>6757</v>
      </c>
      <c r="U333" s="63">
        <v>398</v>
      </c>
      <c r="V333" s="70">
        <v>106128</v>
      </c>
      <c r="W333" s="70">
        <v>110000</v>
      </c>
      <c r="X333" s="83" t="s">
        <v>5952</v>
      </c>
      <c r="Y333" s="70">
        <v>40000</v>
      </c>
      <c r="Z333" s="63" t="s">
        <v>5866</v>
      </c>
      <c r="AC333" s="67"/>
      <c r="AD333" s="61" t="s">
        <v>6885</v>
      </c>
      <c r="AE333" s="71"/>
      <c r="AF333" s="71"/>
      <c r="AG333" s="71"/>
      <c r="AH333" s="71"/>
      <c r="AI333" s="71"/>
      <c r="AJ333" s="71"/>
      <c r="AK333" s="263" t="s">
        <v>181</v>
      </c>
      <c r="AM333" s="59" t="s">
        <v>181</v>
      </c>
    </row>
    <row r="334" spans="1:43" ht="25.5">
      <c r="A334" s="62">
        <v>7</v>
      </c>
      <c r="B334" s="93">
        <v>328</v>
      </c>
      <c r="C334" s="68" t="s">
        <v>6751</v>
      </c>
      <c r="D334" s="59" t="s">
        <v>6886</v>
      </c>
      <c r="E334" s="72" t="s">
        <v>5862</v>
      </c>
      <c r="F334" s="73" t="s">
        <v>6887</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6759</v>
      </c>
      <c r="U334" s="63">
        <v>398</v>
      </c>
      <c r="V334" s="70">
        <v>317968</v>
      </c>
      <c r="W334" s="70">
        <v>320000</v>
      </c>
      <c r="X334" s="83" t="s">
        <v>5892</v>
      </c>
      <c r="Y334" s="70">
        <v>110000</v>
      </c>
      <c r="Z334" s="63" t="s">
        <v>5866</v>
      </c>
      <c r="AC334" s="67"/>
      <c r="AD334" s="61" t="s">
        <v>6888</v>
      </c>
      <c r="AE334" s="71"/>
      <c r="AF334" s="71"/>
      <c r="AG334" s="71"/>
      <c r="AH334" s="71"/>
      <c r="AI334" s="71"/>
      <c r="AJ334" s="71"/>
      <c r="AK334" s="263" t="s">
        <v>5935</v>
      </c>
      <c r="AM334" s="59" t="s">
        <v>181</v>
      </c>
    </row>
    <row r="335" spans="1:43" ht="25.5">
      <c r="A335" s="62">
        <v>7</v>
      </c>
      <c r="B335" s="93">
        <v>329</v>
      </c>
      <c r="C335" s="68" t="s">
        <v>6751</v>
      </c>
      <c r="D335" s="59" t="s">
        <v>6889</v>
      </c>
      <c r="E335" s="72" t="s">
        <v>5862</v>
      </c>
      <c r="F335" s="73" t="s">
        <v>6890</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6754</v>
      </c>
      <c r="U335" s="63">
        <v>398</v>
      </c>
      <c r="V335" s="70">
        <v>11800</v>
      </c>
      <c r="W335" s="70">
        <v>12000</v>
      </c>
      <c r="X335" s="83" t="s">
        <v>6891</v>
      </c>
      <c r="Y335" s="70">
        <v>13000</v>
      </c>
      <c r="Z335" s="63" t="s">
        <v>5866</v>
      </c>
      <c r="AC335" s="67"/>
      <c r="AD335" s="61" t="s">
        <v>181</v>
      </c>
      <c r="AE335" s="71"/>
      <c r="AF335" s="71"/>
      <c r="AG335" s="71"/>
      <c r="AH335" s="71"/>
      <c r="AI335" s="71"/>
      <c r="AJ335" s="71"/>
      <c r="AK335" s="263" t="s">
        <v>6892</v>
      </c>
      <c r="AM335" s="59" t="s">
        <v>181</v>
      </c>
    </row>
    <row r="336" spans="1:43">
      <c r="A336" s="62">
        <v>7</v>
      </c>
      <c r="B336" s="93">
        <v>330</v>
      </c>
      <c r="C336" s="63" t="s">
        <v>6766</v>
      </c>
      <c r="D336" s="59" t="s">
        <v>6893</v>
      </c>
      <c r="E336" s="63" t="s">
        <v>5862</v>
      </c>
      <c r="F336" s="59" t="s">
        <v>6894</v>
      </c>
      <c r="G336" s="91" t="s">
        <v>410</v>
      </c>
      <c r="H336" s="59">
        <v>9101</v>
      </c>
      <c r="I336" s="63">
        <v>0</v>
      </c>
      <c r="J336" s="64">
        <v>8400</v>
      </c>
      <c r="K336" s="87">
        <v>6.29</v>
      </c>
      <c r="L336" s="88">
        <v>0</v>
      </c>
      <c r="M336" s="88">
        <v>0.25</v>
      </c>
      <c r="N336" s="59">
        <v>1978</v>
      </c>
      <c r="O336" s="59">
        <v>1494</v>
      </c>
      <c r="P336" s="59"/>
      <c r="Q336" s="59">
        <v>17</v>
      </c>
      <c r="R336" s="59">
        <v>3</v>
      </c>
      <c r="S336" s="59">
        <v>4</v>
      </c>
      <c r="T336" s="63" t="s">
        <v>6895</v>
      </c>
      <c r="U336" s="63">
        <v>398</v>
      </c>
      <c r="V336" s="64">
        <v>17701</v>
      </c>
      <c r="W336" s="64">
        <v>20000</v>
      </c>
      <c r="X336" s="67">
        <v>2.5</v>
      </c>
      <c r="Y336" s="64">
        <v>8000</v>
      </c>
      <c r="Z336" s="63" t="s">
        <v>209</v>
      </c>
      <c r="AE336" s="89"/>
      <c r="AH336" s="71"/>
      <c r="AI336" s="71"/>
      <c r="AJ336" s="71"/>
      <c r="AK336" s="71"/>
      <c r="AL336">
        <f>IF(AND(ISNUMBER($S336),$S336&gt;0,ISNUMBER($K336),ISNUMBER($J336)),($K336*$J336)/$S336,"")</f>
        <v>13209</v>
      </c>
    </row>
    <row r="337" spans="1:42">
      <c r="A337" s="62">
        <v>7</v>
      </c>
      <c r="B337" s="93">
        <v>331</v>
      </c>
      <c r="C337" s="68" t="s">
        <v>6751</v>
      </c>
      <c r="D337" s="59" t="s">
        <v>6896</v>
      </c>
      <c r="E337" s="72" t="s">
        <v>5862</v>
      </c>
      <c r="F337" s="73" t="s">
        <v>6897</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6757</v>
      </c>
      <c r="U337" s="63">
        <v>398</v>
      </c>
      <c r="V337" s="70">
        <v>35401</v>
      </c>
      <c r="W337" s="70">
        <v>35000</v>
      </c>
      <c r="X337" s="83" t="s">
        <v>6898</v>
      </c>
      <c r="Y337" s="70">
        <v>6000</v>
      </c>
      <c r="Z337" s="63" t="s">
        <v>5866</v>
      </c>
      <c r="AC337" s="67"/>
      <c r="AD337" s="61" t="s">
        <v>181</v>
      </c>
      <c r="AE337" s="71"/>
      <c r="AF337" s="71"/>
      <c r="AG337" s="71"/>
      <c r="AH337" s="71"/>
      <c r="AI337" s="71"/>
      <c r="AJ337" s="71"/>
      <c r="AK337" s="263" t="s">
        <v>6899</v>
      </c>
      <c r="AM337" s="59" t="s">
        <v>181</v>
      </c>
    </row>
    <row r="338" spans="1:42">
      <c r="A338" s="62">
        <v>7</v>
      </c>
      <c r="B338" s="93">
        <v>332</v>
      </c>
      <c r="C338" s="68" t="s">
        <v>6751</v>
      </c>
      <c r="D338" s="59" t="s">
        <v>6900</v>
      </c>
      <c r="E338" s="72" t="s">
        <v>5862</v>
      </c>
      <c r="F338" s="73" t="s">
        <v>6901</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6759</v>
      </c>
      <c r="U338" s="63">
        <v>398</v>
      </c>
      <c r="V338" s="70">
        <v>25100</v>
      </c>
      <c r="W338" s="70">
        <v>25000</v>
      </c>
      <c r="X338" s="83" t="s">
        <v>6902</v>
      </c>
      <c r="Y338" s="70">
        <v>5000</v>
      </c>
      <c r="Z338" s="63" t="s">
        <v>5866</v>
      </c>
      <c r="AC338" s="67"/>
      <c r="AD338" s="61" t="s">
        <v>6903</v>
      </c>
      <c r="AE338" s="71"/>
      <c r="AF338" s="71"/>
      <c r="AG338" s="71"/>
      <c r="AH338" s="71"/>
      <c r="AI338" s="71"/>
      <c r="AJ338" s="71"/>
      <c r="AK338" s="263" t="s">
        <v>6755</v>
      </c>
      <c r="AM338" s="59" t="s">
        <v>181</v>
      </c>
    </row>
    <row r="339" spans="1:42" ht="25.5">
      <c r="A339" s="62">
        <v>7</v>
      </c>
      <c r="B339" s="93">
        <v>333</v>
      </c>
      <c r="C339" s="68" t="s">
        <v>6751</v>
      </c>
      <c r="D339" s="59" t="s">
        <v>6904</v>
      </c>
      <c r="E339" s="72" t="s">
        <v>5862</v>
      </c>
      <c r="F339" s="73" t="s">
        <v>6905</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6759</v>
      </c>
      <c r="U339" s="63">
        <v>398</v>
      </c>
      <c r="V339" s="70">
        <v>80527</v>
      </c>
      <c r="W339" s="70">
        <v>81000</v>
      </c>
      <c r="X339" s="83" t="s">
        <v>6091</v>
      </c>
      <c r="Y339" s="70">
        <v>3000</v>
      </c>
      <c r="Z339" s="63" t="s">
        <v>5866</v>
      </c>
      <c r="AC339" s="67"/>
      <c r="AD339" s="61" t="s">
        <v>6906</v>
      </c>
      <c r="AE339" s="71"/>
      <c r="AF339" s="71"/>
      <c r="AG339" s="71"/>
      <c r="AH339" s="71"/>
      <c r="AI339" s="71"/>
      <c r="AJ339" s="71"/>
      <c r="AK339" s="263" t="s">
        <v>6907</v>
      </c>
      <c r="AM339" s="59" t="s">
        <v>181</v>
      </c>
    </row>
    <row r="340" spans="1:42" ht="25.5">
      <c r="A340" s="62">
        <v>7</v>
      </c>
      <c r="B340" s="93">
        <v>334</v>
      </c>
      <c r="C340" s="68" t="s">
        <v>6751</v>
      </c>
      <c r="D340" s="59" t="s">
        <v>6077</v>
      </c>
      <c r="E340" s="72" t="s">
        <v>5862</v>
      </c>
      <c r="F340" s="73" t="s">
        <v>6908</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6759</v>
      </c>
      <c r="U340" s="63">
        <v>398</v>
      </c>
      <c r="V340" s="70">
        <v>219619</v>
      </c>
      <c r="W340" s="70">
        <v>220000</v>
      </c>
      <c r="X340" s="83" t="s">
        <v>5982</v>
      </c>
      <c r="Y340" s="70">
        <v>100000</v>
      </c>
      <c r="Z340" s="63" t="s">
        <v>5866</v>
      </c>
      <c r="AC340" s="67"/>
      <c r="AD340" s="61" t="s">
        <v>6079</v>
      </c>
      <c r="AE340" s="71"/>
      <c r="AF340" s="71"/>
      <c r="AG340" s="71"/>
      <c r="AH340" s="71"/>
      <c r="AI340" s="71"/>
      <c r="AJ340" s="71"/>
      <c r="AK340" s="263" t="s">
        <v>6909</v>
      </c>
      <c r="AM340" s="59" t="s">
        <v>181</v>
      </c>
    </row>
    <row r="341" spans="1:42" ht="25.5">
      <c r="A341" s="62">
        <v>7</v>
      </c>
      <c r="B341" s="93">
        <v>334.3</v>
      </c>
      <c r="C341" s="92" t="s">
        <v>6910</v>
      </c>
      <c r="D341" s="93" t="s">
        <v>6911</v>
      </c>
      <c r="E341" s="92" t="s">
        <v>6912</v>
      </c>
      <c r="F341" s="93" t="s">
        <v>6913</v>
      </c>
      <c r="G341" s="94" t="s">
        <v>6914</v>
      </c>
      <c r="H341" s="93">
        <v>9102</v>
      </c>
      <c r="I341" s="92">
        <v>0</v>
      </c>
      <c r="J341" s="95">
        <v>89867</v>
      </c>
      <c r="K341" s="96">
        <v>6.22</v>
      </c>
      <c r="L341" s="97">
        <v>0</v>
      </c>
      <c r="M341" s="97">
        <v>0.08</v>
      </c>
      <c r="N341" s="93">
        <v>2007</v>
      </c>
      <c r="O341" s="70">
        <v>22499</v>
      </c>
      <c r="P341" s="59"/>
      <c r="Q341" s="59">
        <v>33</v>
      </c>
      <c r="R341" s="59">
        <v>14</v>
      </c>
      <c r="S341" s="59">
        <v>1</v>
      </c>
      <c r="T341" s="92" t="s">
        <v>6770</v>
      </c>
      <c r="U341" s="93">
        <v>398</v>
      </c>
      <c r="V341" s="95">
        <v>279946</v>
      </c>
      <c r="W341" s="95">
        <v>300000</v>
      </c>
      <c r="X341" s="98" t="s">
        <v>5979</v>
      </c>
      <c r="Y341" s="95">
        <v>100000</v>
      </c>
      <c r="Z341" s="93" t="s">
        <v>209</v>
      </c>
      <c r="AA341" s="93">
        <v>3</v>
      </c>
      <c r="AB341" s="93">
        <v>3</v>
      </c>
      <c r="AC341" s="93">
        <v>33</v>
      </c>
      <c r="AD341" s="93" t="s">
        <v>6915</v>
      </c>
      <c r="AE341" s="99"/>
      <c r="AF341" s="100"/>
      <c r="AG341" s="100"/>
      <c r="AH341" s="99"/>
      <c r="AI341" s="100"/>
      <c r="AJ341" s="99"/>
      <c r="AK341" s="262" t="s">
        <v>6916</v>
      </c>
      <c r="AL341" s="93"/>
      <c r="AM341" s="71"/>
      <c r="AN341" s="71"/>
      <c r="AO341" s="71"/>
      <c r="AP341" s="71"/>
    </row>
    <row r="342" spans="1:42" ht="25.5">
      <c r="A342" s="62">
        <v>7</v>
      </c>
      <c r="B342" s="93">
        <v>335</v>
      </c>
      <c r="C342" s="68" t="s">
        <v>6751</v>
      </c>
      <c r="D342" s="59" t="s">
        <v>6084</v>
      </c>
      <c r="E342" s="72" t="s">
        <v>5862</v>
      </c>
      <c r="F342" s="73" t="s">
        <v>6917</v>
      </c>
      <c r="G342" s="82">
        <v>44.2</v>
      </c>
      <c r="H342" s="67">
        <v>9102</v>
      </c>
      <c r="I342" s="69">
        <v>0</v>
      </c>
      <c r="J342" s="70">
        <v>11918</v>
      </c>
      <c r="K342" s="75">
        <v>6.2174861553952008</v>
      </c>
      <c r="L342" s="74">
        <v>0</v>
      </c>
      <c r="M342" s="76">
        <v>0</v>
      </c>
      <c r="N342" s="67">
        <v>1967</v>
      </c>
      <c r="O342" s="64">
        <v>2910</v>
      </c>
      <c r="Q342" s="59">
        <v>22</v>
      </c>
      <c r="R342" s="59">
        <v>1</v>
      </c>
      <c r="S342" s="59">
        <v>1</v>
      </c>
      <c r="T342" s="63" t="s">
        <v>6759</v>
      </c>
      <c r="U342" s="63">
        <v>398</v>
      </c>
      <c r="V342" s="70">
        <v>32585</v>
      </c>
      <c r="W342" s="70">
        <v>33000</v>
      </c>
      <c r="X342" s="83" t="s">
        <v>5985</v>
      </c>
      <c r="Y342" s="70">
        <v>12000</v>
      </c>
      <c r="Z342" s="63" t="s">
        <v>5866</v>
      </c>
      <c r="AC342" s="67"/>
      <c r="AD342" s="61" t="s">
        <v>5879</v>
      </c>
      <c r="AE342" s="71"/>
      <c r="AF342" s="71"/>
      <c r="AG342" s="71"/>
      <c r="AH342" s="71"/>
      <c r="AI342" s="71"/>
      <c r="AJ342" s="71"/>
      <c r="AK342" s="263" t="s">
        <v>6918</v>
      </c>
      <c r="AM342" s="59" t="s">
        <v>181</v>
      </c>
    </row>
    <row r="343" spans="1:42">
      <c r="A343" s="62">
        <v>7</v>
      </c>
      <c r="B343" s="93">
        <v>336</v>
      </c>
      <c r="C343" s="68" t="s">
        <v>6751</v>
      </c>
      <c r="D343" s="59" t="s">
        <v>6919</v>
      </c>
      <c r="E343" s="72" t="s">
        <v>5862</v>
      </c>
      <c r="F343" s="73" t="s">
        <v>6920</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6759</v>
      </c>
      <c r="U343" s="63">
        <v>398</v>
      </c>
      <c r="V343" s="70">
        <v>124250</v>
      </c>
      <c r="W343" s="70">
        <v>120000</v>
      </c>
      <c r="X343" s="83" t="s">
        <v>5892</v>
      </c>
      <c r="Y343" s="70">
        <v>44000</v>
      </c>
      <c r="Z343" s="63" t="s">
        <v>5866</v>
      </c>
      <c r="AC343" s="67"/>
      <c r="AD343" s="61" t="s">
        <v>6921</v>
      </c>
      <c r="AE343" s="71"/>
      <c r="AF343" s="71"/>
      <c r="AG343" s="71"/>
      <c r="AH343" s="71"/>
      <c r="AI343" s="71"/>
      <c r="AJ343" s="71"/>
      <c r="AK343" s="263" t="s">
        <v>6755</v>
      </c>
      <c r="AM343" s="59" t="s">
        <v>181</v>
      </c>
    </row>
    <row r="344" spans="1:42" ht="25.5">
      <c r="A344" s="62">
        <v>7</v>
      </c>
      <c r="B344" s="93">
        <v>337</v>
      </c>
      <c r="C344" s="68" t="s">
        <v>6751</v>
      </c>
      <c r="D344" s="59" t="s">
        <v>6922</v>
      </c>
      <c r="E344" s="72" t="s">
        <v>5862</v>
      </c>
      <c r="F344" s="73" t="s">
        <v>6923</v>
      </c>
      <c r="G344" s="67">
        <v>44.1</v>
      </c>
      <c r="H344" s="67">
        <v>9102</v>
      </c>
      <c r="I344" s="69">
        <v>0</v>
      </c>
      <c r="J344" s="70">
        <v>58984</v>
      </c>
      <c r="K344" s="75">
        <v>4.2757357927573576</v>
      </c>
      <c r="L344" s="74">
        <v>0</v>
      </c>
      <c r="M344" s="76">
        <v>0</v>
      </c>
      <c r="N344" s="67">
        <v>1982</v>
      </c>
      <c r="O344" s="64">
        <v>3144</v>
      </c>
      <c r="Q344" s="59">
        <v>27</v>
      </c>
      <c r="R344" s="59">
        <v>3</v>
      </c>
      <c r="S344" s="59">
        <v>2</v>
      </c>
      <c r="T344" s="63" t="s">
        <v>6759</v>
      </c>
      <c r="U344" s="63">
        <v>398</v>
      </c>
      <c r="V344" s="70">
        <v>111825</v>
      </c>
      <c r="W344" s="70">
        <v>110000</v>
      </c>
      <c r="X344" s="83" t="s">
        <v>5903</v>
      </c>
      <c r="Y344" s="70">
        <v>59000</v>
      </c>
      <c r="Z344" s="63" t="s">
        <v>5866</v>
      </c>
      <c r="AC344" s="67"/>
      <c r="AD344" s="61" t="s">
        <v>6924</v>
      </c>
      <c r="AE344" s="71"/>
      <c r="AF344" s="71"/>
      <c r="AG344" s="71"/>
      <c r="AH344" s="71"/>
      <c r="AI344" s="71"/>
      <c r="AJ344" s="71"/>
      <c r="AK344" s="263" t="s">
        <v>6925</v>
      </c>
      <c r="AM344" s="59" t="s">
        <v>181</v>
      </c>
    </row>
    <row r="345" spans="1:42">
      <c r="A345" s="62">
        <v>7</v>
      </c>
      <c r="B345" s="93">
        <v>338</v>
      </c>
      <c r="C345" s="68" t="s">
        <v>6751</v>
      </c>
      <c r="D345" s="59" t="s">
        <v>6096</v>
      </c>
      <c r="E345" s="72" t="s">
        <v>5862</v>
      </c>
      <c r="F345" s="73" t="s">
        <v>6926</v>
      </c>
      <c r="G345" s="67">
        <v>44.1</v>
      </c>
      <c r="H345" s="67">
        <v>9102</v>
      </c>
      <c r="I345" s="69">
        <v>0</v>
      </c>
      <c r="J345" s="70">
        <v>10527</v>
      </c>
      <c r="K345" s="75">
        <v>6.2695924764890281</v>
      </c>
      <c r="L345" s="74">
        <v>0.25</v>
      </c>
      <c r="M345" s="76">
        <v>0</v>
      </c>
      <c r="N345" s="67">
        <v>1968</v>
      </c>
      <c r="O345" s="64">
        <v>4329</v>
      </c>
      <c r="Q345" s="59">
        <v>21</v>
      </c>
      <c r="R345" s="59">
        <v>1</v>
      </c>
      <c r="S345" s="59">
        <v>1</v>
      </c>
      <c r="T345" s="63" t="s">
        <v>6759</v>
      </c>
      <c r="U345" s="63">
        <v>398</v>
      </c>
      <c r="V345" s="70">
        <v>25100</v>
      </c>
      <c r="W345" s="70">
        <v>25000</v>
      </c>
      <c r="X345" s="83" t="s">
        <v>5878</v>
      </c>
      <c r="Y345" s="70">
        <v>11000</v>
      </c>
      <c r="Z345" s="63" t="s">
        <v>5866</v>
      </c>
      <c r="AC345" s="67"/>
      <c r="AD345" s="61" t="s">
        <v>6098</v>
      </c>
      <c r="AE345" s="71"/>
      <c r="AF345" s="71"/>
      <c r="AG345" s="71"/>
      <c r="AH345" s="71"/>
      <c r="AI345" s="71"/>
      <c r="AJ345" s="71"/>
      <c r="AK345" s="263" t="s">
        <v>181</v>
      </c>
      <c r="AM345" s="59" t="s">
        <v>181</v>
      </c>
    </row>
    <row r="346" spans="1:42">
      <c r="A346" s="62">
        <v>7</v>
      </c>
      <c r="B346" s="93">
        <v>339</v>
      </c>
      <c r="C346" s="68" t="s">
        <v>6751</v>
      </c>
      <c r="D346" s="59" t="s">
        <v>6927</v>
      </c>
      <c r="E346" s="72" t="s">
        <v>5862</v>
      </c>
      <c r="F346" s="73" t="s">
        <v>6928</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6759</v>
      </c>
      <c r="U346" s="63">
        <v>398</v>
      </c>
      <c r="V346" s="70">
        <v>304924</v>
      </c>
      <c r="W346" s="70">
        <v>300000</v>
      </c>
      <c r="X346" s="83" t="s">
        <v>6436</v>
      </c>
      <c r="Y346" s="70">
        <v>86000</v>
      </c>
      <c r="Z346" s="63" t="s">
        <v>5866</v>
      </c>
      <c r="AC346" s="67"/>
      <c r="AD346" s="61" t="s">
        <v>6929</v>
      </c>
      <c r="AE346" s="71"/>
      <c r="AF346" s="71"/>
      <c r="AG346" s="71"/>
      <c r="AH346" s="71"/>
      <c r="AI346" s="71"/>
      <c r="AJ346" s="71"/>
      <c r="AK346" s="263" t="s">
        <v>6755</v>
      </c>
      <c r="AM346" s="59" t="s">
        <v>181</v>
      </c>
    </row>
    <row r="347" spans="1:42">
      <c r="A347" s="62">
        <v>7</v>
      </c>
      <c r="B347" s="93">
        <v>340</v>
      </c>
      <c r="C347" s="68" t="s">
        <v>6751</v>
      </c>
      <c r="D347" s="59" t="s">
        <v>6930</v>
      </c>
      <c r="E347" s="72" t="s">
        <v>5862</v>
      </c>
      <c r="F347" s="73" t="s">
        <v>6931</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6754</v>
      </c>
      <c r="U347" s="63">
        <v>398</v>
      </c>
      <c r="V347" s="70">
        <v>36116</v>
      </c>
      <c r="W347" s="70">
        <v>36000</v>
      </c>
      <c r="X347" s="83" t="s">
        <v>5952</v>
      </c>
      <c r="Y347" s="70">
        <v>14000</v>
      </c>
      <c r="Z347" s="63" t="s">
        <v>5866</v>
      </c>
      <c r="AC347" s="67"/>
      <c r="AD347" s="61" t="s">
        <v>181</v>
      </c>
      <c r="AE347" s="71"/>
      <c r="AF347" s="71"/>
      <c r="AG347" s="71"/>
      <c r="AH347" s="71"/>
      <c r="AI347" s="71"/>
      <c r="AJ347" s="71"/>
      <c r="AK347" s="263" t="s">
        <v>6932</v>
      </c>
      <c r="AM347" s="59" t="s">
        <v>181</v>
      </c>
    </row>
    <row r="348" spans="1:42" ht="25.5">
      <c r="A348" s="62">
        <v>7</v>
      </c>
      <c r="B348" s="93">
        <v>341</v>
      </c>
      <c r="C348" s="68" t="s">
        <v>6751</v>
      </c>
      <c r="D348" s="59" t="s">
        <v>6099</v>
      </c>
      <c r="E348" s="72" t="s">
        <v>5862</v>
      </c>
      <c r="F348" s="73" t="s">
        <v>6933</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6759</v>
      </c>
      <c r="U348" s="63">
        <v>398</v>
      </c>
      <c r="V348" s="70">
        <v>43000</v>
      </c>
      <c r="W348" s="70">
        <v>43000</v>
      </c>
      <c r="X348" s="83" t="s">
        <v>5982</v>
      </c>
      <c r="Y348" s="70">
        <v>20000</v>
      </c>
      <c r="Z348" s="63" t="s">
        <v>5866</v>
      </c>
      <c r="AC348" s="67"/>
      <c r="AD348" s="61" t="s">
        <v>181</v>
      </c>
      <c r="AE348" s="71"/>
      <c r="AF348" s="71"/>
      <c r="AG348" s="71"/>
      <c r="AH348" s="71"/>
      <c r="AI348" s="71"/>
      <c r="AJ348" s="71"/>
      <c r="AK348" s="263" t="s">
        <v>6934</v>
      </c>
      <c r="AM348" s="59" t="s">
        <v>181</v>
      </c>
    </row>
    <row r="349" spans="1:42">
      <c r="A349" s="62">
        <v>7</v>
      </c>
      <c r="B349" s="93">
        <v>342</v>
      </c>
      <c r="C349" s="68" t="s">
        <v>6751</v>
      </c>
      <c r="D349" s="59" t="s">
        <v>6935</v>
      </c>
      <c r="E349" s="72" t="s">
        <v>5862</v>
      </c>
      <c r="F349" s="73" t="s">
        <v>6936</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6757</v>
      </c>
      <c r="U349" s="63">
        <v>398</v>
      </c>
      <c r="V349" s="70">
        <v>395173</v>
      </c>
      <c r="W349" s="70">
        <v>400000</v>
      </c>
      <c r="X349" s="83" t="s">
        <v>5920</v>
      </c>
      <c r="Y349" s="70">
        <v>160000</v>
      </c>
      <c r="Z349" s="63" t="s">
        <v>5866</v>
      </c>
      <c r="AC349" s="67"/>
      <c r="AD349" s="61" t="s">
        <v>6937</v>
      </c>
      <c r="AE349" s="71"/>
      <c r="AF349" s="71"/>
      <c r="AG349" s="71"/>
      <c r="AH349" s="71"/>
      <c r="AI349" s="71"/>
      <c r="AJ349" s="71"/>
      <c r="AK349" s="263" t="s">
        <v>6938</v>
      </c>
      <c r="AM349" s="59" t="s">
        <v>181</v>
      </c>
    </row>
    <row r="350" spans="1:42">
      <c r="A350" s="62">
        <v>7</v>
      </c>
      <c r="B350" s="93">
        <v>343</v>
      </c>
      <c r="C350" s="68" t="s">
        <v>6751</v>
      </c>
      <c r="D350" s="59" t="s">
        <v>6107</v>
      </c>
      <c r="E350" s="72" t="s">
        <v>5862</v>
      </c>
      <c r="F350" s="73" t="s">
        <v>6939</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6759</v>
      </c>
      <c r="U350" s="63">
        <v>398</v>
      </c>
      <c r="V350" s="70">
        <v>255000</v>
      </c>
      <c r="W350" s="70">
        <v>260000</v>
      </c>
      <c r="X350" s="83" t="s">
        <v>5982</v>
      </c>
      <c r="Y350" s="70">
        <v>120000</v>
      </c>
      <c r="Z350" s="63" t="s">
        <v>5866</v>
      </c>
      <c r="AC350" s="67"/>
      <c r="AD350" s="61" t="s">
        <v>6109</v>
      </c>
      <c r="AE350" s="71"/>
      <c r="AF350" s="71"/>
      <c r="AG350" s="71"/>
      <c r="AH350" s="71"/>
      <c r="AI350" s="71"/>
      <c r="AJ350" s="71"/>
      <c r="AK350" s="263" t="s">
        <v>6940</v>
      </c>
      <c r="AM350" s="59" t="s">
        <v>181</v>
      </c>
    </row>
    <row r="351" spans="1:42">
      <c r="A351" s="62">
        <v>7</v>
      </c>
      <c r="B351" s="93">
        <v>344</v>
      </c>
      <c r="C351" s="68" t="s">
        <v>6751</v>
      </c>
      <c r="D351" s="59" t="s">
        <v>6115</v>
      </c>
      <c r="E351" s="72" t="s">
        <v>5862</v>
      </c>
      <c r="F351" s="73" t="s">
        <v>6941</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6759</v>
      </c>
      <c r="U351" s="63">
        <v>398</v>
      </c>
      <c r="V351" s="70">
        <v>23918</v>
      </c>
      <c r="W351" s="70">
        <v>24000</v>
      </c>
      <c r="X351" s="83" t="s">
        <v>6791</v>
      </c>
      <c r="Y351" s="70">
        <v>8000</v>
      </c>
      <c r="Z351" s="63" t="s">
        <v>5866</v>
      </c>
      <c r="AC351" s="67"/>
      <c r="AD351" s="61" t="s">
        <v>181</v>
      </c>
      <c r="AE351" s="71"/>
      <c r="AF351" s="71"/>
      <c r="AG351" s="71"/>
      <c r="AH351" s="71"/>
      <c r="AI351" s="71"/>
      <c r="AJ351" s="71"/>
      <c r="AK351" s="263" t="s">
        <v>181</v>
      </c>
      <c r="AM351" s="59" t="s">
        <v>181</v>
      </c>
    </row>
    <row r="352" spans="1:42" ht="25.5">
      <c r="A352" s="62">
        <v>7</v>
      </c>
      <c r="B352" s="93">
        <v>345</v>
      </c>
      <c r="C352" s="68" t="s">
        <v>6751</v>
      </c>
      <c r="D352" s="59" t="s">
        <v>6117</v>
      </c>
      <c r="E352" s="72" t="s">
        <v>5862</v>
      </c>
      <c r="F352" s="73" t="s">
        <v>6942</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6759</v>
      </c>
      <c r="U352" s="63">
        <v>398</v>
      </c>
      <c r="V352" s="70">
        <v>99319</v>
      </c>
      <c r="W352" s="70">
        <v>99000</v>
      </c>
      <c r="X352" s="83" t="s">
        <v>6091</v>
      </c>
      <c r="Y352" s="70">
        <v>55000</v>
      </c>
      <c r="Z352" s="63" t="s">
        <v>5866</v>
      </c>
      <c r="AC352" s="67"/>
      <c r="AD352" s="61" t="s">
        <v>6119</v>
      </c>
      <c r="AE352" s="71"/>
      <c r="AF352" s="71"/>
      <c r="AG352" s="71"/>
      <c r="AH352" s="71"/>
      <c r="AI352" s="71"/>
      <c r="AJ352" s="71"/>
      <c r="AK352" s="263" t="s">
        <v>6943</v>
      </c>
      <c r="AM352" s="59" t="s">
        <v>181</v>
      </c>
    </row>
    <row r="353" spans="1:44">
      <c r="A353" s="62">
        <v>7</v>
      </c>
      <c r="B353" s="93">
        <v>346</v>
      </c>
      <c r="C353" s="92" t="s">
        <v>6766</v>
      </c>
      <c r="D353" s="93" t="s">
        <v>6944</v>
      </c>
      <c r="E353" s="92" t="s">
        <v>5862</v>
      </c>
      <c r="F353" s="93" t="s">
        <v>6945</v>
      </c>
      <c r="G353" s="94" t="s">
        <v>6810</v>
      </c>
      <c r="H353" s="93">
        <v>9104</v>
      </c>
      <c r="I353" s="92">
        <v>0</v>
      </c>
      <c r="J353" s="95">
        <v>75264</v>
      </c>
      <c r="K353" s="96">
        <v>2.85</v>
      </c>
      <c r="L353" s="97">
        <v>0</v>
      </c>
      <c r="M353" s="103">
        <v>0</v>
      </c>
      <c r="N353" s="93">
        <v>1979</v>
      </c>
      <c r="O353" s="64">
        <v>5703</v>
      </c>
      <c r="Q353" s="59">
        <v>25</v>
      </c>
      <c r="R353" s="59">
        <v>3</v>
      </c>
      <c r="S353" s="59">
        <v>1</v>
      </c>
      <c r="T353" s="92" t="s">
        <v>6770</v>
      </c>
      <c r="U353" s="93">
        <v>398</v>
      </c>
      <c r="V353" s="95">
        <v>134721</v>
      </c>
      <c r="W353" s="95">
        <v>130000</v>
      </c>
      <c r="X353" s="98" t="s">
        <v>6182</v>
      </c>
      <c r="Y353" s="95">
        <v>75000</v>
      </c>
      <c r="Z353" s="93" t="s">
        <v>209</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c r="A354" s="62">
        <v>7</v>
      </c>
      <c r="B354" s="93">
        <v>347</v>
      </c>
      <c r="C354" s="68" t="s">
        <v>6751</v>
      </c>
      <c r="D354" s="59" t="s">
        <v>6946</v>
      </c>
      <c r="E354" s="72" t="s">
        <v>5862</v>
      </c>
      <c r="F354" s="73" t="s">
        <v>6947</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6759</v>
      </c>
      <c r="U354" s="63">
        <v>398</v>
      </c>
      <c r="V354" s="70">
        <v>31803</v>
      </c>
      <c r="W354" s="70">
        <v>32000</v>
      </c>
      <c r="X354" s="83" t="s">
        <v>5903</v>
      </c>
      <c r="Y354" s="70">
        <v>11000</v>
      </c>
      <c r="Z354" s="63" t="s">
        <v>5866</v>
      </c>
      <c r="AC354" s="67"/>
      <c r="AD354" s="61" t="s">
        <v>6948</v>
      </c>
      <c r="AE354" s="71"/>
      <c r="AF354" s="71"/>
      <c r="AG354" s="71"/>
      <c r="AH354" s="71"/>
      <c r="AI354" s="71"/>
      <c r="AJ354" s="71"/>
      <c r="AK354" s="263" t="s">
        <v>6949</v>
      </c>
      <c r="AM354" s="59" t="s">
        <v>181</v>
      </c>
    </row>
    <row r="355" spans="1:44">
      <c r="A355" s="62">
        <v>7</v>
      </c>
      <c r="B355" s="93">
        <v>348</v>
      </c>
      <c r="C355" s="68" t="s">
        <v>6751</v>
      </c>
      <c r="D355" s="59" t="s">
        <v>6950</v>
      </c>
      <c r="E355" s="72" t="s">
        <v>5862</v>
      </c>
      <c r="F355" s="73" t="s">
        <v>6951</v>
      </c>
      <c r="G355" s="82">
        <v>44.2</v>
      </c>
      <c r="H355" s="67">
        <v>9104</v>
      </c>
      <c r="I355" s="69">
        <v>0</v>
      </c>
      <c r="J355" s="70">
        <v>12335</v>
      </c>
      <c r="K355" s="75">
        <v>8.8366436967977293</v>
      </c>
      <c r="L355" s="74">
        <v>0</v>
      </c>
      <c r="M355" s="76">
        <v>0</v>
      </c>
      <c r="N355" s="67">
        <v>2006</v>
      </c>
      <c r="O355" s="64">
        <v>1785</v>
      </c>
      <c r="Q355" s="59">
        <v>25</v>
      </c>
      <c r="R355" s="59">
        <v>14</v>
      </c>
      <c r="S355" s="59">
        <v>1</v>
      </c>
      <c r="T355" s="63" t="s">
        <v>6759</v>
      </c>
      <c r="U355" s="63">
        <v>398</v>
      </c>
      <c r="V355" s="70">
        <v>42900</v>
      </c>
      <c r="W355" s="70">
        <v>43000</v>
      </c>
      <c r="X355" s="83" t="s">
        <v>6436</v>
      </c>
      <c r="Y355" s="70">
        <v>12000</v>
      </c>
      <c r="Z355" s="63" t="s">
        <v>5866</v>
      </c>
      <c r="AC355" s="67"/>
      <c r="AD355" s="61" t="s">
        <v>5934</v>
      </c>
      <c r="AE355" s="71"/>
      <c r="AF355" s="71"/>
      <c r="AG355" s="71"/>
      <c r="AH355" s="71"/>
      <c r="AI355" s="71"/>
      <c r="AJ355" s="71"/>
      <c r="AK355" s="263" t="s">
        <v>181</v>
      </c>
      <c r="AM355" s="59" t="s">
        <v>181</v>
      </c>
    </row>
    <row r="356" spans="1:44" ht="25.5">
      <c r="A356" s="62">
        <v>7</v>
      </c>
      <c r="B356" s="93">
        <v>349</v>
      </c>
      <c r="C356" s="68" t="s">
        <v>6751</v>
      </c>
      <c r="D356" s="59" t="s">
        <v>6952</v>
      </c>
      <c r="E356" s="72" t="s">
        <v>5862</v>
      </c>
      <c r="F356" s="73" t="s">
        <v>6953</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6954</v>
      </c>
      <c r="U356" s="63">
        <v>396</v>
      </c>
      <c r="V356" s="70">
        <v>71049</v>
      </c>
      <c r="W356" s="70">
        <v>71000</v>
      </c>
      <c r="X356" s="83" t="s">
        <v>6603</v>
      </c>
      <c r="Y356" s="70">
        <v>90000</v>
      </c>
      <c r="Z356" s="63" t="s">
        <v>5866</v>
      </c>
      <c r="AC356" s="67"/>
      <c r="AD356" s="61" t="s">
        <v>6955</v>
      </c>
      <c r="AE356" s="71"/>
      <c r="AF356" s="71"/>
      <c r="AG356" s="71"/>
      <c r="AH356" s="71"/>
      <c r="AI356" s="71"/>
      <c r="AJ356" s="71"/>
      <c r="AK356" s="263" t="s">
        <v>6956</v>
      </c>
      <c r="AM356" s="59" t="s">
        <v>181</v>
      </c>
    </row>
    <row r="357" spans="1:44">
      <c r="A357" s="62">
        <v>7</v>
      </c>
      <c r="B357" s="93">
        <v>350</v>
      </c>
      <c r="C357" s="68" t="s">
        <v>6751</v>
      </c>
      <c r="D357" s="59" t="s">
        <v>6957</v>
      </c>
      <c r="E357" s="72" t="s">
        <v>5862</v>
      </c>
      <c r="F357" s="73" t="s">
        <v>6958</v>
      </c>
      <c r="G357" s="67">
        <v>44.1</v>
      </c>
      <c r="H357" s="67">
        <v>9201</v>
      </c>
      <c r="I357" s="69">
        <v>0</v>
      </c>
      <c r="J357" s="70">
        <v>6400</v>
      </c>
      <c r="K357" s="75">
        <v>3.46875</v>
      </c>
      <c r="L357" s="74">
        <v>0</v>
      </c>
      <c r="M357" s="76">
        <v>0</v>
      </c>
      <c r="N357" s="67">
        <v>1972</v>
      </c>
      <c r="O357" s="64">
        <v>360</v>
      </c>
      <c r="Q357" s="59">
        <v>15</v>
      </c>
      <c r="R357" s="59">
        <v>7</v>
      </c>
      <c r="S357" s="59">
        <v>1</v>
      </c>
      <c r="T357" s="63" t="s">
        <v>6754</v>
      </c>
      <c r="U357" s="63">
        <v>398</v>
      </c>
      <c r="V357" s="70">
        <v>12750</v>
      </c>
      <c r="W357" s="70">
        <v>13000</v>
      </c>
      <c r="X357" s="83" t="s">
        <v>6774</v>
      </c>
      <c r="Y357" s="70">
        <v>6000</v>
      </c>
      <c r="Z357" s="63" t="s">
        <v>5866</v>
      </c>
      <c r="AC357" s="67"/>
      <c r="AD357" s="61" t="s">
        <v>181</v>
      </c>
      <c r="AE357" s="71"/>
      <c r="AF357" s="71"/>
      <c r="AG357" s="71"/>
      <c r="AH357" s="71"/>
      <c r="AI357" s="71"/>
      <c r="AJ357" s="71"/>
      <c r="AK357" s="263" t="s">
        <v>6863</v>
      </c>
      <c r="AM357" s="59" t="s">
        <v>181</v>
      </c>
    </row>
    <row r="358" spans="1:44" ht="25.5">
      <c r="A358" s="62">
        <v>7</v>
      </c>
      <c r="B358" s="93">
        <v>351</v>
      </c>
      <c r="C358" s="68" t="s">
        <v>6751</v>
      </c>
      <c r="D358" s="59" t="s">
        <v>6143</v>
      </c>
      <c r="E358" s="72" t="s">
        <v>5862</v>
      </c>
      <c r="F358" s="73" t="s">
        <v>6959</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6754</v>
      </c>
      <c r="U358" s="63">
        <v>398</v>
      </c>
      <c r="V358" s="70">
        <v>58000</v>
      </c>
      <c r="W358" s="70">
        <v>58000</v>
      </c>
      <c r="X358" s="83" t="s">
        <v>5878</v>
      </c>
      <c r="Y358" s="70">
        <v>24000</v>
      </c>
      <c r="Z358" s="63" t="s">
        <v>5866</v>
      </c>
      <c r="AC358" s="67"/>
      <c r="AD358" s="61" t="s">
        <v>6145</v>
      </c>
      <c r="AE358" s="71"/>
      <c r="AF358" s="71"/>
      <c r="AG358" s="71"/>
      <c r="AH358" s="71"/>
      <c r="AI358" s="71"/>
      <c r="AJ358" s="71"/>
      <c r="AK358" s="263" t="s">
        <v>6960</v>
      </c>
      <c r="AM358" s="59" t="s">
        <v>181</v>
      </c>
    </row>
    <row r="359" spans="1:44">
      <c r="A359" s="62">
        <v>7</v>
      </c>
      <c r="B359" s="93">
        <v>352</v>
      </c>
      <c r="C359" s="68" t="s">
        <v>6751</v>
      </c>
      <c r="D359" s="59" t="s">
        <v>6961</v>
      </c>
      <c r="E359" s="72" t="s">
        <v>5862</v>
      </c>
      <c r="F359" s="73" t="s">
        <v>6962</v>
      </c>
      <c r="G359" s="82">
        <v>47.1</v>
      </c>
      <c r="H359" s="67">
        <v>9201</v>
      </c>
      <c r="I359" s="69">
        <v>0</v>
      </c>
      <c r="J359" s="70">
        <v>53250</v>
      </c>
      <c r="K359" s="75">
        <v>2.929577464788732</v>
      </c>
      <c r="L359" s="74">
        <v>0</v>
      </c>
      <c r="M359" s="76">
        <v>0</v>
      </c>
      <c r="N359" s="67">
        <v>1967</v>
      </c>
      <c r="O359" s="64">
        <v>1360</v>
      </c>
      <c r="Q359" s="59">
        <v>24</v>
      </c>
      <c r="R359" s="59">
        <v>7</v>
      </c>
      <c r="S359" s="59">
        <v>1</v>
      </c>
      <c r="T359" s="63" t="s">
        <v>6754</v>
      </c>
      <c r="U359" s="63">
        <v>401</v>
      </c>
      <c r="V359" s="70">
        <v>142334</v>
      </c>
      <c r="W359" s="70">
        <v>140000</v>
      </c>
      <c r="X359" s="83" t="s">
        <v>5985</v>
      </c>
      <c r="Y359" s="70">
        <v>53000</v>
      </c>
      <c r="Z359" s="63" t="s">
        <v>5866</v>
      </c>
      <c r="AC359" s="67"/>
      <c r="AD359" s="61" t="s">
        <v>6963</v>
      </c>
      <c r="AE359" s="71"/>
      <c r="AF359" s="71"/>
      <c r="AG359" s="71"/>
      <c r="AH359" s="71"/>
      <c r="AI359" s="71"/>
      <c r="AJ359" s="71"/>
      <c r="AK359" s="263" t="s">
        <v>181</v>
      </c>
      <c r="AM359" s="59" t="s">
        <v>181</v>
      </c>
    </row>
    <row r="360" spans="1:44">
      <c r="A360" s="62">
        <v>7</v>
      </c>
      <c r="B360" s="93">
        <v>353</v>
      </c>
      <c r="C360" s="68" t="s">
        <v>6751</v>
      </c>
      <c r="D360" s="59" t="s">
        <v>6964</v>
      </c>
      <c r="E360" s="72" t="s">
        <v>5862</v>
      </c>
      <c r="F360" s="73" t="s">
        <v>6965</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6759</v>
      </c>
      <c r="U360" s="63">
        <v>398</v>
      </c>
      <c r="V360" s="70">
        <v>71169</v>
      </c>
      <c r="W360" s="70">
        <v>71000</v>
      </c>
      <c r="X360" s="83" t="s">
        <v>6966</v>
      </c>
      <c r="Y360" s="70">
        <v>7000</v>
      </c>
      <c r="Z360" s="63" t="s">
        <v>5866</v>
      </c>
      <c r="AC360" s="67"/>
      <c r="AD360" s="61" t="s">
        <v>6024</v>
      </c>
      <c r="AE360" s="71"/>
      <c r="AF360" s="71"/>
      <c r="AG360" s="71"/>
      <c r="AH360" s="71"/>
      <c r="AI360" s="71"/>
      <c r="AJ360" s="71"/>
      <c r="AK360" s="263" t="s">
        <v>6967</v>
      </c>
      <c r="AM360" s="59" t="s">
        <v>181</v>
      </c>
    </row>
    <row r="361" spans="1:44">
      <c r="A361" s="62">
        <v>7</v>
      </c>
      <c r="B361" s="93">
        <v>354</v>
      </c>
      <c r="C361" s="68" t="s">
        <v>6751</v>
      </c>
      <c r="D361" s="59" t="s">
        <v>6147</v>
      </c>
      <c r="E361" s="72" t="s">
        <v>5862</v>
      </c>
      <c r="F361" s="73" t="s">
        <v>6968</v>
      </c>
      <c r="G361" s="67">
        <v>44.1</v>
      </c>
      <c r="H361" s="67">
        <v>9201</v>
      </c>
      <c r="I361" s="69">
        <v>0</v>
      </c>
      <c r="J361" s="70">
        <v>29787</v>
      </c>
      <c r="K361" s="75">
        <v>5.2371840064457649</v>
      </c>
      <c r="L361" s="74">
        <v>0</v>
      </c>
      <c r="M361" s="76">
        <v>0</v>
      </c>
      <c r="N361" s="67">
        <v>1983</v>
      </c>
      <c r="O361" s="64">
        <v>1063</v>
      </c>
      <c r="Q361" s="59">
        <v>18</v>
      </c>
      <c r="R361" s="59">
        <v>10</v>
      </c>
      <c r="S361" s="59">
        <v>1</v>
      </c>
      <c r="T361" s="63" t="s">
        <v>6754</v>
      </c>
      <c r="U361" s="63">
        <v>398</v>
      </c>
      <c r="V361" s="70">
        <v>130639</v>
      </c>
      <c r="W361" s="70">
        <v>130000</v>
      </c>
      <c r="X361" s="83" t="s">
        <v>6123</v>
      </c>
      <c r="Y361" s="70">
        <v>30000</v>
      </c>
      <c r="Z361" s="63" t="s">
        <v>5866</v>
      </c>
      <c r="AC361" s="67"/>
      <c r="AD361" s="61" t="s">
        <v>6149</v>
      </c>
      <c r="AE361" s="71"/>
      <c r="AF361" s="71"/>
      <c r="AG361" s="71"/>
      <c r="AH361" s="71"/>
      <c r="AI361" s="71"/>
      <c r="AJ361" s="71"/>
      <c r="AK361" s="263" t="s">
        <v>181</v>
      </c>
      <c r="AM361" s="59" t="s">
        <v>181</v>
      </c>
    </row>
    <row r="362" spans="1:44">
      <c r="A362" s="62">
        <v>7</v>
      </c>
      <c r="B362" s="93">
        <v>355</v>
      </c>
      <c r="C362" s="68" t="s">
        <v>6751</v>
      </c>
      <c r="D362" s="59" t="s">
        <v>6150</v>
      </c>
      <c r="E362" s="72" t="s">
        <v>5862</v>
      </c>
      <c r="F362" s="73" t="s">
        <v>6969</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6754</v>
      </c>
      <c r="U362" s="63">
        <v>398</v>
      </c>
      <c r="V362" s="70">
        <v>45515</v>
      </c>
      <c r="W362" s="70">
        <v>46000</v>
      </c>
      <c r="X362" s="83" t="s">
        <v>5903</v>
      </c>
      <c r="Y362" s="70">
        <v>24000</v>
      </c>
      <c r="Z362" s="63" t="s">
        <v>5866</v>
      </c>
      <c r="AC362" s="67"/>
      <c r="AD362" s="61" t="s">
        <v>6152</v>
      </c>
      <c r="AE362" s="71"/>
      <c r="AF362" s="71"/>
      <c r="AG362" s="71"/>
      <c r="AH362" s="71"/>
      <c r="AI362" s="71"/>
      <c r="AJ362" s="71"/>
      <c r="AK362" s="263" t="s">
        <v>181</v>
      </c>
      <c r="AM362" s="59" t="s">
        <v>181</v>
      </c>
    </row>
    <row r="363" spans="1:44">
      <c r="A363" s="62">
        <v>7</v>
      </c>
      <c r="B363" s="93">
        <v>356</v>
      </c>
      <c r="C363" s="68" t="s">
        <v>6751</v>
      </c>
      <c r="D363" s="59" t="s">
        <v>6970</v>
      </c>
      <c r="E363" s="72" t="s">
        <v>5862</v>
      </c>
      <c r="F363" s="73" t="s">
        <v>6971</v>
      </c>
      <c r="G363" s="67">
        <v>44.1</v>
      </c>
      <c r="H363" s="67">
        <v>9201</v>
      </c>
      <c r="I363" s="69">
        <v>0</v>
      </c>
      <c r="J363" s="70">
        <v>9960</v>
      </c>
      <c r="K363" s="75">
        <v>3.975903614457831</v>
      </c>
      <c r="L363" s="74">
        <v>0</v>
      </c>
      <c r="M363" s="76">
        <v>0</v>
      </c>
      <c r="N363" s="67">
        <v>1956</v>
      </c>
      <c r="O363" s="64">
        <v>3858</v>
      </c>
      <c r="Q363" s="59">
        <v>16</v>
      </c>
      <c r="R363" s="59">
        <v>1</v>
      </c>
      <c r="S363" s="59">
        <v>1</v>
      </c>
      <c r="T363" s="63" t="s">
        <v>6754</v>
      </c>
      <c r="U363" s="63">
        <v>398</v>
      </c>
      <c r="V363" s="70">
        <v>17647</v>
      </c>
      <c r="W363" s="70">
        <v>18000</v>
      </c>
      <c r="X363" s="83" t="s">
        <v>6091</v>
      </c>
      <c r="Y363" s="70">
        <v>10000</v>
      </c>
      <c r="Z363" s="63" t="s">
        <v>5866</v>
      </c>
      <c r="AC363" s="67"/>
      <c r="AD363" s="61" t="s">
        <v>6972</v>
      </c>
      <c r="AE363" s="71"/>
      <c r="AF363" s="71"/>
      <c r="AG363" s="71"/>
      <c r="AH363" s="71"/>
      <c r="AI363" s="71"/>
      <c r="AJ363" s="71"/>
      <c r="AK363" s="263" t="s">
        <v>6755</v>
      </c>
      <c r="AM363" s="59" t="s">
        <v>181</v>
      </c>
    </row>
    <row r="364" spans="1:44">
      <c r="A364" s="62">
        <v>7</v>
      </c>
      <c r="B364" s="93">
        <v>357</v>
      </c>
      <c r="C364" s="68" t="s">
        <v>6751</v>
      </c>
      <c r="D364" s="59" t="s">
        <v>6973</v>
      </c>
      <c r="E364" s="72" t="s">
        <v>5862</v>
      </c>
      <c r="F364" s="73" t="s">
        <v>6974</v>
      </c>
      <c r="G364" s="82">
        <v>45.7</v>
      </c>
      <c r="H364" s="67">
        <v>9201</v>
      </c>
      <c r="I364" s="69">
        <v>0</v>
      </c>
      <c r="J364" s="70">
        <v>31705</v>
      </c>
      <c r="K364" s="75">
        <v>5.4999842296167794</v>
      </c>
      <c r="L364" s="74">
        <v>0.4</v>
      </c>
      <c r="M364" s="76">
        <v>0</v>
      </c>
      <c r="N364" s="67">
        <v>1951</v>
      </c>
      <c r="O364" s="64">
        <v>5790</v>
      </c>
      <c r="Q364" s="59">
        <v>17</v>
      </c>
      <c r="R364" s="59">
        <v>4</v>
      </c>
      <c r="S364" s="59">
        <v>1</v>
      </c>
      <c r="T364" s="63" t="s">
        <v>6759</v>
      </c>
      <c r="U364" s="63">
        <v>401</v>
      </c>
      <c r="V364" s="70">
        <v>85400</v>
      </c>
      <c r="W364" s="70">
        <v>85000</v>
      </c>
      <c r="X364" s="83" t="s">
        <v>5985</v>
      </c>
      <c r="Y364" s="70">
        <v>32000</v>
      </c>
      <c r="Z364" s="63" t="s">
        <v>5866</v>
      </c>
      <c r="AC364" s="67"/>
      <c r="AD364" s="61" t="s">
        <v>181</v>
      </c>
      <c r="AE364" s="71"/>
      <c r="AF364" s="71"/>
      <c r="AG364" s="71"/>
      <c r="AH364" s="71"/>
      <c r="AI364" s="71"/>
      <c r="AJ364" s="71"/>
      <c r="AK364" s="263" t="s">
        <v>181</v>
      </c>
      <c r="AM364" s="59" t="s">
        <v>181</v>
      </c>
    </row>
    <row r="365" spans="1:44">
      <c r="A365" s="62">
        <v>7</v>
      </c>
      <c r="B365" s="93">
        <v>358</v>
      </c>
      <c r="C365" s="68" t="s">
        <v>6751</v>
      </c>
      <c r="D365" s="59" t="s">
        <v>6975</v>
      </c>
      <c r="E365" s="72" t="s">
        <v>5862</v>
      </c>
      <c r="F365" s="73" t="s">
        <v>6976</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6754</v>
      </c>
      <c r="U365" s="63">
        <v>398</v>
      </c>
      <c r="V365" s="70">
        <v>12600</v>
      </c>
      <c r="W365" s="70">
        <v>13000</v>
      </c>
      <c r="X365" s="83" t="s">
        <v>6966</v>
      </c>
      <c r="Y365" s="70">
        <v>1000</v>
      </c>
      <c r="Z365" s="63" t="s">
        <v>5866</v>
      </c>
      <c r="AC365" s="67"/>
      <c r="AD365" s="61" t="s">
        <v>5904</v>
      </c>
      <c r="AE365" s="71"/>
      <c r="AF365" s="71"/>
      <c r="AG365" s="71"/>
      <c r="AH365" s="71"/>
      <c r="AI365" s="71"/>
      <c r="AJ365" s="71"/>
      <c r="AK365" s="263" t="s">
        <v>181</v>
      </c>
      <c r="AM365" s="59" t="s">
        <v>181</v>
      </c>
    </row>
    <row r="366" spans="1:44">
      <c r="A366" s="62">
        <v>7</v>
      </c>
      <c r="B366" s="93">
        <v>359</v>
      </c>
      <c r="C366" s="68" t="s">
        <v>6751</v>
      </c>
      <c r="D366" s="59" t="s">
        <v>6162</v>
      </c>
      <c r="E366" s="72" t="s">
        <v>5862</v>
      </c>
      <c r="F366" s="73" t="s">
        <v>6977</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6754</v>
      </c>
      <c r="U366" s="63">
        <v>353</v>
      </c>
      <c r="V366" s="70">
        <v>6711</v>
      </c>
      <c r="W366" s="70">
        <v>7000</v>
      </c>
      <c r="X366" s="83" t="s">
        <v>5874</v>
      </c>
      <c r="Y366" s="70">
        <v>3000</v>
      </c>
      <c r="Z366" s="63" t="s">
        <v>5866</v>
      </c>
      <c r="AC366" s="67"/>
      <c r="AD366" s="61" t="s">
        <v>181</v>
      </c>
      <c r="AE366" s="71"/>
      <c r="AF366" s="71"/>
      <c r="AG366" s="71"/>
      <c r="AH366" s="71"/>
      <c r="AI366" s="71"/>
      <c r="AJ366" s="71"/>
      <c r="AK366" s="263" t="s">
        <v>181</v>
      </c>
      <c r="AM366" s="59" t="s">
        <v>181</v>
      </c>
    </row>
    <row r="367" spans="1:44">
      <c r="A367" s="62">
        <v>7</v>
      </c>
      <c r="B367" s="93">
        <v>360</v>
      </c>
      <c r="C367" s="68" t="s">
        <v>6751</v>
      </c>
      <c r="D367" s="59" t="s">
        <v>6164</v>
      </c>
      <c r="E367" s="72" t="s">
        <v>5862</v>
      </c>
      <c r="F367" s="73" t="s">
        <v>6978</v>
      </c>
      <c r="G367" s="82">
        <v>44.4</v>
      </c>
      <c r="H367" s="67">
        <v>9201</v>
      </c>
      <c r="I367" s="69">
        <v>0</v>
      </c>
      <c r="J367" s="70">
        <v>143328</v>
      </c>
      <c r="K367" s="75">
        <v>2.8210398526456801</v>
      </c>
      <c r="L367" s="74">
        <v>0</v>
      </c>
      <c r="M367" s="76">
        <v>0</v>
      </c>
      <c r="N367" s="67">
        <v>1980</v>
      </c>
      <c r="O367" s="64">
        <v>11852</v>
      </c>
      <c r="Q367" s="59">
        <v>25</v>
      </c>
      <c r="R367" s="59">
        <v>3</v>
      </c>
      <c r="S367" s="59">
        <v>1</v>
      </c>
      <c r="T367" s="63" t="s">
        <v>6759</v>
      </c>
      <c r="U367" s="63">
        <v>398</v>
      </c>
      <c r="V367" s="70">
        <v>286723</v>
      </c>
      <c r="W367" s="70">
        <v>290000</v>
      </c>
      <c r="X367" s="83" t="s">
        <v>6774</v>
      </c>
      <c r="Y367" s="70">
        <v>140000</v>
      </c>
      <c r="Z367" s="63" t="s">
        <v>5866</v>
      </c>
      <c r="AC367" s="67"/>
      <c r="AD367" s="61" t="s">
        <v>6979</v>
      </c>
      <c r="AE367" s="71"/>
      <c r="AF367" s="71"/>
      <c r="AG367" s="71"/>
      <c r="AH367" s="71"/>
      <c r="AI367" s="71"/>
      <c r="AJ367" s="71"/>
      <c r="AK367" s="263" t="s">
        <v>181</v>
      </c>
      <c r="AM367" s="59" t="s">
        <v>181</v>
      </c>
    </row>
    <row r="368" spans="1:44" ht="25.5">
      <c r="A368" s="62">
        <v>7</v>
      </c>
      <c r="B368" s="93">
        <v>361</v>
      </c>
      <c r="C368" s="68" t="s">
        <v>6751</v>
      </c>
      <c r="D368" s="59" t="s">
        <v>6980</v>
      </c>
      <c r="E368" s="72" t="s">
        <v>5862</v>
      </c>
      <c r="F368" s="73" t="s">
        <v>6981</v>
      </c>
      <c r="G368" s="67">
        <v>44.1</v>
      </c>
      <c r="H368" s="67">
        <v>9201</v>
      </c>
      <c r="I368" s="69">
        <v>0</v>
      </c>
      <c r="J368" s="70">
        <v>19990</v>
      </c>
      <c r="K368" s="75">
        <v>4.3271635817908951</v>
      </c>
      <c r="L368" s="74">
        <v>0</v>
      </c>
      <c r="M368" s="76">
        <v>0</v>
      </c>
      <c r="N368" s="67">
        <v>1948</v>
      </c>
      <c r="O368" s="64">
        <v>5730</v>
      </c>
      <c r="Q368" s="59">
        <v>18</v>
      </c>
      <c r="R368" s="59">
        <v>1</v>
      </c>
      <c r="S368" s="59">
        <v>1</v>
      </c>
      <c r="T368" s="63" t="s">
        <v>6759</v>
      </c>
      <c r="U368" s="63">
        <v>398</v>
      </c>
      <c r="V368" s="70">
        <v>100554</v>
      </c>
      <c r="W368" s="70">
        <v>101000</v>
      </c>
      <c r="X368" s="83" t="s">
        <v>6791</v>
      </c>
      <c r="Y368" s="70">
        <v>20000</v>
      </c>
      <c r="Z368" s="63" t="s">
        <v>5866</v>
      </c>
      <c r="AC368" s="67"/>
      <c r="AD368" s="61" t="s">
        <v>181</v>
      </c>
      <c r="AE368" s="71"/>
      <c r="AF368" s="71"/>
      <c r="AG368" s="71"/>
      <c r="AH368" s="71"/>
      <c r="AI368" s="71"/>
      <c r="AJ368" s="71"/>
      <c r="AK368" s="263" t="s">
        <v>6982</v>
      </c>
      <c r="AM368" s="59" t="s">
        <v>181</v>
      </c>
    </row>
    <row r="369" spans="1:39">
      <c r="A369" s="62">
        <v>7</v>
      </c>
      <c r="B369" s="93">
        <v>362</v>
      </c>
      <c r="C369" s="68" t="s">
        <v>6751</v>
      </c>
      <c r="D369" s="59" t="s">
        <v>6983</v>
      </c>
      <c r="E369" s="72" t="s">
        <v>5862</v>
      </c>
      <c r="F369" s="73" t="s">
        <v>6984</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6754</v>
      </c>
      <c r="U369" s="63">
        <v>398</v>
      </c>
      <c r="V369" s="70">
        <v>18700</v>
      </c>
      <c r="W369" s="70">
        <v>19000</v>
      </c>
      <c r="X369" s="83" t="s">
        <v>5945</v>
      </c>
      <c r="Y369" s="70">
        <v>5000</v>
      </c>
      <c r="Z369" s="63" t="s">
        <v>5866</v>
      </c>
      <c r="AC369" s="67"/>
      <c r="AD369" s="61" t="s">
        <v>181</v>
      </c>
      <c r="AE369" s="71"/>
      <c r="AF369" s="71"/>
      <c r="AG369" s="71"/>
      <c r="AH369" s="71"/>
      <c r="AI369" s="71"/>
      <c r="AJ369" s="71"/>
      <c r="AK369" s="263" t="s">
        <v>6985</v>
      </c>
      <c r="AM369" s="59" t="s">
        <v>181</v>
      </c>
    </row>
    <row r="370" spans="1:39" ht="25.5">
      <c r="A370" s="62">
        <v>7</v>
      </c>
      <c r="B370" s="93">
        <v>363</v>
      </c>
      <c r="C370" s="68" t="s">
        <v>6751</v>
      </c>
      <c r="D370" s="59" t="s">
        <v>6986</v>
      </c>
      <c r="E370" s="72" t="s">
        <v>5862</v>
      </c>
      <c r="F370" s="73" t="s">
        <v>6987</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6759</v>
      </c>
      <c r="U370" s="63">
        <v>398</v>
      </c>
      <c r="V370" s="70">
        <v>416941</v>
      </c>
      <c r="W370" s="70">
        <v>420000</v>
      </c>
      <c r="X370" s="83" t="s">
        <v>5979</v>
      </c>
      <c r="Y370" s="70">
        <v>96000</v>
      </c>
      <c r="Z370" s="63" t="s">
        <v>5866</v>
      </c>
      <c r="AC370" s="67"/>
      <c r="AD370" s="61" t="s">
        <v>6988</v>
      </c>
      <c r="AE370" s="71"/>
      <c r="AF370" s="71"/>
      <c r="AG370" s="71"/>
      <c r="AH370" s="71"/>
      <c r="AI370" s="71"/>
      <c r="AJ370" s="71"/>
      <c r="AK370" s="263" t="s">
        <v>6989</v>
      </c>
      <c r="AM370" s="59" t="s">
        <v>181</v>
      </c>
    </row>
    <row r="371" spans="1:39" ht="25.5">
      <c r="A371" s="62">
        <v>7</v>
      </c>
      <c r="B371" s="93">
        <v>364</v>
      </c>
      <c r="C371" s="68" t="s">
        <v>6751</v>
      </c>
      <c r="D371" s="59" t="s">
        <v>6174</v>
      </c>
      <c r="E371" s="72" t="s">
        <v>5862</v>
      </c>
      <c r="F371" s="73" t="s">
        <v>6990</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6759</v>
      </c>
      <c r="U371" s="63">
        <v>398</v>
      </c>
      <c r="V371" s="70">
        <v>240000</v>
      </c>
      <c r="W371" s="70">
        <v>240000</v>
      </c>
      <c r="X371" s="83" t="s">
        <v>5928</v>
      </c>
      <c r="Y371" s="70">
        <v>110000</v>
      </c>
      <c r="Z371" s="63" t="s">
        <v>5866</v>
      </c>
      <c r="AC371" s="67"/>
      <c r="AD371" s="61" t="s">
        <v>6176</v>
      </c>
      <c r="AE371" s="71"/>
      <c r="AF371" s="71"/>
      <c r="AG371" s="71"/>
      <c r="AH371" s="71"/>
      <c r="AI371" s="71"/>
      <c r="AJ371" s="71"/>
      <c r="AK371" s="263" t="s">
        <v>6991</v>
      </c>
      <c r="AM371" s="59" t="s">
        <v>181</v>
      </c>
    </row>
    <row r="372" spans="1:39" ht="25.5">
      <c r="A372" s="62">
        <v>7</v>
      </c>
      <c r="B372" s="93">
        <v>365</v>
      </c>
      <c r="C372" s="68" t="s">
        <v>6751</v>
      </c>
      <c r="D372" s="59" t="s">
        <v>6180</v>
      </c>
      <c r="E372" s="72" t="s">
        <v>5862</v>
      </c>
      <c r="F372" s="73" t="s">
        <v>6992</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6754</v>
      </c>
      <c r="U372" s="63">
        <v>398</v>
      </c>
      <c r="V372" s="70">
        <v>24000</v>
      </c>
      <c r="W372" s="70">
        <v>24000</v>
      </c>
      <c r="X372" s="83" t="s">
        <v>6182</v>
      </c>
      <c r="Y372" s="70">
        <v>14000</v>
      </c>
      <c r="Z372" s="63" t="s">
        <v>5866</v>
      </c>
      <c r="AC372" s="67"/>
      <c r="AD372" s="61" t="s">
        <v>181</v>
      </c>
      <c r="AE372" s="71"/>
      <c r="AF372" s="71"/>
      <c r="AG372" s="71"/>
      <c r="AH372" s="71"/>
      <c r="AI372" s="71"/>
      <c r="AJ372" s="71"/>
      <c r="AK372" s="263" t="s">
        <v>6993</v>
      </c>
      <c r="AM372" s="59" t="s">
        <v>181</v>
      </c>
    </row>
    <row r="373" spans="1:39">
      <c r="A373" s="62">
        <v>7</v>
      </c>
      <c r="B373" s="93">
        <v>366</v>
      </c>
      <c r="C373" s="68" t="s">
        <v>6751</v>
      </c>
      <c r="D373" s="59" t="s">
        <v>6994</v>
      </c>
      <c r="E373" s="72" t="s">
        <v>5862</v>
      </c>
      <c r="F373" s="73" t="s">
        <v>6995</v>
      </c>
      <c r="G373" s="67">
        <v>44.1</v>
      </c>
      <c r="H373" s="67">
        <v>9201</v>
      </c>
      <c r="I373" s="69">
        <v>0</v>
      </c>
      <c r="J373" s="70">
        <v>38845</v>
      </c>
      <c r="K373" s="75">
        <v>7.7230016733170288</v>
      </c>
      <c r="L373" s="74">
        <v>0</v>
      </c>
      <c r="M373" s="76">
        <v>0</v>
      </c>
      <c r="N373" s="67">
        <v>1991</v>
      </c>
      <c r="O373" s="64">
        <v>7755</v>
      </c>
      <c r="Q373" s="59">
        <v>28</v>
      </c>
      <c r="R373" s="59">
        <v>3</v>
      </c>
      <c r="S373" s="59">
        <v>1</v>
      </c>
      <c r="T373" s="63" t="s">
        <v>6754</v>
      </c>
      <c r="U373" s="63">
        <v>398</v>
      </c>
      <c r="V373" s="70">
        <v>87200</v>
      </c>
      <c r="W373" s="70">
        <v>87000</v>
      </c>
      <c r="X373" s="83" t="s">
        <v>5928</v>
      </c>
      <c r="Y373" s="70">
        <v>39000</v>
      </c>
      <c r="Z373" s="63" t="s">
        <v>5866</v>
      </c>
      <c r="AC373" s="67"/>
      <c r="AD373" s="61" t="s">
        <v>6996</v>
      </c>
      <c r="AE373" s="71"/>
      <c r="AF373" s="71"/>
      <c r="AG373" s="71"/>
      <c r="AH373" s="71"/>
      <c r="AI373" s="71"/>
      <c r="AJ373" s="71"/>
      <c r="AK373" s="263" t="s">
        <v>5925</v>
      </c>
      <c r="AM373" s="59" t="s">
        <v>181</v>
      </c>
    </row>
    <row r="374" spans="1:39" ht="25.5">
      <c r="A374" s="62">
        <v>7</v>
      </c>
      <c r="B374" s="93">
        <v>367</v>
      </c>
      <c r="C374" s="68" t="s">
        <v>6751</v>
      </c>
      <c r="D374" s="59" t="s">
        <v>6187</v>
      </c>
      <c r="E374" s="72" t="s">
        <v>5862</v>
      </c>
      <c r="F374" s="73" t="s">
        <v>6997</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6754</v>
      </c>
      <c r="U374" s="63">
        <v>401</v>
      </c>
      <c r="V374" s="70">
        <v>21063</v>
      </c>
      <c r="W374" s="70">
        <v>21000</v>
      </c>
      <c r="X374" s="83" t="s">
        <v>6774</v>
      </c>
      <c r="Y374" s="70">
        <v>10000</v>
      </c>
      <c r="Z374" s="63" t="s">
        <v>5866</v>
      </c>
      <c r="AC374" s="67"/>
      <c r="AD374" s="61" t="s">
        <v>181</v>
      </c>
      <c r="AE374" s="71"/>
      <c r="AF374" s="71"/>
      <c r="AG374" s="71"/>
      <c r="AH374" s="71"/>
      <c r="AI374" s="71"/>
      <c r="AJ374" s="71"/>
      <c r="AK374" s="263" t="s">
        <v>6998</v>
      </c>
      <c r="AM374" s="59" t="s">
        <v>181</v>
      </c>
    </row>
    <row r="375" spans="1:39" ht="25.5">
      <c r="A375" s="62">
        <v>7</v>
      </c>
      <c r="B375" s="93">
        <v>368</v>
      </c>
      <c r="C375" s="68" t="s">
        <v>6751</v>
      </c>
      <c r="D375" s="59" t="s">
        <v>6999</v>
      </c>
      <c r="E375" s="72" t="s">
        <v>5862</v>
      </c>
      <c r="F375" s="73" t="s">
        <v>7000</v>
      </c>
      <c r="G375" s="82">
        <v>44.2</v>
      </c>
      <c r="H375" s="67">
        <v>9201</v>
      </c>
      <c r="I375" s="69">
        <v>0</v>
      </c>
      <c r="J375" s="70">
        <v>13881</v>
      </c>
      <c r="K375" s="75">
        <v>2.4349830703839781</v>
      </c>
      <c r="L375" s="74">
        <v>0</v>
      </c>
      <c r="M375" s="76">
        <v>0</v>
      </c>
      <c r="N375" s="67">
        <v>1950</v>
      </c>
      <c r="O375" s="64">
        <v>3456</v>
      </c>
      <c r="Q375" s="59">
        <v>14</v>
      </c>
      <c r="R375" s="59">
        <v>8</v>
      </c>
      <c r="S375" s="59">
        <v>1</v>
      </c>
      <c r="T375" s="63" t="s">
        <v>6754</v>
      </c>
      <c r="U375" s="63">
        <v>398</v>
      </c>
      <c r="V375" s="70">
        <v>28675</v>
      </c>
      <c r="W375" s="70">
        <v>29000</v>
      </c>
      <c r="X375" s="83" t="s">
        <v>5982</v>
      </c>
      <c r="Y375" s="70">
        <v>14000</v>
      </c>
      <c r="Z375" s="63" t="s">
        <v>5866</v>
      </c>
      <c r="AC375" s="67"/>
      <c r="AD375" s="61" t="s">
        <v>7001</v>
      </c>
      <c r="AE375" s="71"/>
      <c r="AF375" s="71"/>
      <c r="AG375" s="71"/>
      <c r="AH375" s="71"/>
      <c r="AI375" s="71"/>
      <c r="AJ375" s="71"/>
      <c r="AK375" s="263" t="s">
        <v>7002</v>
      </c>
      <c r="AM375" s="59" t="s">
        <v>181</v>
      </c>
    </row>
    <row r="376" spans="1:39">
      <c r="A376" s="62">
        <v>7</v>
      </c>
      <c r="B376" s="93">
        <v>369</v>
      </c>
      <c r="C376" s="68" t="s">
        <v>6751</v>
      </c>
      <c r="D376" s="59" t="s">
        <v>7003</v>
      </c>
      <c r="E376" s="72" t="s">
        <v>5862</v>
      </c>
      <c r="F376" s="73" t="s">
        <v>7004</v>
      </c>
      <c r="G376" s="67">
        <v>44.1</v>
      </c>
      <c r="H376" s="67">
        <v>9201</v>
      </c>
      <c r="I376" s="69">
        <v>0</v>
      </c>
      <c r="J376" s="70">
        <v>6000</v>
      </c>
      <c r="K376" s="75">
        <v>8</v>
      </c>
      <c r="L376" s="74">
        <v>0</v>
      </c>
      <c r="M376" s="76">
        <v>8.2125000000000004E-2</v>
      </c>
      <c r="N376" s="67">
        <v>1980</v>
      </c>
      <c r="O376" s="64">
        <v>702</v>
      </c>
      <c r="Q376" s="59">
        <v>14</v>
      </c>
      <c r="R376" s="59">
        <v>7</v>
      </c>
      <c r="S376" s="59">
        <v>1</v>
      </c>
      <c r="T376" s="63" t="s">
        <v>6754</v>
      </c>
      <c r="U376" s="63">
        <v>398</v>
      </c>
      <c r="V376" s="70">
        <v>19115</v>
      </c>
      <c r="W376" s="70">
        <v>19000</v>
      </c>
      <c r="X376" s="83" t="s">
        <v>5923</v>
      </c>
      <c r="Y376" s="70">
        <v>6000</v>
      </c>
      <c r="Z376" s="63" t="s">
        <v>5866</v>
      </c>
      <c r="AC376" s="67"/>
      <c r="AD376" s="61" t="s">
        <v>181</v>
      </c>
      <c r="AE376" s="71"/>
      <c r="AF376" s="71"/>
      <c r="AG376" s="71"/>
      <c r="AH376" s="71"/>
      <c r="AI376" s="71"/>
      <c r="AJ376" s="71"/>
      <c r="AK376" s="263" t="s">
        <v>6755</v>
      </c>
      <c r="AM376" s="59" t="s">
        <v>181</v>
      </c>
    </row>
    <row r="377" spans="1:39" ht="38.25">
      <c r="A377" s="62">
        <v>7</v>
      </c>
      <c r="B377" s="93">
        <v>370</v>
      </c>
      <c r="C377" s="68" t="s">
        <v>6751</v>
      </c>
      <c r="D377" s="59" t="s">
        <v>7005</v>
      </c>
      <c r="E377" s="72" t="s">
        <v>5862</v>
      </c>
      <c r="F377" s="73" t="s">
        <v>7006</v>
      </c>
      <c r="G377" s="82">
        <v>44.4</v>
      </c>
      <c r="H377" s="67">
        <v>9208</v>
      </c>
      <c r="I377" s="69">
        <v>0</v>
      </c>
      <c r="J377" s="70">
        <v>176800</v>
      </c>
      <c r="K377" s="75">
        <v>5.49</v>
      </c>
      <c r="L377" s="74">
        <v>0</v>
      </c>
      <c r="M377" s="76">
        <v>4.8492781728075848E-2</v>
      </c>
      <c r="N377" s="67">
        <v>2003</v>
      </c>
      <c r="O377" s="64">
        <v>21717</v>
      </c>
      <c r="Q377" s="59">
        <v>42</v>
      </c>
      <c r="R377" s="59">
        <v>14</v>
      </c>
      <c r="S377" s="59">
        <v>8</v>
      </c>
      <c r="T377" s="63" t="s">
        <v>6757</v>
      </c>
      <c r="U377" s="63">
        <v>398</v>
      </c>
      <c r="V377" s="70">
        <v>383884</v>
      </c>
      <c r="W377" s="70">
        <v>380000</v>
      </c>
      <c r="X377" s="83" t="s">
        <v>5928</v>
      </c>
      <c r="Y377" s="70">
        <v>180000</v>
      </c>
      <c r="Z377" s="63" t="s">
        <v>5866</v>
      </c>
      <c r="AC377" s="67"/>
      <c r="AD377" s="61" t="s">
        <v>6197</v>
      </c>
      <c r="AE377" s="71"/>
      <c r="AF377" s="71"/>
      <c r="AG377" s="71"/>
      <c r="AH377" s="71"/>
      <c r="AI377" s="71"/>
      <c r="AJ377" s="71"/>
      <c r="AK377" s="262" t="s">
        <v>7007</v>
      </c>
      <c r="AM377" s="59" t="s">
        <v>181</v>
      </c>
    </row>
    <row r="378" spans="1:39" ht="38.25">
      <c r="A378" s="62">
        <v>7</v>
      </c>
      <c r="B378" s="93">
        <v>371</v>
      </c>
      <c r="C378" s="92" t="s">
        <v>6766</v>
      </c>
      <c r="D378" s="93" t="s">
        <v>7008</v>
      </c>
      <c r="E378" s="92" t="s">
        <v>5862</v>
      </c>
      <c r="F378" s="93" t="s">
        <v>7009</v>
      </c>
      <c r="G378" s="94" t="s">
        <v>7010</v>
      </c>
      <c r="H378" s="93">
        <v>9208</v>
      </c>
      <c r="I378" s="92">
        <v>0</v>
      </c>
      <c r="J378" s="95">
        <v>176800</v>
      </c>
      <c r="K378" s="96">
        <v>5.89</v>
      </c>
      <c r="L378" s="97">
        <v>0</v>
      </c>
      <c r="M378" s="97">
        <v>0.06</v>
      </c>
      <c r="N378" s="93">
        <v>2005</v>
      </c>
      <c r="O378" s="92" t="s">
        <v>6895</v>
      </c>
      <c r="P378" s="93">
        <v>398</v>
      </c>
      <c r="Q378" s="95">
        <v>379708</v>
      </c>
      <c r="R378" s="95">
        <f>MROUND(Q378,1000)</f>
        <v>380000</v>
      </c>
      <c r="S378" s="98" t="s">
        <v>5982</v>
      </c>
      <c r="T378" s="95">
        <f>MROUND(J378,1000)</f>
        <v>177000</v>
      </c>
      <c r="U378" s="93" t="s">
        <v>209</v>
      </c>
      <c r="V378" s="93">
        <v>3</v>
      </c>
      <c r="W378" s="93">
        <v>3</v>
      </c>
      <c r="X378" s="93">
        <v>33</v>
      </c>
      <c r="Y378" s="93" t="s">
        <v>7011</v>
      </c>
      <c r="Z378" s="99"/>
      <c r="AA378" s="100"/>
      <c r="AB378" s="100"/>
      <c r="AC378" s="67"/>
      <c r="AD378" s="61"/>
      <c r="AE378" s="71"/>
      <c r="AF378" s="71"/>
      <c r="AG378" s="71"/>
      <c r="AH378" s="71"/>
      <c r="AI378" s="71"/>
      <c r="AJ378" s="71"/>
      <c r="AK378" s="262" t="s">
        <v>7012</v>
      </c>
      <c r="AL378" t="str">
        <f>IF(AND(ISNUMBER($S378),$S378&gt;0,ISNUMBER($K378),ISNUMBER($J378)),($K378*$J378)/$S378,"")</f>
        <v/>
      </c>
    </row>
    <row r="379" spans="1:39" ht="38.25">
      <c r="A379" s="62">
        <v>7</v>
      </c>
      <c r="B379" s="93">
        <v>372</v>
      </c>
      <c r="C379" s="68" t="s">
        <v>6751</v>
      </c>
      <c r="D379" s="59" t="s">
        <v>7013</v>
      </c>
      <c r="E379" s="72" t="s">
        <v>5862</v>
      </c>
      <c r="F379" s="73" t="s">
        <v>7014</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6757</v>
      </c>
      <c r="U379" s="63">
        <v>398</v>
      </c>
      <c r="V379" s="70">
        <v>209231</v>
      </c>
      <c r="W379" s="70">
        <v>210000</v>
      </c>
      <c r="X379" s="83" t="s">
        <v>5985</v>
      </c>
      <c r="Y379" s="70">
        <v>78000</v>
      </c>
      <c r="Z379" s="63" t="s">
        <v>5866</v>
      </c>
      <c r="AC379" s="67"/>
      <c r="AD379" s="61" t="s">
        <v>7015</v>
      </c>
      <c r="AE379" s="71"/>
      <c r="AF379" s="71"/>
      <c r="AG379" s="71"/>
      <c r="AH379" s="71"/>
      <c r="AI379" s="71"/>
      <c r="AJ379" s="71"/>
      <c r="AK379" s="262" t="s">
        <v>7016</v>
      </c>
      <c r="AM379" s="59" t="s">
        <v>181</v>
      </c>
    </row>
    <row r="380" spans="1:39">
      <c r="A380" s="62">
        <v>7</v>
      </c>
      <c r="B380" s="93">
        <v>373</v>
      </c>
      <c r="C380" s="68" t="s">
        <v>6751</v>
      </c>
      <c r="D380" s="59" t="s">
        <v>6198</v>
      </c>
      <c r="E380" s="72" t="s">
        <v>5862</v>
      </c>
      <c r="F380" s="73" t="s">
        <v>7017</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7018</v>
      </c>
      <c r="U380" s="63">
        <v>398</v>
      </c>
      <c r="V380" s="70">
        <v>9518</v>
      </c>
      <c r="W380" s="70">
        <v>10000</v>
      </c>
      <c r="X380" s="83" t="s">
        <v>5928</v>
      </c>
      <c r="Y380" s="70">
        <v>4000</v>
      </c>
      <c r="Z380" s="63" t="s">
        <v>5866</v>
      </c>
      <c r="AC380" s="67"/>
      <c r="AD380" s="61" t="s">
        <v>6201</v>
      </c>
      <c r="AE380" s="71"/>
      <c r="AF380" s="71"/>
      <c r="AG380" s="71"/>
      <c r="AH380" s="71"/>
      <c r="AI380" s="71"/>
      <c r="AJ380" s="71"/>
      <c r="AK380" s="263" t="s">
        <v>7019</v>
      </c>
      <c r="AM380" s="59" t="s">
        <v>181</v>
      </c>
    </row>
    <row r="381" spans="1:39">
      <c r="A381" s="62">
        <v>7</v>
      </c>
      <c r="B381" s="93">
        <v>374</v>
      </c>
      <c r="C381" s="68" t="s">
        <v>6751</v>
      </c>
      <c r="D381" s="59" t="s">
        <v>7020</v>
      </c>
      <c r="E381" s="72" t="s">
        <v>5862</v>
      </c>
      <c r="F381" s="73" t="s">
        <v>7021</v>
      </c>
      <c r="G381" s="82">
        <v>44.2</v>
      </c>
      <c r="H381" s="67">
        <v>9208</v>
      </c>
      <c r="I381" s="69">
        <v>0</v>
      </c>
      <c r="J381" s="70">
        <v>50974</v>
      </c>
      <c r="K381" s="75">
        <v>4.035469062659395</v>
      </c>
      <c r="L381" s="74">
        <v>0</v>
      </c>
      <c r="M381" s="76">
        <v>0</v>
      </c>
      <c r="N381" s="67">
        <v>1973</v>
      </c>
      <c r="O381" s="64">
        <v>3604</v>
      </c>
      <c r="Q381" s="59">
        <v>12</v>
      </c>
      <c r="R381" s="59">
        <v>3</v>
      </c>
      <c r="S381" s="59">
        <v>1</v>
      </c>
      <c r="T381" s="63" t="s">
        <v>6754</v>
      </c>
      <c r="U381" s="63">
        <v>398</v>
      </c>
      <c r="V381" s="70">
        <v>80115</v>
      </c>
      <c r="W381" s="70">
        <v>80000</v>
      </c>
      <c r="X381" s="83" t="s">
        <v>5896</v>
      </c>
      <c r="Y381" s="70">
        <v>51000</v>
      </c>
      <c r="Z381" s="63" t="s">
        <v>5924</v>
      </c>
      <c r="AC381" s="67"/>
      <c r="AD381" s="61" t="s">
        <v>181</v>
      </c>
      <c r="AE381" s="71"/>
      <c r="AF381" s="71"/>
      <c r="AG381" s="71"/>
      <c r="AH381" s="71"/>
      <c r="AI381" s="71"/>
      <c r="AJ381" s="71"/>
      <c r="AK381" s="263" t="s">
        <v>7022</v>
      </c>
      <c r="AM381" s="59" t="s">
        <v>181</v>
      </c>
    </row>
    <row r="382" spans="1:39">
      <c r="A382" s="62">
        <v>7</v>
      </c>
      <c r="B382" s="93">
        <v>375</v>
      </c>
      <c r="C382" s="68" t="s">
        <v>6751</v>
      </c>
      <c r="D382" s="59" t="s">
        <v>6207</v>
      </c>
      <c r="E382" s="72" t="s">
        <v>5862</v>
      </c>
      <c r="F382" s="73" t="s">
        <v>7023</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6754</v>
      </c>
      <c r="U382" s="63">
        <v>398</v>
      </c>
      <c r="V382" s="70">
        <v>6625</v>
      </c>
      <c r="W382" s="70">
        <v>7000</v>
      </c>
      <c r="X382" s="83" t="s">
        <v>6182</v>
      </c>
      <c r="Y382" s="70">
        <v>4000</v>
      </c>
      <c r="Z382" s="63" t="s">
        <v>5866</v>
      </c>
      <c r="AC382" s="67"/>
      <c r="AD382" s="61" t="s">
        <v>6209</v>
      </c>
      <c r="AE382" s="71"/>
      <c r="AF382" s="71"/>
      <c r="AG382" s="71"/>
      <c r="AH382" s="71"/>
      <c r="AI382" s="71"/>
      <c r="AJ382" s="71"/>
      <c r="AK382" s="263" t="s">
        <v>181</v>
      </c>
      <c r="AM382" s="59" t="s">
        <v>181</v>
      </c>
    </row>
    <row r="383" spans="1:39">
      <c r="A383" s="62">
        <v>7</v>
      </c>
      <c r="B383" s="93">
        <v>376</v>
      </c>
      <c r="C383" s="68" t="s">
        <v>6751</v>
      </c>
      <c r="D383" s="59" t="s">
        <v>7024</v>
      </c>
      <c r="E383" s="72" t="s">
        <v>5862</v>
      </c>
      <c r="F383" s="73" t="s">
        <v>7025</v>
      </c>
      <c r="G383" s="67">
        <v>44.1</v>
      </c>
      <c r="H383" s="67">
        <v>9208</v>
      </c>
      <c r="I383" s="69">
        <v>0</v>
      </c>
      <c r="J383" s="70">
        <v>4130</v>
      </c>
      <c r="K383" s="75">
        <v>8.7167070217917679</v>
      </c>
      <c r="L383" s="74">
        <v>0</v>
      </c>
      <c r="M383" s="76">
        <v>0</v>
      </c>
      <c r="N383" s="67">
        <v>1973</v>
      </c>
      <c r="O383" s="64">
        <v>1475</v>
      </c>
      <c r="Q383" s="59">
        <v>14</v>
      </c>
      <c r="R383" s="59">
        <v>3</v>
      </c>
      <c r="S383" s="59">
        <v>1</v>
      </c>
      <c r="T383" s="63" t="s">
        <v>6754</v>
      </c>
      <c r="U383" s="63">
        <v>401</v>
      </c>
      <c r="V383" s="70">
        <v>6250</v>
      </c>
      <c r="W383" s="70">
        <v>6000</v>
      </c>
      <c r="X383" s="83" t="s">
        <v>6065</v>
      </c>
      <c r="Y383" s="70">
        <v>4000</v>
      </c>
      <c r="Z383" s="63" t="s">
        <v>5866</v>
      </c>
      <c r="AC383" s="67"/>
      <c r="AD383" s="61" t="s">
        <v>5904</v>
      </c>
      <c r="AE383" s="71"/>
      <c r="AF383" s="71"/>
      <c r="AG383" s="71"/>
      <c r="AH383" s="71"/>
      <c r="AI383" s="71"/>
      <c r="AJ383" s="71"/>
      <c r="AK383" s="263" t="s">
        <v>181</v>
      </c>
      <c r="AM383" s="59" t="s">
        <v>181</v>
      </c>
    </row>
    <row r="384" spans="1:39">
      <c r="A384" s="62">
        <v>7</v>
      </c>
      <c r="B384" s="93">
        <v>377</v>
      </c>
      <c r="C384" s="68" t="s">
        <v>6751</v>
      </c>
      <c r="D384" s="59" t="s">
        <v>7026</v>
      </c>
      <c r="E384" s="72" t="s">
        <v>5862</v>
      </c>
      <c r="F384" s="73" t="s">
        <v>7027</v>
      </c>
      <c r="G384" s="82">
        <v>46.1</v>
      </c>
      <c r="H384" s="67">
        <v>9208</v>
      </c>
      <c r="I384" s="69">
        <v>0</v>
      </c>
      <c r="J384" s="70">
        <v>1925</v>
      </c>
      <c r="K384" s="75">
        <v>5.5844155844155843</v>
      </c>
      <c r="L384" s="74">
        <v>0</v>
      </c>
      <c r="M384" s="76">
        <v>0</v>
      </c>
      <c r="N384" s="67">
        <v>1961</v>
      </c>
      <c r="O384" s="64">
        <v>0</v>
      </c>
      <c r="Q384" s="59">
        <v>17</v>
      </c>
      <c r="R384" s="59">
        <v>3</v>
      </c>
      <c r="S384" s="59">
        <v>1</v>
      </c>
      <c r="T384" s="63" t="s">
        <v>7028</v>
      </c>
      <c r="U384" s="63">
        <v>401</v>
      </c>
      <c r="V384" s="70">
        <v>5940</v>
      </c>
      <c r="W384" s="70">
        <v>6000</v>
      </c>
      <c r="X384" s="83" t="s">
        <v>5979</v>
      </c>
      <c r="Y384" s="70">
        <v>2000</v>
      </c>
      <c r="Z384" s="63" t="s">
        <v>5866</v>
      </c>
      <c r="AC384" s="67"/>
      <c r="AD384" s="61" t="s">
        <v>181</v>
      </c>
      <c r="AE384" s="71"/>
      <c r="AF384" s="71"/>
      <c r="AG384" s="71"/>
      <c r="AH384" s="71"/>
      <c r="AI384" s="71"/>
      <c r="AJ384" s="71"/>
      <c r="AK384" s="263" t="s">
        <v>5925</v>
      </c>
      <c r="AM384" s="59" t="s">
        <v>181</v>
      </c>
    </row>
    <row r="385" spans="1:39">
      <c r="A385" s="62">
        <v>7</v>
      </c>
      <c r="B385" s="93">
        <v>378</v>
      </c>
      <c r="C385" s="68" t="s">
        <v>6751</v>
      </c>
      <c r="D385" s="59" t="s">
        <v>7029</v>
      </c>
      <c r="E385" s="72" t="s">
        <v>5862</v>
      </c>
      <c r="F385" s="73" t="s">
        <v>7030</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6754</v>
      </c>
      <c r="U385" s="63">
        <v>398</v>
      </c>
      <c r="V385" s="70">
        <v>12500</v>
      </c>
      <c r="W385" s="70">
        <v>13000</v>
      </c>
      <c r="X385" s="83" t="s">
        <v>5899</v>
      </c>
      <c r="Y385" s="70">
        <v>2000</v>
      </c>
      <c r="Z385" s="63" t="s">
        <v>5866</v>
      </c>
      <c r="AC385" s="67"/>
      <c r="AD385" s="61" t="s">
        <v>7031</v>
      </c>
      <c r="AE385" s="71"/>
      <c r="AF385" s="71"/>
      <c r="AG385" s="71"/>
      <c r="AH385" s="71"/>
      <c r="AI385" s="71"/>
      <c r="AJ385" s="71"/>
      <c r="AK385" s="263" t="s">
        <v>181</v>
      </c>
      <c r="AM385" s="59" t="s">
        <v>181</v>
      </c>
    </row>
    <row r="386" spans="1:39">
      <c r="A386" s="62">
        <v>7</v>
      </c>
      <c r="B386" s="93">
        <v>379</v>
      </c>
      <c r="C386" s="68" t="s">
        <v>6751</v>
      </c>
      <c r="D386" s="59" t="s">
        <v>7032</v>
      </c>
      <c r="E386" s="72" t="s">
        <v>5862</v>
      </c>
      <c r="F386" s="73" t="s">
        <v>7033</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7018</v>
      </c>
      <c r="U386" s="63">
        <v>398</v>
      </c>
      <c r="V386" s="70">
        <v>12535</v>
      </c>
      <c r="W386" s="70">
        <v>13000</v>
      </c>
      <c r="X386" s="83" t="s">
        <v>5982</v>
      </c>
      <c r="Y386" s="70">
        <v>6000</v>
      </c>
      <c r="Z386" s="63" t="s">
        <v>5866</v>
      </c>
      <c r="AC386" s="67"/>
      <c r="AD386" s="61" t="s">
        <v>181</v>
      </c>
      <c r="AE386" s="71"/>
      <c r="AF386" s="71"/>
      <c r="AG386" s="71"/>
      <c r="AH386" s="71"/>
      <c r="AI386" s="71"/>
      <c r="AJ386" s="71"/>
      <c r="AK386" s="263" t="s">
        <v>181</v>
      </c>
      <c r="AM386" s="59" t="s">
        <v>181</v>
      </c>
    </row>
    <row r="387" spans="1:39" ht="25.5">
      <c r="A387" s="62">
        <v>7</v>
      </c>
      <c r="B387" s="93">
        <v>380</v>
      </c>
      <c r="C387" s="68" t="s">
        <v>6751</v>
      </c>
      <c r="D387" s="59" t="s">
        <v>7034</v>
      </c>
      <c r="E387" s="72" t="s">
        <v>5862</v>
      </c>
      <c r="F387" s="73" t="s">
        <v>7035</v>
      </c>
      <c r="G387" s="82">
        <v>44.2</v>
      </c>
      <c r="H387" s="67">
        <v>9208</v>
      </c>
      <c r="I387" s="69">
        <v>0</v>
      </c>
      <c r="J387" s="70">
        <v>8770</v>
      </c>
      <c r="K387" s="75">
        <v>4.7890535917901937</v>
      </c>
      <c r="L387" s="74">
        <v>0</v>
      </c>
      <c r="M387" s="76">
        <v>0</v>
      </c>
      <c r="N387" s="67">
        <v>1965</v>
      </c>
      <c r="O387" s="64">
        <v>2760</v>
      </c>
      <c r="Q387" s="59">
        <v>14</v>
      </c>
      <c r="R387" s="59">
        <v>7</v>
      </c>
      <c r="S387" s="59">
        <v>1</v>
      </c>
      <c r="T387" s="63" t="s">
        <v>6759</v>
      </c>
      <c r="U387" s="63">
        <v>398</v>
      </c>
      <c r="V387" s="70">
        <v>40700</v>
      </c>
      <c r="W387" s="70">
        <v>41000</v>
      </c>
      <c r="X387" s="83" t="s">
        <v>7036</v>
      </c>
      <c r="Y387" s="70">
        <v>9000</v>
      </c>
      <c r="Z387" s="63" t="s">
        <v>5866</v>
      </c>
      <c r="AC387" s="67"/>
      <c r="AD387" s="61" t="s">
        <v>181</v>
      </c>
      <c r="AE387" s="71"/>
      <c r="AF387" s="71"/>
      <c r="AG387" s="71"/>
      <c r="AH387" s="71"/>
      <c r="AI387" s="71"/>
      <c r="AJ387" s="71"/>
      <c r="AK387" s="263" t="s">
        <v>7037</v>
      </c>
      <c r="AM387" s="59" t="s">
        <v>181</v>
      </c>
    </row>
    <row r="388" spans="1:39" ht="25.5">
      <c r="A388" s="62">
        <v>7</v>
      </c>
      <c r="B388" s="93">
        <v>381</v>
      </c>
      <c r="C388" s="68" t="s">
        <v>6751</v>
      </c>
      <c r="D388" s="59" t="s">
        <v>7038</v>
      </c>
      <c r="E388" s="72" t="s">
        <v>5862</v>
      </c>
      <c r="F388" s="73" t="s">
        <v>7039</v>
      </c>
      <c r="G388" s="67">
        <v>44.1</v>
      </c>
      <c r="H388" s="67">
        <v>9208</v>
      </c>
      <c r="I388" s="69">
        <v>0</v>
      </c>
      <c r="J388" s="70">
        <v>1000</v>
      </c>
      <c r="K388" s="75">
        <v>10.38</v>
      </c>
      <c r="L388" s="74">
        <v>0</v>
      </c>
      <c r="M388" s="76">
        <v>0.18834296724470129</v>
      </c>
      <c r="N388" s="67">
        <v>1955</v>
      </c>
      <c r="O388" s="64">
        <v>380</v>
      </c>
      <c r="Q388" s="59">
        <v>14</v>
      </c>
      <c r="R388" s="59">
        <v>3</v>
      </c>
      <c r="S388" s="59">
        <v>1</v>
      </c>
      <c r="T388" s="63" t="s">
        <v>6754</v>
      </c>
      <c r="U388" s="63">
        <v>398</v>
      </c>
      <c r="V388" s="70">
        <v>9370</v>
      </c>
      <c r="W388" s="70">
        <v>9000</v>
      </c>
      <c r="X388" s="83" t="s">
        <v>6182</v>
      </c>
      <c r="Y388" s="70">
        <v>1000</v>
      </c>
      <c r="Z388" s="63" t="s">
        <v>5866</v>
      </c>
      <c r="AC388" s="67"/>
      <c r="AD388" s="61" t="s">
        <v>181</v>
      </c>
      <c r="AE388" s="71"/>
      <c r="AF388" s="71"/>
      <c r="AG388" s="71"/>
      <c r="AH388" s="71"/>
      <c r="AI388" s="71"/>
      <c r="AJ388" s="71"/>
      <c r="AK388" s="263" t="s">
        <v>7040</v>
      </c>
      <c r="AM388" s="59" t="s">
        <v>181</v>
      </c>
    </row>
    <row r="389" spans="1:39">
      <c r="A389" s="62">
        <v>7</v>
      </c>
      <c r="B389" s="93">
        <v>382</v>
      </c>
      <c r="C389" s="68" t="s">
        <v>6751</v>
      </c>
      <c r="D389" s="59" t="s">
        <v>6243</v>
      </c>
      <c r="E389" s="72" t="s">
        <v>5862</v>
      </c>
      <c r="F389" s="73" t="s">
        <v>7041</v>
      </c>
      <c r="G389" s="67">
        <v>44.1</v>
      </c>
      <c r="H389" s="67">
        <v>9208</v>
      </c>
      <c r="I389" s="69">
        <v>0</v>
      </c>
      <c r="J389" s="70">
        <v>6144</v>
      </c>
      <c r="K389" s="75">
        <v>5.78515625</v>
      </c>
      <c r="L389" s="74">
        <v>0</v>
      </c>
      <c r="M389" s="76">
        <v>0</v>
      </c>
      <c r="N389" s="67">
        <v>1973</v>
      </c>
      <c r="O389" s="64">
        <v>1593</v>
      </c>
      <c r="Q389" s="59">
        <v>14</v>
      </c>
      <c r="R389" s="59">
        <v>14</v>
      </c>
      <c r="S389" s="59">
        <v>1</v>
      </c>
      <c r="T389" s="63" t="s">
        <v>6754</v>
      </c>
      <c r="U389" s="63">
        <v>398</v>
      </c>
      <c r="V389" s="70">
        <v>30805</v>
      </c>
      <c r="W389" s="70">
        <v>31000</v>
      </c>
      <c r="X389" s="83" t="s">
        <v>7042</v>
      </c>
      <c r="Y389" s="70">
        <v>6000</v>
      </c>
      <c r="Z389" s="63" t="s">
        <v>5866</v>
      </c>
      <c r="AC389" s="67"/>
      <c r="AD389" s="61" t="s">
        <v>6246</v>
      </c>
      <c r="AE389" s="71"/>
      <c r="AF389" s="71"/>
      <c r="AG389" s="71"/>
      <c r="AH389" s="71"/>
      <c r="AI389" s="71"/>
      <c r="AJ389" s="71"/>
      <c r="AK389" s="263" t="s">
        <v>181</v>
      </c>
      <c r="AM389" s="59" t="s">
        <v>181</v>
      </c>
    </row>
    <row r="390" spans="1:39">
      <c r="A390" s="62">
        <v>7</v>
      </c>
      <c r="B390" s="93">
        <v>383</v>
      </c>
      <c r="C390" s="68" t="s">
        <v>6751</v>
      </c>
      <c r="D390" s="59" t="s">
        <v>7043</v>
      </c>
      <c r="E390" s="72" t="s">
        <v>5862</v>
      </c>
      <c r="F390" s="73" t="s">
        <v>7044</v>
      </c>
      <c r="G390" s="82">
        <v>44.2</v>
      </c>
      <c r="H390" s="67">
        <v>9208</v>
      </c>
      <c r="I390" s="69">
        <v>0</v>
      </c>
      <c r="J390" s="70">
        <v>8000</v>
      </c>
      <c r="K390" s="75">
        <v>16.455874999999999</v>
      </c>
      <c r="L390" s="74">
        <v>0</v>
      </c>
      <c r="M390" s="76">
        <v>0</v>
      </c>
      <c r="N390" s="67">
        <v>1967</v>
      </c>
      <c r="O390" s="64">
        <v>3131</v>
      </c>
      <c r="Q390" s="59">
        <v>16</v>
      </c>
      <c r="R390" s="59">
        <v>3</v>
      </c>
      <c r="S390" s="59">
        <v>1</v>
      </c>
      <c r="T390" s="63" t="s">
        <v>6754</v>
      </c>
      <c r="U390" s="63">
        <v>398</v>
      </c>
      <c r="V390" s="70">
        <v>18620</v>
      </c>
      <c r="W390" s="70">
        <v>19000</v>
      </c>
      <c r="X390" s="83" t="s">
        <v>5874</v>
      </c>
      <c r="Y390" s="70">
        <v>8000</v>
      </c>
      <c r="Z390" s="63" t="s">
        <v>5866</v>
      </c>
      <c r="AC390" s="67"/>
      <c r="AD390" s="61" t="s">
        <v>7045</v>
      </c>
      <c r="AE390" s="71"/>
      <c r="AF390" s="71"/>
      <c r="AG390" s="71"/>
      <c r="AH390" s="71"/>
      <c r="AI390" s="71"/>
      <c r="AJ390" s="71"/>
      <c r="AK390" s="263" t="s">
        <v>6755</v>
      </c>
      <c r="AM390" s="59" t="s">
        <v>181</v>
      </c>
    </row>
    <row r="391" spans="1:39">
      <c r="A391" s="62">
        <v>7</v>
      </c>
      <c r="B391" s="93">
        <v>384</v>
      </c>
      <c r="C391" s="68" t="s">
        <v>6751</v>
      </c>
      <c r="D391" s="59" t="s">
        <v>7046</v>
      </c>
      <c r="E391" s="72" t="s">
        <v>5862</v>
      </c>
      <c r="F391" s="73" t="s">
        <v>7047</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6754</v>
      </c>
      <c r="U391" s="63">
        <v>398</v>
      </c>
      <c r="V391" s="70">
        <v>74800</v>
      </c>
      <c r="W391" s="70">
        <v>75000</v>
      </c>
      <c r="X391" s="83" t="s">
        <v>5878</v>
      </c>
      <c r="Y391" s="70">
        <v>32000</v>
      </c>
      <c r="Z391" s="63" t="s">
        <v>5866</v>
      </c>
      <c r="AC391" s="67"/>
      <c r="AD391" s="61" t="s">
        <v>7048</v>
      </c>
      <c r="AE391" s="71"/>
      <c r="AF391" s="71"/>
      <c r="AG391" s="71"/>
      <c r="AH391" s="71"/>
      <c r="AI391" s="71"/>
      <c r="AJ391" s="71"/>
      <c r="AK391" s="263" t="s">
        <v>181</v>
      </c>
      <c r="AM391" s="59" t="s">
        <v>181</v>
      </c>
    </row>
    <row r="392" spans="1:39">
      <c r="A392" s="62">
        <v>7</v>
      </c>
      <c r="B392" s="93">
        <v>385</v>
      </c>
      <c r="C392" s="68" t="s">
        <v>6751</v>
      </c>
      <c r="D392" s="59" t="s">
        <v>7049</v>
      </c>
      <c r="E392" s="72" t="s">
        <v>5862</v>
      </c>
      <c r="F392" s="73" t="s">
        <v>7050</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6759</v>
      </c>
      <c r="U392" s="63">
        <v>398</v>
      </c>
      <c r="V392" s="70">
        <v>47800</v>
      </c>
      <c r="W392" s="70">
        <v>48000</v>
      </c>
      <c r="X392" s="83" t="s">
        <v>6308</v>
      </c>
      <c r="Y392" s="70">
        <v>11000</v>
      </c>
      <c r="Z392" s="63" t="s">
        <v>5866</v>
      </c>
      <c r="AC392" s="67"/>
      <c r="AD392" s="61" t="s">
        <v>7051</v>
      </c>
      <c r="AE392" s="71"/>
      <c r="AF392" s="71"/>
      <c r="AG392" s="71"/>
      <c r="AH392" s="71"/>
      <c r="AI392" s="71"/>
      <c r="AJ392" s="71"/>
      <c r="AK392" s="263" t="s">
        <v>5925</v>
      </c>
      <c r="AM392" s="59" t="s">
        <v>181</v>
      </c>
    </row>
    <row r="393" spans="1:39">
      <c r="A393" s="62">
        <v>7</v>
      </c>
      <c r="B393" s="93">
        <v>386</v>
      </c>
      <c r="C393" s="68" t="s">
        <v>6751</v>
      </c>
      <c r="D393" s="59" t="s">
        <v>7052</v>
      </c>
      <c r="E393" s="72" t="s">
        <v>5862</v>
      </c>
      <c r="F393" s="73" t="s">
        <v>7053</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6754</v>
      </c>
      <c r="U393" s="63">
        <v>398</v>
      </c>
      <c r="V393" s="70">
        <v>18750</v>
      </c>
      <c r="W393" s="70">
        <v>19000</v>
      </c>
      <c r="X393" s="83" t="s">
        <v>5938</v>
      </c>
      <c r="Y393" s="70">
        <v>14000</v>
      </c>
      <c r="Z393" s="63" t="s">
        <v>5866</v>
      </c>
      <c r="AC393" s="67"/>
      <c r="AD393" s="61" t="s">
        <v>181</v>
      </c>
      <c r="AE393" s="71"/>
      <c r="AF393" s="71"/>
      <c r="AG393" s="71"/>
      <c r="AH393" s="71"/>
      <c r="AI393" s="71"/>
      <c r="AJ393" s="71"/>
      <c r="AK393" s="263" t="s">
        <v>6755</v>
      </c>
      <c r="AM393" s="59" t="s">
        <v>181</v>
      </c>
    </row>
    <row r="394" spans="1:39" ht="25.5">
      <c r="A394" s="62">
        <v>7</v>
      </c>
      <c r="B394" s="93">
        <v>387</v>
      </c>
      <c r="C394" s="68" t="s">
        <v>6751</v>
      </c>
      <c r="D394" s="59" t="s">
        <v>7054</v>
      </c>
      <c r="E394" s="72" t="s">
        <v>5862</v>
      </c>
      <c r="F394" s="73" t="s">
        <v>7055</v>
      </c>
      <c r="G394" s="82">
        <v>47.1</v>
      </c>
      <c r="H394" s="67">
        <v>9201</v>
      </c>
      <c r="I394" s="69">
        <v>0</v>
      </c>
      <c r="J394" s="70">
        <v>20773</v>
      </c>
      <c r="K394" s="75">
        <v>5.1990564675299664</v>
      </c>
      <c r="L394" s="74">
        <v>0</v>
      </c>
      <c r="M394" s="76">
        <v>0</v>
      </c>
      <c r="N394" s="67">
        <v>1949</v>
      </c>
      <c r="O394" s="64">
        <v>2655</v>
      </c>
      <c r="Q394" s="59">
        <v>18</v>
      </c>
      <c r="R394" s="59">
        <v>1</v>
      </c>
      <c r="S394" s="59">
        <v>1</v>
      </c>
      <c r="T394" s="63" t="s">
        <v>6759</v>
      </c>
      <c r="U394" s="63">
        <v>401</v>
      </c>
      <c r="V394" s="70">
        <v>190793</v>
      </c>
      <c r="W394" s="70">
        <v>190000</v>
      </c>
      <c r="X394" s="83" t="s">
        <v>7056</v>
      </c>
      <c r="Y394" s="70">
        <v>21000</v>
      </c>
      <c r="Z394" s="63" t="s">
        <v>5866</v>
      </c>
      <c r="AC394" s="67"/>
      <c r="AD394" s="61" t="s">
        <v>6262</v>
      </c>
      <c r="AE394" s="71"/>
      <c r="AF394" s="71"/>
      <c r="AG394" s="71"/>
      <c r="AH394" s="71"/>
      <c r="AI394" s="71"/>
      <c r="AJ394" s="71"/>
      <c r="AK394" s="263" t="s">
        <v>7057</v>
      </c>
      <c r="AM394" s="59" t="s">
        <v>181</v>
      </c>
    </row>
    <row r="395" spans="1:39">
      <c r="A395" s="62">
        <v>7</v>
      </c>
      <c r="B395" s="93">
        <v>388</v>
      </c>
      <c r="C395" s="68" t="s">
        <v>6751</v>
      </c>
      <c r="D395" s="59" t="s">
        <v>7058</v>
      </c>
      <c r="E395" s="72" t="s">
        <v>5862</v>
      </c>
      <c r="F395" s="73" t="s">
        <v>7059</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6763</v>
      </c>
      <c r="U395" s="63">
        <v>398</v>
      </c>
      <c r="V395" s="70">
        <v>31000</v>
      </c>
      <c r="W395" s="70">
        <v>31000</v>
      </c>
      <c r="X395" s="83" t="s">
        <v>6436</v>
      </c>
      <c r="Y395" s="70">
        <v>9000</v>
      </c>
      <c r="Z395" s="63" t="s">
        <v>5866</v>
      </c>
      <c r="AC395" s="67"/>
      <c r="AD395" s="61" t="s">
        <v>7060</v>
      </c>
      <c r="AE395" s="71"/>
      <c r="AF395" s="71"/>
      <c r="AG395" s="71"/>
      <c r="AH395" s="71"/>
      <c r="AI395" s="71"/>
      <c r="AJ395" s="71"/>
      <c r="AK395" s="263" t="s">
        <v>181</v>
      </c>
      <c r="AM395" s="59" t="s">
        <v>181</v>
      </c>
    </row>
    <row r="396" spans="1:39">
      <c r="A396" s="62">
        <v>7</v>
      </c>
      <c r="B396" s="93">
        <v>389</v>
      </c>
      <c r="C396" s="68" t="s">
        <v>6751</v>
      </c>
      <c r="D396" s="59" t="s">
        <v>6269</v>
      </c>
      <c r="E396" s="72" t="s">
        <v>5862</v>
      </c>
      <c r="F396" s="73" t="s">
        <v>7061</v>
      </c>
      <c r="G396" s="82">
        <v>47.2</v>
      </c>
      <c r="H396" s="67">
        <v>9201</v>
      </c>
      <c r="I396" s="69">
        <v>0</v>
      </c>
      <c r="J396" s="70">
        <v>33001</v>
      </c>
      <c r="K396" s="75">
        <v>4.5453168085815578</v>
      </c>
      <c r="L396" s="74">
        <v>0</v>
      </c>
      <c r="M396" s="76">
        <v>0</v>
      </c>
      <c r="N396" s="67">
        <v>1958</v>
      </c>
      <c r="O396" s="64">
        <v>1215</v>
      </c>
      <c r="Q396" s="59">
        <v>13</v>
      </c>
      <c r="R396" s="59">
        <v>3</v>
      </c>
      <c r="S396" s="59">
        <v>1</v>
      </c>
      <c r="T396" s="63" t="s">
        <v>6754</v>
      </c>
      <c r="U396" s="63">
        <v>401</v>
      </c>
      <c r="V396" s="70">
        <v>36515</v>
      </c>
      <c r="W396" s="70">
        <v>37000</v>
      </c>
      <c r="X396" s="83" t="s">
        <v>6271</v>
      </c>
      <c r="Y396" s="70">
        <v>33000</v>
      </c>
      <c r="Z396" s="63" t="s">
        <v>5866</v>
      </c>
      <c r="AC396" s="67"/>
      <c r="AD396" s="61" t="s">
        <v>6272</v>
      </c>
      <c r="AE396" s="71"/>
      <c r="AF396" s="71"/>
      <c r="AG396" s="71"/>
      <c r="AH396" s="71"/>
      <c r="AI396" s="71"/>
      <c r="AJ396" s="71"/>
      <c r="AK396" s="263" t="s">
        <v>6509</v>
      </c>
      <c r="AM396" s="59" t="s">
        <v>181</v>
      </c>
    </row>
    <row r="397" spans="1:39" ht="25.5">
      <c r="A397" s="62">
        <v>7</v>
      </c>
      <c r="B397" s="93">
        <v>390</v>
      </c>
      <c r="C397" s="68" t="s">
        <v>6751</v>
      </c>
      <c r="D397" s="59" t="s">
        <v>7062</v>
      </c>
      <c r="E397" s="72" t="s">
        <v>5862</v>
      </c>
      <c r="F397" s="73" t="s">
        <v>7063</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6754</v>
      </c>
      <c r="U397" s="63">
        <v>401</v>
      </c>
      <c r="V397" s="70">
        <v>32937</v>
      </c>
      <c r="W397" s="70">
        <v>33000</v>
      </c>
      <c r="X397" s="83" t="s">
        <v>6091</v>
      </c>
      <c r="Y397" s="70">
        <v>19000</v>
      </c>
      <c r="Z397" s="63" t="s">
        <v>5866</v>
      </c>
      <c r="AC397" s="67"/>
      <c r="AD397" s="61" t="s">
        <v>181</v>
      </c>
      <c r="AE397" s="71"/>
      <c r="AF397" s="71"/>
      <c r="AG397" s="71"/>
      <c r="AH397" s="71"/>
      <c r="AI397" s="71"/>
      <c r="AJ397" s="71"/>
      <c r="AK397" s="263" t="s">
        <v>7064</v>
      </c>
      <c r="AM397" s="59" t="s">
        <v>181</v>
      </c>
    </row>
    <row r="398" spans="1:39" ht="25.5">
      <c r="A398" s="62">
        <v>7</v>
      </c>
      <c r="B398" s="93">
        <v>391</v>
      </c>
      <c r="C398" s="68" t="s">
        <v>6751</v>
      </c>
      <c r="D398" s="59" t="s">
        <v>6281</v>
      </c>
      <c r="E398" s="72" t="s">
        <v>5862</v>
      </c>
      <c r="F398" s="73" t="s">
        <v>7065</v>
      </c>
      <c r="G398" s="67">
        <v>44.1</v>
      </c>
      <c r="H398" s="67">
        <v>9201</v>
      </c>
      <c r="I398" s="69">
        <v>0</v>
      </c>
      <c r="J398" s="70">
        <v>1500</v>
      </c>
      <c r="K398" s="75">
        <v>8.1066666666666674</v>
      </c>
      <c r="L398" s="74">
        <v>0</v>
      </c>
      <c r="M398" s="76">
        <v>0</v>
      </c>
      <c r="N398" s="67">
        <v>1930</v>
      </c>
      <c r="O398" s="64">
        <v>0</v>
      </c>
      <c r="Q398" s="59">
        <v>15</v>
      </c>
      <c r="R398" s="59">
        <v>7</v>
      </c>
      <c r="S398" s="59">
        <v>1</v>
      </c>
      <c r="T398" s="63" t="s">
        <v>6754</v>
      </c>
      <c r="U398" s="63">
        <v>399</v>
      </c>
      <c r="V398" s="70">
        <v>8100</v>
      </c>
      <c r="W398" s="70">
        <v>8000</v>
      </c>
      <c r="X398" s="83" t="s">
        <v>5874</v>
      </c>
      <c r="Y398" s="70">
        <v>2000</v>
      </c>
      <c r="Z398" s="63" t="s">
        <v>5866</v>
      </c>
      <c r="AC398" s="67"/>
      <c r="AD398" s="61" t="s">
        <v>181</v>
      </c>
      <c r="AE398" s="71"/>
      <c r="AF398" s="71"/>
      <c r="AG398" s="71"/>
      <c r="AH398" s="71"/>
      <c r="AI398" s="71"/>
      <c r="AJ398" s="71"/>
      <c r="AK398" s="263" t="s">
        <v>7066</v>
      </c>
      <c r="AM398" s="59" t="s">
        <v>181</v>
      </c>
    </row>
    <row r="399" spans="1:39">
      <c r="A399" s="62">
        <v>7</v>
      </c>
      <c r="B399" s="93">
        <v>392</v>
      </c>
      <c r="C399" s="68" t="s">
        <v>6751</v>
      </c>
      <c r="D399" s="59" t="s">
        <v>7067</v>
      </c>
      <c r="E399" s="72" t="s">
        <v>5862</v>
      </c>
      <c r="F399" s="73" t="s">
        <v>7068</v>
      </c>
      <c r="G399" s="82">
        <v>44.2</v>
      </c>
      <c r="H399" s="67">
        <v>9201</v>
      </c>
      <c r="I399" s="69">
        <v>0</v>
      </c>
      <c r="J399" s="70">
        <v>16650</v>
      </c>
      <c r="K399" s="75">
        <v>3.4594594594594601</v>
      </c>
      <c r="L399" s="74">
        <v>0</v>
      </c>
      <c r="M399" s="76">
        <v>0</v>
      </c>
      <c r="N399" s="67">
        <v>1964</v>
      </c>
      <c r="O399" s="64">
        <v>0</v>
      </c>
      <c r="Q399" s="59">
        <v>14</v>
      </c>
      <c r="R399" s="59">
        <v>3</v>
      </c>
      <c r="S399" s="59">
        <v>1</v>
      </c>
      <c r="T399" s="63" t="s">
        <v>6754</v>
      </c>
      <c r="U399" s="63">
        <v>398</v>
      </c>
      <c r="V399" s="70">
        <v>32214</v>
      </c>
      <c r="W399" s="70">
        <v>32000</v>
      </c>
      <c r="X399" s="83" t="s">
        <v>5903</v>
      </c>
      <c r="Y399" s="70">
        <v>17000</v>
      </c>
      <c r="Z399" s="63" t="s">
        <v>5866</v>
      </c>
      <c r="AC399" s="67"/>
      <c r="AD399" s="61" t="s">
        <v>181</v>
      </c>
      <c r="AE399" s="71"/>
      <c r="AF399" s="71"/>
      <c r="AG399" s="71"/>
      <c r="AH399" s="71"/>
      <c r="AI399" s="71"/>
      <c r="AJ399" s="71"/>
      <c r="AK399" s="263" t="s">
        <v>181</v>
      </c>
      <c r="AM399" s="59" t="s">
        <v>181</v>
      </c>
    </row>
    <row r="400" spans="1:39" ht="25.5">
      <c r="A400" s="62">
        <v>7</v>
      </c>
      <c r="B400" s="93">
        <v>393</v>
      </c>
      <c r="C400" s="68" t="s">
        <v>6751</v>
      </c>
      <c r="D400" s="59" t="s">
        <v>6314</v>
      </c>
      <c r="E400" s="72" t="s">
        <v>5862</v>
      </c>
      <c r="F400" s="73" t="s">
        <v>7069</v>
      </c>
      <c r="G400" s="67">
        <v>44.1</v>
      </c>
      <c r="H400" s="67">
        <v>9210</v>
      </c>
      <c r="I400" s="69">
        <v>0</v>
      </c>
      <c r="J400" s="70">
        <v>3000</v>
      </c>
      <c r="K400" s="75">
        <v>5.84</v>
      </c>
      <c r="L400" s="74">
        <v>0</v>
      </c>
      <c r="M400" s="76">
        <v>0.21649543378995431</v>
      </c>
      <c r="N400" s="67">
        <v>1948</v>
      </c>
      <c r="O400" s="64">
        <v>1800</v>
      </c>
      <c r="Q400" s="59">
        <v>15</v>
      </c>
      <c r="R400" s="59">
        <v>1</v>
      </c>
      <c r="S400" s="59">
        <v>1</v>
      </c>
      <c r="T400" s="63" t="s">
        <v>6759</v>
      </c>
      <c r="U400" s="63">
        <v>398</v>
      </c>
      <c r="V400" s="70">
        <v>18830</v>
      </c>
      <c r="W400" s="70">
        <v>19000</v>
      </c>
      <c r="X400" s="83" t="s">
        <v>5920</v>
      </c>
      <c r="Y400" s="70">
        <v>3000</v>
      </c>
      <c r="Z400" s="63" t="s">
        <v>5866</v>
      </c>
      <c r="AC400" s="67"/>
      <c r="AD400" s="61" t="s">
        <v>6317</v>
      </c>
      <c r="AE400" s="71"/>
      <c r="AF400" s="71"/>
      <c r="AG400" s="71"/>
      <c r="AH400" s="71"/>
      <c r="AI400" s="71"/>
      <c r="AJ400" s="71"/>
      <c r="AK400" s="263" t="s">
        <v>7070</v>
      </c>
      <c r="AM400" s="59" t="s">
        <v>181</v>
      </c>
    </row>
    <row r="401" spans="1:39">
      <c r="A401" s="62">
        <v>7</v>
      </c>
      <c r="B401" s="93">
        <v>394</v>
      </c>
      <c r="C401" s="68" t="s">
        <v>6751</v>
      </c>
      <c r="D401" s="59" t="s">
        <v>7071</v>
      </c>
      <c r="E401" s="72" t="s">
        <v>5862</v>
      </c>
      <c r="F401" s="73" t="s">
        <v>7072</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6754</v>
      </c>
      <c r="U401" s="63">
        <v>401</v>
      </c>
      <c r="V401" s="70">
        <v>20037</v>
      </c>
      <c r="W401" s="70">
        <v>20000</v>
      </c>
      <c r="X401" s="83" t="s">
        <v>6128</v>
      </c>
      <c r="Y401" s="70">
        <v>17000</v>
      </c>
      <c r="Z401" s="63" t="s">
        <v>5866</v>
      </c>
      <c r="AC401" s="67"/>
      <c r="AD401" s="61" t="s">
        <v>6979</v>
      </c>
      <c r="AE401" s="71"/>
      <c r="AF401" s="71"/>
      <c r="AG401" s="71"/>
      <c r="AH401" s="71"/>
      <c r="AI401" s="71"/>
      <c r="AJ401" s="71"/>
      <c r="AK401" s="263" t="s">
        <v>7073</v>
      </c>
      <c r="AM401" s="59" t="s">
        <v>181</v>
      </c>
    </row>
    <row r="402" spans="1:39">
      <c r="A402" s="62">
        <v>7</v>
      </c>
      <c r="B402" s="93">
        <v>395</v>
      </c>
      <c r="C402" s="68" t="s">
        <v>6751</v>
      </c>
      <c r="D402" s="59" t="s">
        <v>6321</v>
      </c>
      <c r="E402" s="72" t="s">
        <v>5862</v>
      </c>
      <c r="F402" s="73" t="s">
        <v>7074</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6754</v>
      </c>
      <c r="U402" s="63">
        <v>398</v>
      </c>
      <c r="V402" s="70">
        <v>6250</v>
      </c>
      <c r="W402" s="70">
        <v>6000</v>
      </c>
      <c r="X402" s="83" t="s">
        <v>6128</v>
      </c>
      <c r="Y402" s="70">
        <v>5000</v>
      </c>
      <c r="Z402" s="63" t="s">
        <v>5866</v>
      </c>
      <c r="AC402" s="67"/>
      <c r="AD402" s="61" t="s">
        <v>181</v>
      </c>
      <c r="AE402" s="71"/>
      <c r="AF402" s="71"/>
      <c r="AG402" s="71"/>
      <c r="AH402" s="71"/>
      <c r="AI402" s="71"/>
      <c r="AJ402" s="71"/>
      <c r="AK402" s="263" t="s">
        <v>5925</v>
      </c>
      <c r="AM402" s="59" t="s">
        <v>181</v>
      </c>
    </row>
    <row r="403" spans="1:39" ht="25.5">
      <c r="A403" s="62">
        <v>7</v>
      </c>
      <c r="B403" s="93">
        <v>396</v>
      </c>
      <c r="C403" s="68" t="s">
        <v>6751</v>
      </c>
      <c r="D403" s="59" t="s">
        <v>6324</v>
      </c>
      <c r="E403" s="72" t="s">
        <v>5862</v>
      </c>
      <c r="F403" s="73" t="s">
        <v>7075</v>
      </c>
      <c r="G403" s="82">
        <v>44.2</v>
      </c>
      <c r="H403" s="67">
        <v>9210</v>
      </c>
      <c r="I403" s="69">
        <v>0</v>
      </c>
      <c r="J403" s="70">
        <v>5015</v>
      </c>
      <c r="K403" s="75">
        <v>5.9318045862412756</v>
      </c>
      <c r="L403" s="74">
        <v>0</v>
      </c>
      <c r="M403" s="76">
        <v>0</v>
      </c>
      <c r="N403" s="67">
        <v>1950</v>
      </c>
      <c r="O403" s="64">
        <v>0</v>
      </c>
      <c r="Q403" s="59">
        <v>14</v>
      </c>
      <c r="R403" s="59">
        <v>3</v>
      </c>
      <c r="S403" s="59">
        <v>2</v>
      </c>
      <c r="T403" s="63" t="s">
        <v>6754</v>
      </c>
      <c r="U403" s="63">
        <v>398</v>
      </c>
      <c r="V403" s="70">
        <v>6250</v>
      </c>
      <c r="W403" s="70">
        <v>6000</v>
      </c>
      <c r="X403" s="83" t="s">
        <v>6128</v>
      </c>
      <c r="Y403" s="70">
        <v>5000</v>
      </c>
      <c r="Z403" s="63" t="s">
        <v>5866</v>
      </c>
      <c r="AC403" s="67"/>
      <c r="AD403" s="61" t="s">
        <v>6326</v>
      </c>
      <c r="AE403" s="71"/>
      <c r="AF403" s="71"/>
      <c r="AG403" s="71"/>
      <c r="AH403" s="71"/>
      <c r="AI403" s="71"/>
      <c r="AJ403" s="71"/>
      <c r="AK403" s="263" t="s">
        <v>7076</v>
      </c>
      <c r="AM403" s="59" t="s">
        <v>181</v>
      </c>
    </row>
    <row r="404" spans="1:39">
      <c r="A404" s="62">
        <v>7</v>
      </c>
      <c r="B404" s="93">
        <v>397</v>
      </c>
      <c r="C404" s="68" t="s">
        <v>6751</v>
      </c>
      <c r="D404" s="59" t="s">
        <v>7077</v>
      </c>
      <c r="E404" s="72" t="s">
        <v>5862</v>
      </c>
      <c r="F404" s="73" t="s">
        <v>7078</v>
      </c>
      <c r="G404" s="67">
        <v>44.1</v>
      </c>
      <c r="H404" s="67">
        <v>9210</v>
      </c>
      <c r="I404" s="69">
        <v>0</v>
      </c>
      <c r="J404" s="70">
        <v>4820</v>
      </c>
      <c r="K404" s="75">
        <v>8.9211618257261414</v>
      </c>
      <c r="L404" s="74">
        <v>1</v>
      </c>
      <c r="M404" s="76">
        <v>0</v>
      </c>
      <c r="N404" s="67">
        <v>1978</v>
      </c>
      <c r="O404" s="64">
        <v>1000</v>
      </c>
      <c r="Q404" s="59">
        <v>16</v>
      </c>
      <c r="R404" s="59">
        <v>7</v>
      </c>
      <c r="S404" s="59">
        <v>1</v>
      </c>
      <c r="T404" s="63" t="s">
        <v>6754</v>
      </c>
      <c r="U404" s="63">
        <v>398</v>
      </c>
      <c r="V404" s="70">
        <v>15625</v>
      </c>
      <c r="W404" s="70">
        <v>16000</v>
      </c>
      <c r="X404" s="83" t="s">
        <v>5923</v>
      </c>
      <c r="Y404" s="70">
        <v>5000</v>
      </c>
      <c r="Z404" s="63" t="s">
        <v>5924</v>
      </c>
      <c r="AC404" s="67"/>
      <c r="AD404" s="61" t="s">
        <v>181</v>
      </c>
      <c r="AE404" s="71"/>
      <c r="AF404" s="71"/>
      <c r="AG404" s="71"/>
      <c r="AH404" s="71"/>
      <c r="AI404" s="71"/>
      <c r="AJ404" s="71"/>
      <c r="AK404" s="263" t="s">
        <v>181</v>
      </c>
      <c r="AM404" s="59" t="s">
        <v>181</v>
      </c>
    </row>
    <row r="405" spans="1:39">
      <c r="A405" s="62">
        <v>7</v>
      </c>
      <c r="B405" s="93">
        <v>398</v>
      </c>
      <c r="C405" s="68" t="s">
        <v>6751</v>
      </c>
      <c r="D405" s="59" t="s">
        <v>6333</v>
      </c>
      <c r="E405" s="72" t="s">
        <v>5862</v>
      </c>
      <c r="F405" s="73" t="s">
        <v>7079</v>
      </c>
      <c r="G405" s="82" t="s">
        <v>6239</v>
      </c>
      <c r="H405" s="67">
        <v>9210</v>
      </c>
      <c r="I405" s="69">
        <v>0</v>
      </c>
      <c r="J405" s="70">
        <v>21350</v>
      </c>
      <c r="K405" s="75">
        <v>7.5660421545667447</v>
      </c>
      <c r="L405" s="74">
        <v>0</v>
      </c>
      <c r="M405" s="76">
        <v>0.27244869532918559</v>
      </c>
      <c r="N405" s="67">
        <v>1950</v>
      </c>
      <c r="O405" s="64">
        <v>0</v>
      </c>
      <c r="Q405" s="59">
        <v>11</v>
      </c>
      <c r="R405" s="59">
        <v>1</v>
      </c>
      <c r="S405" s="59">
        <v>85</v>
      </c>
      <c r="T405" s="63" t="s">
        <v>6759</v>
      </c>
      <c r="U405" s="63">
        <v>396</v>
      </c>
      <c r="V405" s="70">
        <v>31250</v>
      </c>
      <c r="W405" s="70">
        <v>31000</v>
      </c>
      <c r="X405" s="83" t="s">
        <v>6065</v>
      </c>
      <c r="Y405" s="70">
        <v>21000</v>
      </c>
      <c r="Z405" s="63" t="s">
        <v>5866</v>
      </c>
      <c r="AC405" s="67"/>
      <c r="AD405" s="61" t="s">
        <v>6335</v>
      </c>
      <c r="AE405" s="71"/>
      <c r="AF405" s="71"/>
      <c r="AG405" s="71"/>
      <c r="AH405" s="71"/>
      <c r="AI405" s="71"/>
      <c r="AJ405" s="71"/>
      <c r="AK405" s="263" t="s">
        <v>7080</v>
      </c>
      <c r="AM405" s="59" t="s">
        <v>181</v>
      </c>
    </row>
    <row r="406" spans="1:39" ht="25.5">
      <c r="A406" s="62">
        <v>7</v>
      </c>
      <c r="B406" s="93">
        <v>399</v>
      </c>
      <c r="C406" s="68" t="s">
        <v>6751</v>
      </c>
      <c r="D406" s="59" t="s">
        <v>6341</v>
      </c>
      <c r="E406" s="72" t="s">
        <v>5862</v>
      </c>
      <c r="F406" s="73" t="s">
        <v>7081</v>
      </c>
      <c r="G406" s="67">
        <v>44.1</v>
      </c>
      <c r="H406" s="67">
        <v>9210</v>
      </c>
      <c r="I406" s="69">
        <v>0</v>
      </c>
      <c r="J406" s="70">
        <v>6500</v>
      </c>
      <c r="K406" s="75">
        <v>2.953846153846154</v>
      </c>
      <c r="L406" s="74">
        <v>0</v>
      </c>
      <c r="M406" s="76">
        <v>0</v>
      </c>
      <c r="N406" s="67">
        <v>1931</v>
      </c>
      <c r="O406" s="64">
        <v>180</v>
      </c>
      <c r="Q406" s="59">
        <v>14</v>
      </c>
      <c r="R406" s="59">
        <v>7</v>
      </c>
      <c r="S406" s="59">
        <v>1</v>
      </c>
      <c r="T406" s="63" t="s">
        <v>6759</v>
      </c>
      <c r="U406" s="63">
        <v>398</v>
      </c>
      <c r="V406" s="70">
        <v>12500</v>
      </c>
      <c r="W406" s="70">
        <v>13000</v>
      </c>
      <c r="X406" s="83" t="s">
        <v>6182</v>
      </c>
      <c r="Y406" s="70">
        <v>7000</v>
      </c>
      <c r="Z406" s="63" t="s">
        <v>5866</v>
      </c>
      <c r="AC406" s="67"/>
      <c r="AD406" s="61" t="s">
        <v>6344</v>
      </c>
      <c r="AE406" s="71"/>
      <c r="AF406" s="71"/>
      <c r="AG406" s="71"/>
      <c r="AH406" s="71"/>
      <c r="AI406" s="71"/>
      <c r="AJ406" s="71"/>
      <c r="AK406" s="263" t="s">
        <v>7082</v>
      </c>
      <c r="AM406" s="59" t="s">
        <v>181</v>
      </c>
    </row>
    <row r="407" spans="1:39" ht="25.5">
      <c r="A407" s="62">
        <v>7</v>
      </c>
      <c r="B407" s="93">
        <v>400</v>
      </c>
      <c r="C407" s="68" t="s">
        <v>6751</v>
      </c>
      <c r="D407" s="59" t="s">
        <v>7083</v>
      </c>
      <c r="E407" s="72" t="s">
        <v>5862</v>
      </c>
      <c r="F407" s="73" t="s">
        <v>7084</v>
      </c>
      <c r="G407" s="82">
        <v>44.2</v>
      </c>
      <c r="H407" s="67">
        <v>9210</v>
      </c>
      <c r="I407" s="69">
        <v>0</v>
      </c>
      <c r="J407" s="70">
        <v>7500</v>
      </c>
      <c r="K407" s="75">
        <v>4.8</v>
      </c>
      <c r="L407" s="74">
        <v>0</v>
      </c>
      <c r="M407" s="76">
        <v>0</v>
      </c>
      <c r="N407" s="67">
        <v>1968</v>
      </c>
      <c r="O407" s="64">
        <v>2908</v>
      </c>
      <c r="Q407" s="59">
        <v>15</v>
      </c>
      <c r="R407" s="59">
        <v>1</v>
      </c>
      <c r="S407" s="59">
        <v>1</v>
      </c>
      <c r="T407" s="63" t="s">
        <v>6759</v>
      </c>
      <c r="U407" s="63">
        <v>398</v>
      </c>
      <c r="V407" s="70">
        <v>21452</v>
      </c>
      <c r="W407" s="70">
        <v>21000</v>
      </c>
      <c r="X407" s="83" t="s">
        <v>6516</v>
      </c>
      <c r="Y407" s="70">
        <v>8000</v>
      </c>
      <c r="Z407" s="63" t="s">
        <v>5866</v>
      </c>
      <c r="AC407" s="67"/>
      <c r="AD407" s="61" t="s">
        <v>7085</v>
      </c>
      <c r="AE407" s="71"/>
      <c r="AF407" s="71"/>
      <c r="AG407" s="71"/>
      <c r="AH407" s="71"/>
      <c r="AI407" s="71"/>
      <c r="AJ407" s="71"/>
      <c r="AK407" s="263" t="s">
        <v>7086</v>
      </c>
      <c r="AM407" s="59" t="s">
        <v>181</v>
      </c>
    </row>
    <row r="408" spans="1:39" ht="25.5">
      <c r="A408" s="62">
        <v>7</v>
      </c>
      <c r="B408" s="93">
        <v>401</v>
      </c>
      <c r="C408" s="68" t="s">
        <v>6751</v>
      </c>
      <c r="D408" s="59" t="s">
        <v>7087</v>
      </c>
      <c r="E408" s="72" t="s">
        <v>5862</v>
      </c>
      <c r="F408" s="73" t="s">
        <v>7088</v>
      </c>
      <c r="G408" s="82">
        <v>47.2</v>
      </c>
      <c r="H408" s="67">
        <v>9210</v>
      </c>
      <c r="I408" s="69">
        <v>0</v>
      </c>
      <c r="J408" s="70">
        <v>26000</v>
      </c>
      <c r="K408" s="75">
        <v>2.6538461538461542</v>
      </c>
      <c r="L408" s="74">
        <v>0</v>
      </c>
      <c r="M408" s="76">
        <v>0</v>
      </c>
      <c r="N408" s="67">
        <v>1937</v>
      </c>
      <c r="O408" s="64">
        <v>1600</v>
      </c>
      <c r="Q408" s="59">
        <v>14</v>
      </c>
      <c r="R408" s="59">
        <v>1</v>
      </c>
      <c r="S408" s="59">
        <v>1</v>
      </c>
      <c r="T408" s="63" t="s">
        <v>7089</v>
      </c>
      <c r="U408" s="63">
        <v>401</v>
      </c>
      <c r="V408" s="70">
        <v>50025</v>
      </c>
      <c r="W408" s="70">
        <v>50000</v>
      </c>
      <c r="X408" s="83" t="s">
        <v>6182</v>
      </c>
      <c r="Y408" s="70">
        <v>26000</v>
      </c>
      <c r="Z408" s="63" t="s">
        <v>5866</v>
      </c>
      <c r="AC408" s="67"/>
      <c r="AD408" s="61" t="s">
        <v>7090</v>
      </c>
      <c r="AE408" s="71"/>
      <c r="AF408" s="71"/>
      <c r="AG408" s="71"/>
      <c r="AH408" s="71"/>
      <c r="AI408" s="71"/>
      <c r="AJ408" s="71"/>
      <c r="AK408" s="263" t="s">
        <v>7091</v>
      </c>
      <c r="AM408" s="59" t="s">
        <v>181</v>
      </c>
    </row>
    <row r="409" spans="1:39">
      <c r="A409" s="62">
        <v>7</v>
      </c>
      <c r="B409" s="93">
        <v>402</v>
      </c>
      <c r="C409" s="68" t="s">
        <v>6751</v>
      </c>
      <c r="D409" s="59" t="s">
        <v>6353</v>
      </c>
      <c r="E409" s="72" t="s">
        <v>5862</v>
      </c>
      <c r="F409" s="73" t="s">
        <v>7092</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6759</v>
      </c>
      <c r="U409" s="63">
        <v>398</v>
      </c>
      <c r="V409" s="70">
        <v>31287</v>
      </c>
      <c r="W409" s="70">
        <v>31000</v>
      </c>
      <c r="X409" s="83" t="s">
        <v>6065</v>
      </c>
      <c r="Y409" s="70">
        <v>20000</v>
      </c>
      <c r="Z409" s="63" t="s">
        <v>5866</v>
      </c>
      <c r="AC409" s="67"/>
      <c r="AD409" s="61" t="s">
        <v>181</v>
      </c>
      <c r="AE409" s="71"/>
      <c r="AF409" s="71"/>
      <c r="AG409" s="71"/>
      <c r="AH409" s="71"/>
      <c r="AI409" s="71"/>
      <c r="AJ409" s="71"/>
      <c r="AK409" s="263" t="s">
        <v>181</v>
      </c>
      <c r="AM409" s="59" t="s">
        <v>181</v>
      </c>
    </row>
    <row r="410" spans="1:39">
      <c r="A410" s="62">
        <v>7</v>
      </c>
      <c r="B410" s="93">
        <v>403</v>
      </c>
      <c r="C410" s="68" t="s">
        <v>6751</v>
      </c>
      <c r="D410" s="59" t="s">
        <v>6355</v>
      </c>
      <c r="E410" s="72" t="s">
        <v>5862</v>
      </c>
      <c r="F410" s="73" t="s">
        <v>7093</v>
      </c>
      <c r="G410" s="67">
        <v>44.1</v>
      </c>
      <c r="H410" s="67">
        <v>9210</v>
      </c>
      <c r="I410" s="69">
        <v>0</v>
      </c>
      <c r="J410" s="70">
        <v>3444</v>
      </c>
      <c r="K410" s="75">
        <v>2.271777003484321</v>
      </c>
      <c r="L410" s="74">
        <v>0</v>
      </c>
      <c r="M410" s="76">
        <v>0</v>
      </c>
      <c r="N410" s="67">
        <v>1958</v>
      </c>
      <c r="O410" s="64">
        <v>700</v>
      </c>
      <c r="Q410" s="59">
        <v>13</v>
      </c>
      <c r="R410" s="59">
        <v>7</v>
      </c>
      <c r="S410" s="59">
        <v>1</v>
      </c>
      <c r="T410" s="63" t="s">
        <v>6759</v>
      </c>
      <c r="U410" s="63">
        <v>398</v>
      </c>
      <c r="V410" s="70">
        <v>15644</v>
      </c>
      <c r="W410" s="70">
        <v>16000</v>
      </c>
      <c r="X410" s="83" t="s">
        <v>6308</v>
      </c>
      <c r="Y410" s="70">
        <v>3000</v>
      </c>
      <c r="Z410" s="63" t="s">
        <v>5866</v>
      </c>
      <c r="AC410" s="67"/>
      <c r="AD410" s="61" t="s">
        <v>5904</v>
      </c>
      <c r="AE410" s="71"/>
      <c r="AF410" s="71"/>
      <c r="AG410" s="71"/>
      <c r="AH410" s="71"/>
      <c r="AI410" s="71"/>
      <c r="AJ410" s="71"/>
      <c r="AK410" s="263" t="s">
        <v>181</v>
      </c>
      <c r="AM410" s="59" t="s">
        <v>181</v>
      </c>
    </row>
    <row r="411" spans="1:39">
      <c r="A411" s="62">
        <v>7</v>
      </c>
      <c r="B411" s="93">
        <v>404</v>
      </c>
      <c r="C411" s="68" t="s">
        <v>6751</v>
      </c>
      <c r="D411" s="59" t="s">
        <v>7094</v>
      </c>
      <c r="E411" s="72" t="s">
        <v>5862</v>
      </c>
      <c r="F411" s="73" t="s">
        <v>7095</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6759</v>
      </c>
      <c r="U411" s="63">
        <v>398</v>
      </c>
      <c r="V411" s="70">
        <v>12530</v>
      </c>
      <c r="W411" s="70">
        <v>13000</v>
      </c>
      <c r="X411" s="83" t="s">
        <v>6791</v>
      </c>
      <c r="Y411" s="70">
        <v>4000</v>
      </c>
      <c r="Z411" s="63" t="s">
        <v>5866</v>
      </c>
      <c r="AC411" s="67"/>
      <c r="AD411" s="61" t="s">
        <v>5904</v>
      </c>
      <c r="AE411" s="71"/>
      <c r="AF411" s="71"/>
      <c r="AG411" s="71"/>
      <c r="AH411" s="71"/>
      <c r="AI411" s="71"/>
      <c r="AJ411" s="71"/>
      <c r="AK411" s="263" t="s">
        <v>181</v>
      </c>
      <c r="AM411" s="59" t="s">
        <v>181</v>
      </c>
    </row>
    <row r="412" spans="1:39">
      <c r="A412" s="62">
        <v>7</v>
      </c>
      <c r="B412" s="93">
        <v>405</v>
      </c>
      <c r="C412" s="92" t="s">
        <v>6766</v>
      </c>
      <c r="D412" s="93" t="s">
        <v>7096</v>
      </c>
      <c r="E412" s="92" t="s">
        <v>5862</v>
      </c>
      <c r="F412" s="93" t="s">
        <v>7097</v>
      </c>
      <c r="G412" s="94" t="s">
        <v>7098</v>
      </c>
      <c r="H412" s="93">
        <v>9210</v>
      </c>
      <c r="I412" s="92">
        <v>0</v>
      </c>
      <c r="J412" s="95">
        <v>14766</v>
      </c>
      <c r="K412" s="96">
        <v>5.6</v>
      </c>
      <c r="L412" s="97">
        <v>0</v>
      </c>
      <c r="M412" s="97">
        <v>0.1</v>
      </c>
      <c r="N412" s="93">
        <v>1967</v>
      </c>
      <c r="O412" s="92" t="s">
        <v>7099</v>
      </c>
      <c r="P412" s="93">
        <v>401</v>
      </c>
      <c r="Q412" s="95">
        <v>21960</v>
      </c>
      <c r="R412" s="95">
        <f>MROUND(Q412,1000)</f>
        <v>22000</v>
      </c>
      <c r="S412" s="98" t="s">
        <v>7100</v>
      </c>
      <c r="T412" s="95">
        <f>MROUND(J412,1000)</f>
        <v>15000</v>
      </c>
      <c r="U412" s="93" t="s">
        <v>207</v>
      </c>
      <c r="V412" s="93">
        <v>3</v>
      </c>
      <c r="W412" s="93">
        <v>3</v>
      </c>
      <c r="X412" s="93">
        <v>33</v>
      </c>
      <c r="Y412" s="93"/>
      <c r="Z412" s="99"/>
      <c r="AA412" s="100"/>
      <c r="AB412" s="100"/>
      <c r="AC412" s="99"/>
      <c r="AD412" s="100"/>
      <c r="AE412" s="99"/>
      <c r="AF412" s="93"/>
      <c r="AG412" s="93"/>
      <c r="AH412" s="71"/>
      <c r="AI412" s="71"/>
      <c r="AJ412" s="71"/>
      <c r="AK412" s="71"/>
      <c r="AL412" t="str">
        <f>IF(AND(ISNUMBER($S412),$S412&gt;0,ISNUMBER($K412),ISNUMBER($J412)),($K412*$J412)/$S412,"")</f>
        <v/>
      </c>
    </row>
    <row r="413" spans="1:39">
      <c r="A413" s="62">
        <v>7</v>
      </c>
      <c r="B413" s="93">
        <v>406</v>
      </c>
      <c r="C413" s="68" t="s">
        <v>6751</v>
      </c>
      <c r="D413" s="59" t="s">
        <v>7101</v>
      </c>
      <c r="E413" s="72" t="s">
        <v>5862</v>
      </c>
      <c r="F413" s="73" t="s">
        <v>7102</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6759</v>
      </c>
      <c r="U413" s="63">
        <v>398</v>
      </c>
      <c r="V413" s="70">
        <v>42092</v>
      </c>
      <c r="W413" s="70">
        <v>42000</v>
      </c>
      <c r="X413" s="83" t="s">
        <v>6065</v>
      </c>
      <c r="Y413" s="70">
        <v>29000</v>
      </c>
      <c r="Z413" s="63" t="s">
        <v>5866</v>
      </c>
      <c r="AC413" s="67"/>
      <c r="AD413" s="61" t="s">
        <v>7103</v>
      </c>
      <c r="AE413" s="71"/>
      <c r="AF413" s="71"/>
      <c r="AG413" s="71"/>
      <c r="AH413" s="71"/>
      <c r="AI413" s="71"/>
      <c r="AJ413" s="71"/>
      <c r="AK413" s="263" t="s">
        <v>6755</v>
      </c>
      <c r="AM413" s="59" t="s">
        <v>181</v>
      </c>
    </row>
    <row r="414" spans="1:39">
      <c r="A414" s="62">
        <v>7</v>
      </c>
      <c r="B414" s="93">
        <v>407</v>
      </c>
      <c r="C414" s="68" t="s">
        <v>6751</v>
      </c>
      <c r="D414" s="59" t="s">
        <v>6365</v>
      </c>
      <c r="E414" s="72" t="s">
        <v>5862</v>
      </c>
      <c r="F414" s="73" t="s">
        <v>7104</v>
      </c>
      <c r="G414" s="82">
        <v>47.1</v>
      </c>
      <c r="H414" s="67">
        <v>9208</v>
      </c>
      <c r="I414" s="69">
        <v>0</v>
      </c>
      <c r="J414" s="70">
        <v>5760</v>
      </c>
      <c r="K414" s="75">
        <v>3.125</v>
      </c>
      <c r="L414" s="74">
        <v>0</v>
      </c>
      <c r="M414" s="76">
        <v>0</v>
      </c>
      <c r="N414" s="67">
        <v>1971</v>
      </c>
      <c r="O414" s="64">
        <v>992</v>
      </c>
      <c r="Q414" s="59">
        <v>15</v>
      </c>
      <c r="R414" s="59">
        <v>7</v>
      </c>
      <c r="S414" s="59">
        <v>1</v>
      </c>
      <c r="T414" s="63" t="s">
        <v>6757</v>
      </c>
      <c r="U414" s="63">
        <v>401</v>
      </c>
      <c r="V414" s="70">
        <v>18750</v>
      </c>
      <c r="W414" s="70">
        <v>19000</v>
      </c>
      <c r="X414" s="83" t="s">
        <v>5871</v>
      </c>
      <c r="Y414" s="70">
        <v>6000</v>
      </c>
      <c r="Z414" s="63" t="s">
        <v>5866</v>
      </c>
      <c r="AC414" s="67"/>
      <c r="AD414" s="61" t="s">
        <v>6367</v>
      </c>
      <c r="AE414" s="71"/>
      <c r="AF414" s="71"/>
      <c r="AG414" s="71"/>
      <c r="AH414" s="71"/>
      <c r="AI414" s="71"/>
      <c r="AJ414" s="71"/>
      <c r="AK414" s="263" t="s">
        <v>181</v>
      </c>
      <c r="AM414" s="59" t="s">
        <v>181</v>
      </c>
    </row>
    <row r="415" spans="1:39">
      <c r="A415" s="62">
        <v>7</v>
      </c>
      <c r="B415" s="93">
        <v>408</v>
      </c>
      <c r="C415" s="68" t="s">
        <v>6751</v>
      </c>
      <c r="D415" s="59" t="s">
        <v>7105</v>
      </c>
      <c r="E415" s="72" t="s">
        <v>5862</v>
      </c>
      <c r="F415" s="73" t="s">
        <v>7106</v>
      </c>
      <c r="G415" s="67">
        <v>44.1</v>
      </c>
      <c r="H415" s="67">
        <v>9208</v>
      </c>
      <c r="I415" s="69">
        <v>0</v>
      </c>
      <c r="J415" s="70">
        <v>3200</v>
      </c>
      <c r="K415" s="75">
        <v>12.65625</v>
      </c>
      <c r="L415" s="74">
        <v>0</v>
      </c>
      <c r="M415" s="76">
        <v>0</v>
      </c>
      <c r="N415" s="67">
        <v>1953</v>
      </c>
      <c r="O415" s="64">
        <v>180</v>
      </c>
      <c r="Q415" s="59">
        <v>14</v>
      </c>
      <c r="R415" s="59">
        <v>3</v>
      </c>
      <c r="S415" s="59">
        <v>1</v>
      </c>
      <c r="T415" s="63" t="s">
        <v>7018</v>
      </c>
      <c r="U415" s="63">
        <v>398</v>
      </c>
      <c r="V415" s="70">
        <v>14062</v>
      </c>
      <c r="W415" s="70">
        <v>14000</v>
      </c>
      <c r="X415" s="83" t="s">
        <v>6123</v>
      </c>
      <c r="Y415" s="70">
        <v>3000</v>
      </c>
      <c r="Z415" s="63" t="s">
        <v>5866</v>
      </c>
      <c r="AC415" s="67"/>
      <c r="AD415" s="61" t="s">
        <v>5904</v>
      </c>
      <c r="AE415" s="71"/>
      <c r="AF415" s="71"/>
      <c r="AG415" s="71"/>
      <c r="AH415" s="71"/>
      <c r="AI415" s="71"/>
      <c r="AJ415" s="71"/>
      <c r="AK415" s="263" t="s">
        <v>7107</v>
      </c>
      <c r="AM415" s="59" t="s">
        <v>181</v>
      </c>
    </row>
    <row r="416" spans="1:39">
      <c r="A416" s="62">
        <v>7</v>
      </c>
      <c r="B416" s="93">
        <v>409</v>
      </c>
      <c r="C416" s="68" t="s">
        <v>6751</v>
      </c>
      <c r="D416" s="59" t="s">
        <v>7108</v>
      </c>
      <c r="E416" s="72" t="s">
        <v>5862</v>
      </c>
      <c r="F416" s="73" t="s">
        <v>7109</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7110</v>
      </c>
      <c r="U416" s="63">
        <v>398</v>
      </c>
      <c r="V416" s="70">
        <v>6237</v>
      </c>
      <c r="W416" s="70">
        <v>6000</v>
      </c>
      <c r="X416" s="83" t="s">
        <v>6271</v>
      </c>
      <c r="Y416" s="70">
        <v>6000</v>
      </c>
      <c r="Z416" s="63" t="s">
        <v>5866</v>
      </c>
      <c r="AC416" s="67"/>
      <c r="AD416" s="61" t="s">
        <v>181</v>
      </c>
      <c r="AE416" s="71"/>
      <c r="AF416" s="71"/>
      <c r="AG416" s="71"/>
      <c r="AH416" s="71"/>
      <c r="AI416" s="71"/>
      <c r="AJ416" s="71"/>
      <c r="AK416" s="263" t="s">
        <v>181</v>
      </c>
      <c r="AM416" s="59" t="s">
        <v>181</v>
      </c>
    </row>
    <row r="417" spans="1:39">
      <c r="A417" s="62">
        <v>7</v>
      </c>
      <c r="B417" s="93">
        <v>410</v>
      </c>
      <c r="C417" s="68" t="s">
        <v>6751</v>
      </c>
      <c r="D417" s="59" t="s">
        <v>7111</v>
      </c>
      <c r="E417" s="72" t="s">
        <v>5862</v>
      </c>
      <c r="F417" s="73" t="s">
        <v>7112</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7113</v>
      </c>
      <c r="U417" s="63">
        <v>398</v>
      </c>
      <c r="V417" s="70">
        <v>9375</v>
      </c>
      <c r="W417" s="70">
        <v>9000</v>
      </c>
      <c r="X417" s="83" t="s">
        <v>6128</v>
      </c>
      <c r="Y417" s="70">
        <v>8000</v>
      </c>
      <c r="Z417" s="63" t="s">
        <v>5866</v>
      </c>
      <c r="AC417" s="67"/>
      <c r="AD417" s="61" t="s">
        <v>181</v>
      </c>
      <c r="AE417" s="71"/>
      <c r="AF417" s="71"/>
      <c r="AG417" s="71"/>
      <c r="AH417" s="71"/>
      <c r="AI417" s="71"/>
      <c r="AJ417" s="71"/>
      <c r="AK417" s="263" t="s">
        <v>181</v>
      </c>
      <c r="AM417" s="59" t="s">
        <v>181</v>
      </c>
    </row>
    <row r="418" spans="1:39">
      <c r="A418" s="62">
        <v>7</v>
      </c>
      <c r="B418" s="93">
        <v>411</v>
      </c>
      <c r="C418" s="68" t="s">
        <v>6751</v>
      </c>
      <c r="D418" s="59" t="s">
        <v>7114</v>
      </c>
      <c r="E418" s="72" t="s">
        <v>5862</v>
      </c>
      <c r="F418" s="73" t="s">
        <v>7115</v>
      </c>
      <c r="G418" s="67">
        <v>44.1</v>
      </c>
      <c r="H418" s="67">
        <v>9208</v>
      </c>
      <c r="I418" s="69">
        <v>0</v>
      </c>
      <c r="J418" s="70">
        <v>1800</v>
      </c>
      <c r="K418" s="75">
        <v>5.333333333333333</v>
      </c>
      <c r="L418" s="74">
        <v>0</v>
      </c>
      <c r="M418" s="76">
        <v>0</v>
      </c>
      <c r="N418" s="67">
        <v>1972</v>
      </c>
      <c r="O418" s="64">
        <v>2148</v>
      </c>
      <c r="Q418" s="59">
        <v>12</v>
      </c>
      <c r="R418" s="59">
        <v>7</v>
      </c>
      <c r="S418" s="59">
        <v>1</v>
      </c>
      <c r="T418" s="63" t="s">
        <v>7113</v>
      </c>
      <c r="U418" s="63">
        <v>398</v>
      </c>
      <c r="V418" s="70">
        <v>18075</v>
      </c>
      <c r="W418" s="70">
        <v>18000</v>
      </c>
      <c r="X418" s="83" t="s">
        <v>6182</v>
      </c>
      <c r="Y418" s="70">
        <v>2000</v>
      </c>
      <c r="Z418" s="63" t="s">
        <v>5866</v>
      </c>
      <c r="AC418" s="67"/>
      <c r="AD418" s="61" t="s">
        <v>181</v>
      </c>
      <c r="AE418" s="71"/>
      <c r="AF418" s="71"/>
      <c r="AG418" s="71"/>
      <c r="AH418" s="71"/>
      <c r="AI418" s="71"/>
      <c r="AJ418" s="71"/>
      <c r="AK418" s="263" t="s">
        <v>7116</v>
      </c>
      <c r="AM418" s="59" t="s">
        <v>181</v>
      </c>
    </row>
    <row r="419" spans="1:39">
      <c r="A419" s="62">
        <v>7</v>
      </c>
      <c r="B419" s="93">
        <v>412</v>
      </c>
      <c r="C419" s="68" t="s">
        <v>6751</v>
      </c>
      <c r="D419" s="59" t="s">
        <v>7117</v>
      </c>
      <c r="E419" s="72" t="s">
        <v>5862</v>
      </c>
      <c r="F419" s="73" t="s">
        <v>7118</v>
      </c>
      <c r="G419" s="67">
        <v>44.1</v>
      </c>
      <c r="H419" s="67">
        <v>9202</v>
      </c>
      <c r="I419" s="69">
        <v>4</v>
      </c>
      <c r="J419" s="70">
        <v>1495</v>
      </c>
      <c r="K419" s="75">
        <v>24.08026755852843</v>
      </c>
      <c r="L419" s="74">
        <v>0</v>
      </c>
      <c r="M419" s="76">
        <v>0</v>
      </c>
      <c r="N419" s="67">
        <v>1955</v>
      </c>
      <c r="O419" s="64">
        <v>120</v>
      </c>
      <c r="Q419" s="59">
        <v>13</v>
      </c>
      <c r="R419" s="59">
        <v>1</v>
      </c>
      <c r="S419" s="59">
        <v>1</v>
      </c>
      <c r="T419" s="63" t="s">
        <v>7119</v>
      </c>
      <c r="U419" s="63">
        <v>398</v>
      </c>
      <c r="V419" s="70">
        <v>6290</v>
      </c>
      <c r="W419" s="70">
        <v>6000</v>
      </c>
      <c r="X419" s="83" t="s">
        <v>6882</v>
      </c>
      <c r="Y419" s="70">
        <v>1000</v>
      </c>
      <c r="Z419" s="63" t="s">
        <v>5866</v>
      </c>
      <c r="AC419" s="67"/>
      <c r="AD419" s="61" t="s">
        <v>7120</v>
      </c>
      <c r="AE419" s="71"/>
      <c r="AF419" s="71"/>
      <c r="AG419" s="71"/>
      <c r="AH419" s="71"/>
      <c r="AI419" s="71"/>
      <c r="AJ419" s="71"/>
      <c r="AK419" s="263" t="s">
        <v>7121</v>
      </c>
      <c r="AM419" s="59" t="s">
        <v>181</v>
      </c>
    </row>
    <row r="420" spans="1:39">
      <c r="A420" s="62">
        <v>7</v>
      </c>
      <c r="B420" s="93">
        <v>413</v>
      </c>
      <c r="C420" s="68" t="s">
        <v>6751</v>
      </c>
      <c r="D420" s="59" t="s">
        <v>7122</v>
      </c>
      <c r="E420" s="72" t="s">
        <v>5862</v>
      </c>
      <c r="F420" s="73" t="s">
        <v>7123</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7124</v>
      </c>
      <c r="U420" s="63">
        <v>401</v>
      </c>
      <c r="V420" s="70">
        <v>6270</v>
      </c>
      <c r="W420" s="70">
        <v>6000</v>
      </c>
      <c r="X420" s="83" t="s">
        <v>6331</v>
      </c>
      <c r="Y420" s="70">
        <v>5000</v>
      </c>
      <c r="Z420" s="63" t="s">
        <v>5866</v>
      </c>
      <c r="AC420" s="67"/>
      <c r="AD420" s="61" t="s">
        <v>7125</v>
      </c>
      <c r="AE420" s="71"/>
      <c r="AF420" s="71"/>
      <c r="AG420" s="71"/>
      <c r="AH420" s="71"/>
      <c r="AI420" s="71"/>
      <c r="AJ420" s="71"/>
      <c r="AK420" s="263" t="s">
        <v>6755</v>
      </c>
      <c r="AM420" s="59" t="s">
        <v>181</v>
      </c>
    </row>
    <row r="421" spans="1:39">
      <c r="A421" s="62">
        <v>7</v>
      </c>
      <c r="B421" s="93">
        <v>414</v>
      </c>
      <c r="C421" s="68" t="s">
        <v>6751</v>
      </c>
      <c r="D421" s="59" t="s">
        <v>7126</v>
      </c>
      <c r="E421" s="72" t="s">
        <v>5862</v>
      </c>
      <c r="F421" s="73" t="s">
        <v>7127</v>
      </c>
      <c r="G421" s="67">
        <v>44.1</v>
      </c>
      <c r="H421" s="67">
        <v>9202</v>
      </c>
      <c r="I421" s="69">
        <v>7</v>
      </c>
      <c r="J421" s="70">
        <v>1300</v>
      </c>
      <c r="K421" s="75">
        <v>23.07692307692308</v>
      </c>
      <c r="L421" s="74">
        <v>0</v>
      </c>
      <c r="M421" s="76">
        <v>0.03</v>
      </c>
      <c r="N421" s="67">
        <v>1937</v>
      </c>
      <c r="O421" s="64">
        <v>0</v>
      </c>
      <c r="Q421" s="59">
        <v>12</v>
      </c>
      <c r="R421" s="59">
        <v>3</v>
      </c>
      <c r="S421" s="59">
        <v>1</v>
      </c>
      <c r="T421" s="63" t="s">
        <v>7124</v>
      </c>
      <c r="U421" s="63">
        <v>398</v>
      </c>
      <c r="V421" s="70">
        <v>6260</v>
      </c>
      <c r="W421" s="70">
        <v>6000</v>
      </c>
      <c r="X421" s="83" t="s">
        <v>5979</v>
      </c>
      <c r="Y421" s="70">
        <v>1000</v>
      </c>
      <c r="Z421" s="63" t="s">
        <v>5866</v>
      </c>
      <c r="AC421" s="67"/>
      <c r="AD421" s="61" t="s">
        <v>5904</v>
      </c>
      <c r="AE421" s="71"/>
      <c r="AF421" s="71"/>
      <c r="AG421" s="71"/>
      <c r="AH421" s="71"/>
      <c r="AI421" s="71"/>
      <c r="AJ421" s="71"/>
      <c r="AK421" s="263" t="s">
        <v>5925</v>
      </c>
      <c r="AM421" s="59" t="s">
        <v>181</v>
      </c>
    </row>
    <row r="422" spans="1:39" ht="25.5">
      <c r="A422" s="62">
        <v>7</v>
      </c>
      <c r="B422" s="93">
        <v>415</v>
      </c>
      <c r="C422" s="68" t="s">
        <v>6751</v>
      </c>
      <c r="D422" s="59" t="s">
        <v>7128</v>
      </c>
      <c r="E422" s="72" t="s">
        <v>5862</v>
      </c>
      <c r="F422" s="73" t="s">
        <v>7129</v>
      </c>
      <c r="G422" s="82">
        <v>44.2</v>
      </c>
      <c r="H422" s="67">
        <v>9503</v>
      </c>
      <c r="I422" s="69">
        <v>6</v>
      </c>
      <c r="J422" s="70">
        <v>1500</v>
      </c>
      <c r="K422" s="75">
        <v>12</v>
      </c>
      <c r="L422" s="74">
        <v>0</v>
      </c>
      <c r="M422" s="76">
        <v>0</v>
      </c>
      <c r="N422" s="67">
        <v>1947</v>
      </c>
      <c r="O422" s="64">
        <v>0</v>
      </c>
      <c r="Q422" s="59">
        <v>13</v>
      </c>
      <c r="R422" s="59">
        <v>3</v>
      </c>
      <c r="S422" s="59">
        <v>1</v>
      </c>
      <c r="T422" s="63" t="s">
        <v>7130</v>
      </c>
      <c r="U422" s="63">
        <v>398</v>
      </c>
      <c r="V422" s="70">
        <v>10315</v>
      </c>
      <c r="W422" s="70">
        <v>10000</v>
      </c>
      <c r="X422" s="83" t="s">
        <v>6331</v>
      </c>
      <c r="Y422" s="70">
        <v>2000</v>
      </c>
      <c r="Z422" s="63" t="s">
        <v>5866</v>
      </c>
      <c r="AC422" s="67"/>
      <c r="AD422" s="61" t="s">
        <v>181</v>
      </c>
      <c r="AE422" s="71"/>
      <c r="AF422" s="71"/>
      <c r="AG422" s="71"/>
      <c r="AH422" s="71"/>
      <c r="AI422" s="71"/>
      <c r="AJ422" s="71"/>
      <c r="AK422" s="263" t="s">
        <v>7131</v>
      </c>
      <c r="AM422" s="59" t="s">
        <v>181</v>
      </c>
    </row>
    <row r="423" spans="1:39">
      <c r="A423" s="62">
        <v>7</v>
      </c>
      <c r="B423" s="93">
        <v>416</v>
      </c>
      <c r="C423" s="68" t="s">
        <v>6751</v>
      </c>
      <c r="D423" s="59" t="s">
        <v>7132</v>
      </c>
      <c r="E423" s="72" t="s">
        <v>5862</v>
      </c>
      <c r="F423" s="73" t="s">
        <v>7133</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7018</v>
      </c>
      <c r="U423" s="63">
        <v>398</v>
      </c>
      <c r="V423" s="70">
        <v>10500</v>
      </c>
      <c r="W423" s="70">
        <v>11000</v>
      </c>
      <c r="X423" s="83" t="s">
        <v>6331</v>
      </c>
      <c r="Y423" s="70">
        <v>8000</v>
      </c>
      <c r="Z423" s="63" t="s">
        <v>5866</v>
      </c>
      <c r="AC423" s="67"/>
      <c r="AD423" s="61" t="s">
        <v>7134</v>
      </c>
      <c r="AE423" s="71"/>
      <c r="AF423" s="71"/>
      <c r="AG423" s="71"/>
      <c r="AH423" s="71"/>
      <c r="AI423" s="71"/>
      <c r="AJ423" s="71"/>
      <c r="AK423" s="263" t="s">
        <v>181</v>
      </c>
      <c r="AM423" s="59" t="s">
        <v>181</v>
      </c>
    </row>
    <row r="424" spans="1:39">
      <c r="A424" s="62">
        <v>7</v>
      </c>
      <c r="B424" s="93">
        <v>417</v>
      </c>
      <c r="C424" s="68" t="s">
        <v>6751</v>
      </c>
      <c r="D424" s="59" t="s">
        <v>7135</v>
      </c>
      <c r="E424" s="72" t="s">
        <v>5862</v>
      </c>
      <c r="F424" s="73" t="s">
        <v>7136</v>
      </c>
      <c r="G424" s="67">
        <v>44.1</v>
      </c>
      <c r="H424" s="67">
        <v>9502</v>
      </c>
      <c r="I424" s="69">
        <v>0</v>
      </c>
      <c r="J424" s="70">
        <v>20217</v>
      </c>
      <c r="K424" s="75">
        <v>9.8999851610031158</v>
      </c>
      <c r="L424" s="74">
        <v>0</v>
      </c>
      <c r="M424" s="76">
        <v>0</v>
      </c>
      <c r="N424" s="67">
        <v>1973</v>
      </c>
      <c r="O424" s="64">
        <v>2325</v>
      </c>
      <c r="Q424" s="59">
        <v>20</v>
      </c>
      <c r="R424" s="59">
        <v>1</v>
      </c>
      <c r="S424" s="59">
        <v>1</v>
      </c>
      <c r="T424" s="63" t="s">
        <v>7110</v>
      </c>
      <c r="U424" s="63">
        <v>398</v>
      </c>
      <c r="V424" s="70">
        <v>37564</v>
      </c>
      <c r="W424" s="70">
        <v>38000</v>
      </c>
      <c r="X424" s="83" t="s">
        <v>5903</v>
      </c>
      <c r="Y424" s="70">
        <v>20000</v>
      </c>
      <c r="Z424" s="63" t="s">
        <v>5866</v>
      </c>
      <c r="AC424" s="67"/>
      <c r="AD424" s="61" t="s">
        <v>181</v>
      </c>
      <c r="AE424" s="71"/>
      <c r="AF424" s="71"/>
      <c r="AG424" s="71"/>
      <c r="AH424" s="71"/>
      <c r="AI424" s="71"/>
      <c r="AJ424" s="71"/>
      <c r="AK424" s="263" t="s">
        <v>6755</v>
      </c>
      <c r="AM424" s="59" t="s">
        <v>181</v>
      </c>
    </row>
    <row r="425" spans="1:39">
      <c r="A425" s="62">
        <v>7</v>
      </c>
      <c r="B425" s="93">
        <v>418</v>
      </c>
      <c r="C425" s="68" t="s">
        <v>6751</v>
      </c>
      <c r="D425" s="59" t="s">
        <v>6406</v>
      </c>
      <c r="E425" s="72" t="s">
        <v>5862</v>
      </c>
      <c r="F425" s="73" t="s">
        <v>7137</v>
      </c>
      <c r="G425" s="67">
        <v>44.1</v>
      </c>
      <c r="H425" s="67">
        <v>9505</v>
      </c>
      <c r="I425" s="69">
        <v>0</v>
      </c>
      <c r="J425" s="70">
        <v>10600</v>
      </c>
      <c r="K425" s="75">
        <v>8.4905660377358494</v>
      </c>
      <c r="L425" s="74">
        <v>0</v>
      </c>
      <c r="M425" s="76">
        <v>0</v>
      </c>
      <c r="N425" s="67">
        <v>1966</v>
      </c>
      <c r="O425" s="64">
        <v>3480</v>
      </c>
      <c r="Q425" s="59">
        <v>13</v>
      </c>
      <c r="R425" s="59">
        <v>8</v>
      </c>
      <c r="S425" s="59">
        <v>1</v>
      </c>
      <c r="T425" s="63" t="s">
        <v>6754</v>
      </c>
      <c r="U425" s="63">
        <v>397</v>
      </c>
      <c r="V425" s="70">
        <v>25019</v>
      </c>
      <c r="W425" s="70">
        <v>25000</v>
      </c>
      <c r="X425" s="83" t="s">
        <v>5878</v>
      </c>
      <c r="Y425" s="70">
        <v>11000</v>
      </c>
      <c r="Z425" s="63" t="s">
        <v>5866</v>
      </c>
      <c r="AC425" s="67"/>
      <c r="AD425" s="61" t="s">
        <v>6409</v>
      </c>
      <c r="AE425" s="71"/>
      <c r="AF425" s="71"/>
      <c r="AG425" s="71"/>
      <c r="AH425" s="71"/>
      <c r="AI425" s="71"/>
      <c r="AJ425" s="71"/>
      <c r="AK425" s="263" t="s">
        <v>181</v>
      </c>
      <c r="AM425" s="59" t="s">
        <v>181</v>
      </c>
    </row>
    <row r="426" spans="1:39">
      <c r="A426" s="62">
        <v>7</v>
      </c>
      <c r="B426" s="93">
        <v>419</v>
      </c>
      <c r="C426" s="68" t="s">
        <v>6751</v>
      </c>
      <c r="D426" s="59" t="s">
        <v>7138</v>
      </c>
      <c r="E426" s="72" t="s">
        <v>5862</v>
      </c>
      <c r="F426" s="73" t="s">
        <v>7139</v>
      </c>
      <c r="G426" s="67">
        <v>44.1</v>
      </c>
      <c r="H426" s="67">
        <v>9505</v>
      </c>
      <c r="I426" s="69">
        <v>3</v>
      </c>
      <c r="J426" s="70">
        <v>25080</v>
      </c>
      <c r="K426" s="75">
        <v>4.7846889952153111</v>
      </c>
      <c r="L426" s="74">
        <v>0</v>
      </c>
      <c r="M426" s="76">
        <v>0</v>
      </c>
      <c r="N426" s="67">
        <v>1976</v>
      </c>
      <c r="O426" s="64">
        <v>0</v>
      </c>
      <c r="Q426" s="59">
        <v>13</v>
      </c>
      <c r="R426" s="59">
        <v>4</v>
      </c>
      <c r="S426" s="59">
        <v>1</v>
      </c>
      <c r="T426" s="63" t="s">
        <v>7119</v>
      </c>
      <c r="U426" s="63">
        <v>398</v>
      </c>
      <c r="V426" s="70">
        <v>32900</v>
      </c>
      <c r="W426" s="70">
        <v>33000</v>
      </c>
      <c r="X426" s="83" t="s">
        <v>6331</v>
      </c>
      <c r="Y426" s="70">
        <v>25000</v>
      </c>
      <c r="Z426" s="63" t="s">
        <v>5866</v>
      </c>
      <c r="AC426" s="67"/>
      <c r="AD426" s="61" t="s">
        <v>7140</v>
      </c>
      <c r="AE426" s="71"/>
      <c r="AF426" s="71"/>
      <c r="AG426" s="71"/>
      <c r="AH426" s="71"/>
      <c r="AI426" s="71"/>
      <c r="AJ426" s="71"/>
      <c r="AK426" s="263" t="s">
        <v>6863</v>
      </c>
      <c r="AM426" s="59" t="s">
        <v>181</v>
      </c>
    </row>
    <row r="427" spans="1:39">
      <c r="A427" s="62">
        <v>7</v>
      </c>
      <c r="B427" s="93">
        <v>420</v>
      </c>
      <c r="C427" s="68" t="s">
        <v>6751</v>
      </c>
      <c r="D427" s="59" t="s">
        <v>6410</v>
      </c>
      <c r="E427" s="72" t="s">
        <v>5862</v>
      </c>
      <c r="F427" s="73" t="s">
        <v>7141</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6759</v>
      </c>
      <c r="U427" s="63">
        <v>398</v>
      </c>
      <c r="V427" s="70">
        <v>25929</v>
      </c>
      <c r="W427" s="70">
        <v>26000</v>
      </c>
      <c r="X427" s="83" t="s">
        <v>6412</v>
      </c>
      <c r="Y427" s="70">
        <v>3000</v>
      </c>
      <c r="Z427" s="63" t="s">
        <v>5866</v>
      </c>
      <c r="AC427" s="67"/>
      <c r="AD427" s="61" t="s">
        <v>181</v>
      </c>
      <c r="AE427" s="71"/>
      <c r="AF427" s="71"/>
      <c r="AG427" s="71"/>
      <c r="AH427" s="71"/>
      <c r="AI427" s="71"/>
      <c r="AJ427" s="71"/>
      <c r="AK427" s="263" t="s">
        <v>181</v>
      </c>
      <c r="AM427" s="59" t="s">
        <v>181</v>
      </c>
    </row>
    <row r="428" spans="1:39" ht="25.5">
      <c r="A428" s="62">
        <v>7</v>
      </c>
      <c r="B428" s="93">
        <v>421</v>
      </c>
      <c r="C428" s="68" t="s">
        <v>6751</v>
      </c>
      <c r="D428" s="59" t="s">
        <v>7142</v>
      </c>
      <c r="E428" s="72" t="s">
        <v>5862</v>
      </c>
      <c r="F428" s="73" t="s">
        <v>7143</v>
      </c>
      <c r="G428" s="82">
        <v>47.1</v>
      </c>
      <c r="H428" s="67">
        <v>9505</v>
      </c>
      <c r="I428" s="69">
        <v>0</v>
      </c>
      <c r="J428" s="70">
        <v>4848</v>
      </c>
      <c r="K428" s="75">
        <v>9.9009900990099009</v>
      </c>
      <c r="L428" s="74">
        <v>0</v>
      </c>
      <c r="M428" s="76">
        <v>0</v>
      </c>
      <c r="N428" s="67">
        <v>1960</v>
      </c>
      <c r="O428" s="64">
        <v>1596</v>
      </c>
      <c r="Q428" s="59">
        <v>15</v>
      </c>
      <c r="R428" s="59">
        <v>3</v>
      </c>
      <c r="S428" s="59">
        <v>1</v>
      </c>
      <c r="T428" s="63" t="s">
        <v>7113</v>
      </c>
      <c r="U428" s="63">
        <v>401</v>
      </c>
      <c r="V428" s="70">
        <v>9940</v>
      </c>
      <c r="W428" s="70">
        <v>10000</v>
      </c>
      <c r="X428" s="83" t="s">
        <v>5982</v>
      </c>
      <c r="Y428" s="70">
        <v>5000</v>
      </c>
      <c r="Z428" s="63" t="s">
        <v>5866</v>
      </c>
      <c r="AC428" s="67"/>
      <c r="AD428" s="61" t="s">
        <v>7144</v>
      </c>
      <c r="AE428" s="71"/>
      <c r="AF428" s="71"/>
      <c r="AG428" s="71"/>
      <c r="AH428" s="71"/>
      <c r="AI428" s="71"/>
      <c r="AJ428" s="71"/>
      <c r="AK428" s="263" t="s">
        <v>7145</v>
      </c>
      <c r="AM428" s="59" t="s">
        <v>181</v>
      </c>
    </row>
    <row r="429" spans="1:39">
      <c r="A429" s="62">
        <v>7</v>
      </c>
      <c r="B429" s="93">
        <v>422</v>
      </c>
      <c r="C429" s="68" t="s">
        <v>6751</v>
      </c>
      <c r="D429" s="59" t="s">
        <v>6415</v>
      </c>
      <c r="E429" s="72" t="s">
        <v>5862</v>
      </c>
      <c r="F429" s="73" t="s">
        <v>7146</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6759</v>
      </c>
      <c r="U429" s="63">
        <v>398</v>
      </c>
      <c r="V429" s="70">
        <v>53550</v>
      </c>
      <c r="W429" s="70">
        <v>54000</v>
      </c>
      <c r="X429" s="83" t="s">
        <v>6182</v>
      </c>
      <c r="Y429" s="70">
        <v>32000</v>
      </c>
      <c r="Z429" s="63" t="s">
        <v>5866</v>
      </c>
      <c r="AC429" s="67"/>
      <c r="AD429" s="61" t="s">
        <v>181</v>
      </c>
      <c r="AE429" s="71"/>
      <c r="AF429" s="71"/>
      <c r="AG429" s="71"/>
      <c r="AH429" s="71"/>
      <c r="AI429" s="71"/>
      <c r="AJ429" s="71"/>
      <c r="AK429" s="263" t="s">
        <v>5925</v>
      </c>
      <c r="AM429" s="59" t="s">
        <v>181</v>
      </c>
    </row>
    <row r="430" spans="1:39" ht="25.5">
      <c r="A430" s="62">
        <v>7</v>
      </c>
      <c r="B430" s="93">
        <v>423</v>
      </c>
      <c r="C430" s="68" t="s">
        <v>6751</v>
      </c>
      <c r="D430" s="59" t="s">
        <v>6421</v>
      </c>
      <c r="E430" s="72" t="s">
        <v>5862</v>
      </c>
      <c r="F430" s="73" t="s">
        <v>7147</v>
      </c>
      <c r="G430" s="82">
        <v>47.1</v>
      </c>
      <c r="H430" s="67">
        <v>9505</v>
      </c>
      <c r="I430" s="69">
        <v>0</v>
      </c>
      <c r="J430" s="70">
        <v>5328</v>
      </c>
      <c r="K430" s="75">
        <v>3.378378378378379</v>
      </c>
      <c r="L430" s="74">
        <v>0</v>
      </c>
      <c r="M430" s="76">
        <v>0</v>
      </c>
      <c r="N430" s="67">
        <v>1952</v>
      </c>
      <c r="O430" s="64">
        <v>0</v>
      </c>
      <c r="Q430" s="59">
        <v>12</v>
      </c>
      <c r="R430" s="59">
        <v>1</v>
      </c>
      <c r="S430" s="59">
        <v>1</v>
      </c>
      <c r="T430" s="63" t="s">
        <v>6759</v>
      </c>
      <c r="U430" s="63">
        <v>401</v>
      </c>
      <c r="V430" s="70">
        <v>10845</v>
      </c>
      <c r="W430" s="70">
        <v>11000</v>
      </c>
      <c r="X430" s="83" t="s">
        <v>6774</v>
      </c>
      <c r="Y430" s="70">
        <v>5000</v>
      </c>
      <c r="Z430" s="63" t="s">
        <v>5866</v>
      </c>
      <c r="AC430" s="67"/>
      <c r="AD430" s="61" t="s">
        <v>181</v>
      </c>
      <c r="AE430" s="71"/>
      <c r="AF430" s="71"/>
      <c r="AG430" s="71"/>
      <c r="AH430" s="71"/>
      <c r="AI430" s="71"/>
      <c r="AJ430" s="71"/>
      <c r="AK430" s="263" t="s">
        <v>7148</v>
      </c>
      <c r="AM430" s="59" t="s">
        <v>181</v>
      </c>
    </row>
    <row r="431" spans="1:39">
      <c r="A431" s="62">
        <v>7</v>
      </c>
      <c r="B431" s="93">
        <v>424</v>
      </c>
      <c r="C431" s="68" t="s">
        <v>6751</v>
      </c>
      <c r="D431" s="59" t="s">
        <v>7149</v>
      </c>
      <c r="E431" s="72" t="s">
        <v>5862</v>
      </c>
      <c r="F431" s="73" t="s">
        <v>7150</v>
      </c>
      <c r="G431" s="67">
        <v>44.1</v>
      </c>
      <c r="H431" s="67">
        <v>9505</v>
      </c>
      <c r="I431" s="69">
        <v>0</v>
      </c>
      <c r="J431" s="70">
        <v>7350</v>
      </c>
      <c r="K431" s="75">
        <v>11.428571428571431</v>
      </c>
      <c r="L431" s="74">
        <v>0</v>
      </c>
      <c r="M431" s="76">
        <v>0</v>
      </c>
      <c r="N431" s="67">
        <v>1973</v>
      </c>
      <c r="O431" s="64">
        <v>1898</v>
      </c>
      <c r="Q431" s="59">
        <v>20</v>
      </c>
      <c r="R431" s="59">
        <v>3</v>
      </c>
      <c r="S431" s="59">
        <v>1</v>
      </c>
      <c r="T431" s="63" t="s">
        <v>6759</v>
      </c>
      <c r="U431" s="63">
        <v>398</v>
      </c>
      <c r="V431" s="70">
        <v>12000</v>
      </c>
      <c r="W431" s="70">
        <v>12000</v>
      </c>
      <c r="X431" s="83" t="s">
        <v>5896</v>
      </c>
      <c r="Y431" s="70">
        <v>7000</v>
      </c>
      <c r="Z431" s="63" t="s">
        <v>5866</v>
      </c>
      <c r="AC431" s="67"/>
      <c r="AD431" s="61" t="s">
        <v>181</v>
      </c>
      <c r="AE431" s="71"/>
      <c r="AF431" s="71"/>
      <c r="AG431" s="71"/>
      <c r="AH431" s="71"/>
      <c r="AI431" s="71"/>
      <c r="AJ431" s="71"/>
      <c r="AK431" s="263" t="s">
        <v>181</v>
      </c>
      <c r="AM431" s="59" t="s">
        <v>181</v>
      </c>
    </row>
    <row r="432" spans="1:39">
      <c r="A432" s="62">
        <v>7</v>
      </c>
      <c r="B432" s="93">
        <v>425</v>
      </c>
      <c r="C432" s="68" t="s">
        <v>6751</v>
      </c>
      <c r="D432" s="59" t="s">
        <v>6428</v>
      </c>
      <c r="E432" s="72" t="s">
        <v>5862</v>
      </c>
      <c r="F432" s="73" t="s">
        <v>7151</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6759</v>
      </c>
      <c r="U432" s="63">
        <v>398</v>
      </c>
      <c r="V432" s="70">
        <v>13219</v>
      </c>
      <c r="W432" s="70">
        <v>13000</v>
      </c>
      <c r="X432" s="83" t="s">
        <v>5928</v>
      </c>
      <c r="Y432" s="70">
        <v>6000</v>
      </c>
      <c r="Z432" s="63" t="s">
        <v>5866</v>
      </c>
      <c r="AC432" s="67"/>
      <c r="AD432" s="61" t="s">
        <v>181</v>
      </c>
      <c r="AE432" s="71"/>
      <c r="AF432" s="71"/>
      <c r="AG432" s="71"/>
      <c r="AH432" s="71"/>
      <c r="AI432" s="71"/>
      <c r="AJ432" s="71"/>
      <c r="AK432" s="263" t="s">
        <v>181</v>
      </c>
      <c r="AM432" s="59" t="s">
        <v>181</v>
      </c>
    </row>
    <row r="433" spans="1:39">
      <c r="A433" s="62">
        <v>7</v>
      </c>
      <c r="B433" s="93">
        <v>426</v>
      </c>
      <c r="C433" s="68" t="s">
        <v>6751</v>
      </c>
      <c r="D433" s="59" t="s">
        <v>7152</v>
      </c>
      <c r="E433" s="72" t="s">
        <v>5862</v>
      </c>
      <c r="F433" s="73" t="s">
        <v>7153</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6759</v>
      </c>
      <c r="U433" s="63">
        <v>398</v>
      </c>
      <c r="V433" s="70">
        <v>17819</v>
      </c>
      <c r="W433" s="70">
        <v>18000</v>
      </c>
      <c r="X433" s="83" t="s">
        <v>5952</v>
      </c>
      <c r="Y433" s="70">
        <v>7000</v>
      </c>
      <c r="Z433" s="63" t="s">
        <v>5866</v>
      </c>
      <c r="AC433" s="67"/>
      <c r="AD433" s="61" t="s">
        <v>7154</v>
      </c>
      <c r="AE433" s="71"/>
      <c r="AF433" s="71"/>
      <c r="AG433" s="71"/>
      <c r="AH433" s="71"/>
      <c r="AI433" s="71"/>
      <c r="AJ433" s="71"/>
      <c r="AK433" s="263" t="s">
        <v>181</v>
      </c>
      <c r="AM433" s="59" t="s">
        <v>181</v>
      </c>
    </row>
    <row r="434" spans="1:39">
      <c r="A434" s="62">
        <v>7</v>
      </c>
      <c r="B434" s="93">
        <v>427</v>
      </c>
      <c r="C434" s="68" t="s">
        <v>6751</v>
      </c>
      <c r="D434" s="59" t="s">
        <v>6430</v>
      </c>
      <c r="E434" s="72" t="s">
        <v>5862</v>
      </c>
      <c r="F434" s="73" t="s">
        <v>7155</v>
      </c>
      <c r="G434" s="67">
        <v>44.1</v>
      </c>
      <c r="H434" s="67">
        <v>9505</v>
      </c>
      <c r="I434" s="69">
        <v>0</v>
      </c>
      <c r="J434" s="70">
        <v>5580</v>
      </c>
      <c r="K434" s="75">
        <v>11.82795698924731</v>
      </c>
      <c r="L434" s="74">
        <v>0</v>
      </c>
      <c r="M434" s="76">
        <v>0</v>
      </c>
      <c r="N434" s="67">
        <v>1965</v>
      </c>
      <c r="O434" s="64">
        <v>2737</v>
      </c>
      <c r="Q434" s="59">
        <v>15</v>
      </c>
      <c r="R434" s="59">
        <v>3</v>
      </c>
      <c r="S434" s="59">
        <v>1</v>
      </c>
      <c r="T434" s="63" t="s">
        <v>6754</v>
      </c>
      <c r="U434" s="63">
        <v>398</v>
      </c>
      <c r="V434" s="70">
        <v>8800</v>
      </c>
      <c r="W434" s="70">
        <v>9000</v>
      </c>
      <c r="X434" s="83" t="s">
        <v>5896</v>
      </c>
      <c r="Y434" s="70">
        <v>6000</v>
      </c>
      <c r="Z434" s="63" t="s">
        <v>5866</v>
      </c>
      <c r="AC434" s="67"/>
      <c r="AD434" s="61" t="s">
        <v>181</v>
      </c>
      <c r="AE434" s="71"/>
      <c r="AF434" s="71"/>
      <c r="AG434" s="71"/>
      <c r="AH434" s="71"/>
      <c r="AI434" s="71"/>
      <c r="AJ434" s="71"/>
      <c r="AK434" s="263" t="s">
        <v>181</v>
      </c>
      <c r="AM434" s="59" t="s">
        <v>181</v>
      </c>
    </row>
    <row r="435" spans="1:39" ht="25.5">
      <c r="A435" s="62">
        <v>7</v>
      </c>
      <c r="B435" s="93">
        <v>428</v>
      </c>
      <c r="C435" s="68" t="s">
        <v>6751</v>
      </c>
      <c r="D435" s="59" t="s">
        <v>6434</v>
      </c>
      <c r="E435" s="72" t="s">
        <v>5862</v>
      </c>
      <c r="F435" s="73" t="s">
        <v>7156</v>
      </c>
      <c r="G435" s="67">
        <v>44.1</v>
      </c>
      <c r="H435" s="67">
        <v>9508</v>
      </c>
      <c r="I435" s="69">
        <v>0</v>
      </c>
      <c r="J435" s="70">
        <v>5000</v>
      </c>
      <c r="K435" s="75">
        <v>5.4749999999999996</v>
      </c>
      <c r="L435" s="74">
        <v>0</v>
      </c>
      <c r="M435" s="76">
        <v>0</v>
      </c>
      <c r="N435" s="67">
        <v>1972</v>
      </c>
      <c r="O435" s="64">
        <v>1600</v>
      </c>
      <c r="Q435" s="59">
        <v>11</v>
      </c>
      <c r="R435" s="59">
        <v>8</v>
      </c>
      <c r="S435" s="59">
        <v>1</v>
      </c>
      <c r="T435" s="63" t="s">
        <v>7018</v>
      </c>
      <c r="U435" s="63">
        <v>398</v>
      </c>
      <c r="V435" s="70">
        <v>17464</v>
      </c>
      <c r="W435" s="70">
        <v>17000</v>
      </c>
      <c r="X435" s="83" t="s">
        <v>6436</v>
      </c>
      <c r="Y435" s="70">
        <v>5000</v>
      </c>
      <c r="Z435" s="63" t="s">
        <v>5866</v>
      </c>
      <c r="AC435" s="67"/>
      <c r="AD435" s="61" t="s">
        <v>6437</v>
      </c>
      <c r="AE435" s="71"/>
      <c r="AF435" s="71"/>
      <c r="AG435" s="71"/>
      <c r="AH435" s="71"/>
      <c r="AI435" s="71"/>
      <c r="AJ435" s="71"/>
      <c r="AK435" s="263" t="s">
        <v>6157</v>
      </c>
      <c r="AM435" s="59" t="s">
        <v>181</v>
      </c>
    </row>
    <row r="436" spans="1:39" ht="25.5">
      <c r="A436" s="62">
        <v>7</v>
      </c>
      <c r="B436" s="93">
        <v>429</v>
      </c>
      <c r="C436" s="68" t="s">
        <v>6751</v>
      </c>
      <c r="D436" s="59" t="s">
        <v>7157</v>
      </c>
      <c r="E436" s="72" t="s">
        <v>5862</v>
      </c>
      <c r="F436" s="73" t="s">
        <v>7158</v>
      </c>
      <c r="G436" s="67">
        <v>44.1</v>
      </c>
      <c r="H436" s="67">
        <v>9508</v>
      </c>
      <c r="I436" s="69">
        <v>6</v>
      </c>
      <c r="J436" s="70">
        <v>4800</v>
      </c>
      <c r="K436" s="75">
        <v>7</v>
      </c>
      <c r="L436" s="74">
        <v>0</v>
      </c>
      <c r="M436" s="76">
        <v>9.9107142857142852E-2</v>
      </c>
      <c r="N436" s="67">
        <v>1985</v>
      </c>
      <c r="O436" s="64">
        <v>2850</v>
      </c>
      <c r="Q436" s="59">
        <v>13</v>
      </c>
      <c r="R436" s="59">
        <v>3</v>
      </c>
      <c r="S436" s="59">
        <v>1</v>
      </c>
      <c r="T436" s="63" t="s">
        <v>7018</v>
      </c>
      <c r="U436" s="63">
        <v>398</v>
      </c>
      <c r="V436" s="70">
        <v>12500</v>
      </c>
      <c r="W436" s="70">
        <v>13000</v>
      </c>
      <c r="X436" s="83" t="s">
        <v>5952</v>
      </c>
      <c r="Y436" s="70">
        <v>5000</v>
      </c>
      <c r="Z436" s="63" t="s">
        <v>5866</v>
      </c>
      <c r="AC436" s="67"/>
      <c r="AD436" s="61" t="s">
        <v>7159</v>
      </c>
      <c r="AE436" s="71"/>
      <c r="AF436" s="71"/>
      <c r="AG436" s="71"/>
      <c r="AH436" s="71"/>
      <c r="AI436" s="71"/>
      <c r="AJ436" s="71"/>
      <c r="AK436" s="263" t="s">
        <v>7160</v>
      </c>
      <c r="AM436" s="59" t="s">
        <v>181</v>
      </c>
    </row>
    <row r="437" spans="1:39">
      <c r="A437" s="62">
        <v>7</v>
      </c>
      <c r="B437" s="93">
        <v>430</v>
      </c>
      <c r="C437" s="68" t="s">
        <v>6751</v>
      </c>
      <c r="D437" s="59" t="s">
        <v>7161</v>
      </c>
      <c r="E437" s="72" t="s">
        <v>5862</v>
      </c>
      <c r="F437" s="73" t="s">
        <v>7162</v>
      </c>
      <c r="G437" s="82">
        <v>44.2</v>
      </c>
      <c r="H437" s="67">
        <v>9508</v>
      </c>
      <c r="I437" s="69">
        <v>0</v>
      </c>
      <c r="J437" s="70">
        <v>17672</v>
      </c>
      <c r="K437" s="75">
        <v>7.4699524671797191</v>
      </c>
      <c r="L437" s="74">
        <v>0</v>
      </c>
      <c r="M437" s="76">
        <v>0</v>
      </c>
      <c r="N437" s="67">
        <v>1968</v>
      </c>
      <c r="O437" s="64">
        <v>2000</v>
      </c>
      <c r="Q437" s="59">
        <v>12</v>
      </c>
      <c r="R437" s="59">
        <v>1</v>
      </c>
      <c r="S437" s="59">
        <v>1</v>
      </c>
      <c r="T437" s="63" t="s">
        <v>6754</v>
      </c>
      <c r="U437" s="63">
        <v>398</v>
      </c>
      <c r="V437" s="70">
        <v>30200</v>
      </c>
      <c r="W437" s="70">
        <v>30000</v>
      </c>
      <c r="X437" s="83" t="s">
        <v>6182</v>
      </c>
      <c r="Y437" s="70">
        <v>18000</v>
      </c>
      <c r="Z437" s="63" t="s">
        <v>5866</v>
      </c>
      <c r="AC437" s="67"/>
      <c r="AD437" s="61" t="s">
        <v>7163</v>
      </c>
      <c r="AE437" s="71"/>
      <c r="AF437" s="71"/>
      <c r="AG437" s="71"/>
      <c r="AH437" s="71"/>
      <c r="AI437" s="71"/>
      <c r="AJ437" s="71"/>
      <c r="AK437" s="263" t="s">
        <v>181</v>
      </c>
      <c r="AM437" s="59" t="s">
        <v>181</v>
      </c>
    </row>
    <row r="438" spans="1:39">
      <c r="A438" s="62">
        <v>7</v>
      </c>
      <c r="B438" s="93">
        <v>431</v>
      </c>
      <c r="C438" s="68" t="s">
        <v>6751</v>
      </c>
      <c r="D438" s="59" t="s">
        <v>7164</v>
      </c>
      <c r="E438" s="72" t="s">
        <v>5862</v>
      </c>
      <c r="F438" s="73" t="s">
        <v>7165</v>
      </c>
      <c r="G438" s="82">
        <v>47.1</v>
      </c>
      <c r="H438" s="67">
        <v>9508</v>
      </c>
      <c r="I438" s="69">
        <v>0</v>
      </c>
      <c r="J438" s="70">
        <v>4970</v>
      </c>
      <c r="K438" s="75">
        <v>8.2720321931589531</v>
      </c>
      <c r="L438" s="74">
        <v>0</v>
      </c>
      <c r="M438" s="76">
        <v>0</v>
      </c>
      <c r="N438" s="67">
        <v>1962</v>
      </c>
      <c r="O438" s="64">
        <v>150</v>
      </c>
      <c r="Q438" s="59">
        <v>12</v>
      </c>
      <c r="R438" s="59">
        <v>3</v>
      </c>
      <c r="S438" s="59">
        <v>1</v>
      </c>
      <c r="T438" s="63" t="s">
        <v>6754</v>
      </c>
      <c r="U438" s="63">
        <v>401</v>
      </c>
      <c r="V438" s="70">
        <v>7000</v>
      </c>
      <c r="W438" s="70">
        <v>7000</v>
      </c>
      <c r="X438" s="83" t="s">
        <v>5938</v>
      </c>
      <c r="Y438" s="70">
        <v>5000</v>
      </c>
      <c r="Z438" s="63" t="s">
        <v>5866</v>
      </c>
      <c r="AC438" s="67"/>
      <c r="AD438" s="61" t="s">
        <v>181</v>
      </c>
      <c r="AE438" s="71"/>
      <c r="AF438" s="71"/>
      <c r="AG438" s="71"/>
      <c r="AH438" s="71"/>
      <c r="AI438" s="71"/>
      <c r="AJ438" s="71"/>
      <c r="AK438" s="263" t="s">
        <v>181</v>
      </c>
      <c r="AM438" s="59" t="s">
        <v>181</v>
      </c>
    </row>
    <row r="439" spans="1:39">
      <c r="A439" s="62">
        <v>7</v>
      </c>
      <c r="B439" s="93">
        <v>432</v>
      </c>
      <c r="C439" s="68" t="s">
        <v>6751</v>
      </c>
      <c r="D439" s="59" t="s">
        <v>7166</v>
      </c>
      <c r="E439" s="72" t="s">
        <v>5862</v>
      </c>
      <c r="F439" s="73" t="s">
        <v>7167</v>
      </c>
      <c r="G439" s="82">
        <v>44.2</v>
      </c>
      <c r="H439" s="67">
        <v>9508</v>
      </c>
      <c r="I439" s="69">
        <v>0</v>
      </c>
      <c r="J439" s="70">
        <v>9909</v>
      </c>
      <c r="K439" s="75">
        <v>5.4999495408214756</v>
      </c>
      <c r="L439" s="74">
        <v>0</v>
      </c>
      <c r="M439" s="76">
        <v>0</v>
      </c>
      <c r="N439" s="67">
        <v>1999</v>
      </c>
      <c r="O439" s="64">
        <v>51</v>
      </c>
      <c r="Q439" s="59">
        <v>24</v>
      </c>
      <c r="R439" s="59">
        <v>3</v>
      </c>
      <c r="S439" s="59">
        <v>1</v>
      </c>
      <c r="T439" s="63" t="s">
        <v>6754</v>
      </c>
      <c r="U439" s="63">
        <v>398</v>
      </c>
      <c r="V439" s="70">
        <v>17500</v>
      </c>
      <c r="W439" s="70">
        <v>18000</v>
      </c>
      <c r="X439" s="83" t="s">
        <v>6091</v>
      </c>
      <c r="Y439" s="70">
        <v>10000</v>
      </c>
      <c r="Z439" s="63" t="s">
        <v>5866</v>
      </c>
      <c r="AC439" s="67"/>
      <c r="AD439" s="61" t="s">
        <v>5934</v>
      </c>
      <c r="AE439" s="71"/>
      <c r="AF439" s="71"/>
      <c r="AG439" s="71"/>
      <c r="AH439" s="71"/>
      <c r="AI439" s="71"/>
      <c r="AJ439" s="71"/>
      <c r="AK439" s="263" t="s">
        <v>181</v>
      </c>
      <c r="AM439" s="59" t="s">
        <v>181</v>
      </c>
    </row>
    <row r="440" spans="1:39">
      <c r="A440" s="62">
        <v>7</v>
      </c>
      <c r="B440" s="93">
        <v>433</v>
      </c>
      <c r="C440" s="68" t="s">
        <v>6751</v>
      </c>
      <c r="D440" s="59" t="s">
        <v>7168</v>
      </c>
      <c r="E440" s="72" t="s">
        <v>5862</v>
      </c>
      <c r="F440" s="73" t="s">
        <v>7169</v>
      </c>
      <c r="G440" s="82">
        <v>46.1</v>
      </c>
      <c r="H440" s="67">
        <v>9508</v>
      </c>
      <c r="I440" s="69">
        <v>0</v>
      </c>
      <c r="J440" s="70">
        <v>4990</v>
      </c>
      <c r="K440" s="75">
        <v>5.5</v>
      </c>
      <c r="L440" s="74">
        <v>0</v>
      </c>
      <c r="M440" s="76">
        <v>0</v>
      </c>
      <c r="N440" s="67">
        <v>1962</v>
      </c>
      <c r="O440" s="64">
        <v>120</v>
      </c>
      <c r="Q440" s="59">
        <v>13</v>
      </c>
      <c r="R440" s="59">
        <v>1</v>
      </c>
      <c r="S440" s="59">
        <v>1</v>
      </c>
      <c r="T440" s="63" t="s">
        <v>6754</v>
      </c>
      <c r="U440" s="63">
        <v>391</v>
      </c>
      <c r="V440" s="70">
        <v>7000</v>
      </c>
      <c r="W440" s="70">
        <v>7000</v>
      </c>
      <c r="X440" s="83" t="s">
        <v>5938</v>
      </c>
      <c r="Y440" s="70">
        <v>5000</v>
      </c>
      <c r="Z440" s="63" t="s">
        <v>5866</v>
      </c>
      <c r="AC440" s="67"/>
      <c r="AD440" s="61" t="s">
        <v>181</v>
      </c>
      <c r="AE440" s="71"/>
      <c r="AF440" s="71"/>
      <c r="AG440" s="71"/>
      <c r="AH440" s="71"/>
      <c r="AI440" s="71"/>
      <c r="AJ440" s="71"/>
      <c r="AK440" s="263" t="s">
        <v>181</v>
      </c>
      <c r="AM440" s="59" t="s">
        <v>181</v>
      </c>
    </row>
    <row r="441" spans="1:39">
      <c r="A441" s="62">
        <v>7</v>
      </c>
      <c r="B441" s="93">
        <v>434</v>
      </c>
      <c r="C441" s="68" t="s">
        <v>6751</v>
      </c>
      <c r="D441" s="59" t="s">
        <v>7170</v>
      </c>
      <c r="E441" s="72" t="s">
        <v>5862</v>
      </c>
      <c r="F441" s="73" t="s">
        <v>7171</v>
      </c>
      <c r="G441" s="82">
        <v>47.1</v>
      </c>
      <c r="H441" s="67">
        <v>9508</v>
      </c>
      <c r="I441" s="69">
        <v>0</v>
      </c>
      <c r="J441" s="70">
        <v>8252</v>
      </c>
      <c r="K441" s="75">
        <v>5.5</v>
      </c>
      <c r="L441" s="74">
        <v>0</v>
      </c>
      <c r="M441" s="76">
        <v>0</v>
      </c>
      <c r="N441" s="67">
        <v>1968</v>
      </c>
      <c r="O441" s="64">
        <v>0</v>
      </c>
      <c r="P441" s="64">
        <v>2108</v>
      </c>
      <c r="Q441" s="59">
        <v>14</v>
      </c>
      <c r="R441" s="59">
        <v>3</v>
      </c>
      <c r="S441" s="59">
        <v>1</v>
      </c>
      <c r="T441" s="63" t="s">
        <v>6754</v>
      </c>
      <c r="U441" s="63">
        <v>401</v>
      </c>
      <c r="V441" s="70">
        <v>11486</v>
      </c>
      <c r="W441" s="70">
        <v>11000</v>
      </c>
      <c r="X441" s="83" t="s">
        <v>5938</v>
      </c>
      <c r="Y441" s="70">
        <v>8000</v>
      </c>
      <c r="Z441" s="63" t="s">
        <v>5866</v>
      </c>
      <c r="AC441" s="67"/>
      <c r="AD441" s="61" t="s">
        <v>181</v>
      </c>
      <c r="AE441" s="71"/>
      <c r="AF441" s="71"/>
      <c r="AG441" s="71"/>
      <c r="AH441" s="71"/>
      <c r="AI441" s="71"/>
      <c r="AJ441" s="71"/>
      <c r="AK441" s="263" t="s">
        <v>181</v>
      </c>
      <c r="AM441" s="59" t="s">
        <v>181</v>
      </c>
    </row>
    <row r="442" spans="1:39" ht="25.5">
      <c r="A442" s="62">
        <v>7</v>
      </c>
      <c r="B442" s="93">
        <v>435</v>
      </c>
      <c r="C442" s="68" t="s">
        <v>6751</v>
      </c>
      <c r="D442" s="59" t="s">
        <v>7172</v>
      </c>
      <c r="E442" s="72" t="s">
        <v>5862</v>
      </c>
      <c r="F442" s="73" t="s">
        <v>7173</v>
      </c>
      <c r="G442" s="67">
        <v>44.1</v>
      </c>
      <c r="H442" s="67">
        <v>9508</v>
      </c>
      <c r="I442" s="69">
        <v>0</v>
      </c>
      <c r="J442" s="70">
        <v>13500</v>
      </c>
      <c r="K442" s="75">
        <v>17.777777777777779</v>
      </c>
      <c r="L442" s="74">
        <v>1</v>
      </c>
      <c r="M442" s="76">
        <v>0</v>
      </c>
      <c r="N442" s="67">
        <v>1973</v>
      </c>
      <c r="O442" s="64">
        <v>6657</v>
      </c>
      <c r="Q442" s="59">
        <v>21</v>
      </c>
      <c r="R442" s="59">
        <v>14</v>
      </c>
      <c r="S442" s="59">
        <v>1</v>
      </c>
      <c r="T442" s="63" t="s">
        <v>6754</v>
      </c>
      <c r="U442" s="63">
        <v>398</v>
      </c>
      <c r="V442" s="70">
        <v>21000</v>
      </c>
      <c r="W442" s="70">
        <v>21000</v>
      </c>
      <c r="X442" s="83" t="s">
        <v>5896</v>
      </c>
      <c r="Y442" s="70">
        <v>14000</v>
      </c>
      <c r="Z442" s="63" t="s">
        <v>5866</v>
      </c>
      <c r="AC442" s="67"/>
      <c r="AD442" s="61" t="s">
        <v>7174</v>
      </c>
      <c r="AE442" s="71"/>
      <c r="AF442" s="71"/>
      <c r="AG442" s="71"/>
      <c r="AH442" s="71"/>
      <c r="AI442" s="71"/>
      <c r="AJ442" s="71"/>
      <c r="AK442" s="263" t="s">
        <v>7175</v>
      </c>
      <c r="AM442" s="59" t="s">
        <v>181</v>
      </c>
    </row>
    <row r="443" spans="1:39">
      <c r="A443" s="62">
        <v>7</v>
      </c>
      <c r="B443" s="93">
        <v>436</v>
      </c>
      <c r="C443" s="68" t="s">
        <v>6751</v>
      </c>
      <c r="D443" s="59" t="s">
        <v>7176</v>
      </c>
      <c r="E443" s="72" t="s">
        <v>5862</v>
      </c>
      <c r="F443" s="73" t="s">
        <v>7177</v>
      </c>
      <c r="G443" s="82">
        <v>46.1</v>
      </c>
      <c r="H443" s="67">
        <v>9508</v>
      </c>
      <c r="I443" s="69">
        <v>0</v>
      </c>
      <c r="J443" s="70">
        <v>33042</v>
      </c>
      <c r="K443" s="75">
        <v>5.690000605290237</v>
      </c>
      <c r="L443" s="74">
        <v>0</v>
      </c>
      <c r="M443" s="76">
        <v>0</v>
      </c>
      <c r="N443" s="67">
        <v>1970</v>
      </c>
      <c r="O443" s="64">
        <v>6537</v>
      </c>
      <c r="Q443" s="59">
        <v>16</v>
      </c>
      <c r="R443" s="59">
        <v>14</v>
      </c>
      <c r="S443" s="59">
        <v>1</v>
      </c>
      <c r="T443" s="63" t="s">
        <v>6754</v>
      </c>
      <c r="U443" s="63">
        <v>398</v>
      </c>
      <c r="V443" s="70">
        <v>73039</v>
      </c>
      <c r="W443" s="70">
        <v>73000</v>
      </c>
      <c r="X443" s="83" t="s">
        <v>5928</v>
      </c>
      <c r="Y443" s="70">
        <v>33000</v>
      </c>
      <c r="Z443" s="63" t="s">
        <v>5866</v>
      </c>
      <c r="AC443" s="67"/>
      <c r="AD443" s="61" t="s">
        <v>181</v>
      </c>
      <c r="AE443" s="71"/>
      <c r="AF443" s="71"/>
      <c r="AG443" s="71"/>
      <c r="AH443" s="71"/>
      <c r="AI443" s="71"/>
      <c r="AJ443" s="71"/>
      <c r="AK443" s="263" t="s">
        <v>181</v>
      </c>
      <c r="AM443" s="59" t="s">
        <v>181</v>
      </c>
    </row>
    <row r="444" spans="1:39">
      <c r="A444" s="62">
        <v>7</v>
      </c>
      <c r="B444" s="93">
        <v>437</v>
      </c>
      <c r="C444" s="68" t="s">
        <v>6751</v>
      </c>
      <c r="D444" s="59" t="s">
        <v>6444</v>
      </c>
      <c r="E444" s="72" t="s">
        <v>5862</v>
      </c>
      <c r="F444" s="73" t="s">
        <v>7178</v>
      </c>
      <c r="G444" s="82">
        <v>44.2</v>
      </c>
      <c r="H444" s="67">
        <v>9508</v>
      </c>
      <c r="I444" s="69">
        <v>0</v>
      </c>
      <c r="J444" s="70">
        <v>18000</v>
      </c>
      <c r="K444" s="75">
        <v>4</v>
      </c>
      <c r="L444" s="74">
        <v>0</v>
      </c>
      <c r="M444" s="76">
        <v>0.17416666666666669</v>
      </c>
      <c r="N444" s="67">
        <v>1954</v>
      </c>
      <c r="O444" s="64">
        <v>4000</v>
      </c>
      <c r="Q444" s="59">
        <v>14</v>
      </c>
      <c r="R444" s="59">
        <v>1</v>
      </c>
      <c r="S444" s="59">
        <v>2</v>
      </c>
      <c r="T444" s="63" t="s">
        <v>6754</v>
      </c>
      <c r="U444" s="63">
        <v>398</v>
      </c>
      <c r="V444" s="70">
        <v>34375</v>
      </c>
      <c r="W444" s="70">
        <v>34000</v>
      </c>
      <c r="X444" s="83" t="s">
        <v>5903</v>
      </c>
      <c r="Y444" s="70">
        <v>18000</v>
      </c>
      <c r="Z444" s="63" t="s">
        <v>5866</v>
      </c>
      <c r="AC444" s="67"/>
      <c r="AD444" s="61" t="s">
        <v>6446</v>
      </c>
      <c r="AE444" s="71"/>
      <c r="AF444" s="71"/>
      <c r="AG444" s="71"/>
      <c r="AH444" s="71"/>
      <c r="AI444" s="71"/>
      <c r="AJ444" s="71"/>
      <c r="AK444" s="263" t="s">
        <v>181</v>
      </c>
      <c r="AM444" s="59" t="s">
        <v>181</v>
      </c>
    </row>
    <row r="445" spans="1:39">
      <c r="A445" s="62">
        <v>7</v>
      </c>
      <c r="B445" s="93">
        <v>438</v>
      </c>
      <c r="C445" s="68" t="s">
        <v>6751</v>
      </c>
      <c r="D445" s="59" t="s">
        <v>6447</v>
      </c>
      <c r="E445" s="72" t="s">
        <v>5862</v>
      </c>
      <c r="F445" s="73" t="s">
        <v>7179</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6754</v>
      </c>
      <c r="U445" s="63">
        <v>398</v>
      </c>
      <c r="V445" s="70">
        <v>6000</v>
      </c>
      <c r="W445" s="70">
        <v>6000</v>
      </c>
      <c r="X445" s="83" t="s">
        <v>5896</v>
      </c>
      <c r="Y445" s="70">
        <v>4000</v>
      </c>
      <c r="Z445" s="63" t="s">
        <v>5866</v>
      </c>
      <c r="AC445" s="67"/>
      <c r="AD445" s="61" t="s">
        <v>6449</v>
      </c>
      <c r="AE445" s="71"/>
      <c r="AF445" s="71"/>
      <c r="AG445" s="71"/>
      <c r="AH445" s="71"/>
      <c r="AI445" s="71"/>
      <c r="AJ445" s="71"/>
      <c r="AK445" s="263" t="s">
        <v>7180</v>
      </c>
      <c r="AM445" s="59" t="s">
        <v>181</v>
      </c>
    </row>
    <row r="446" spans="1:39">
      <c r="A446" s="62">
        <v>7</v>
      </c>
      <c r="B446" s="93">
        <v>439</v>
      </c>
      <c r="C446" s="68" t="s">
        <v>6751</v>
      </c>
      <c r="D446" s="59" t="s">
        <v>6454</v>
      </c>
      <c r="E446" s="72" t="s">
        <v>5862</v>
      </c>
      <c r="F446" s="73" t="s">
        <v>7181</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6757</v>
      </c>
      <c r="U446" s="63">
        <v>398</v>
      </c>
      <c r="V446" s="70">
        <v>27787</v>
      </c>
      <c r="W446" s="70">
        <v>28000</v>
      </c>
      <c r="X446" s="83" t="s">
        <v>6774</v>
      </c>
      <c r="Y446" s="70">
        <v>14000</v>
      </c>
      <c r="Z446" s="63" t="s">
        <v>5866</v>
      </c>
      <c r="AC446" s="67"/>
      <c r="AD446" s="61" t="s">
        <v>6456</v>
      </c>
      <c r="AE446" s="71"/>
      <c r="AF446" s="71"/>
      <c r="AG446" s="71"/>
      <c r="AH446" s="71"/>
      <c r="AI446" s="71"/>
      <c r="AJ446" s="71"/>
      <c r="AK446" s="263" t="s">
        <v>181</v>
      </c>
      <c r="AM446" s="59" t="s">
        <v>181</v>
      </c>
    </row>
    <row r="447" spans="1:39">
      <c r="A447" s="62">
        <v>7</v>
      </c>
      <c r="B447" s="93">
        <v>439.3</v>
      </c>
      <c r="C447" s="104" t="s">
        <v>6766</v>
      </c>
      <c r="D447" s="93" t="s">
        <v>7182</v>
      </c>
      <c r="E447" s="92" t="s">
        <v>5862</v>
      </c>
      <c r="F447" s="93" t="s">
        <v>7183</v>
      </c>
      <c r="G447" s="94" t="s">
        <v>7010</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7099</v>
      </c>
      <c r="U447" s="93">
        <v>398</v>
      </c>
      <c r="V447" s="95">
        <v>487038</v>
      </c>
      <c r="W447" s="95">
        <v>500000</v>
      </c>
      <c r="X447" s="98" t="s">
        <v>7100</v>
      </c>
      <c r="Y447" s="95">
        <v>300000</v>
      </c>
      <c r="Z447" s="92" t="s">
        <v>207</v>
      </c>
      <c r="AA447" s="93">
        <v>3</v>
      </c>
      <c r="AB447" s="93">
        <v>3</v>
      </c>
      <c r="AC447" s="93">
        <v>33</v>
      </c>
      <c r="AD447" s="93" t="s">
        <v>7184</v>
      </c>
      <c r="AE447" s="99"/>
      <c r="AF447" s="71"/>
      <c r="AG447" s="71"/>
      <c r="AH447" s="71"/>
      <c r="AI447" s="71"/>
      <c r="AJ447" s="71"/>
      <c r="AK447" s="71"/>
      <c r="AL447">
        <f>IF(AND(ISNUMBER($S447),$S447&gt;0,ISNUMBER($K447),ISNUMBER($J447)),($K447*$J447)/$S447,"")</f>
        <v>70503.821818181808</v>
      </c>
    </row>
    <row r="448" spans="1:39">
      <c r="A448" s="62">
        <v>7</v>
      </c>
      <c r="B448" s="93">
        <v>440</v>
      </c>
      <c r="C448" s="68" t="s">
        <v>6751</v>
      </c>
      <c r="D448" s="59" t="s">
        <v>7185</v>
      </c>
      <c r="E448" s="72" t="s">
        <v>5862</v>
      </c>
      <c r="F448" s="73" t="s">
        <v>7186</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6757</v>
      </c>
      <c r="U448" s="63">
        <v>398</v>
      </c>
      <c r="V448" s="70">
        <v>81431</v>
      </c>
      <c r="W448" s="70">
        <v>81000</v>
      </c>
      <c r="X448" s="83" t="s">
        <v>6065</v>
      </c>
      <c r="Y448" s="70">
        <v>28000</v>
      </c>
      <c r="Z448" s="63" t="s">
        <v>5866</v>
      </c>
      <c r="AC448" s="67"/>
      <c r="AD448" s="61" t="s">
        <v>7187</v>
      </c>
      <c r="AE448" s="71"/>
      <c r="AF448" s="71"/>
      <c r="AG448" s="71"/>
      <c r="AH448" s="71"/>
      <c r="AI448" s="71"/>
      <c r="AJ448" s="71"/>
      <c r="AK448" s="263" t="s">
        <v>181</v>
      </c>
      <c r="AM448" s="59" t="s">
        <v>181</v>
      </c>
    </row>
    <row r="449" spans="1:39" ht="25.5">
      <c r="A449" s="62">
        <v>7</v>
      </c>
      <c r="B449" s="93">
        <v>441</v>
      </c>
      <c r="C449" s="68" t="s">
        <v>6751</v>
      </c>
      <c r="D449" s="59" t="s">
        <v>7188</v>
      </c>
      <c r="E449" s="72" t="s">
        <v>5862</v>
      </c>
      <c r="F449" s="73" t="s">
        <v>7189</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6757</v>
      </c>
      <c r="U449" s="63">
        <v>398</v>
      </c>
      <c r="V449" s="70">
        <v>50661</v>
      </c>
      <c r="W449" s="70">
        <v>51000</v>
      </c>
      <c r="X449" s="83" t="s">
        <v>5878</v>
      </c>
      <c r="Y449" s="70">
        <v>5000</v>
      </c>
      <c r="Z449" s="63" t="s">
        <v>5866</v>
      </c>
      <c r="AC449" s="67"/>
      <c r="AD449" s="61" t="s">
        <v>5879</v>
      </c>
      <c r="AE449" s="71"/>
      <c r="AF449" s="71"/>
      <c r="AG449" s="71"/>
      <c r="AH449" s="71"/>
      <c r="AI449" s="71"/>
      <c r="AJ449" s="71"/>
      <c r="AK449" s="263" t="s">
        <v>7190</v>
      </c>
      <c r="AM449" s="59" t="s">
        <v>181</v>
      </c>
    </row>
    <row r="450" spans="1:39">
      <c r="A450" s="62">
        <v>7</v>
      </c>
      <c r="B450" s="93">
        <v>442</v>
      </c>
      <c r="C450" s="68" t="s">
        <v>6751</v>
      </c>
      <c r="D450" s="59" t="s">
        <v>6469</v>
      </c>
      <c r="E450" s="72" t="s">
        <v>5862</v>
      </c>
      <c r="F450" s="73" t="s">
        <v>7191</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6754</v>
      </c>
      <c r="U450" s="63">
        <v>398</v>
      </c>
      <c r="V450" s="70">
        <v>20500</v>
      </c>
      <c r="W450" s="70">
        <v>21000</v>
      </c>
      <c r="X450" s="83" t="s">
        <v>5896</v>
      </c>
      <c r="Y450" s="70">
        <v>13000</v>
      </c>
      <c r="Z450" s="63" t="s">
        <v>5866</v>
      </c>
      <c r="AC450" s="67"/>
      <c r="AD450" s="61" t="s">
        <v>6471</v>
      </c>
      <c r="AE450" s="71"/>
      <c r="AF450" s="71"/>
      <c r="AG450" s="71"/>
      <c r="AH450" s="71"/>
      <c r="AI450" s="71"/>
      <c r="AJ450" s="71"/>
      <c r="AK450" s="263" t="s">
        <v>181</v>
      </c>
      <c r="AM450" s="59" t="s">
        <v>181</v>
      </c>
    </row>
    <row r="451" spans="1:39">
      <c r="A451" s="62">
        <v>7</v>
      </c>
      <c r="B451" s="93">
        <v>443</v>
      </c>
      <c r="C451" s="68" t="s">
        <v>6751</v>
      </c>
      <c r="D451" s="59" t="s">
        <v>6473</v>
      </c>
      <c r="E451" s="72" t="s">
        <v>5862</v>
      </c>
      <c r="F451" s="73" t="s">
        <v>7192</v>
      </c>
      <c r="G451" s="82">
        <v>44.2</v>
      </c>
      <c r="H451" s="67">
        <v>9505</v>
      </c>
      <c r="I451" s="69">
        <v>0</v>
      </c>
      <c r="J451" s="70">
        <v>8502</v>
      </c>
      <c r="K451" s="75">
        <v>7.0571630204657732</v>
      </c>
      <c r="L451" s="74">
        <v>0</v>
      </c>
      <c r="M451" s="76">
        <v>0</v>
      </c>
      <c r="N451" s="67">
        <v>1968</v>
      </c>
      <c r="O451" s="64">
        <v>9109</v>
      </c>
      <c r="Q451" s="59">
        <v>16</v>
      </c>
      <c r="R451" s="59">
        <v>1</v>
      </c>
      <c r="S451" s="59">
        <v>1</v>
      </c>
      <c r="T451" s="63" t="s">
        <v>6754</v>
      </c>
      <c r="U451" s="63">
        <v>398</v>
      </c>
      <c r="V451" s="70">
        <v>12400</v>
      </c>
      <c r="W451" s="70">
        <v>12000</v>
      </c>
      <c r="X451" s="83" t="s">
        <v>6065</v>
      </c>
      <c r="Y451" s="70">
        <v>9000</v>
      </c>
      <c r="Z451" s="63" t="s">
        <v>5866</v>
      </c>
      <c r="AC451" s="67"/>
      <c r="AD451" s="61" t="s">
        <v>181</v>
      </c>
      <c r="AE451" s="71"/>
      <c r="AF451" s="71"/>
      <c r="AG451" s="71"/>
      <c r="AH451" s="71"/>
      <c r="AI451" s="71"/>
      <c r="AJ451" s="71"/>
      <c r="AK451" s="263" t="s">
        <v>181</v>
      </c>
      <c r="AM451" s="59" t="s">
        <v>181</v>
      </c>
    </row>
    <row r="452" spans="1:39">
      <c r="A452" s="62">
        <v>7</v>
      </c>
      <c r="B452" s="93">
        <v>444</v>
      </c>
      <c r="C452" s="68" t="s">
        <v>6751</v>
      </c>
      <c r="D452" s="59" t="s">
        <v>7193</v>
      </c>
      <c r="E452" s="72" t="s">
        <v>5862</v>
      </c>
      <c r="F452" s="73" t="s">
        <v>7194</v>
      </c>
      <c r="G452" s="67">
        <v>44.1</v>
      </c>
      <c r="H452" s="67">
        <v>9505</v>
      </c>
      <c r="I452" s="69">
        <v>0</v>
      </c>
      <c r="J452" s="70">
        <v>7200</v>
      </c>
      <c r="K452" s="75">
        <v>6.666666666666667</v>
      </c>
      <c r="L452" s="74">
        <v>0</v>
      </c>
      <c r="M452" s="76">
        <v>0</v>
      </c>
      <c r="N452" s="67">
        <v>1966</v>
      </c>
      <c r="O452" s="64">
        <v>4200</v>
      </c>
      <c r="Q452" s="59">
        <v>14</v>
      </c>
      <c r="R452" s="59">
        <v>3</v>
      </c>
      <c r="S452" s="59">
        <v>1</v>
      </c>
      <c r="T452" s="63" t="s">
        <v>6754</v>
      </c>
      <c r="U452" s="63">
        <v>398</v>
      </c>
      <c r="V452" s="70">
        <v>11917</v>
      </c>
      <c r="W452" s="70">
        <v>12000</v>
      </c>
      <c r="X452" s="83" t="s">
        <v>6182</v>
      </c>
      <c r="Y452" s="70">
        <v>7000</v>
      </c>
      <c r="Z452" s="63" t="s">
        <v>5866</v>
      </c>
      <c r="AC452" s="67"/>
      <c r="AD452" s="61" t="s">
        <v>181</v>
      </c>
      <c r="AE452" s="71"/>
      <c r="AF452" s="71"/>
      <c r="AG452" s="71"/>
      <c r="AH452" s="71"/>
      <c r="AI452" s="71"/>
      <c r="AJ452" s="71"/>
      <c r="AK452" s="263" t="s">
        <v>181</v>
      </c>
      <c r="AM452" s="59" t="s">
        <v>181</v>
      </c>
    </row>
    <row r="453" spans="1:39" ht="25.5">
      <c r="A453" s="62">
        <v>7</v>
      </c>
      <c r="B453" s="93">
        <v>445</v>
      </c>
      <c r="C453" s="68" t="s">
        <v>6751</v>
      </c>
      <c r="D453" s="59" t="s">
        <v>7195</v>
      </c>
      <c r="E453" s="72" t="s">
        <v>5862</v>
      </c>
      <c r="F453" s="73" t="s">
        <v>7196</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7018</v>
      </c>
      <c r="U453" s="63">
        <v>398</v>
      </c>
      <c r="V453" s="70">
        <v>26775</v>
      </c>
      <c r="W453" s="70">
        <v>27000</v>
      </c>
      <c r="X453" s="83" t="s">
        <v>6128</v>
      </c>
      <c r="Y453" s="70">
        <v>22000</v>
      </c>
      <c r="Z453" s="63" t="s">
        <v>5866</v>
      </c>
      <c r="AC453" s="67"/>
      <c r="AD453" s="61" t="s">
        <v>7197</v>
      </c>
      <c r="AE453" s="71"/>
      <c r="AF453" s="71"/>
      <c r="AG453" s="71"/>
      <c r="AH453" s="71"/>
      <c r="AI453" s="71"/>
      <c r="AJ453" s="71"/>
      <c r="AK453" s="263" t="s">
        <v>7198</v>
      </c>
      <c r="AM453" s="59" t="s">
        <v>181</v>
      </c>
    </row>
    <row r="454" spans="1:39">
      <c r="A454" s="62">
        <v>7</v>
      </c>
      <c r="B454" s="93">
        <v>446</v>
      </c>
      <c r="C454" s="68" t="s">
        <v>6751</v>
      </c>
      <c r="D454" s="59" t="s">
        <v>7199</v>
      </c>
      <c r="E454" s="72" t="s">
        <v>5862</v>
      </c>
      <c r="F454" s="73" t="s">
        <v>7200</v>
      </c>
      <c r="G454" s="67">
        <v>44.1</v>
      </c>
      <c r="H454" s="67">
        <v>9505</v>
      </c>
      <c r="I454" s="69">
        <v>3</v>
      </c>
      <c r="J454" s="70">
        <v>1995</v>
      </c>
      <c r="K454" s="75">
        <v>3.007518796992481</v>
      </c>
      <c r="L454" s="74">
        <v>0</v>
      </c>
      <c r="M454" s="76">
        <v>0</v>
      </c>
      <c r="N454" s="67">
        <v>1929</v>
      </c>
      <c r="O454" s="64">
        <v>0</v>
      </c>
      <c r="Q454" s="59">
        <v>14</v>
      </c>
      <c r="R454" s="59">
        <v>1</v>
      </c>
      <c r="S454" s="59">
        <v>2</v>
      </c>
      <c r="T454" s="63" t="s">
        <v>7018</v>
      </c>
      <c r="U454" s="63">
        <v>395</v>
      </c>
      <c r="V454" s="70">
        <v>17850</v>
      </c>
      <c r="W454" s="70">
        <v>18000</v>
      </c>
      <c r="X454" s="83" t="s">
        <v>7201</v>
      </c>
      <c r="Y454" s="70">
        <v>2000</v>
      </c>
      <c r="Z454" s="63" t="s">
        <v>209</v>
      </c>
      <c r="AC454" s="67"/>
      <c r="AD454" s="61" t="s">
        <v>6523</v>
      </c>
      <c r="AE454" s="71"/>
      <c r="AF454" s="71"/>
      <c r="AG454" s="71"/>
      <c r="AH454" s="71"/>
      <c r="AI454" s="71"/>
      <c r="AJ454" s="71"/>
      <c r="AK454" s="263" t="s">
        <v>7202</v>
      </c>
      <c r="AL454">
        <f>IF(AND(ISNUMBER($S454),$S454&gt;0,ISNUMBER($K454),ISNUMBER($J454)),($K454*$J454)/$S454,"")</f>
        <v>3000</v>
      </c>
    </row>
    <row r="455" spans="1:39" ht="25.5">
      <c r="A455" s="62">
        <v>7</v>
      </c>
      <c r="B455" s="93">
        <v>447</v>
      </c>
      <c r="C455" s="68" t="s">
        <v>6751</v>
      </c>
      <c r="D455" s="59" t="s">
        <v>7203</v>
      </c>
      <c r="E455" s="72" t="s">
        <v>5862</v>
      </c>
      <c r="F455" s="73" t="s">
        <v>7204</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7018</v>
      </c>
      <c r="U455" s="63">
        <v>398</v>
      </c>
      <c r="V455" s="70">
        <v>8925</v>
      </c>
      <c r="W455" s="70">
        <v>9000</v>
      </c>
      <c r="X455" s="83" t="s">
        <v>6128</v>
      </c>
      <c r="Y455" s="70">
        <v>8000</v>
      </c>
      <c r="Z455" s="63" t="s">
        <v>5866</v>
      </c>
      <c r="AC455" s="67"/>
      <c r="AD455" s="61" t="s">
        <v>6523</v>
      </c>
      <c r="AE455" s="71"/>
      <c r="AF455" s="71"/>
      <c r="AG455" s="71"/>
      <c r="AH455" s="71"/>
      <c r="AI455" s="71"/>
      <c r="AJ455" s="71"/>
      <c r="AK455" s="263" t="s">
        <v>7205</v>
      </c>
      <c r="AM455" s="59" t="s">
        <v>181</v>
      </c>
    </row>
    <row r="456" spans="1:39">
      <c r="A456" s="62">
        <v>7</v>
      </c>
      <c r="B456" s="93">
        <v>448</v>
      </c>
      <c r="C456" s="68" t="s">
        <v>6751</v>
      </c>
      <c r="D456" s="59" t="s">
        <v>7206</v>
      </c>
      <c r="E456" s="72" t="s">
        <v>5862</v>
      </c>
      <c r="F456" s="73" t="s">
        <v>7207</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7018</v>
      </c>
      <c r="U456" s="63">
        <v>401</v>
      </c>
      <c r="V456" s="70">
        <v>5247</v>
      </c>
      <c r="W456" s="70">
        <v>5000</v>
      </c>
      <c r="X456" s="83" t="s">
        <v>6331</v>
      </c>
      <c r="Y456" s="70">
        <v>4000</v>
      </c>
      <c r="Z456" s="63" t="s">
        <v>5866</v>
      </c>
      <c r="AC456" s="67"/>
      <c r="AD456" s="61" t="s">
        <v>5904</v>
      </c>
      <c r="AE456" s="71"/>
      <c r="AF456" s="71"/>
      <c r="AG456" s="71"/>
      <c r="AH456" s="71"/>
      <c r="AI456" s="71"/>
      <c r="AJ456" s="71"/>
      <c r="AK456" s="263" t="s">
        <v>181</v>
      </c>
      <c r="AM456" s="59" t="s">
        <v>181</v>
      </c>
    </row>
    <row r="457" spans="1:39">
      <c r="A457" s="62">
        <v>7</v>
      </c>
      <c r="B457" s="93">
        <v>449</v>
      </c>
      <c r="C457" s="68" t="s">
        <v>6751</v>
      </c>
      <c r="D457" s="59" t="s">
        <v>6481</v>
      </c>
      <c r="E457" s="72" t="s">
        <v>5862</v>
      </c>
      <c r="F457" s="73" t="s">
        <v>7208</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6754</v>
      </c>
      <c r="U457" s="63">
        <v>398</v>
      </c>
      <c r="V457" s="70">
        <v>36500</v>
      </c>
      <c r="W457" s="70">
        <v>37000</v>
      </c>
      <c r="X457" s="83" t="s">
        <v>5982</v>
      </c>
      <c r="Y457" s="70">
        <v>17000</v>
      </c>
      <c r="Z457" s="63" t="s">
        <v>5866</v>
      </c>
      <c r="AC457" s="67"/>
      <c r="AD457" s="61" t="s">
        <v>6483</v>
      </c>
      <c r="AE457" s="71"/>
      <c r="AF457" s="71"/>
      <c r="AG457" s="71"/>
      <c r="AH457" s="71"/>
      <c r="AI457" s="71"/>
      <c r="AJ457" s="71"/>
      <c r="AK457" s="263" t="s">
        <v>6755</v>
      </c>
      <c r="AM457" s="59" t="s">
        <v>181</v>
      </c>
    </row>
    <row r="458" spans="1:39">
      <c r="A458" s="62">
        <v>7</v>
      </c>
      <c r="B458" s="93">
        <v>450</v>
      </c>
      <c r="C458" s="68" t="s">
        <v>6751</v>
      </c>
      <c r="D458" s="59" t="s">
        <v>7209</v>
      </c>
      <c r="E458" s="72" t="s">
        <v>5862</v>
      </c>
      <c r="F458" s="73" t="s">
        <v>7210</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6754</v>
      </c>
      <c r="U458" s="63">
        <v>398</v>
      </c>
      <c r="V458" s="70">
        <v>14243</v>
      </c>
      <c r="W458" s="70">
        <v>14000</v>
      </c>
      <c r="X458" s="83" t="s">
        <v>6091</v>
      </c>
      <c r="Y458" s="70">
        <v>8000</v>
      </c>
      <c r="Z458" s="63" t="s">
        <v>5866</v>
      </c>
      <c r="AC458" s="67"/>
      <c r="AD458" s="61" t="s">
        <v>181</v>
      </c>
      <c r="AE458" s="71"/>
      <c r="AF458" s="71"/>
      <c r="AG458" s="71"/>
      <c r="AH458" s="71"/>
      <c r="AI458" s="71"/>
      <c r="AJ458" s="71"/>
      <c r="AK458" s="263" t="s">
        <v>181</v>
      </c>
      <c r="AM458" s="59" t="s">
        <v>181</v>
      </c>
    </row>
    <row r="459" spans="1:39">
      <c r="A459" s="62">
        <v>7</v>
      </c>
      <c r="B459" s="93">
        <v>451</v>
      </c>
      <c r="C459" s="68" t="s">
        <v>6751</v>
      </c>
      <c r="D459" s="59" t="s">
        <v>6488</v>
      </c>
      <c r="E459" s="72" t="s">
        <v>5862</v>
      </c>
      <c r="F459" s="73" t="s">
        <v>7211</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6754</v>
      </c>
      <c r="U459" s="63">
        <v>398</v>
      </c>
      <c r="V459" s="70">
        <v>17908</v>
      </c>
      <c r="W459" s="70">
        <v>18000</v>
      </c>
      <c r="X459" s="83" t="s">
        <v>5903</v>
      </c>
      <c r="Y459" s="70">
        <v>9000</v>
      </c>
      <c r="Z459" s="63" t="s">
        <v>5866</v>
      </c>
      <c r="AC459" s="67"/>
      <c r="AD459" s="61" t="s">
        <v>181</v>
      </c>
      <c r="AE459" s="71"/>
      <c r="AF459" s="71"/>
      <c r="AG459" s="71"/>
      <c r="AH459" s="71"/>
      <c r="AI459" s="71"/>
      <c r="AJ459" s="71"/>
      <c r="AK459" s="263" t="s">
        <v>7212</v>
      </c>
      <c r="AM459" s="59" t="s">
        <v>181</v>
      </c>
    </row>
    <row r="460" spans="1:39">
      <c r="A460" s="62">
        <v>7</v>
      </c>
      <c r="B460" s="93">
        <v>452</v>
      </c>
      <c r="C460" s="68" t="s">
        <v>6751</v>
      </c>
      <c r="D460" s="59" t="s">
        <v>7213</v>
      </c>
      <c r="E460" s="72" t="s">
        <v>5862</v>
      </c>
      <c r="F460" s="73" t="s">
        <v>7214</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6754</v>
      </c>
      <c r="U460" s="63">
        <v>398</v>
      </c>
      <c r="V460" s="70">
        <v>29950</v>
      </c>
      <c r="W460" s="70">
        <v>30000</v>
      </c>
      <c r="X460" s="83" t="s">
        <v>5896</v>
      </c>
      <c r="Y460" s="70">
        <v>18000</v>
      </c>
      <c r="Z460" s="63" t="s">
        <v>5866</v>
      </c>
      <c r="AC460" s="67"/>
      <c r="AD460" s="61" t="s">
        <v>181</v>
      </c>
      <c r="AE460" s="71"/>
      <c r="AF460" s="71"/>
      <c r="AG460" s="71"/>
      <c r="AH460" s="71"/>
      <c r="AI460" s="71"/>
      <c r="AJ460" s="71"/>
      <c r="AK460" s="263" t="s">
        <v>181</v>
      </c>
      <c r="AM460" s="59" t="s">
        <v>181</v>
      </c>
    </row>
    <row r="461" spans="1:39">
      <c r="A461" s="62">
        <v>7</v>
      </c>
      <c r="B461" s="93">
        <v>453</v>
      </c>
      <c r="C461" s="68" t="s">
        <v>6751</v>
      </c>
      <c r="D461" s="59" t="s">
        <v>7215</v>
      </c>
      <c r="E461" s="72" t="s">
        <v>5862</v>
      </c>
      <c r="F461" s="73" t="s">
        <v>7216</v>
      </c>
      <c r="G461" s="82">
        <v>47.1</v>
      </c>
      <c r="H461" s="67">
        <v>9505</v>
      </c>
      <c r="I461" s="69">
        <v>0</v>
      </c>
      <c r="J461" s="70">
        <v>15531</v>
      </c>
      <c r="K461" s="75">
        <v>5.1348915073079651</v>
      </c>
      <c r="L461" s="74">
        <v>0.75</v>
      </c>
      <c r="M461" s="76">
        <v>0</v>
      </c>
      <c r="N461" s="67">
        <v>1962</v>
      </c>
      <c r="O461" s="64">
        <v>978</v>
      </c>
      <c r="Q461" s="59">
        <v>16</v>
      </c>
      <c r="R461" s="59">
        <v>1</v>
      </c>
      <c r="S461" s="59">
        <v>1</v>
      </c>
      <c r="T461" s="63" t="s">
        <v>6754</v>
      </c>
      <c r="U461" s="63">
        <v>401</v>
      </c>
      <c r="V461" s="70">
        <v>27000</v>
      </c>
      <c r="W461" s="70">
        <v>27000</v>
      </c>
      <c r="X461" s="83" t="s">
        <v>6182</v>
      </c>
      <c r="Y461" s="70">
        <v>16000</v>
      </c>
      <c r="Z461" s="63" t="s">
        <v>5866</v>
      </c>
      <c r="AC461" s="67"/>
      <c r="AD461" s="61" t="s">
        <v>6156</v>
      </c>
      <c r="AE461" s="71"/>
      <c r="AF461" s="71"/>
      <c r="AG461" s="71"/>
      <c r="AH461" s="71"/>
      <c r="AI461" s="71"/>
      <c r="AJ461" s="71"/>
      <c r="AK461" s="263" t="s">
        <v>181</v>
      </c>
      <c r="AM461" s="59" t="s">
        <v>181</v>
      </c>
    </row>
    <row r="462" spans="1:39">
      <c r="A462" s="62">
        <v>7</v>
      </c>
      <c r="B462" s="93">
        <v>454</v>
      </c>
      <c r="C462" s="68" t="s">
        <v>6751</v>
      </c>
      <c r="D462" s="59" t="s">
        <v>6494</v>
      </c>
      <c r="E462" s="72" t="s">
        <v>5862</v>
      </c>
      <c r="F462" s="73" t="s">
        <v>7217</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6754</v>
      </c>
      <c r="U462" s="63">
        <v>398</v>
      </c>
      <c r="V462" s="70">
        <v>6000</v>
      </c>
      <c r="W462" s="70">
        <v>6000</v>
      </c>
      <c r="X462" s="83" t="s">
        <v>5982</v>
      </c>
      <c r="Y462" s="70">
        <v>3000</v>
      </c>
      <c r="Z462" s="63" t="s">
        <v>5866</v>
      </c>
      <c r="AC462" s="67"/>
      <c r="AD462" s="61" t="s">
        <v>6496</v>
      </c>
      <c r="AE462" s="71"/>
      <c r="AF462" s="71"/>
      <c r="AG462" s="71"/>
      <c r="AH462" s="71"/>
      <c r="AI462" s="71"/>
      <c r="AJ462" s="71"/>
      <c r="AK462" s="263" t="s">
        <v>6755</v>
      </c>
      <c r="AM462" s="59" t="s">
        <v>181</v>
      </c>
    </row>
    <row r="463" spans="1:39" ht="25.5">
      <c r="A463" s="62">
        <v>7</v>
      </c>
      <c r="B463" s="93">
        <v>455</v>
      </c>
      <c r="C463" s="68" t="s">
        <v>6751</v>
      </c>
      <c r="D463" s="59" t="s">
        <v>6499</v>
      </c>
      <c r="E463" s="72" t="s">
        <v>5862</v>
      </c>
      <c r="F463" s="73" t="s">
        <v>7218</v>
      </c>
      <c r="G463" s="82">
        <v>44.2</v>
      </c>
      <c r="H463" s="67">
        <v>9505</v>
      </c>
      <c r="I463" s="69">
        <v>0</v>
      </c>
      <c r="J463" s="70">
        <v>4928</v>
      </c>
      <c r="K463" s="75">
        <v>6.25</v>
      </c>
      <c r="L463" s="74">
        <v>0.59</v>
      </c>
      <c r="M463" s="76">
        <v>0.39103896103896102</v>
      </c>
      <c r="N463" s="67">
        <v>1970</v>
      </c>
      <c r="O463" s="64">
        <v>5575</v>
      </c>
      <c r="Q463" s="59">
        <v>18</v>
      </c>
      <c r="R463" s="59">
        <v>1</v>
      </c>
      <c r="S463" s="59">
        <v>1</v>
      </c>
      <c r="T463" s="63" t="s">
        <v>6754</v>
      </c>
      <c r="U463" s="63">
        <v>398</v>
      </c>
      <c r="V463" s="70">
        <v>18000</v>
      </c>
      <c r="W463" s="70">
        <v>18000</v>
      </c>
      <c r="X463" s="83" t="s">
        <v>6065</v>
      </c>
      <c r="Y463" s="70">
        <v>5000</v>
      </c>
      <c r="Z463" s="63" t="s">
        <v>5866</v>
      </c>
      <c r="AC463" s="67"/>
      <c r="AD463" s="61" t="s">
        <v>5879</v>
      </c>
      <c r="AE463" s="71"/>
      <c r="AF463" s="71"/>
      <c r="AG463" s="71"/>
      <c r="AH463" s="71"/>
      <c r="AI463" s="71"/>
      <c r="AJ463" s="71"/>
      <c r="AK463" s="263" t="s">
        <v>7219</v>
      </c>
      <c r="AM463" s="59" t="s">
        <v>181</v>
      </c>
    </row>
    <row r="464" spans="1:39">
      <c r="A464" s="62">
        <v>7</v>
      </c>
      <c r="B464" s="93">
        <v>456</v>
      </c>
      <c r="C464" s="68" t="s">
        <v>6751</v>
      </c>
      <c r="D464" s="59" t="s">
        <v>7220</v>
      </c>
      <c r="E464" s="72" t="s">
        <v>5862</v>
      </c>
      <c r="F464" s="73" t="s">
        <v>7221</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6754</v>
      </c>
      <c r="U464" s="63">
        <v>398</v>
      </c>
      <c r="V464" s="70">
        <v>47476</v>
      </c>
      <c r="W464" s="70">
        <v>47000</v>
      </c>
      <c r="X464" s="83" t="s">
        <v>6182</v>
      </c>
      <c r="Y464" s="70">
        <v>28000</v>
      </c>
      <c r="Z464" s="63" t="s">
        <v>5866</v>
      </c>
      <c r="AC464" s="67"/>
      <c r="AD464" s="61" t="s">
        <v>181</v>
      </c>
      <c r="AE464" s="71"/>
      <c r="AF464" s="71"/>
      <c r="AG464" s="71"/>
      <c r="AH464" s="71"/>
      <c r="AI464" s="71"/>
      <c r="AJ464" s="71"/>
      <c r="AK464" s="263" t="s">
        <v>181</v>
      </c>
      <c r="AM464" s="59" t="s">
        <v>181</v>
      </c>
    </row>
    <row r="465" spans="1:39">
      <c r="A465" s="62">
        <v>7</v>
      </c>
      <c r="B465" s="93">
        <v>457</v>
      </c>
      <c r="C465" s="68" t="s">
        <v>6751</v>
      </c>
      <c r="D465" s="59" t="s">
        <v>6501</v>
      </c>
      <c r="E465" s="72" t="s">
        <v>5862</v>
      </c>
      <c r="F465" s="73" t="s">
        <v>7222</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6754</v>
      </c>
      <c r="U465" s="63">
        <v>398</v>
      </c>
      <c r="V465" s="70">
        <v>14136</v>
      </c>
      <c r="W465" s="70">
        <v>14000</v>
      </c>
      <c r="X465" s="83" t="s">
        <v>6791</v>
      </c>
      <c r="Y465" s="70">
        <v>5000</v>
      </c>
      <c r="Z465" s="63" t="s">
        <v>5866</v>
      </c>
      <c r="AC465" s="67"/>
      <c r="AD465" s="61" t="s">
        <v>6503</v>
      </c>
      <c r="AE465" s="71"/>
      <c r="AF465" s="71"/>
      <c r="AG465" s="71"/>
      <c r="AH465" s="71"/>
      <c r="AI465" s="71"/>
      <c r="AJ465" s="71"/>
      <c r="AK465" s="263" t="s">
        <v>181</v>
      </c>
      <c r="AM465" s="59" t="s">
        <v>181</v>
      </c>
    </row>
    <row r="466" spans="1:39" ht="25.5">
      <c r="A466" s="62">
        <v>7</v>
      </c>
      <c r="B466" s="93">
        <v>458</v>
      </c>
      <c r="C466" s="68" t="s">
        <v>6751</v>
      </c>
      <c r="D466" s="59" t="s">
        <v>6505</v>
      </c>
      <c r="E466" s="72" t="s">
        <v>5862</v>
      </c>
      <c r="F466" s="73" t="s">
        <v>7223</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6754</v>
      </c>
      <c r="U466" s="63">
        <v>398</v>
      </c>
      <c r="V466" s="70">
        <v>18900</v>
      </c>
      <c r="W466" s="70">
        <v>19000</v>
      </c>
      <c r="X466" s="83" t="s">
        <v>5985</v>
      </c>
      <c r="Y466" s="70">
        <v>7000</v>
      </c>
      <c r="Z466" s="63" t="s">
        <v>5866</v>
      </c>
      <c r="AC466" s="67"/>
      <c r="AD466" s="61" t="s">
        <v>181</v>
      </c>
      <c r="AE466" s="71"/>
      <c r="AF466" s="71"/>
      <c r="AG466" s="71"/>
      <c r="AH466" s="71"/>
      <c r="AI466" s="71"/>
      <c r="AJ466" s="71"/>
      <c r="AK466" s="263" t="s">
        <v>7224</v>
      </c>
      <c r="AM466" s="59" t="s">
        <v>181</v>
      </c>
    </row>
    <row r="467" spans="1:39">
      <c r="A467" s="62">
        <v>7</v>
      </c>
      <c r="B467" s="93">
        <v>459</v>
      </c>
      <c r="C467" s="68" t="s">
        <v>6751</v>
      </c>
      <c r="D467" s="59" t="s">
        <v>7225</v>
      </c>
      <c r="E467" s="72" t="s">
        <v>5862</v>
      </c>
      <c r="F467" s="73" t="s">
        <v>7226</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6757</v>
      </c>
      <c r="U467" s="63">
        <v>398</v>
      </c>
      <c r="V467" s="70">
        <v>12500</v>
      </c>
      <c r="W467" s="70">
        <v>13000</v>
      </c>
      <c r="X467" s="83" t="s">
        <v>6774</v>
      </c>
      <c r="Y467" s="70">
        <v>6000</v>
      </c>
      <c r="Z467" s="63" t="s">
        <v>5866</v>
      </c>
      <c r="AC467" s="67"/>
      <c r="AD467" s="61" t="s">
        <v>181</v>
      </c>
      <c r="AE467" s="71"/>
      <c r="AF467" s="71"/>
      <c r="AG467" s="71"/>
      <c r="AH467" s="71"/>
      <c r="AI467" s="71"/>
      <c r="AJ467" s="71"/>
      <c r="AK467" s="263" t="s">
        <v>181</v>
      </c>
      <c r="AM467" s="59" t="s">
        <v>181</v>
      </c>
    </row>
    <row r="468" spans="1:39">
      <c r="A468" s="62">
        <v>7</v>
      </c>
      <c r="B468" s="93">
        <v>460</v>
      </c>
      <c r="C468" s="68" t="s">
        <v>6751</v>
      </c>
      <c r="D468" s="59" t="s">
        <v>7227</v>
      </c>
      <c r="E468" s="72" t="s">
        <v>5862</v>
      </c>
      <c r="F468" s="73" t="s">
        <v>7228</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6759</v>
      </c>
      <c r="U468" s="63">
        <v>398</v>
      </c>
      <c r="V468" s="70">
        <v>21106</v>
      </c>
      <c r="W468" s="70">
        <v>21000</v>
      </c>
      <c r="X468" s="83" t="s">
        <v>7229</v>
      </c>
      <c r="Y468" s="70">
        <v>3000</v>
      </c>
      <c r="Z468" s="63" t="s">
        <v>5866</v>
      </c>
      <c r="AC468" s="67"/>
      <c r="AD468" s="61" t="s">
        <v>7230</v>
      </c>
      <c r="AE468" s="71"/>
      <c r="AF468" s="71"/>
      <c r="AG468" s="71"/>
      <c r="AH468" s="71"/>
      <c r="AI468" s="71"/>
      <c r="AJ468" s="71"/>
      <c r="AK468" s="263" t="s">
        <v>6755</v>
      </c>
      <c r="AM468" s="59" t="s">
        <v>181</v>
      </c>
    </row>
    <row r="469" spans="1:39" ht="25.5">
      <c r="A469" s="62">
        <v>7</v>
      </c>
      <c r="B469" s="93">
        <v>461</v>
      </c>
      <c r="C469" s="68" t="s">
        <v>6751</v>
      </c>
      <c r="D469" s="59" t="s">
        <v>7231</v>
      </c>
      <c r="E469" s="72" t="s">
        <v>5862</v>
      </c>
      <c r="F469" s="73" t="s">
        <v>7232</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6759</v>
      </c>
      <c r="U469" s="63">
        <v>398</v>
      </c>
      <c r="V469" s="70">
        <v>33457</v>
      </c>
      <c r="W469" s="70">
        <v>33000</v>
      </c>
      <c r="X469" s="83" t="s">
        <v>6065</v>
      </c>
      <c r="Y469" s="70">
        <v>5000</v>
      </c>
      <c r="Z469" s="63" t="s">
        <v>5866</v>
      </c>
      <c r="AC469" s="67"/>
      <c r="AD469" s="61" t="s">
        <v>5879</v>
      </c>
      <c r="AE469" s="71"/>
      <c r="AF469" s="71"/>
      <c r="AG469" s="71"/>
      <c r="AH469" s="71"/>
      <c r="AI469" s="71"/>
      <c r="AJ469" s="71"/>
      <c r="AK469" s="263" t="s">
        <v>7233</v>
      </c>
      <c r="AM469" s="59" t="s">
        <v>181</v>
      </c>
    </row>
    <row r="470" spans="1:39">
      <c r="A470" s="62">
        <v>7</v>
      </c>
      <c r="B470" s="93">
        <v>462</v>
      </c>
      <c r="C470" s="68" t="s">
        <v>6751</v>
      </c>
      <c r="D470" s="59" t="s">
        <v>7234</v>
      </c>
      <c r="E470" s="72" t="s">
        <v>5862</v>
      </c>
      <c r="F470" s="73" t="s">
        <v>7235</v>
      </c>
      <c r="G470" s="67">
        <v>44.1</v>
      </c>
      <c r="H470" s="67">
        <v>9508</v>
      </c>
      <c r="I470" s="69">
        <v>0</v>
      </c>
      <c r="J470" s="70">
        <v>17155</v>
      </c>
      <c r="K470" s="75">
        <v>12.591081317400169</v>
      </c>
      <c r="L470" s="74">
        <v>0</v>
      </c>
      <c r="M470" s="76">
        <v>0</v>
      </c>
      <c r="N470" s="67">
        <v>1987</v>
      </c>
      <c r="O470" s="64">
        <v>1227</v>
      </c>
      <c r="Q470" s="59">
        <v>22</v>
      </c>
      <c r="R470" s="59">
        <v>3</v>
      </c>
      <c r="S470" s="59">
        <v>1</v>
      </c>
      <c r="T470" s="63" t="s">
        <v>6759</v>
      </c>
      <c r="U470" s="63">
        <v>398</v>
      </c>
      <c r="V470" s="70">
        <v>29750</v>
      </c>
      <c r="W470" s="70">
        <v>30000</v>
      </c>
      <c r="X470" s="83" t="s">
        <v>6182</v>
      </c>
      <c r="Y470" s="70">
        <v>17000</v>
      </c>
      <c r="Z470" s="63" t="s">
        <v>5866</v>
      </c>
      <c r="AC470" s="67"/>
      <c r="AD470" s="61" t="s">
        <v>5904</v>
      </c>
      <c r="AE470" s="71"/>
      <c r="AF470" s="71"/>
      <c r="AG470" s="71"/>
      <c r="AH470" s="71"/>
      <c r="AI470" s="71"/>
      <c r="AJ470" s="71"/>
      <c r="AK470" s="263" t="s">
        <v>7236</v>
      </c>
      <c r="AM470" s="59" t="s">
        <v>181</v>
      </c>
    </row>
    <row r="471" spans="1:39">
      <c r="A471" s="62">
        <v>7</v>
      </c>
      <c r="B471" s="93">
        <v>463</v>
      </c>
      <c r="C471" s="68" t="s">
        <v>6751</v>
      </c>
      <c r="D471" s="59" t="s">
        <v>7237</v>
      </c>
      <c r="E471" s="72" t="s">
        <v>5862</v>
      </c>
      <c r="F471" s="73" t="s">
        <v>7238</v>
      </c>
      <c r="G471" s="67">
        <v>44.1</v>
      </c>
      <c r="H471" s="67">
        <v>9508</v>
      </c>
      <c r="I471" s="69">
        <v>0</v>
      </c>
      <c r="J471" s="70">
        <v>2905</v>
      </c>
      <c r="K471" s="75">
        <v>6.1962134251290877</v>
      </c>
      <c r="L471" s="74">
        <v>0</v>
      </c>
      <c r="M471" s="76">
        <v>0</v>
      </c>
      <c r="N471" s="67">
        <v>1978</v>
      </c>
      <c r="O471" s="64">
        <v>350</v>
      </c>
      <c r="Q471" s="59">
        <v>14</v>
      </c>
      <c r="R471" s="59">
        <v>3</v>
      </c>
      <c r="S471" s="59">
        <v>1</v>
      </c>
      <c r="T471" s="63" t="s">
        <v>6757</v>
      </c>
      <c r="U471" s="63">
        <v>398</v>
      </c>
      <c r="V471" s="70">
        <v>6875</v>
      </c>
      <c r="W471" s="70">
        <v>7000</v>
      </c>
      <c r="X471" s="83" t="s">
        <v>5878</v>
      </c>
      <c r="Y471" s="70">
        <v>3000</v>
      </c>
      <c r="Z471" s="63" t="s">
        <v>5866</v>
      </c>
      <c r="AC471" s="67"/>
      <c r="AD471" s="61" t="s">
        <v>7239</v>
      </c>
      <c r="AE471" s="71"/>
      <c r="AF471" s="71"/>
      <c r="AG471" s="71"/>
      <c r="AH471" s="71"/>
      <c r="AI471" s="71"/>
      <c r="AJ471" s="71"/>
      <c r="AK471" s="263" t="s">
        <v>181</v>
      </c>
      <c r="AM471" s="59" t="s">
        <v>181</v>
      </c>
    </row>
    <row r="472" spans="1:39">
      <c r="A472" s="62">
        <v>7</v>
      </c>
      <c r="B472" s="93">
        <v>464</v>
      </c>
      <c r="C472" s="68" t="s">
        <v>6751</v>
      </c>
      <c r="D472" s="59" t="s">
        <v>6528</v>
      </c>
      <c r="E472" s="72" t="s">
        <v>5862</v>
      </c>
      <c r="F472" s="73" t="s">
        <v>7240</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6757</v>
      </c>
      <c r="U472" s="63">
        <v>398</v>
      </c>
      <c r="V472" s="70">
        <v>10000</v>
      </c>
      <c r="W472" s="70">
        <v>10000</v>
      </c>
      <c r="X472" s="83" t="s">
        <v>5982</v>
      </c>
      <c r="Y472" s="70">
        <v>4000</v>
      </c>
      <c r="Z472" s="63" t="s">
        <v>5866</v>
      </c>
      <c r="AC472" s="67"/>
      <c r="AD472" s="61" t="s">
        <v>6530</v>
      </c>
      <c r="AE472" s="71"/>
      <c r="AF472" s="71"/>
      <c r="AG472" s="71"/>
      <c r="AH472" s="71"/>
      <c r="AI472" s="71"/>
      <c r="AJ472" s="71"/>
      <c r="AK472" s="263" t="s">
        <v>6129</v>
      </c>
      <c r="AM472" s="59" t="s">
        <v>181</v>
      </c>
    </row>
    <row r="473" spans="1:39">
      <c r="A473" s="62">
        <v>7</v>
      </c>
      <c r="B473" s="93">
        <v>465</v>
      </c>
      <c r="C473" s="68" t="s">
        <v>6751</v>
      </c>
      <c r="D473" s="59" t="s">
        <v>7241</v>
      </c>
      <c r="E473" s="72" t="s">
        <v>5862</v>
      </c>
      <c r="F473" s="73" t="s">
        <v>7242</v>
      </c>
      <c r="G473" s="82">
        <v>44.2</v>
      </c>
      <c r="H473" s="67">
        <v>9508</v>
      </c>
      <c r="I473" s="69">
        <v>0</v>
      </c>
      <c r="J473" s="70">
        <v>6558</v>
      </c>
      <c r="K473" s="75">
        <v>5.4132357426044528</v>
      </c>
      <c r="L473" s="74">
        <v>0</v>
      </c>
      <c r="M473" s="76">
        <v>0</v>
      </c>
      <c r="N473" s="67">
        <v>1980</v>
      </c>
      <c r="O473" s="64">
        <v>2350</v>
      </c>
      <c r="Q473" s="59">
        <v>14</v>
      </c>
      <c r="R473" s="59">
        <v>3</v>
      </c>
      <c r="S473" s="59">
        <v>1</v>
      </c>
      <c r="T473" s="63" t="s">
        <v>6757</v>
      </c>
      <c r="U473" s="63">
        <v>398</v>
      </c>
      <c r="V473" s="70">
        <v>12875</v>
      </c>
      <c r="W473" s="70">
        <v>13000</v>
      </c>
      <c r="X473" s="83" t="s">
        <v>6774</v>
      </c>
      <c r="Y473" s="70">
        <v>7000</v>
      </c>
      <c r="Z473" s="63" t="s">
        <v>5866</v>
      </c>
      <c r="AC473" s="67"/>
      <c r="AD473" s="61" t="s">
        <v>181</v>
      </c>
      <c r="AE473" s="71"/>
      <c r="AF473" s="71"/>
      <c r="AG473" s="71"/>
      <c r="AH473" s="71"/>
      <c r="AI473" s="71"/>
      <c r="AJ473" s="71"/>
      <c r="AK473" s="263" t="s">
        <v>7243</v>
      </c>
      <c r="AM473" s="59" t="s">
        <v>181</v>
      </c>
    </row>
    <row r="474" spans="1:39">
      <c r="A474" s="62">
        <v>7</v>
      </c>
      <c r="B474" s="93">
        <v>466</v>
      </c>
      <c r="C474" s="68" t="s">
        <v>6751</v>
      </c>
      <c r="D474" s="59" t="s">
        <v>6535</v>
      </c>
      <c r="E474" s="72" t="s">
        <v>5862</v>
      </c>
      <c r="F474" s="73" t="s">
        <v>7244</v>
      </c>
      <c r="G474" s="82">
        <v>44.2</v>
      </c>
      <c r="H474" s="67">
        <v>9508</v>
      </c>
      <c r="I474" s="69">
        <v>0</v>
      </c>
      <c r="J474" s="70">
        <v>2000</v>
      </c>
      <c r="K474" s="75">
        <v>7.2</v>
      </c>
      <c r="L474" s="74">
        <v>0</v>
      </c>
      <c r="M474" s="76">
        <v>0.15319444444444441</v>
      </c>
      <c r="N474" s="67">
        <v>1984</v>
      </c>
      <c r="O474" s="64">
        <v>2738</v>
      </c>
      <c r="Q474" s="59">
        <v>14</v>
      </c>
      <c r="R474" s="59">
        <v>3</v>
      </c>
      <c r="S474" s="59">
        <v>2</v>
      </c>
      <c r="T474" s="63" t="s">
        <v>6757</v>
      </c>
      <c r="U474" s="63">
        <v>398</v>
      </c>
      <c r="V474" s="70">
        <v>12500</v>
      </c>
      <c r="W474" s="70">
        <v>13000</v>
      </c>
      <c r="X474" s="83" t="s">
        <v>6065</v>
      </c>
      <c r="Y474" s="70">
        <v>2000</v>
      </c>
      <c r="Z474" s="63" t="s">
        <v>5866</v>
      </c>
      <c r="AC474" s="67"/>
      <c r="AD474" s="61" t="s">
        <v>181</v>
      </c>
      <c r="AE474" s="71"/>
      <c r="AF474" s="71"/>
      <c r="AG474" s="71"/>
      <c r="AH474" s="71"/>
      <c r="AI474" s="71"/>
      <c r="AJ474" s="71"/>
      <c r="AK474" s="263" t="s">
        <v>7245</v>
      </c>
      <c r="AM474" s="59" t="s">
        <v>181</v>
      </c>
    </row>
    <row r="475" spans="1:39">
      <c r="A475" s="62">
        <v>7</v>
      </c>
      <c r="B475" s="93">
        <v>467</v>
      </c>
      <c r="C475" s="68" t="s">
        <v>6751</v>
      </c>
      <c r="D475" s="59" t="s">
        <v>7246</v>
      </c>
      <c r="E475" s="72" t="s">
        <v>5862</v>
      </c>
      <c r="F475" s="73" t="s">
        <v>7247</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6754</v>
      </c>
      <c r="U475" s="63">
        <v>397</v>
      </c>
      <c r="V475" s="70">
        <v>7582</v>
      </c>
      <c r="W475" s="70">
        <v>8000</v>
      </c>
      <c r="X475" s="83" t="s">
        <v>6065</v>
      </c>
      <c r="Y475" s="70">
        <v>5000</v>
      </c>
      <c r="Z475" s="63" t="s">
        <v>5866</v>
      </c>
      <c r="AC475" s="67"/>
      <c r="AD475" s="61" t="s">
        <v>7248</v>
      </c>
      <c r="AE475" s="71"/>
      <c r="AF475" s="71"/>
      <c r="AG475" s="71"/>
      <c r="AH475" s="71"/>
      <c r="AI475" s="71"/>
      <c r="AJ475" s="71"/>
      <c r="AK475" s="263" t="s">
        <v>6129</v>
      </c>
      <c r="AM475" s="59" t="s">
        <v>181</v>
      </c>
    </row>
    <row r="476" spans="1:39">
      <c r="A476" s="62">
        <v>7</v>
      </c>
      <c r="B476" s="93">
        <v>468</v>
      </c>
      <c r="C476" s="68" t="s">
        <v>6751</v>
      </c>
      <c r="D476" s="59" t="s">
        <v>6538</v>
      </c>
      <c r="E476" s="72" t="s">
        <v>5862</v>
      </c>
      <c r="F476" s="73" t="s">
        <v>7249</v>
      </c>
      <c r="G476" s="82">
        <v>47.2</v>
      </c>
      <c r="H476" s="67">
        <v>9505</v>
      </c>
      <c r="I476" s="69">
        <v>0</v>
      </c>
      <c r="J476" s="70">
        <v>7585</v>
      </c>
      <c r="K476" s="75">
        <v>7.1193144363876071</v>
      </c>
      <c r="L476" s="74">
        <v>0</v>
      </c>
      <c r="M476" s="76">
        <v>0</v>
      </c>
      <c r="N476" s="67">
        <v>1957</v>
      </c>
      <c r="O476" s="64">
        <v>0</v>
      </c>
      <c r="Q476" s="59">
        <v>12</v>
      </c>
      <c r="R476" s="59">
        <v>3</v>
      </c>
      <c r="S476" s="59">
        <v>1</v>
      </c>
      <c r="T476" s="63" t="s">
        <v>6754</v>
      </c>
      <c r="U476" s="63">
        <v>401</v>
      </c>
      <c r="V476" s="70">
        <v>19000</v>
      </c>
      <c r="W476" s="70">
        <v>19000</v>
      </c>
      <c r="X476" s="83" t="s">
        <v>5920</v>
      </c>
      <c r="Y476" s="70">
        <v>8000</v>
      </c>
      <c r="Z476" s="63" t="s">
        <v>5866</v>
      </c>
      <c r="AC476" s="67"/>
      <c r="AD476" s="61" t="s">
        <v>181</v>
      </c>
      <c r="AE476" s="71"/>
      <c r="AF476" s="71"/>
      <c r="AG476" s="71"/>
      <c r="AH476" s="71"/>
      <c r="AI476" s="71"/>
      <c r="AJ476" s="71"/>
      <c r="AK476" s="263" t="s">
        <v>6755</v>
      </c>
      <c r="AM476" s="59" t="s">
        <v>181</v>
      </c>
    </row>
    <row r="477" spans="1:39">
      <c r="A477" s="62">
        <v>7</v>
      </c>
      <c r="B477" s="93">
        <v>469</v>
      </c>
      <c r="C477" s="68" t="s">
        <v>6751</v>
      </c>
      <c r="D477" s="59" t="s">
        <v>7250</v>
      </c>
      <c r="E477" s="72" t="s">
        <v>5862</v>
      </c>
      <c r="F477" s="73" t="s">
        <v>7251</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6754</v>
      </c>
      <c r="U477" s="63">
        <v>398</v>
      </c>
      <c r="V477" s="70">
        <v>11400</v>
      </c>
      <c r="W477" s="70">
        <v>11000</v>
      </c>
      <c r="X477" s="83" t="s">
        <v>5982</v>
      </c>
      <c r="Y477" s="70">
        <v>5000</v>
      </c>
      <c r="Z477" s="63" t="s">
        <v>5866</v>
      </c>
      <c r="AC477" s="67"/>
      <c r="AD477" s="61" t="s">
        <v>7252</v>
      </c>
      <c r="AE477" s="71"/>
      <c r="AF477" s="71"/>
      <c r="AG477" s="71"/>
      <c r="AH477" s="71"/>
      <c r="AI477" s="71"/>
      <c r="AJ477" s="71"/>
      <c r="AK477" s="263" t="s">
        <v>181</v>
      </c>
      <c r="AM477" s="59" t="s">
        <v>181</v>
      </c>
    </row>
    <row r="478" spans="1:39">
      <c r="A478" s="62">
        <v>7</v>
      </c>
      <c r="B478" s="93">
        <v>470</v>
      </c>
      <c r="C478" s="68" t="s">
        <v>6751</v>
      </c>
      <c r="D478" s="59" t="s">
        <v>6540</v>
      </c>
      <c r="E478" s="72" t="s">
        <v>5862</v>
      </c>
      <c r="F478" s="73" t="s">
        <v>7253</v>
      </c>
      <c r="G478" s="67">
        <v>44.1</v>
      </c>
      <c r="H478" s="67">
        <v>9505</v>
      </c>
      <c r="I478" s="69">
        <v>3</v>
      </c>
      <c r="J478" s="70">
        <v>6802</v>
      </c>
      <c r="K478" s="75">
        <v>7.7059688326962661</v>
      </c>
      <c r="L478" s="74">
        <v>0</v>
      </c>
      <c r="M478" s="76">
        <v>0</v>
      </c>
      <c r="N478" s="67">
        <v>1971</v>
      </c>
      <c r="O478" s="64">
        <v>1338</v>
      </c>
      <c r="Q478" s="59">
        <v>20</v>
      </c>
      <c r="R478" s="59">
        <v>7</v>
      </c>
      <c r="S478" s="59">
        <v>1</v>
      </c>
      <c r="T478" s="63" t="s">
        <v>6754</v>
      </c>
      <c r="U478" s="63">
        <v>398</v>
      </c>
      <c r="V478" s="70">
        <v>13864</v>
      </c>
      <c r="W478" s="70">
        <v>14000</v>
      </c>
      <c r="X478" s="83" t="s">
        <v>6774</v>
      </c>
      <c r="Y478" s="70">
        <v>7000</v>
      </c>
      <c r="Z478" s="63" t="s">
        <v>5866</v>
      </c>
      <c r="AC478" s="67"/>
      <c r="AD478" s="61" t="s">
        <v>6542</v>
      </c>
      <c r="AE478" s="71"/>
      <c r="AF478" s="71"/>
      <c r="AG478" s="71"/>
      <c r="AH478" s="71"/>
      <c r="AI478" s="71"/>
      <c r="AJ478" s="71"/>
      <c r="AK478" s="263" t="s">
        <v>181</v>
      </c>
      <c r="AM478" s="59" t="s">
        <v>181</v>
      </c>
    </row>
    <row r="479" spans="1:39" ht="25.5">
      <c r="A479" s="62">
        <v>7</v>
      </c>
      <c r="B479" s="93">
        <v>471</v>
      </c>
      <c r="C479" s="68" t="s">
        <v>6751</v>
      </c>
      <c r="D479" s="59" t="s">
        <v>7254</v>
      </c>
      <c r="E479" s="72" t="s">
        <v>5862</v>
      </c>
      <c r="F479" s="73" t="s">
        <v>7255</v>
      </c>
      <c r="G479" s="67">
        <v>44.1</v>
      </c>
      <c r="H479" s="67">
        <v>9505</v>
      </c>
      <c r="I479" s="69">
        <v>0</v>
      </c>
      <c r="J479" s="70">
        <v>1305</v>
      </c>
      <c r="K479" s="75">
        <v>9.931034482758621</v>
      </c>
      <c r="L479" s="74">
        <v>0</v>
      </c>
      <c r="M479" s="76">
        <v>0</v>
      </c>
      <c r="N479" s="67">
        <v>1948</v>
      </c>
      <c r="O479" s="70">
        <v>100</v>
      </c>
      <c r="P479" s="70"/>
      <c r="Q479" s="59">
        <v>10</v>
      </c>
      <c r="R479" s="59">
        <v>7</v>
      </c>
      <c r="S479" s="59">
        <v>1</v>
      </c>
      <c r="T479" s="63" t="s">
        <v>6763</v>
      </c>
      <c r="U479" s="63">
        <v>398</v>
      </c>
      <c r="V479" s="70">
        <v>5900</v>
      </c>
      <c r="W479" s="70">
        <v>6000</v>
      </c>
      <c r="X479" s="83" t="s">
        <v>6308</v>
      </c>
      <c r="Y479" s="70">
        <v>1000</v>
      </c>
      <c r="Z479" s="63" t="s">
        <v>5866</v>
      </c>
      <c r="AC479" s="67"/>
      <c r="AD479" s="61" t="s">
        <v>181</v>
      </c>
      <c r="AE479" s="71"/>
      <c r="AF479" s="71"/>
      <c r="AG479" s="71"/>
      <c r="AH479" s="71"/>
      <c r="AI479" s="71"/>
      <c r="AJ479" s="71"/>
      <c r="AK479" s="263" t="s">
        <v>7256</v>
      </c>
      <c r="AL479">
        <f>IF(AND(ISNUMBER($S479),$S479&gt;0,ISNUMBER($K479),ISNUMBER($J479)),($K479*$J479)/$S479,"")</f>
        <v>12960</v>
      </c>
    </row>
    <row r="480" spans="1:39">
      <c r="A480" s="62">
        <v>7</v>
      </c>
      <c r="B480" s="93">
        <v>472</v>
      </c>
      <c r="C480" s="68" t="s">
        <v>6751</v>
      </c>
      <c r="D480" s="59" t="s">
        <v>6546</v>
      </c>
      <c r="E480" s="72" t="s">
        <v>5862</v>
      </c>
      <c r="F480" s="73" t="s">
        <v>7257</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7110</v>
      </c>
      <c r="U480" s="63">
        <v>401</v>
      </c>
      <c r="V480" s="70">
        <v>12500</v>
      </c>
      <c r="W480" s="70">
        <v>13000</v>
      </c>
      <c r="X480" s="83" t="s">
        <v>5938</v>
      </c>
      <c r="Y480" s="70">
        <v>9000</v>
      </c>
      <c r="Z480" s="63" t="s">
        <v>5866</v>
      </c>
      <c r="AC480" s="67"/>
      <c r="AD480" s="61" t="s">
        <v>6549</v>
      </c>
      <c r="AE480" s="71"/>
      <c r="AF480" s="71"/>
      <c r="AG480" s="71"/>
      <c r="AH480" s="71"/>
      <c r="AI480" s="71"/>
      <c r="AJ480" s="71"/>
      <c r="AK480" s="263" t="s">
        <v>181</v>
      </c>
      <c r="AM480" s="59" t="s">
        <v>181</v>
      </c>
    </row>
    <row r="481" spans="1:39">
      <c r="A481" s="62">
        <v>7</v>
      </c>
      <c r="B481" s="93">
        <v>473</v>
      </c>
      <c r="C481" s="68" t="s">
        <v>6751</v>
      </c>
      <c r="D481" s="59" t="s">
        <v>7258</v>
      </c>
      <c r="E481" s="72" t="s">
        <v>5862</v>
      </c>
      <c r="F481" s="73" t="s">
        <v>7259</v>
      </c>
      <c r="G481" s="82">
        <v>44.2</v>
      </c>
      <c r="H481" s="67">
        <v>9506</v>
      </c>
      <c r="I481" s="69">
        <v>0</v>
      </c>
      <c r="J481" s="70">
        <v>13570</v>
      </c>
      <c r="K481" s="75">
        <v>10.61164333087693</v>
      </c>
      <c r="L481" s="74">
        <v>0</v>
      </c>
      <c r="M481" s="76">
        <v>0</v>
      </c>
      <c r="N481" s="67">
        <v>1974</v>
      </c>
      <c r="O481" s="64">
        <v>3360</v>
      </c>
      <c r="Q481" s="59">
        <v>13</v>
      </c>
      <c r="R481" s="59">
        <v>3</v>
      </c>
      <c r="S481" s="59">
        <v>1</v>
      </c>
      <c r="T481" s="63" t="s">
        <v>6754</v>
      </c>
      <c r="U481" s="63">
        <v>398</v>
      </c>
      <c r="V481" s="70">
        <v>53150</v>
      </c>
      <c r="W481" s="70">
        <v>53000</v>
      </c>
      <c r="X481" s="83" t="s">
        <v>5865</v>
      </c>
      <c r="Y481" s="70">
        <v>14000</v>
      </c>
      <c r="Z481" s="63" t="s">
        <v>5866</v>
      </c>
      <c r="AC481" s="67"/>
      <c r="AD481" s="61" t="s">
        <v>181</v>
      </c>
      <c r="AE481" s="71"/>
      <c r="AF481" s="71"/>
      <c r="AG481" s="71"/>
      <c r="AH481" s="71"/>
      <c r="AI481" s="71"/>
      <c r="AJ481" s="71"/>
      <c r="AK481" s="263" t="s">
        <v>6755</v>
      </c>
      <c r="AM481" s="59" t="s">
        <v>181</v>
      </c>
    </row>
    <row r="482" spans="1:39" ht="25.5">
      <c r="A482" s="62">
        <v>7</v>
      </c>
      <c r="B482" s="93">
        <v>474</v>
      </c>
      <c r="C482" s="68" t="s">
        <v>6751</v>
      </c>
      <c r="D482" s="59" t="s">
        <v>7260</v>
      </c>
      <c r="E482" s="72" t="s">
        <v>5862</v>
      </c>
      <c r="F482" s="73" t="s">
        <v>7261</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6757</v>
      </c>
      <c r="U482" s="63">
        <v>401</v>
      </c>
      <c r="V482" s="70">
        <v>19817</v>
      </c>
      <c r="W482" s="70">
        <v>20000</v>
      </c>
      <c r="X482" s="83" t="s">
        <v>6791</v>
      </c>
      <c r="Y482" s="70">
        <v>2000</v>
      </c>
      <c r="Z482" s="63" t="s">
        <v>5866</v>
      </c>
      <c r="AC482" s="67"/>
      <c r="AD482" s="61" t="s">
        <v>7262</v>
      </c>
      <c r="AE482" s="71"/>
      <c r="AF482" s="71"/>
      <c r="AG482" s="71"/>
      <c r="AH482" s="71"/>
      <c r="AI482" s="71"/>
      <c r="AJ482" s="71"/>
      <c r="AK482" s="263" t="s">
        <v>7263</v>
      </c>
      <c r="AM482" s="59" t="s">
        <v>181</v>
      </c>
    </row>
    <row r="483" spans="1:39">
      <c r="A483" s="62">
        <v>7</v>
      </c>
      <c r="B483" s="93">
        <v>475</v>
      </c>
      <c r="C483" s="68" t="s">
        <v>6751</v>
      </c>
      <c r="D483" s="59" t="s">
        <v>6562</v>
      </c>
      <c r="E483" s="72" t="s">
        <v>5862</v>
      </c>
      <c r="F483" s="73" t="s">
        <v>7264</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6757</v>
      </c>
      <c r="U483" s="63">
        <v>396</v>
      </c>
      <c r="V483" s="70">
        <v>9375</v>
      </c>
      <c r="W483" s="70">
        <v>9000</v>
      </c>
      <c r="X483" s="83" t="s">
        <v>5985</v>
      </c>
      <c r="Y483" s="70">
        <v>3000</v>
      </c>
      <c r="Z483" s="63" t="s">
        <v>5866</v>
      </c>
      <c r="AC483" s="67"/>
      <c r="AD483" s="61" t="s">
        <v>6564</v>
      </c>
      <c r="AE483" s="71"/>
      <c r="AF483" s="71"/>
      <c r="AG483" s="71"/>
      <c r="AH483" s="71"/>
      <c r="AI483" s="71"/>
      <c r="AJ483" s="71"/>
      <c r="AK483" s="263" t="s">
        <v>181</v>
      </c>
      <c r="AM483" s="59" t="s">
        <v>181</v>
      </c>
    </row>
    <row r="484" spans="1:39">
      <c r="A484" s="62">
        <v>7</v>
      </c>
      <c r="B484" s="93">
        <v>476</v>
      </c>
      <c r="C484" s="68" t="s">
        <v>6751</v>
      </c>
      <c r="D484" s="59" t="s">
        <v>6565</v>
      </c>
      <c r="E484" s="72" t="s">
        <v>5862</v>
      </c>
      <c r="F484" s="73" t="s">
        <v>7265</v>
      </c>
      <c r="G484" s="82">
        <v>44.2</v>
      </c>
      <c r="H484" s="67">
        <v>9506</v>
      </c>
      <c r="I484" s="69">
        <v>0</v>
      </c>
      <c r="J484" s="70">
        <v>6000</v>
      </c>
      <c r="K484" s="75">
        <v>6.4</v>
      </c>
      <c r="L484" s="74">
        <v>0</v>
      </c>
      <c r="M484" s="76">
        <v>0.26255208333333341</v>
      </c>
      <c r="N484" s="67">
        <v>1971</v>
      </c>
      <c r="O484" s="64">
        <v>630</v>
      </c>
      <c r="Q484" s="59">
        <v>13</v>
      </c>
      <c r="R484" s="59">
        <v>3</v>
      </c>
      <c r="S484" s="59">
        <v>1</v>
      </c>
      <c r="T484" s="63" t="s">
        <v>6757</v>
      </c>
      <c r="U484" s="63">
        <v>398</v>
      </c>
      <c r="V484" s="70">
        <v>12500</v>
      </c>
      <c r="W484" s="70">
        <v>13000</v>
      </c>
      <c r="X484" s="83" t="s">
        <v>5982</v>
      </c>
      <c r="Y484" s="70">
        <v>6000</v>
      </c>
      <c r="Z484" s="63" t="s">
        <v>5866</v>
      </c>
      <c r="AC484" s="67"/>
      <c r="AD484" s="61" t="s">
        <v>181</v>
      </c>
      <c r="AE484" s="71"/>
      <c r="AF484" s="71"/>
      <c r="AG484" s="71"/>
      <c r="AH484" s="71"/>
      <c r="AI484" s="71"/>
      <c r="AJ484" s="71"/>
      <c r="AK484" s="263" t="s">
        <v>181</v>
      </c>
      <c r="AM484" s="59" t="s">
        <v>181</v>
      </c>
    </row>
    <row r="485" spans="1:39">
      <c r="A485" s="62">
        <v>7</v>
      </c>
      <c r="B485" s="93">
        <v>477</v>
      </c>
      <c r="C485" s="68" t="s">
        <v>6751</v>
      </c>
      <c r="D485" s="59" t="s">
        <v>7266</v>
      </c>
      <c r="E485" s="72" t="s">
        <v>5862</v>
      </c>
      <c r="F485" s="73" t="s">
        <v>7267</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6754</v>
      </c>
      <c r="U485" s="63">
        <v>398</v>
      </c>
      <c r="V485" s="70">
        <v>38285</v>
      </c>
      <c r="W485" s="70">
        <v>38000</v>
      </c>
      <c r="X485" s="83" t="s">
        <v>6774</v>
      </c>
      <c r="Y485" s="70">
        <v>19000</v>
      </c>
      <c r="Z485" s="63" t="s">
        <v>5866</v>
      </c>
      <c r="AC485" s="67"/>
      <c r="AD485" s="61" t="s">
        <v>181</v>
      </c>
      <c r="AE485" s="71"/>
      <c r="AF485" s="71"/>
      <c r="AG485" s="71"/>
      <c r="AH485" s="71"/>
      <c r="AI485" s="71"/>
      <c r="AJ485" s="71"/>
      <c r="AK485" s="263" t="s">
        <v>6755</v>
      </c>
      <c r="AM485" s="59" t="s">
        <v>181</v>
      </c>
    </row>
    <row r="486" spans="1:39">
      <c r="A486" s="62">
        <v>7</v>
      </c>
      <c r="B486" s="93">
        <v>478</v>
      </c>
      <c r="C486" s="68" t="s">
        <v>6751</v>
      </c>
      <c r="D486" s="59" t="s">
        <v>7268</v>
      </c>
      <c r="E486" s="72" t="s">
        <v>5862</v>
      </c>
      <c r="F486" s="73" t="s">
        <v>7269</v>
      </c>
      <c r="G486" s="67">
        <v>44.1</v>
      </c>
      <c r="H486" s="67">
        <v>9506</v>
      </c>
      <c r="I486" s="69">
        <v>0</v>
      </c>
      <c r="J486" s="70">
        <v>2432</v>
      </c>
      <c r="K486" s="75">
        <v>8.6348684210526319</v>
      </c>
      <c r="L486" s="74">
        <v>0</v>
      </c>
      <c r="M486" s="76">
        <v>0</v>
      </c>
      <c r="N486" s="67">
        <v>1997</v>
      </c>
      <c r="O486" s="64">
        <v>0</v>
      </c>
      <c r="Q486" s="59">
        <v>21</v>
      </c>
      <c r="R486" s="59">
        <v>3</v>
      </c>
      <c r="S486" s="59">
        <v>1</v>
      </c>
      <c r="T486" s="63" t="s">
        <v>6757</v>
      </c>
      <c r="U486" s="63">
        <v>398</v>
      </c>
      <c r="V486" s="70">
        <v>37500</v>
      </c>
      <c r="W486" s="70">
        <v>38000</v>
      </c>
      <c r="X486" s="83" t="s">
        <v>7270</v>
      </c>
      <c r="Y486" s="70">
        <v>2000</v>
      </c>
      <c r="Z486" s="63" t="s">
        <v>5866</v>
      </c>
      <c r="AC486" s="67"/>
      <c r="AD486" s="61" t="s">
        <v>7271</v>
      </c>
      <c r="AE486" s="71"/>
      <c r="AF486" s="71"/>
      <c r="AG486" s="71"/>
      <c r="AH486" s="71"/>
      <c r="AI486" s="71"/>
      <c r="AJ486" s="71"/>
      <c r="AK486" s="263" t="s">
        <v>181</v>
      </c>
      <c r="AM486" s="59" t="s">
        <v>181</v>
      </c>
    </row>
    <row r="487" spans="1:39" ht="25.5">
      <c r="A487" s="62">
        <v>7</v>
      </c>
      <c r="B487" s="93">
        <v>479</v>
      </c>
      <c r="C487" s="68" t="s">
        <v>6751</v>
      </c>
      <c r="D487" s="59" t="s">
        <v>6571</v>
      </c>
      <c r="E487" s="72" t="s">
        <v>5862</v>
      </c>
      <c r="F487" s="73" t="s">
        <v>7272</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6754</v>
      </c>
      <c r="U487" s="63">
        <v>398</v>
      </c>
      <c r="V487" s="70">
        <v>10027</v>
      </c>
      <c r="W487" s="70">
        <v>10000</v>
      </c>
      <c r="X487" s="83" t="s">
        <v>6065</v>
      </c>
      <c r="Y487" s="70">
        <v>2000</v>
      </c>
      <c r="Z487" s="63" t="s">
        <v>5866</v>
      </c>
      <c r="AC487" s="67"/>
      <c r="AD487" s="61" t="s">
        <v>6573</v>
      </c>
      <c r="AE487" s="71"/>
      <c r="AF487" s="71"/>
      <c r="AG487" s="71"/>
      <c r="AH487" s="71"/>
      <c r="AI487" s="71"/>
      <c r="AJ487" s="71"/>
      <c r="AK487" s="263" t="s">
        <v>7273</v>
      </c>
      <c r="AM487" s="59" t="s">
        <v>181</v>
      </c>
    </row>
    <row r="488" spans="1:39">
      <c r="A488" s="62">
        <v>7</v>
      </c>
      <c r="B488" s="93">
        <v>480</v>
      </c>
      <c r="C488" s="68" t="s">
        <v>6751</v>
      </c>
      <c r="D488" s="59" t="s">
        <v>7274</v>
      </c>
      <c r="E488" s="72" t="s">
        <v>5862</v>
      </c>
      <c r="F488" s="73" t="s">
        <v>7275</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6754</v>
      </c>
      <c r="U488" s="63">
        <v>401</v>
      </c>
      <c r="V488" s="70">
        <v>89364</v>
      </c>
      <c r="W488" s="70">
        <v>89000</v>
      </c>
      <c r="X488" s="83" t="s">
        <v>5903</v>
      </c>
      <c r="Y488" s="70">
        <v>47000</v>
      </c>
      <c r="Z488" s="63" t="s">
        <v>5866</v>
      </c>
      <c r="AC488" s="67"/>
      <c r="AD488" s="61" t="s">
        <v>7276</v>
      </c>
      <c r="AE488" s="71"/>
      <c r="AF488" s="71"/>
      <c r="AG488" s="71"/>
      <c r="AH488" s="71"/>
      <c r="AI488" s="71"/>
      <c r="AJ488" s="71"/>
      <c r="AK488" s="263" t="s">
        <v>181</v>
      </c>
      <c r="AM488" s="59" t="s">
        <v>181</v>
      </c>
    </row>
    <row r="489" spans="1:39" ht="25.5">
      <c r="A489" s="62">
        <v>7</v>
      </c>
      <c r="B489" s="93">
        <v>481</v>
      </c>
      <c r="C489" s="68" t="s">
        <v>6751</v>
      </c>
      <c r="D489" s="59" t="s">
        <v>7277</v>
      </c>
      <c r="E489" s="72" t="s">
        <v>5862</v>
      </c>
      <c r="F489" s="73" t="s">
        <v>7278</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6754</v>
      </c>
      <c r="U489" s="63">
        <v>398</v>
      </c>
      <c r="V489" s="70">
        <v>52850</v>
      </c>
      <c r="W489" s="70">
        <v>53000</v>
      </c>
      <c r="X489" s="83" t="s">
        <v>6774</v>
      </c>
      <c r="Y489" s="70">
        <v>3000</v>
      </c>
      <c r="Z489" s="63" t="s">
        <v>5866</v>
      </c>
      <c r="AC489" s="67"/>
      <c r="AD489" s="61" t="s">
        <v>7279</v>
      </c>
      <c r="AE489" s="71"/>
      <c r="AF489" s="71"/>
      <c r="AG489" s="71"/>
      <c r="AH489" s="71"/>
      <c r="AI489" s="71"/>
      <c r="AJ489" s="71"/>
      <c r="AK489" s="263" t="s">
        <v>7280</v>
      </c>
      <c r="AM489" s="59" t="s">
        <v>181</v>
      </c>
    </row>
    <row r="490" spans="1:39">
      <c r="A490" s="62">
        <v>7</v>
      </c>
      <c r="B490" s="93">
        <v>482</v>
      </c>
      <c r="C490" s="68" t="s">
        <v>6751</v>
      </c>
      <c r="D490" s="59" t="s">
        <v>7281</v>
      </c>
      <c r="E490" s="72" t="s">
        <v>5862</v>
      </c>
      <c r="F490" s="73" t="s">
        <v>7282</v>
      </c>
      <c r="G490" s="67">
        <v>44.1</v>
      </c>
      <c r="H490" s="67">
        <v>9506</v>
      </c>
      <c r="I490" s="69">
        <v>0</v>
      </c>
      <c r="J490" s="70">
        <v>9000</v>
      </c>
      <c r="K490" s="75">
        <v>5.26</v>
      </c>
      <c r="L490" s="74">
        <v>0</v>
      </c>
      <c r="M490" s="76">
        <v>0.16928601605407689</v>
      </c>
      <c r="N490" s="67">
        <v>1961</v>
      </c>
      <c r="O490" s="64">
        <v>5930</v>
      </c>
      <c r="Q490" s="59">
        <v>12</v>
      </c>
      <c r="R490" s="59">
        <v>1</v>
      </c>
      <c r="S490" s="59">
        <v>1</v>
      </c>
      <c r="T490" s="63" t="s">
        <v>6754</v>
      </c>
      <c r="U490" s="63">
        <v>398</v>
      </c>
      <c r="V490" s="70">
        <v>61862</v>
      </c>
      <c r="W490" s="70">
        <v>62000</v>
      </c>
      <c r="X490" s="83" t="s">
        <v>5896</v>
      </c>
      <c r="Y490" s="70">
        <v>9000</v>
      </c>
      <c r="Z490" s="63" t="s">
        <v>5866</v>
      </c>
      <c r="AC490" s="67"/>
      <c r="AD490" s="61" t="s">
        <v>7283</v>
      </c>
      <c r="AE490" s="71"/>
      <c r="AF490" s="71"/>
      <c r="AG490" s="71"/>
      <c r="AH490" s="71"/>
      <c r="AI490" s="71"/>
      <c r="AJ490" s="71"/>
      <c r="AK490" s="263" t="s">
        <v>181</v>
      </c>
      <c r="AM490" s="59" t="s">
        <v>181</v>
      </c>
    </row>
    <row r="491" spans="1:39" ht="25.5">
      <c r="A491" s="62">
        <v>7</v>
      </c>
      <c r="B491" s="93">
        <v>483</v>
      </c>
      <c r="C491" s="68" t="s">
        <v>6751</v>
      </c>
      <c r="D491" s="59" t="s">
        <v>7284</v>
      </c>
      <c r="E491" s="72" t="s">
        <v>5862</v>
      </c>
      <c r="F491" s="73" t="s">
        <v>7285</v>
      </c>
      <c r="G491" s="82">
        <v>44.2</v>
      </c>
      <c r="H491" s="67">
        <v>9506</v>
      </c>
      <c r="I491" s="69">
        <v>0</v>
      </c>
      <c r="J491" s="70">
        <v>3835</v>
      </c>
      <c r="K491" s="75">
        <v>7.8226857887874841</v>
      </c>
      <c r="L491" s="74">
        <v>0</v>
      </c>
      <c r="M491" s="76">
        <v>0</v>
      </c>
      <c r="N491" s="67">
        <v>1960</v>
      </c>
      <c r="O491" s="64">
        <v>672</v>
      </c>
      <c r="Q491" s="59">
        <v>12</v>
      </c>
      <c r="R491" s="59">
        <v>1</v>
      </c>
      <c r="S491" s="59">
        <v>1</v>
      </c>
      <c r="T491" s="63" t="s">
        <v>6757</v>
      </c>
      <c r="U491" s="63">
        <v>398</v>
      </c>
      <c r="V491" s="70">
        <v>11040</v>
      </c>
      <c r="W491" s="70">
        <v>11000</v>
      </c>
      <c r="X491" s="83" t="s">
        <v>6516</v>
      </c>
      <c r="Y491" s="70">
        <v>4000</v>
      </c>
      <c r="Z491" s="63" t="s">
        <v>5866</v>
      </c>
      <c r="AC491" s="67"/>
      <c r="AD491" s="61" t="s">
        <v>7286</v>
      </c>
      <c r="AE491" s="71"/>
      <c r="AF491" s="71"/>
      <c r="AG491" s="71"/>
      <c r="AH491" s="71"/>
      <c r="AI491" s="71"/>
      <c r="AJ491" s="71"/>
      <c r="AK491" s="263" t="s">
        <v>6157</v>
      </c>
      <c r="AM491" s="59" t="s">
        <v>181</v>
      </c>
    </row>
    <row r="492" spans="1:39">
      <c r="A492" s="62">
        <v>7</v>
      </c>
      <c r="B492" s="93">
        <v>484</v>
      </c>
      <c r="C492" s="68" t="s">
        <v>6751</v>
      </c>
      <c r="D492" s="59" t="s">
        <v>7287</v>
      </c>
      <c r="E492" s="72" t="s">
        <v>5862</v>
      </c>
      <c r="F492" s="73" t="s">
        <v>7288</v>
      </c>
      <c r="G492" s="82">
        <v>44.2</v>
      </c>
      <c r="H492" s="67">
        <v>9506</v>
      </c>
      <c r="I492" s="69">
        <v>0</v>
      </c>
      <c r="J492" s="70">
        <v>4147</v>
      </c>
      <c r="K492" s="75">
        <v>6.4998794309139134</v>
      </c>
      <c r="L492" s="74">
        <v>0</v>
      </c>
      <c r="M492" s="76">
        <v>0</v>
      </c>
      <c r="N492" s="67">
        <v>1956</v>
      </c>
      <c r="O492" s="64">
        <v>135</v>
      </c>
      <c r="Q492" s="59">
        <v>13</v>
      </c>
      <c r="R492" s="59">
        <v>3</v>
      </c>
      <c r="S492" s="59">
        <v>1</v>
      </c>
      <c r="T492" s="63" t="s">
        <v>6754</v>
      </c>
      <c r="U492" s="63">
        <v>332</v>
      </c>
      <c r="V492" s="70">
        <v>11000</v>
      </c>
      <c r="W492" s="70">
        <v>11000</v>
      </c>
      <c r="X492" s="83" t="s">
        <v>5985</v>
      </c>
      <c r="Y492" s="70">
        <v>4000</v>
      </c>
      <c r="Z492" s="63" t="s">
        <v>5866</v>
      </c>
      <c r="AC492" s="67"/>
      <c r="AD492" s="61" t="s">
        <v>7289</v>
      </c>
      <c r="AE492" s="71"/>
      <c r="AF492" s="71"/>
      <c r="AG492" s="71"/>
      <c r="AH492" s="71"/>
      <c r="AI492" s="71"/>
      <c r="AJ492" s="71"/>
      <c r="AK492" s="263" t="s">
        <v>181</v>
      </c>
      <c r="AM492" s="59" t="s">
        <v>181</v>
      </c>
    </row>
    <row r="493" spans="1:39">
      <c r="A493" s="62">
        <v>7</v>
      </c>
      <c r="B493" s="93">
        <v>485</v>
      </c>
      <c r="C493" s="68" t="s">
        <v>6751</v>
      </c>
      <c r="D493" s="59" t="s">
        <v>7290</v>
      </c>
      <c r="E493" s="72" t="s">
        <v>5862</v>
      </c>
      <c r="F493" s="73" t="s">
        <v>7291</v>
      </c>
      <c r="G493" s="67">
        <v>44.1</v>
      </c>
      <c r="H493" s="67">
        <v>9506</v>
      </c>
      <c r="I493" s="69">
        <v>5</v>
      </c>
      <c r="J493" s="70">
        <v>5274</v>
      </c>
      <c r="K493" s="75">
        <v>2.2753128555176341</v>
      </c>
      <c r="L493" s="74">
        <v>0</v>
      </c>
      <c r="M493" s="76">
        <v>0</v>
      </c>
      <c r="N493" s="67">
        <v>1975</v>
      </c>
      <c r="O493" s="64">
        <v>1027</v>
      </c>
      <c r="Q493" s="59">
        <v>18</v>
      </c>
      <c r="R493" s="59">
        <v>8</v>
      </c>
      <c r="S493" s="59">
        <v>1</v>
      </c>
      <c r="T493" s="63" t="s">
        <v>7018</v>
      </c>
      <c r="U493" s="63">
        <v>398</v>
      </c>
      <c r="V493" s="70">
        <v>14286</v>
      </c>
      <c r="W493" s="70">
        <v>14000</v>
      </c>
      <c r="X493" s="83" t="s">
        <v>5985</v>
      </c>
      <c r="Y493" s="70">
        <v>5000</v>
      </c>
      <c r="Z493" s="63" t="s">
        <v>5866</v>
      </c>
      <c r="AC493" s="67"/>
      <c r="AD493" s="61" t="s">
        <v>181</v>
      </c>
      <c r="AE493" s="71"/>
      <c r="AF493" s="71"/>
      <c r="AG493" s="71"/>
      <c r="AH493" s="71"/>
      <c r="AI493" s="71"/>
      <c r="AJ493" s="71"/>
      <c r="AK493" s="263" t="s">
        <v>181</v>
      </c>
      <c r="AM493" s="59" t="s">
        <v>181</v>
      </c>
    </row>
    <row r="494" spans="1:39">
      <c r="A494" s="62">
        <v>7</v>
      </c>
      <c r="B494" s="93">
        <v>486</v>
      </c>
      <c r="C494" s="68" t="s">
        <v>6751</v>
      </c>
      <c r="D494" s="59" t="s">
        <v>7292</v>
      </c>
      <c r="E494" s="72" t="s">
        <v>5862</v>
      </c>
      <c r="F494" s="73" t="s">
        <v>7293</v>
      </c>
      <c r="G494" s="67">
        <v>44.1</v>
      </c>
      <c r="H494" s="67">
        <v>9506</v>
      </c>
      <c r="I494" s="69">
        <v>5</v>
      </c>
      <c r="J494" s="70">
        <v>5077</v>
      </c>
      <c r="K494" s="75">
        <v>6.3817214890683474</v>
      </c>
      <c r="L494" s="74">
        <v>0</v>
      </c>
      <c r="M494" s="76">
        <v>0</v>
      </c>
      <c r="N494" s="67">
        <v>1956</v>
      </c>
      <c r="O494" s="64">
        <v>480</v>
      </c>
      <c r="Q494" s="59">
        <v>15</v>
      </c>
      <c r="R494" s="59">
        <v>1</v>
      </c>
      <c r="S494" s="59">
        <v>1</v>
      </c>
      <c r="T494" s="63" t="s">
        <v>7018</v>
      </c>
      <c r="U494" s="63">
        <v>398</v>
      </c>
      <c r="V494" s="70">
        <v>15254</v>
      </c>
      <c r="W494" s="70">
        <v>15000</v>
      </c>
      <c r="X494" s="83" t="s">
        <v>6791</v>
      </c>
      <c r="Y494" s="70">
        <v>5000</v>
      </c>
      <c r="Z494" s="63" t="s">
        <v>5866</v>
      </c>
      <c r="AC494" s="67"/>
      <c r="AD494" s="61" t="s">
        <v>181</v>
      </c>
      <c r="AE494" s="71"/>
      <c r="AF494" s="71"/>
      <c r="AG494" s="71"/>
      <c r="AH494" s="71"/>
      <c r="AI494" s="71"/>
      <c r="AJ494" s="71"/>
      <c r="AK494" s="263" t="s">
        <v>181</v>
      </c>
      <c r="AM494" s="59" t="s">
        <v>181</v>
      </c>
    </row>
    <row r="495" spans="1:39">
      <c r="A495" s="62">
        <v>7</v>
      </c>
      <c r="B495" s="93">
        <v>487</v>
      </c>
      <c r="C495" s="68" t="s">
        <v>6751</v>
      </c>
      <c r="D495" s="59" t="s">
        <v>6587</v>
      </c>
      <c r="E495" s="72" t="s">
        <v>5862</v>
      </c>
      <c r="F495" s="73" t="s">
        <v>7294</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7028</v>
      </c>
      <c r="U495" s="63">
        <v>398</v>
      </c>
      <c r="V495" s="70">
        <v>6350</v>
      </c>
      <c r="W495" s="70">
        <v>6000</v>
      </c>
      <c r="X495" s="83" t="s">
        <v>5928</v>
      </c>
      <c r="Y495" s="70">
        <v>3000</v>
      </c>
      <c r="Z495" s="63" t="s">
        <v>5866</v>
      </c>
      <c r="AC495" s="67"/>
      <c r="AD495" s="61" t="s">
        <v>6590</v>
      </c>
      <c r="AE495" s="71"/>
      <c r="AF495" s="71"/>
      <c r="AG495" s="71"/>
      <c r="AH495" s="71"/>
      <c r="AI495" s="71"/>
      <c r="AJ495" s="71"/>
      <c r="AK495" s="263" t="s">
        <v>181</v>
      </c>
      <c r="AM495" s="59" t="s">
        <v>181</v>
      </c>
    </row>
    <row r="496" spans="1:39">
      <c r="A496" s="62">
        <v>7</v>
      </c>
      <c r="B496" s="93">
        <v>488</v>
      </c>
      <c r="C496" s="68" t="s">
        <v>6751</v>
      </c>
      <c r="D496" s="59" t="s">
        <v>6597</v>
      </c>
      <c r="E496" s="72" t="s">
        <v>5862</v>
      </c>
      <c r="F496" s="73" t="s">
        <v>7295</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6759</v>
      </c>
      <c r="U496" s="63">
        <v>398</v>
      </c>
      <c r="V496" s="70">
        <v>19113</v>
      </c>
      <c r="W496" s="70">
        <v>19000</v>
      </c>
      <c r="X496" s="83" t="s">
        <v>5892</v>
      </c>
      <c r="Y496" s="70">
        <v>7000</v>
      </c>
      <c r="Z496" s="63" t="s">
        <v>5866</v>
      </c>
      <c r="AC496" s="67"/>
      <c r="AD496" s="61" t="s">
        <v>6599</v>
      </c>
      <c r="AE496" s="71"/>
      <c r="AF496" s="71"/>
      <c r="AG496" s="71"/>
      <c r="AH496" s="71"/>
      <c r="AI496" s="71"/>
      <c r="AJ496" s="71"/>
      <c r="AK496" s="263" t="s">
        <v>181</v>
      </c>
      <c r="AM496" s="59" t="s">
        <v>181</v>
      </c>
    </row>
    <row r="497" spans="1:39">
      <c r="A497" s="62">
        <v>7</v>
      </c>
      <c r="B497" s="93">
        <v>489</v>
      </c>
      <c r="C497" s="68" t="s">
        <v>6751</v>
      </c>
      <c r="D497" s="59" t="s">
        <v>6601</v>
      </c>
      <c r="E497" s="72" t="s">
        <v>5862</v>
      </c>
      <c r="F497" s="73" t="s">
        <v>7296</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6759</v>
      </c>
      <c r="U497" s="63">
        <v>398</v>
      </c>
      <c r="V497" s="70">
        <v>6477</v>
      </c>
      <c r="W497" s="70">
        <v>6000</v>
      </c>
      <c r="X497" s="83" t="s">
        <v>6603</v>
      </c>
      <c r="Y497" s="70">
        <v>8000</v>
      </c>
      <c r="Z497" s="63" t="s">
        <v>5866</v>
      </c>
      <c r="AC497" s="67"/>
      <c r="AD497" s="61" t="s">
        <v>181</v>
      </c>
      <c r="AE497" s="71"/>
      <c r="AF497" s="71"/>
      <c r="AG497" s="71"/>
      <c r="AH497" s="71"/>
      <c r="AI497" s="71"/>
      <c r="AJ497" s="71"/>
      <c r="AK497" s="263" t="s">
        <v>181</v>
      </c>
      <c r="AM497" s="59" t="s">
        <v>181</v>
      </c>
    </row>
    <row r="498" spans="1:39">
      <c r="A498" s="62">
        <v>7</v>
      </c>
      <c r="B498" s="93">
        <v>490</v>
      </c>
      <c r="C498" s="68" t="s">
        <v>6751</v>
      </c>
      <c r="D498" s="59" t="s">
        <v>6611</v>
      </c>
      <c r="E498" s="72" t="s">
        <v>5862</v>
      </c>
      <c r="F498" s="73" t="s">
        <v>7297</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6754</v>
      </c>
      <c r="U498" s="63">
        <v>398</v>
      </c>
      <c r="V498" s="70">
        <v>6350</v>
      </c>
      <c r="W498" s="70">
        <v>6000</v>
      </c>
      <c r="X498" s="83" t="s">
        <v>5878</v>
      </c>
      <c r="Y498" s="70">
        <v>3000</v>
      </c>
      <c r="Z498" s="63" t="s">
        <v>5866</v>
      </c>
      <c r="AC498" s="67"/>
      <c r="AD498" s="61" t="s">
        <v>6613</v>
      </c>
      <c r="AE498" s="71"/>
      <c r="AF498" s="71"/>
      <c r="AG498" s="71"/>
      <c r="AH498" s="71"/>
      <c r="AI498" s="71"/>
      <c r="AJ498" s="71"/>
      <c r="AK498" s="263" t="s">
        <v>6755</v>
      </c>
      <c r="AM498" s="59" t="s">
        <v>181</v>
      </c>
    </row>
    <row r="499" spans="1:39" ht="25.5">
      <c r="A499" s="62">
        <v>7</v>
      </c>
      <c r="B499" s="93">
        <v>491</v>
      </c>
      <c r="C499" s="68" t="s">
        <v>6751</v>
      </c>
      <c r="D499" s="59" t="s">
        <v>7298</v>
      </c>
      <c r="E499" s="72" t="s">
        <v>5862</v>
      </c>
      <c r="F499" s="73" t="s">
        <v>7299</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6754</v>
      </c>
      <c r="U499" s="63">
        <v>398</v>
      </c>
      <c r="V499" s="70">
        <v>4504</v>
      </c>
      <c r="W499" s="70">
        <v>5000</v>
      </c>
      <c r="X499" s="83" t="s">
        <v>5928</v>
      </c>
      <c r="Y499" s="70">
        <v>600</v>
      </c>
      <c r="Z499" s="63" t="s">
        <v>5866</v>
      </c>
      <c r="AC499" s="67"/>
      <c r="AD499" s="61" t="s">
        <v>7300</v>
      </c>
      <c r="AE499" s="71"/>
      <c r="AF499" s="71"/>
      <c r="AG499" s="71"/>
      <c r="AH499" s="71"/>
      <c r="AI499" s="71"/>
      <c r="AJ499" s="71"/>
      <c r="AK499" s="263" t="s">
        <v>7301</v>
      </c>
      <c r="AM499" s="59" t="s">
        <v>181</v>
      </c>
    </row>
    <row r="500" spans="1:39">
      <c r="A500" s="62">
        <v>7</v>
      </c>
      <c r="B500" s="93">
        <v>492</v>
      </c>
      <c r="C500" s="68" t="s">
        <v>6751</v>
      </c>
      <c r="D500" s="59" t="s">
        <v>7302</v>
      </c>
      <c r="E500" s="72" t="s">
        <v>5862</v>
      </c>
      <c r="F500" s="73" t="s">
        <v>7303</v>
      </c>
      <c r="G500" s="82">
        <v>44.2</v>
      </c>
      <c r="H500" s="67">
        <v>9506</v>
      </c>
      <c r="I500" s="69">
        <v>0</v>
      </c>
      <c r="J500" s="70">
        <v>2400</v>
      </c>
      <c r="K500" s="75">
        <v>5</v>
      </c>
      <c r="L500" s="74">
        <v>0</v>
      </c>
      <c r="M500" s="76">
        <v>0</v>
      </c>
      <c r="N500" s="67">
        <v>1977</v>
      </c>
      <c r="O500" s="64">
        <v>240</v>
      </c>
      <c r="P500" s="64">
        <v>2400</v>
      </c>
      <c r="Q500" s="59">
        <v>16</v>
      </c>
      <c r="R500" s="59">
        <v>8</v>
      </c>
      <c r="S500" s="59">
        <v>1</v>
      </c>
      <c r="T500" s="63" t="s">
        <v>6754</v>
      </c>
      <c r="U500" s="63">
        <v>398</v>
      </c>
      <c r="V500" s="70">
        <v>13500</v>
      </c>
      <c r="W500" s="70">
        <v>14000</v>
      </c>
      <c r="X500" s="83" t="s">
        <v>5892</v>
      </c>
      <c r="Y500" s="70">
        <v>2000</v>
      </c>
      <c r="Z500" s="63" t="s">
        <v>5866</v>
      </c>
      <c r="AC500" s="67"/>
      <c r="AD500" s="61" t="s">
        <v>7304</v>
      </c>
      <c r="AE500" s="71"/>
      <c r="AF500" s="71"/>
      <c r="AG500" s="71"/>
      <c r="AH500" s="71"/>
      <c r="AI500" s="71"/>
      <c r="AJ500" s="71"/>
      <c r="AK500" s="263" t="s">
        <v>7305</v>
      </c>
      <c r="AM500" s="59" t="s">
        <v>181</v>
      </c>
    </row>
    <row r="501" spans="1:39">
      <c r="A501" s="62">
        <v>7</v>
      </c>
      <c r="B501" s="93">
        <v>493</v>
      </c>
      <c r="C501" s="68" t="s">
        <v>6751</v>
      </c>
      <c r="D501" s="59" t="s">
        <v>7306</v>
      </c>
      <c r="E501" s="72" t="s">
        <v>5862</v>
      </c>
      <c r="F501" s="73" t="s">
        <v>7307</v>
      </c>
      <c r="G501" s="82">
        <v>44.2</v>
      </c>
      <c r="H501" s="67">
        <v>9506</v>
      </c>
      <c r="I501" s="69">
        <v>0</v>
      </c>
      <c r="J501" s="70">
        <v>9600</v>
      </c>
      <c r="K501" s="75">
        <v>6.4375</v>
      </c>
      <c r="L501" s="74">
        <v>0</v>
      </c>
      <c r="M501" s="76">
        <v>0.17576051779935281</v>
      </c>
      <c r="N501" s="67">
        <v>1983</v>
      </c>
      <c r="O501" s="64">
        <v>1700</v>
      </c>
      <c r="Q501" s="59">
        <v>18</v>
      </c>
      <c r="R501" s="59">
        <v>3</v>
      </c>
      <c r="S501" s="59">
        <v>3</v>
      </c>
      <c r="T501" s="63" t="s">
        <v>6754</v>
      </c>
      <c r="U501" s="63">
        <v>398</v>
      </c>
      <c r="V501" s="70">
        <v>12700</v>
      </c>
      <c r="W501" s="70">
        <v>13000</v>
      </c>
      <c r="X501" s="83" t="s">
        <v>6331</v>
      </c>
      <c r="Y501" s="70">
        <v>10000</v>
      </c>
      <c r="Z501" s="63" t="s">
        <v>5866</v>
      </c>
      <c r="AC501" s="67"/>
      <c r="AD501" s="61" t="s">
        <v>7308</v>
      </c>
      <c r="AE501" s="71"/>
      <c r="AF501" s="71"/>
      <c r="AG501" s="71"/>
      <c r="AH501" s="71"/>
      <c r="AI501" s="71"/>
      <c r="AJ501" s="71"/>
      <c r="AK501" s="71" t="s">
        <v>7309</v>
      </c>
      <c r="AM501" s="59" t="s">
        <v>181</v>
      </c>
    </row>
    <row r="502" spans="1:39">
      <c r="A502" s="62">
        <v>7</v>
      </c>
      <c r="B502" s="93">
        <v>494</v>
      </c>
      <c r="C502" s="68" t="s">
        <v>6751</v>
      </c>
      <c r="D502" s="59" t="s">
        <v>7310</v>
      </c>
      <c r="E502" s="72" t="s">
        <v>5862</v>
      </c>
      <c r="F502" s="73" t="s">
        <v>7311</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6754</v>
      </c>
      <c r="U502" s="63">
        <v>398</v>
      </c>
      <c r="V502" s="70">
        <v>27746</v>
      </c>
      <c r="W502" s="70">
        <v>28000</v>
      </c>
      <c r="X502" s="83" t="s">
        <v>5920</v>
      </c>
      <c r="Y502" s="70">
        <v>8000</v>
      </c>
      <c r="Z502" s="63" t="s">
        <v>5866</v>
      </c>
      <c r="AC502" s="67"/>
      <c r="AD502" s="61" t="s">
        <v>5879</v>
      </c>
      <c r="AE502" s="71"/>
      <c r="AF502" s="71"/>
      <c r="AG502" s="71"/>
      <c r="AH502" s="71"/>
      <c r="AI502" s="71"/>
      <c r="AJ502" s="71"/>
      <c r="AK502" s="71" t="s">
        <v>7312</v>
      </c>
      <c r="AM502" s="59" t="s">
        <v>181</v>
      </c>
    </row>
    <row r="503" spans="1:39">
      <c r="A503" s="62">
        <v>7</v>
      </c>
      <c r="B503" s="93">
        <v>495</v>
      </c>
      <c r="C503" s="68" t="s">
        <v>6751</v>
      </c>
      <c r="D503" s="59" t="s">
        <v>7313</v>
      </c>
      <c r="E503" s="72" t="s">
        <v>5862</v>
      </c>
      <c r="F503" s="73" t="s">
        <v>7314</v>
      </c>
      <c r="G503" s="82">
        <v>44.2</v>
      </c>
      <c r="H503" s="67">
        <v>9506</v>
      </c>
      <c r="I503" s="69">
        <v>0</v>
      </c>
      <c r="J503" s="70">
        <v>10000</v>
      </c>
      <c r="K503" s="75">
        <v>6</v>
      </c>
      <c r="L503" s="74">
        <v>0</v>
      </c>
      <c r="M503" s="76">
        <v>0</v>
      </c>
      <c r="N503" s="67">
        <v>1983</v>
      </c>
      <c r="O503" s="64">
        <v>2300</v>
      </c>
      <c r="Q503" s="59">
        <v>14</v>
      </c>
      <c r="R503" s="59">
        <v>3</v>
      </c>
      <c r="S503" s="59">
        <v>1</v>
      </c>
      <c r="T503" s="63" t="s">
        <v>6754</v>
      </c>
      <c r="U503" s="63">
        <v>398</v>
      </c>
      <c r="V503" s="70">
        <v>14224</v>
      </c>
      <c r="W503" s="70">
        <v>14000</v>
      </c>
      <c r="X503" s="83" t="s">
        <v>5938</v>
      </c>
      <c r="Y503" s="70">
        <v>10000</v>
      </c>
      <c r="Z503" s="63" t="s">
        <v>5866</v>
      </c>
      <c r="AC503" s="67"/>
      <c r="AD503" s="61" t="s">
        <v>7315</v>
      </c>
      <c r="AE503" s="71"/>
      <c r="AF503" s="71"/>
      <c r="AG503" s="71"/>
      <c r="AH503" s="71"/>
      <c r="AI503" s="71"/>
      <c r="AJ503" s="71"/>
      <c r="AK503" s="71" t="s">
        <v>181</v>
      </c>
      <c r="AM503" s="59" t="s">
        <v>181</v>
      </c>
    </row>
    <row r="504" spans="1:39">
      <c r="A504" s="62">
        <v>7</v>
      </c>
      <c r="B504" s="93">
        <v>496</v>
      </c>
      <c r="C504" s="68" t="s">
        <v>6751</v>
      </c>
      <c r="D504" s="59" t="s">
        <v>7316</v>
      </c>
      <c r="E504" s="72" t="s">
        <v>5862</v>
      </c>
      <c r="F504" s="73" t="s">
        <v>7317</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6754</v>
      </c>
      <c r="U504" s="63">
        <v>398</v>
      </c>
      <c r="V504" s="70">
        <v>11176</v>
      </c>
      <c r="W504" s="70">
        <v>11000</v>
      </c>
      <c r="X504" s="83" t="s">
        <v>5896</v>
      </c>
      <c r="Y504" s="70">
        <v>7000</v>
      </c>
      <c r="Z504" s="63" t="s">
        <v>5866</v>
      </c>
      <c r="AC504" s="67"/>
      <c r="AD504" s="61" t="s">
        <v>5986</v>
      </c>
      <c r="AE504" s="71"/>
      <c r="AF504" s="71"/>
      <c r="AG504" s="71"/>
      <c r="AH504" s="71"/>
      <c r="AI504" s="71"/>
      <c r="AJ504" s="71"/>
      <c r="AK504" s="71" t="s">
        <v>6755</v>
      </c>
      <c r="AM504" s="59" t="s">
        <v>181</v>
      </c>
    </row>
    <row r="505" spans="1:39">
      <c r="A505" s="62">
        <v>7</v>
      </c>
      <c r="B505" s="93">
        <v>497</v>
      </c>
      <c r="C505" s="68" t="s">
        <v>6751</v>
      </c>
      <c r="D505" s="59" t="s">
        <v>7318</v>
      </c>
      <c r="E505" s="72" t="s">
        <v>5862</v>
      </c>
      <c r="F505" s="73" t="s">
        <v>7319</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6757</v>
      </c>
      <c r="U505" s="63">
        <v>398</v>
      </c>
      <c r="V505" s="70">
        <v>99255</v>
      </c>
      <c r="W505" s="70">
        <v>99000</v>
      </c>
      <c r="X505" s="83" t="s">
        <v>6774</v>
      </c>
      <c r="Y505" s="70">
        <v>10000</v>
      </c>
      <c r="Z505" s="63" t="s">
        <v>5866</v>
      </c>
      <c r="AC505" s="67"/>
      <c r="AD505" s="61" t="s">
        <v>7320</v>
      </c>
      <c r="AE505" s="71"/>
      <c r="AF505" s="71"/>
      <c r="AG505" s="71"/>
      <c r="AH505" s="71"/>
      <c r="AI505" s="71"/>
      <c r="AJ505" s="71"/>
      <c r="AK505" s="71" t="s">
        <v>7321</v>
      </c>
      <c r="AM505" s="59" t="s">
        <v>181</v>
      </c>
    </row>
    <row r="506" spans="1:39">
      <c r="A506" s="62">
        <v>7</v>
      </c>
      <c r="B506" s="93">
        <v>498</v>
      </c>
      <c r="C506" s="68" t="s">
        <v>6751</v>
      </c>
      <c r="D506" s="59" t="s">
        <v>7322</v>
      </c>
      <c r="E506" s="72" t="s">
        <v>5862</v>
      </c>
      <c r="F506" s="73" t="s">
        <v>7323</v>
      </c>
      <c r="G506" s="82">
        <v>43.2</v>
      </c>
      <c r="H506" s="67">
        <v>9506</v>
      </c>
      <c r="I506" s="69">
        <v>0</v>
      </c>
      <c r="J506" s="70">
        <v>14976</v>
      </c>
      <c r="K506" s="75">
        <v>3.7393162393162389</v>
      </c>
      <c r="L506" s="74">
        <v>0</v>
      </c>
      <c r="M506" s="76">
        <v>0</v>
      </c>
      <c r="N506" s="67">
        <v>1973</v>
      </c>
      <c r="O506" s="64">
        <v>7296</v>
      </c>
      <c r="Q506" s="59">
        <v>20</v>
      </c>
      <c r="R506" s="59">
        <v>14</v>
      </c>
      <c r="S506" s="59">
        <v>1</v>
      </c>
      <c r="T506" s="63" t="s">
        <v>6757</v>
      </c>
      <c r="U506" s="63">
        <v>401</v>
      </c>
      <c r="V506" s="70">
        <v>27318</v>
      </c>
      <c r="W506" s="70">
        <v>27000</v>
      </c>
      <c r="X506" s="83" t="s">
        <v>6091</v>
      </c>
      <c r="Y506" s="70">
        <v>15000</v>
      </c>
      <c r="Z506" s="63" t="s">
        <v>5866</v>
      </c>
      <c r="AC506" s="67"/>
      <c r="AD506" s="61" t="s">
        <v>7324</v>
      </c>
      <c r="AE506" s="71"/>
      <c r="AF506" s="71"/>
      <c r="AG506" s="71"/>
      <c r="AH506" s="71"/>
      <c r="AI506" s="71"/>
      <c r="AJ506" s="71"/>
      <c r="AK506" s="71" t="s">
        <v>181</v>
      </c>
      <c r="AM506" s="59" t="s">
        <v>181</v>
      </c>
    </row>
    <row r="507" spans="1:39">
      <c r="A507" s="62">
        <v>7</v>
      </c>
      <c r="B507" s="93">
        <v>499</v>
      </c>
      <c r="C507" s="68" t="s">
        <v>6751</v>
      </c>
      <c r="D507" s="59" t="s">
        <v>6618</v>
      </c>
      <c r="E507" s="72" t="s">
        <v>5862</v>
      </c>
      <c r="F507" s="73" t="s">
        <v>7325</v>
      </c>
      <c r="G507" s="67">
        <v>44.1</v>
      </c>
      <c r="H507" s="67">
        <v>9506</v>
      </c>
      <c r="I507" s="69">
        <v>0</v>
      </c>
      <c r="J507" s="70">
        <v>10120</v>
      </c>
      <c r="K507" s="75">
        <v>8.3288537549407113</v>
      </c>
      <c r="L507" s="74">
        <v>1</v>
      </c>
      <c r="M507" s="76">
        <v>0</v>
      </c>
      <c r="N507" s="67">
        <v>1985</v>
      </c>
      <c r="O507" s="64">
        <v>2300</v>
      </c>
      <c r="Q507" s="59">
        <v>16</v>
      </c>
      <c r="R507" s="59">
        <v>3</v>
      </c>
      <c r="S507" s="59">
        <v>1</v>
      </c>
      <c r="T507" s="63" t="s">
        <v>6757</v>
      </c>
      <c r="U507" s="63">
        <v>397</v>
      </c>
      <c r="V507" s="70">
        <v>22600</v>
      </c>
      <c r="W507" s="70">
        <v>23000</v>
      </c>
      <c r="X507" s="83" t="s">
        <v>5928</v>
      </c>
      <c r="Y507" s="70">
        <v>10000</v>
      </c>
      <c r="Z507" s="63" t="s">
        <v>5866</v>
      </c>
      <c r="AC507" s="67"/>
      <c r="AD507" s="61" t="s">
        <v>181</v>
      </c>
      <c r="AE507" s="71"/>
      <c r="AF507" s="71"/>
      <c r="AG507" s="71"/>
      <c r="AH507" s="71"/>
      <c r="AI507" s="71"/>
      <c r="AJ507" s="71"/>
      <c r="AK507" s="71" t="s">
        <v>181</v>
      </c>
      <c r="AM507" s="59" t="s">
        <v>181</v>
      </c>
    </row>
    <row r="508" spans="1:39">
      <c r="A508" s="62">
        <v>7</v>
      </c>
      <c r="B508" s="93">
        <v>500</v>
      </c>
      <c r="C508" s="68" t="s">
        <v>6751</v>
      </c>
      <c r="D508" s="59" t="s">
        <v>6620</v>
      </c>
      <c r="E508" s="72" t="s">
        <v>5862</v>
      </c>
      <c r="F508" s="73" t="s">
        <v>7326</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7018</v>
      </c>
      <c r="U508" s="63">
        <v>398</v>
      </c>
      <c r="V508" s="70">
        <v>10300</v>
      </c>
      <c r="W508" s="70">
        <v>10000</v>
      </c>
      <c r="X508" s="83" t="s">
        <v>6182</v>
      </c>
      <c r="Y508" s="70">
        <v>4000</v>
      </c>
      <c r="Z508" s="63" t="s">
        <v>5866</v>
      </c>
      <c r="AC508" s="67"/>
      <c r="AD508" s="61" t="s">
        <v>6622</v>
      </c>
      <c r="AE508" s="71"/>
      <c r="AF508" s="71"/>
      <c r="AG508" s="71"/>
      <c r="AH508" s="71"/>
      <c r="AI508" s="71"/>
      <c r="AJ508" s="71"/>
      <c r="AK508" s="71" t="s">
        <v>181</v>
      </c>
      <c r="AM508" s="59" t="s">
        <v>181</v>
      </c>
    </row>
    <row r="509" spans="1:39">
      <c r="A509" s="62">
        <v>7</v>
      </c>
      <c r="B509" s="93">
        <v>501</v>
      </c>
      <c r="C509" s="68" t="s">
        <v>6751</v>
      </c>
      <c r="D509" s="59" t="s">
        <v>6623</v>
      </c>
      <c r="E509" s="72" t="s">
        <v>5862</v>
      </c>
      <c r="F509" s="73" t="s">
        <v>7327</v>
      </c>
      <c r="G509" s="82">
        <v>44.2</v>
      </c>
      <c r="H509" s="67">
        <v>9509</v>
      </c>
      <c r="I509" s="69">
        <v>0</v>
      </c>
      <c r="J509" s="70">
        <v>8845</v>
      </c>
      <c r="K509" s="75">
        <v>7.149802148106275</v>
      </c>
      <c r="L509" s="74">
        <v>1</v>
      </c>
      <c r="M509" s="76">
        <v>0</v>
      </c>
      <c r="N509" s="67">
        <v>1957</v>
      </c>
      <c r="O509" s="64">
        <v>576</v>
      </c>
      <c r="Q509" s="59">
        <v>20</v>
      </c>
      <c r="R509" s="59">
        <v>3</v>
      </c>
      <c r="S509" s="59">
        <v>1</v>
      </c>
      <c r="T509" s="63" t="s">
        <v>7018</v>
      </c>
      <c r="U509" s="63">
        <v>398</v>
      </c>
      <c r="V509" s="70">
        <v>14300</v>
      </c>
      <c r="W509" s="70">
        <v>14000</v>
      </c>
      <c r="X509" s="83" t="s">
        <v>5896</v>
      </c>
      <c r="Y509" s="70">
        <v>9000</v>
      </c>
      <c r="Z509" s="63" t="s">
        <v>5866</v>
      </c>
      <c r="AC509" s="67"/>
      <c r="AD509" s="61" t="s">
        <v>6625</v>
      </c>
      <c r="AE509" s="71"/>
      <c r="AF509" s="71"/>
      <c r="AG509" s="71"/>
      <c r="AH509" s="71"/>
      <c r="AI509" s="71"/>
      <c r="AJ509" s="71"/>
      <c r="AK509" s="71" t="s">
        <v>181</v>
      </c>
      <c r="AM509" s="59" t="s">
        <v>181</v>
      </c>
    </row>
    <row r="510" spans="1:39">
      <c r="A510" s="62">
        <v>7</v>
      </c>
      <c r="B510" s="93">
        <v>502</v>
      </c>
      <c r="C510" s="68" t="s">
        <v>6751</v>
      </c>
      <c r="D510" s="59" t="s">
        <v>7328</v>
      </c>
      <c r="E510" s="72" t="s">
        <v>5862</v>
      </c>
      <c r="F510" s="73" t="s">
        <v>7329</v>
      </c>
      <c r="G510" s="67">
        <v>44.1</v>
      </c>
      <c r="H510" s="67">
        <v>9506</v>
      </c>
      <c r="I510" s="69">
        <v>0</v>
      </c>
      <c r="J510" s="70">
        <v>3000</v>
      </c>
      <c r="K510" s="75">
        <v>5.4</v>
      </c>
      <c r="L510" s="74">
        <v>0.17</v>
      </c>
      <c r="M510" s="76">
        <v>1.7716049382716051E-2</v>
      </c>
      <c r="N510" s="67">
        <v>1959</v>
      </c>
      <c r="O510" s="64">
        <v>1850</v>
      </c>
      <c r="Q510" s="59">
        <v>16</v>
      </c>
      <c r="R510" s="59">
        <v>3</v>
      </c>
      <c r="S510" s="59">
        <v>1</v>
      </c>
      <c r="T510" s="63" t="s">
        <v>6754</v>
      </c>
      <c r="U510" s="63">
        <v>398</v>
      </c>
      <c r="V510" s="70">
        <v>15625</v>
      </c>
      <c r="W510" s="70">
        <v>16000</v>
      </c>
      <c r="X510" s="83" t="s">
        <v>6331</v>
      </c>
      <c r="Y510" s="70">
        <v>3000</v>
      </c>
      <c r="Z510" s="63" t="s">
        <v>5866</v>
      </c>
      <c r="AC510" s="67"/>
      <c r="AD510" s="61" t="s">
        <v>181</v>
      </c>
      <c r="AE510" s="71"/>
      <c r="AF510" s="71"/>
      <c r="AG510" s="71"/>
      <c r="AH510" s="71"/>
      <c r="AI510" s="71"/>
      <c r="AJ510" s="71"/>
      <c r="AK510" s="71" t="s">
        <v>7330</v>
      </c>
      <c r="AM510" s="59" t="s">
        <v>181</v>
      </c>
    </row>
    <row r="511" spans="1:39">
      <c r="A511" s="62">
        <v>7</v>
      </c>
      <c r="B511" s="93">
        <v>503</v>
      </c>
      <c r="C511" s="68" t="s">
        <v>6751</v>
      </c>
      <c r="D511" s="59" t="s">
        <v>6629</v>
      </c>
      <c r="E511" s="72" t="s">
        <v>5862</v>
      </c>
      <c r="F511" s="73" t="s">
        <v>7331</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6754</v>
      </c>
      <c r="U511" s="63">
        <v>398</v>
      </c>
      <c r="V511" s="70">
        <v>6250</v>
      </c>
      <c r="W511" s="70">
        <v>6000</v>
      </c>
      <c r="X511" s="83" t="s">
        <v>5938</v>
      </c>
      <c r="Y511" s="70">
        <v>4000</v>
      </c>
      <c r="Z511" s="63" t="s">
        <v>5866</v>
      </c>
      <c r="AC511" s="67"/>
      <c r="AD511" s="61" t="s">
        <v>6631</v>
      </c>
      <c r="AE511" s="71"/>
      <c r="AF511" s="71"/>
      <c r="AG511" s="71"/>
      <c r="AH511" s="71"/>
      <c r="AI511" s="71"/>
      <c r="AJ511" s="71"/>
      <c r="AK511" s="71" t="s">
        <v>181</v>
      </c>
      <c r="AM511" s="59" t="s">
        <v>181</v>
      </c>
    </row>
    <row r="512" spans="1:39">
      <c r="A512" s="62">
        <v>7</v>
      </c>
      <c r="B512" s="93">
        <v>504</v>
      </c>
      <c r="C512" s="68" t="s">
        <v>6751</v>
      </c>
      <c r="D512" s="59" t="s">
        <v>6632</v>
      </c>
      <c r="E512" s="72" t="s">
        <v>5862</v>
      </c>
      <c r="F512" s="73" t="s">
        <v>7332</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7018</v>
      </c>
      <c r="U512" s="63">
        <v>398</v>
      </c>
      <c r="V512" s="70">
        <v>6250</v>
      </c>
      <c r="W512" s="70">
        <v>6000</v>
      </c>
      <c r="X512" s="83" t="s">
        <v>5871</v>
      </c>
      <c r="Y512" s="70">
        <v>2000</v>
      </c>
      <c r="Z512" s="63" t="s">
        <v>5866</v>
      </c>
      <c r="AC512" s="67"/>
      <c r="AD512" s="61" t="s">
        <v>6634</v>
      </c>
      <c r="AE512" s="71"/>
      <c r="AF512" s="71"/>
      <c r="AG512" s="71"/>
      <c r="AH512" s="71"/>
      <c r="AI512" s="71"/>
      <c r="AJ512" s="71"/>
      <c r="AK512" s="71" t="s">
        <v>181</v>
      </c>
      <c r="AM512" s="59" t="s">
        <v>181</v>
      </c>
    </row>
    <row r="513" spans="1:50">
      <c r="A513" s="62">
        <v>7</v>
      </c>
      <c r="B513" s="93">
        <v>505</v>
      </c>
      <c r="C513" s="68" t="s">
        <v>6751</v>
      </c>
      <c r="D513" s="59" t="s">
        <v>7333</v>
      </c>
      <c r="E513" s="72" t="s">
        <v>5862</v>
      </c>
      <c r="F513" s="73" t="s">
        <v>7334</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6754</v>
      </c>
      <c r="U513" s="63">
        <v>398</v>
      </c>
      <c r="V513" s="70">
        <v>6100</v>
      </c>
      <c r="W513" s="70">
        <v>6000</v>
      </c>
      <c r="X513" s="83" t="s">
        <v>6331</v>
      </c>
      <c r="Y513" s="70">
        <v>5000</v>
      </c>
      <c r="Z513" s="63" t="s">
        <v>5866</v>
      </c>
      <c r="AC513" s="67"/>
      <c r="AD513" s="61" t="s">
        <v>7335</v>
      </c>
      <c r="AE513" s="71"/>
      <c r="AF513" s="71"/>
      <c r="AG513" s="71"/>
      <c r="AH513" s="71"/>
      <c r="AI513" s="71"/>
      <c r="AJ513" s="71"/>
      <c r="AK513" s="71" t="s">
        <v>7336</v>
      </c>
      <c r="AM513" s="59" t="s">
        <v>181</v>
      </c>
    </row>
    <row r="514" spans="1:50">
      <c r="A514" s="62">
        <v>7</v>
      </c>
      <c r="B514" s="93">
        <v>506</v>
      </c>
      <c r="C514" s="68" t="s">
        <v>6751</v>
      </c>
      <c r="D514" s="59" t="s">
        <v>6642</v>
      </c>
      <c r="E514" s="72" t="s">
        <v>5862</v>
      </c>
      <c r="F514" s="73" t="s">
        <v>7337</v>
      </c>
      <c r="G514" s="82">
        <v>44.2</v>
      </c>
      <c r="H514" s="67">
        <v>9506</v>
      </c>
      <c r="I514" s="69">
        <v>0</v>
      </c>
      <c r="J514" s="70">
        <v>12860</v>
      </c>
      <c r="K514" s="75">
        <v>5.7400466562985999</v>
      </c>
      <c r="L514" s="74">
        <v>0.13</v>
      </c>
      <c r="M514" s="76">
        <v>0</v>
      </c>
      <c r="N514" s="67">
        <v>1943</v>
      </c>
      <c r="O514" s="64">
        <v>5907</v>
      </c>
      <c r="Q514" s="59">
        <v>12</v>
      </c>
      <c r="R514" s="59">
        <v>1</v>
      </c>
      <c r="S514" s="59">
        <v>4</v>
      </c>
      <c r="T514" s="63" t="s">
        <v>6759</v>
      </c>
      <c r="U514" s="63">
        <v>398</v>
      </c>
      <c r="V514" s="70">
        <v>35250</v>
      </c>
      <c r="W514" s="70">
        <v>35000</v>
      </c>
      <c r="X514" s="83" t="s">
        <v>5903</v>
      </c>
      <c r="Y514" s="70">
        <v>13000</v>
      </c>
      <c r="Z514" s="63" t="s">
        <v>5866</v>
      </c>
      <c r="AC514" s="67"/>
      <c r="AD514" s="61" t="s">
        <v>5879</v>
      </c>
      <c r="AE514" s="71"/>
      <c r="AF514" s="71"/>
      <c r="AG514" s="71"/>
      <c r="AH514" s="71"/>
      <c r="AI514" s="71"/>
      <c r="AJ514" s="71"/>
      <c r="AK514" s="71" t="s">
        <v>7338</v>
      </c>
      <c r="AM514" s="59" t="s">
        <v>181</v>
      </c>
    </row>
    <row r="515" spans="1:50">
      <c r="A515" s="62">
        <v>7</v>
      </c>
      <c r="B515" s="93">
        <v>507</v>
      </c>
      <c r="C515" s="68" t="s">
        <v>6751</v>
      </c>
      <c r="D515" s="59" t="s">
        <v>6645</v>
      </c>
      <c r="E515" s="72" t="s">
        <v>5862</v>
      </c>
      <c r="F515" s="73" t="s">
        <v>7339</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6754</v>
      </c>
      <c r="U515" s="63">
        <v>398</v>
      </c>
      <c r="V515" s="70">
        <v>22750</v>
      </c>
      <c r="W515" s="70">
        <v>23000</v>
      </c>
      <c r="X515" s="83" t="s">
        <v>5899</v>
      </c>
      <c r="Y515" s="70">
        <v>4000</v>
      </c>
      <c r="Z515" s="63" t="s">
        <v>5866</v>
      </c>
      <c r="AC515" s="67"/>
      <c r="AD515" s="61" t="s">
        <v>5904</v>
      </c>
      <c r="AE515" s="71"/>
      <c r="AF515" s="71"/>
      <c r="AG515" s="71"/>
      <c r="AH515" s="71"/>
      <c r="AI515" s="71"/>
      <c r="AJ515" s="71"/>
      <c r="AK515" s="71" t="s">
        <v>7340</v>
      </c>
      <c r="AM515" s="59" t="s">
        <v>181</v>
      </c>
    </row>
    <row r="516" spans="1:50">
      <c r="A516" s="62">
        <v>7</v>
      </c>
      <c r="B516" s="93">
        <v>508</v>
      </c>
      <c r="C516" s="68" t="s">
        <v>6751</v>
      </c>
      <c r="D516" s="59" t="s">
        <v>6647</v>
      </c>
      <c r="E516" s="72" t="s">
        <v>5862</v>
      </c>
      <c r="F516" s="73" t="s">
        <v>7341</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6754</v>
      </c>
      <c r="U516" s="63">
        <v>398</v>
      </c>
      <c r="V516" s="70">
        <v>9370</v>
      </c>
      <c r="W516" s="70">
        <v>9000</v>
      </c>
      <c r="X516" s="83" t="s">
        <v>5933</v>
      </c>
      <c r="Y516" s="70">
        <v>2000</v>
      </c>
      <c r="Z516" s="63" t="s">
        <v>5866</v>
      </c>
      <c r="AC516" s="67"/>
      <c r="AD516" s="61" t="s">
        <v>181</v>
      </c>
      <c r="AE516" s="71"/>
      <c r="AF516" s="71"/>
      <c r="AG516" s="71"/>
      <c r="AH516" s="71"/>
      <c r="AI516" s="71"/>
      <c r="AJ516" s="71"/>
      <c r="AK516" s="71" t="s">
        <v>5889</v>
      </c>
      <c r="AM516" s="59" t="s">
        <v>181</v>
      </c>
    </row>
    <row r="517" spans="1:50">
      <c r="A517" s="62">
        <v>7</v>
      </c>
      <c r="B517" s="93">
        <v>509</v>
      </c>
      <c r="C517" s="68" t="s">
        <v>6751</v>
      </c>
      <c r="D517" s="59" t="s">
        <v>7342</v>
      </c>
      <c r="E517" s="72" t="s">
        <v>5862</v>
      </c>
      <c r="F517" s="73" t="s">
        <v>7343</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6754</v>
      </c>
      <c r="U517" s="63">
        <v>401</v>
      </c>
      <c r="V517" s="70">
        <v>11800</v>
      </c>
      <c r="W517" s="70">
        <v>12000</v>
      </c>
      <c r="X517" s="83" t="s">
        <v>5938</v>
      </c>
      <c r="Y517" s="70">
        <v>7000</v>
      </c>
      <c r="Z517" s="63" t="s">
        <v>5866</v>
      </c>
      <c r="AC517" s="67"/>
      <c r="AD517" s="61" t="s">
        <v>181</v>
      </c>
      <c r="AE517" s="71"/>
      <c r="AF517" s="71"/>
      <c r="AG517" s="71"/>
      <c r="AH517" s="71"/>
      <c r="AI517" s="71"/>
      <c r="AJ517" s="71"/>
      <c r="AK517" s="71" t="s">
        <v>181</v>
      </c>
      <c r="AM517" s="59" t="s">
        <v>181</v>
      </c>
    </row>
    <row r="518" spans="1:50">
      <c r="A518" s="62">
        <v>7</v>
      </c>
      <c r="B518" s="93">
        <v>510</v>
      </c>
      <c r="C518" s="68" t="s">
        <v>6751</v>
      </c>
      <c r="D518" s="59" t="s">
        <v>7344</v>
      </c>
      <c r="E518" s="72" t="s">
        <v>5862</v>
      </c>
      <c r="F518" s="73" t="s">
        <v>7345</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6754</v>
      </c>
      <c r="U518" s="63">
        <v>401</v>
      </c>
      <c r="V518" s="70">
        <v>12063</v>
      </c>
      <c r="W518" s="70">
        <v>12000</v>
      </c>
      <c r="X518" s="83" t="s">
        <v>5896</v>
      </c>
      <c r="Y518" s="70">
        <v>8000</v>
      </c>
      <c r="Z518" s="63" t="s">
        <v>5866</v>
      </c>
      <c r="AC518" s="67"/>
      <c r="AD518" s="61" t="s">
        <v>181</v>
      </c>
      <c r="AE518" s="71"/>
      <c r="AF518" s="71"/>
      <c r="AG518" s="71"/>
      <c r="AH518" s="71"/>
      <c r="AI518" s="71"/>
      <c r="AJ518" s="71"/>
      <c r="AK518" s="71" t="s">
        <v>181</v>
      </c>
      <c r="AM518" s="59" t="s">
        <v>181</v>
      </c>
    </row>
    <row r="519" spans="1:50">
      <c r="A519" s="62">
        <v>7</v>
      </c>
      <c r="B519" s="93">
        <v>511</v>
      </c>
      <c r="C519" s="68" t="s">
        <v>6751</v>
      </c>
      <c r="D519" s="59" t="s">
        <v>7346</v>
      </c>
      <c r="E519" s="72" t="s">
        <v>5862</v>
      </c>
      <c r="F519" s="73" t="s">
        <v>7347</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6759</v>
      </c>
      <c r="U519" s="63">
        <v>398</v>
      </c>
      <c r="V519" s="70">
        <v>12870</v>
      </c>
      <c r="W519" s="70">
        <v>13000</v>
      </c>
      <c r="X519" s="83" t="s">
        <v>5982</v>
      </c>
      <c r="Y519" s="70">
        <v>6000</v>
      </c>
      <c r="Z519" s="63" t="s">
        <v>5866</v>
      </c>
      <c r="AC519" s="67"/>
      <c r="AD519" s="61" t="s">
        <v>181</v>
      </c>
      <c r="AE519" s="71"/>
      <c r="AF519" s="71"/>
      <c r="AG519" s="71"/>
      <c r="AH519" s="71"/>
      <c r="AI519" s="71"/>
      <c r="AJ519" s="71"/>
      <c r="AK519" s="71" t="s">
        <v>181</v>
      </c>
      <c r="AM519" s="59" t="s">
        <v>181</v>
      </c>
    </row>
    <row r="520" spans="1:50">
      <c r="A520" s="62">
        <v>7</v>
      </c>
      <c r="B520" s="93">
        <v>512</v>
      </c>
      <c r="C520" s="68" t="s">
        <v>6751</v>
      </c>
      <c r="D520" s="59" t="s">
        <v>6662</v>
      </c>
      <c r="E520" s="72" t="s">
        <v>5862</v>
      </c>
      <c r="F520" s="73" t="s">
        <v>7348</v>
      </c>
      <c r="G520" s="82">
        <v>44.2</v>
      </c>
      <c r="H520" s="67">
        <v>9506</v>
      </c>
      <c r="I520" s="69">
        <v>0</v>
      </c>
      <c r="J520" s="70">
        <v>3000</v>
      </c>
      <c r="K520" s="75">
        <v>7.9</v>
      </c>
      <c r="L520" s="74">
        <v>0</v>
      </c>
      <c r="M520" s="76">
        <v>7.5949367088607597E-2</v>
      </c>
      <c r="N520" s="67">
        <v>1998</v>
      </c>
      <c r="O520" s="64">
        <v>657</v>
      </c>
      <c r="Q520" s="59">
        <v>15</v>
      </c>
      <c r="R520" s="59">
        <v>7</v>
      </c>
      <c r="S520" s="59">
        <v>3</v>
      </c>
      <c r="T520" s="63" t="s">
        <v>6754</v>
      </c>
      <c r="U520" s="63">
        <v>398</v>
      </c>
      <c r="V520" s="70">
        <v>10950</v>
      </c>
      <c r="W520" s="70">
        <v>11000</v>
      </c>
      <c r="X520" s="83" t="s">
        <v>5878</v>
      </c>
      <c r="Y520" s="70">
        <v>3000</v>
      </c>
      <c r="Z520" s="63" t="s">
        <v>5866</v>
      </c>
      <c r="AC520" s="67"/>
      <c r="AD520" s="61" t="s">
        <v>6427</v>
      </c>
      <c r="AE520" s="71"/>
      <c r="AF520" s="71"/>
      <c r="AG520" s="71"/>
      <c r="AH520" s="71"/>
      <c r="AI520" s="71"/>
      <c r="AJ520" s="71"/>
      <c r="AK520" s="71" t="s">
        <v>181</v>
      </c>
      <c r="AM520" s="59" t="s">
        <v>181</v>
      </c>
    </row>
    <row r="521" spans="1:50">
      <c r="A521" s="62">
        <v>7</v>
      </c>
      <c r="B521" s="93">
        <v>513</v>
      </c>
      <c r="C521" s="93" t="s">
        <v>6766</v>
      </c>
      <c r="D521" s="93" t="s">
        <v>7349</v>
      </c>
      <c r="E521" s="93" t="s">
        <v>6875</v>
      </c>
      <c r="F521" s="93" t="s">
        <v>7350</v>
      </c>
      <c r="G521" s="93">
        <v>44.2</v>
      </c>
      <c r="H521" s="93">
        <v>9506</v>
      </c>
      <c r="I521" s="93" t="s">
        <v>7351</v>
      </c>
      <c r="J521" s="95">
        <v>39365</v>
      </c>
      <c r="K521" s="101">
        <v>4.05</v>
      </c>
      <c r="L521" s="97">
        <v>0</v>
      </c>
      <c r="M521" s="97">
        <v>0.09</v>
      </c>
      <c r="N521" s="93">
        <v>1957</v>
      </c>
      <c r="O521" s="64">
        <v>20042</v>
      </c>
      <c r="Q521" s="59">
        <v>20</v>
      </c>
      <c r="R521" s="59">
        <v>10</v>
      </c>
      <c r="S521" s="59">
        <v>8</v>
      </c>
      <c r="T521" s="93" t="s">
        <v>7352</v>
      </c>
      <c r="U521" s="93">
        <v>398</v>
      </c>
      <c r="V521" s="95">
        <v>60009</v>
      </c>
      <c r="W521" s="95">
        <v>60000</v>
      </c>
      <c r="X521" s="93" t="s">
        <v>7353</v>
      </c>
      <c r="Y521" s="95">
        <v>40000</v>
      </c>
      <c r="Z521" s="93" t="s">
        <v>207</v>
      </c>
      <c r="AA521" s="93">
        <v>3</v>
      </c>
      <c r="AB521" s="93">
        <v>3</v>
      </c>
      <c r="AC521" s="93">
        <v>33</v>
      </c>
      <c r="AD521" s="93" t="s">
        <v>7354</v>
      </c>
      <c r="AE521" s="93"/>
      <c r="AF521" s="93"/>
      <c r="AG521" s="93"/>
      <c r="AH521" s="93"/>
      <c r="AI521" s="93"/>
      <c r="AJ521" s="99"/>
      <c r="AK521" s="93" t="s">
        <v>7355</v>
      </c>
      <c r="AL521" s="93"/>
      <c r="AM521" s="93"/>
      <c r="AN521" s="93"/>
      <c r="AO521" s="93"/>
      <c r="AP521" s="93"/>
      <c r="AQ521" s="93"/>
      <c r="AR521" s="93"/>
      <c r="AS521" s="93"/>
      <c r="AT521" s="93"/>
      <c r="AU521" s="93"/>
      <c r="AV521" s="93"/>
      <c r="AW521" s="93"/>
      <c r="AX521" s="93"/>
    </row>
    <row r="522" spans="1:50">
      <c r="A522" s="62">
        <v>7</v>
      </c>
      <c r="B522" s="93">
        <v>514</v>
      </c>
      <c r="C522" s="68" t="s">
        <v>6751</v>
      </c>
      <c r="D522" s="59" t="s">
        <v>7356</v>
      </c>
      <c r="E522" s="72" t="s">
        <v>5862</v>
      </c>
      <c r="F522" s="73" t="s">
        <v>7357</v>
      </c>
      <c r="G522" s="67">
        <v>44.1</v>
      </c>
      <c r="H522" s="67">
        <v>9506</v>
      </c>
      <c r="I522" s="69">
        <v>0</v>
      </c>
      <c r="J522" s="70">
        <v>6148</v>
      </c>
      <c r="K522" s="75">
        <v>5.4651919323357188</v>
      </c>
      <c r="L522" s="74">
        <v>0</v>
      </c>
      <c r="M522" s="76">
        <v>0</v>
      </c>
      <c r="N522" s="67">
        <v>1955</v>
      </c>
      <c r="O522" s="64">
        <v>0</v>
      </c>
      <c r="Q522" s="59">
        <v>11</v>
      </c>
      <c r="R522" s="59">
        <v>3</v>
      </c>
      <c r="S522" s="59">
        <v>1</v>
      </c>
      <c r="T522" s="63" t="s">
        <v>6754</v>
      </c>
      <c r="U522" s="63">
        <v>398</v>
      </c>
      <c r="V522" s="70">
        <v>21984</v>
      </c>
      <c r="W522" s="70">
        <v>22000</v>
      </c>
      <c r="X522" s="83" t="s">
        <v>6240</v>
      </c>
      <c r="Y522" s="70">
        <v>6000</v>
      </c>
      <c r="Z522" s="63" t="s">
        <v>5866</v>
      </c>
      <c r="AC522" s="67"/>
      <c r="AD522" s="61" t="s">
        <v>7358</v>
      </c>
      <c r="AE522" s="71"/>
      <c r="AF522" s="71"/>
      <c r="AG522" s="71"/>
      <c r="AH522" s="71"/>
      <c r="AI522" s="71"/>
      <c r="AJ522" s="71"/>
      <c r="AK522" s="71" t="s">
        <v>181</v>
      </c>
      <c r="AM522" s="59" t="s">
        <v>181</v>
      </c>
    </row>
    <row r="523" spans="1:50">
      <c r="A523" s="62">
        <v>7</v>
      </c>
      <c r="B523" s="93">
        <v>515</v>
      </c>
      <c r="C523" s="68" t="s">
        <v>6751</v>
      </c>
      <c r="D523" s="59" t="s">
        <v>6664</v>
      </c>
      <c r="E523" s="72" t="s">
        <v>5862</v>
      </c>
      <c r="F523" s="73" t="s">
        <v>7359</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6754</v>
      </c>
      <c r="U523" s="63">
        <v>398</v>
      </c>
      <c r="V523" s="70">
        <v>12500</v>
      </c>
      <c r="W523" s="70">
        <v>13000</v>
      </c>
      <c r="X523" s="83" t="s">
        <v>6091</v>
      </c>
      <c r="Y523" s="70">
        <v>7000</v>
      </c>
      <c r="Z523" s="63" t="s">
        <v>5866</v>
      </c>
      <c r="AC523" s="67"/>
      <c r="AD523" s="61" t="s">
        <v>181</v>
      </c>
      <c r="AE523" s="71"/>
      <c r="AF523" s="71"/>
      <c r="AG523" s="71"/>
      <c r="AH523" s="71"/>
      <c r="AI523" s="71"/>
      <c r="AJ523" s="71"/>
      <c r="AK523" s="71" t="s">
        <v>7360</v>
      </c>
      <c r="AM523" s="59" t="s">
        <v>181</v>
      </c>
    </row>
    <row r="524" spans="1:50">
      <c r="A524" s="62">
        <v>7</v>
      </c>
      <c r="B524" s="93">
        <v>516</v>
      </c>
      <c r="C524" s="68" t="s">
        <v>6751</v>
      </c>
      <c r="D524" s="59" t="s">
        <v>7361</v>
      </c>
      <c r="E524" s="72" t="s">
        <v>5862</v>
      </c>
      <c r="F524" s="73" t="s">
        <v>7362</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6754</v>
      </c>
      <c r="U524" s="63">
        <v>398</v>
      </c>
      <c r="V524" s="70">
        <v>7751</v>
      </c>
      <c r="W524" s="70">
        <v>8000</v>
      </c>
      <c r="X524" s="83" t="s">
        <v>5896</v>
      </c>
      <c r="Y524" s="70">
        <v>5000</v>
      </c>
      <c r="Z524" s="63" t="s">
        <v>5866</v>
      </c>
      <c r="AC524" s="67"/>
      <c r="AD524" s="61" t="s">
        <v>7363</v>
      </c>
      <c r="AE524" s="71"/>
      <c r="AF524" s="71"/>
      <c r="AG524" s="71"/>
      <c r="AH524" s="71"/>
      <c r="AI524" s="71"/>
      <c r="AJ524" s="71"/>
      <c r="AK524" s="71" t="s">
        <v>6129</v>
      </c>
      <c r="AM524" s="59" t="s">
        <v>181</v>
      </c>
    </row>
    <row r="525" spans="1:50">
      <c r="A525" s="62">
        <v>7</v>
      </c>
      <c r="B525" s="93">
        <v>517</v>
      </c>
      <c r="C525" s="68" t="s">
        <v>6751</v>
      </c>
      <c r="D525" s="59" t="s">
        <v>7364</v>
      </c>
      <c r="E525" s="72" t="s">
        <v>5862</v>
      </c>
      <c r="F525" s="73" t="s">
        <v>7365</v>
      </c>
      <c r="G525" s="67">
        <v>44.1</v>
      </c>
      <c r="H525" s="67">
        <v>9506</v>
      </c>
      <c r="I525" s="69">
        <v>2</v>
      </c>
      <c r="J525" s="70">
        <v>3750</v>
      </c>
      <c r="K525" s="75">
        <v>4.4800000000000004</v>
      </c>
      <c r="L525" s="74">
        <v>0</v>
      </c>
      <c r="M525" s="76">
        <v>0</v>
      </c>
      <c r="N525" s="67">
        <v>1954</v>
      </c>
      <c r="O525" s="64">
        <v>0</v>
      </c>
      <c r="Q525" s="59">
        <v>13</v>
      </c>
      <c r="R525" s="59">
        <v>3</v>
      </c>
      <c r="S525" s="59">
        <v>1</v>
      </c>
      <c r="T525" s="63" t="s">
        <v>7018</v>
      </c>
      <c r="U525" s="63">
        <v>398</v>
      </c>
      <c r="V525" s="70">
        <v>4687</v>
      </c>
      <c r="W525" s="70">
        <v>5000</v>
      </c>
      <c r="X525" s="83" t="s">
        <v>6128</v>
      </c>
      <c r="Y525" s="70">
        <v>4000</v>
      </c>
      <c r="Z525" s="63" t="s">
        <v>5963</v>
      </c>
      <c r="AC525" s="67"/>
      <c r="AD525" s="61" t="s">
        <v>181</v>
      </c>
      <c r="AE525" s="71"/>
      <c r="AF525" s="71"/>
      <c r="AG525" s="71"/>
      <c r="AH525" s="71"/>
      <c r="AI525" s="71"/>
      <c r="AJ525" s="71"/>
      <c r="AK525" s="71" t="s">
        <v>181</v>
      </c>
      <c r="AM525" s="59" t="s">
        <v>181</v>
      </c>
    </row>
    <row r="526" spans="1:50">
      <c r="A526" s="62">
        <v>7</v>
      </c>
      <c r="B526" s="93">
        <v>518</v>
      </c>
      <c r="C526" s="68" t="s">
        <v>6751</v>
      </c>
      <c r="D526" s="59" t="s">
        <v>7366</v>
      </c>
      <c r="E526" s="72" t="s">
        <v>5862</v>
      </c>
      <c r="F526" s="73" t="s">
        <v>7367</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6754</v>
      </c>
      <c r="U526" s="63">
        <v>398</v>
      </c>
      <c r="V526" s="70">
        <v>6250</v>
      </c>
      <c r="W526" s="70">
        <v>6000</v>
      </c>
      <c r="X526" s="83" t="s">
        <v>6331</v>
      </c>
      <c r="Y526" s="70">
        <v>5000</v>
      </c>
      <c r="Z526" s="63" t="s">
        <v>5866</v>
      </c>
      <c r="AC526" s="67"/>
      <c r="AD526" s="61" t="s">
        <v>6672</v>
      </c>
      <c r="AE526" s="71"/>
      <c r="AF526" s="71"/>
      <c r="AG526" s="71"/>
      <c r="AH526" s="71"/>
      <c r="AI526" s="71"/>
      <c r="AJ526" s="71"/>
      <c r="AK526" s="71" t="s">
        <v>181</v>
      </c>
      <c r="AM526" s="59" t="s">
        <v>181</v>
      </c>
    </row>
    <row r="527" spans="1:50">
      <c r="A527" s="62">
        <v>7</v>
      </c>
      <c r="B527" s="93">
        <v>519</v>
      </c>
      <c r="C527" s="68" t="s">
        <v>6751</v>
      </c>
      <c r="D527" s="59" t="s">
        <v>6673</v>
      </c>
      <c r="E527" s="72" t="s">
        <v>5862</v>
      </c>
      <c r="F527" s="73" t="s">
        <v>7368</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7110</v>
      </c>
      <c r="U527" s="63">
        <v>398</v>
      </c>
      <c r="V527" s="70">
        <v>3125</v>
      </c>
      <c r="W527" s="70">
        <v>3000</v>
      </c>
      <c r="X527" s="83" t="s">
        <v>5896</v>
      </c>
      <c r="Y527" s="70">
        <v>2000</v>
      </c>
      <c r="Z527" s="63" t="s">
        <v>5866</v>
      </c>
      <c r="AC527" s="67"/>
      <c r="AD527" s="61" t="s">
        <v>6675</v>
      </c>
      <c r="AE527" s="71"/>
      <c r="AF527" s="71"/>
      <c r="AG527" s="71"/>
      <c r="AH527" s="71"/>
      <c r="AI527" s="71"/>
      <c r="AJ527" s="71"/>
      <c r="AK527" s="71" t="s">
        <v>6755</v>
      </c>
      <c r="AM527" s="59" t="s">
        <v>181</v>
      </c>
    </row>
    <row r="528" spans="1:50">
      <c r="A528" s="62">
        <v>7</v>
      </c>
      <c r="B528" s="93">
        <v>520</v>
      </c>
      <c r="C528" s="68" t="s">
        <v>6751</v>
      </c>
      <c r="D528" s="59" t="s">
        <v>7369</v>
      </c>
      <c r="E528" s="72" t="s">
        <v>5862</v>
      </c>
      <c r="F528" s="73" t="s">
        <v>7370</v>
      </c>
      <c r="G528" s="67">
        <v>44.1</v>
      </c>
      <c r="H528" s="67">
        <v>9509</v>
      </c>
      <c r="I528" s="69">
        <v>0</v>
      </c>
      <c r="J528" s="70">
        <v>798</v>
      </c>
      <c r="K528" s="75">
        <v>15.03759398496241</v>
      </c>
      <c r="L528" s="74">
        <v>0</v>
      </c>
      <c r="M528" s="76">
        <v>0</v>
      </c>
      <c r="N528" s="67">
        <v>1956</v>
      </c>
      <c r="O528" s="64">
        <v>200</v>
      </c>
      <c r="Q528" s="59">
        <v>14</v>
      </c>
      <c r="R528" s="59">
        <v>3</v>
      </c>
      <c r="S528" s="59">
        <v>1</v>
      </c>
      <c r="T528" s="63" t="s">
        <v>7028</v>
      </c>
      <c r="U528" s="63">
        <v>398</v>
      </c>
      <c r="V528" s="70">
        <v>4700</v>
      </c>
      <c r="W528" s="70">
        <v>5000</v>
      </c>
      <c r="X528" s="83" t="s">
        <v>6419</v>
      </c>
      <c r="Y528" s="70">
        <v>800</v>
      </c>
      <c r="Z528" s="63" t="s">
        <v>5866</v>
      </c>
      <c r="AC528" s="67"/>
      <c r="AD528" s="61" t="s">
        <v>7371</v>
      </c>
      <c r="AE528" s="71"/>
      <c r="AF528" s="71"/>
      <c r="AG528" s="71"/>
      <c r="AH528" s="71"/>
      <c r="AI528" s="71"/>
      <c r="AJ528" s="71"/>
      <c r="AK528" s="71" t="s">
        <v>181</v>
      </c>
      <c r="AM528" s="59" t="s">
        <v>181</v>
      </c>
    </row>
    <row r="529" spans="1:39">
      <c r="A529" s="62">
        <v>7</v>
      </c>
      <c r="B529" s="93">
        <v>521</v>
      </c>
      <c r="C529" s="68" t="s">
        <v>6751</v>
      </c>
      <c r="D529" s="59" t="s">
        <v>7372</v>
      </c>
      <c r="E529" s="72" t="s">
        <v>5862</v>
      </c>
      <c r="F529" s="73" t="s">
        <v>7373</v>
      </c>
      <c r="G529" s="82">
        <v>44.2</v>
      </c>
      <c r="H529" s="67">
        <v>9506</v>
      </c>
      <c r="I529" s="69">
        <v>0</v>
      </c>
      <c r="J529" s="70">
        <v>6000</v>
      </c>
      <c r="K529" s="75">
        <v>7</v>
      </c>
      <c r="L529" s="74">
        <v>0</v>
      </c>
      <c r="M529" s="76">
        <v>0</v>
      </c>
      <c r="N529" s="67">
        <v>1999</v>
      </c>
      <c r="O529" s="64">
        <v>4153</v>
      </c>
      <c r="Q529" s="59">
        <v>14</v>
      </c>
      <c r="R529" s="59">
        <v>8</v>
      </c>
      <c r="S529" s="59">
        <v>2</v>
      </c>
      <c r="T529" s="63" t="s">
        <v>6754</v>
      </c>
      <c r="U529" s="63">
        <v>398</v>
      </c>
      <c r="V529" s="70">
        <v>6250</v>
      </c>
      <c r="W529" s="70">
        <v>6000</v>
      </c>
      <c r="X529" s="83" t="s">
        <v>7374</v>
      </c>
      <c r="Y529" s="70">
        <v>6000</v>
      </c>
      <c r="Z529" s="63" t="s">
        <v>5866</v>
      </c>
      <c r="AC529" s="67"/>
      <c r="AD529" s="61" t="s">
        <v>7375</v>
      </c>
      <c r="AE529" s="71"/>
      <c r="AF529" s="71"/>
      <c r="AG529" s="71"/>
      <c r="AH529" s="71"/>
      <c r="AI529" s="71"/>
      <c r="AJ529" s="71"/>
      <c r="AK529" s="71" t="s">
        <v>181</v>
      </c>
      <c r="AM529" s="59" t="s">
        <v>181</v>
      </c>
    </row>
    <row r="530" spans="1:39">
      <c r="A530" s="62">
        <v>7</v>
      </c>
      <c r="B530" s="93">
        <v>522</v>
      </c>
      <c r="C530" s="68" t="s">
        <v>6751</v>
      </c>
      <c r="D530" s="59" t="s">
        <v>7376</v>
      </c>
      <c r="E530" s="72" t="s">
        <v>5862</v>
      </c>
      <c r="F530" s="73" t="s">
        <v>7377</v>
      </c>
      <c r="G530" s="67">
        <v>44.1</v>
      </c>
      <c r="H530" s="67">
        <v>9506</v>
      </c>
      <c r="I530" s="69">
        <v>0</v>
      </c>
      <c r="J530" s="70">
        <v>2400</v>
      </c>
      <c r="K530" s="75">
        <v>6.875</v>
      </c>
      <c r="L530" s="74">
        <v>0</v>
      </c>
      <c r="M530" s="76">
        <v>0</v>
      </c>
      <c r="N530" s="67">
        <v>2008</v>
      </c>
      <c r="O530" s="64">
        <v>0</v>
      </c>
      <c r="Q530" s="59">
        <v>16</v>
      </c>
      <c r="R530" s="59">
        <v>2</v>
      </c>
      <c r="S530" s="59">
        <v>1</v>
      </c>
      <c r="T530" s="63" t="s">
        <v>6754</v>
      </c>
      <c r="U530" s="63">
        <v>398</v>
      </c>
      <c r="V530" s="70">
        <v>4690</v>
      </c>
      <c r="W530" s="70">
        <v>5000</v>
      </c>
      <c r="X530" s="83" t="s">
        <v>6774</v>
      </c>
      <c r="Y530" s="70">
        <v>2000</v>
      </c>
      <c r="Z530" s="63" t="s">
        <v>5866</v>
      </c>
      <c r="AC530" s="67"/>
      <c r="AD530" s="61" t="s">
        <v>181</v>
      </c>
      <c r="AE530" s="71"/>
      <c r="AF530" s="71"/>
      <c r="AG530" s="71"/>
      <c r="AH530" s="71"/>
      <c r="AI530" s="71"/>
      <c r="AJ530" s="71"/>
      <c r="AK530" s="71" t="s">
        <v>6755</v>
      </c>
      <c r="AM530" s="59" t="s">
        <v>181</v>
      </c>
    </row>
    <row r="531" spans="1:39">
      <c r="A531" s="62">
        <v>7</v>
      </c>
      <c r="B531" s="93">
        <v>523</v>
      </c>
      <c r="C531" s="68" t="s">
        <v>6751</v>
      </c>
      <c r="D531" s="59" t="s">
        <v>7378</v>
      </c>
      <c r="E531" s="72" t="s">
        <v>5862</v>
      </c>
      <c r="F531" s="73" t="s">
        <v>7379</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6754</v>
      </c>
      <c r="U531" s="63">
        <v>398</v>
      </c>
      <c r="V531" s="70">
        <v>12500</v>
      </c>
      <c r="W531" s="70">
        <v>13000</v>
      </c>
      <c r="X531" s="83" t="s">
        <v>6436</v>
      </c>
      <c r="Y531" s="70">
        <v>4000</v>
      </c>
      <c r="Z531" s="63" t="s">
        <v>5866</v>
      </c>
      <c r="AC531" s="67"/>
      <c r="AD531" s="61" t="s">
        <v>7380</v>
      </c>
      <c r="AE531" s="71"/>
      <c r="AF531" s="71"/>
      <c r="AG531" s="71"/>
      <c r="AH531" s="71"/>
      <c r="AI531" s="71"/>
      <c r="AJ531" s="71"/>
      <c r="AK531" s="71" t="s">
        <v>181</v>
      </c>
      <c r="AM531" s="59" t="s">
        <v>181</v>
      </c>
    </row>
    <row r="532" spans="1:39">
      <c r="A532" s="62">
        <v>7</v>
      </c>
      <c r="B532" s="93">
        <v>524</v>
      </c>
      <c r="C532" s="68" t="s">
        <v>6751</v>
      </c>
      <c r="D532" s="59" t="s">
        <v>7381</v>
      </c>
      <c r="E532" s="72" t="s">
        <v>5862</v>
      </c>
      <c r="F532" s="73" t="s">
        <v>7382</v>
      </c>
      <c r="G532" s="82">
        <v>44.2</v>
      </c>
      <c r="H532" s="67">
        <v>9506</v>
      </c>
      <c r="I532" s="69">
        <v>0</v>
      </c>
      <c r="J532" s="70">
        <v>11266</v>
      </c>
      <c r="K532" s="75">
        <v>5.8140422510207701</v>
      </c>
      <c r="L532" s="74">
        <v>0</v>
      </c>
      <c r="M532" s="76">
        <v>0</v>
      </c>
      <c r="N532" s="67">
        <v>1968</v>
      </c>
      <c r="O532" s="64">
        <v>612</v>
      </c>
      <c r="Q532" s="59">
        <v>13</v>
      </c>
      <c r="R532" s="59">
        <v>1</v>
      </c>
      <c r="S532" s="59">
        <v>1</v>
      </c>
      <c r="T532" s="63" t="s">
        <v>6754</v>
      </c>
      <c r="U532" s="63">
        <v>398</v>
      </c>
      <c r="V532" s="70">
        <v>15625</v>
      </c>
      <c r="W532" s="70">
        <v>16000</v>
      </c>
      <c r="X532" s="83" t="s">
        <v>5938</v>
      </c>
      <c r="Y532" s="70">
        <v>11000</v>
      </c>
      <c r="Z532" s="63" t="s">
        <v>5866</v>
      </c>
      <c r="AC532" s="67"/>
      <c r="AD532" s="61" t="s">
        <v>7383</v>
      </c>
      <c r="AE532" s="71"/>
      <c r="AF532" s="71"/>
      <c r="AG532" s="71"/>
      <c r="AH532" s="71"/>
      <c r="AI532" s="71"/>
      <c r="AJ532" s="71"/>
      <c r="AK532" s="71" t="s">
        <v>181</v>
      </c>
      <c r="AM532" s="59" t="s">
        <v>181</v>
      </c>
    </row>
    <row r="533" spans="1:39">
      <c r="A533" s="62">
        <v>7</v>
      </c>
      <c r="B533" s="93">
        <v>525</v>
      </c>
      <c r="C533" s="68" t="s">
        <v>6751</v>
      </c>
      <c r="D533" s="59" t="s">
        <v>7384</v>
      </c>
      <c r="E533" s="72" t="s">
        <v>5862</v>
      </c>
      <c r="F533" s="73" t="s">
        <v>7385</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6754</v>
      </c>
      <c r="U533" s="63">
        <v>401</v>
      </c>
      <c r="V533" s="70">
        <v>33750</v>
      </c>
      <c r="W533" s="70">
        <v>34000</v>
      </c>
      <c r="X533" s="83" t="s">
        <v>6271</v>
      </c>
      <c r="Y533" s="70">
        <v>31000</v>
      </c>
      <c r="Z533" s="63" t="s">
        <v>5866</v>
      </c>
      <c r="AC533" s="67"/>
      <c r="AD533" s="61" t="s">
        <v>7386</v>
      </c>
      <c r="AE533" s="71"/>
      <c r="AF533" s="71"/>
      <c r="AG533" s="71"/>
      <c r="AH533" s="71"/>
      <c r="AI533" s="71"/>
      <c r="AJ533" s="71"/>
      <c r="AK533" s="71" t="s">
        <v>181</v>
      </c>
      <c r="AM533" s="59" t="s">
        <v>181</v>
      </c>
    </row>
    <row r="534" spans="1:39">
      <c r="A534" s="62">
        <v>7</v>
      </c>
      <c r="B534" s="93">
        <v>526</v>
      </c>
      <c r="C534" s="68" t="s">
        <v>6751</v>
      </c>
      <c r="D534" s="59" t="s">
        <v>6681</v>
      </c>
      <c r="E534" s="72" t="s">
        <v>5862</v>
      </c>
      <c r="F534" s="73" t="s">
        <v>7387</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6754</v>
      </c>
      <c r="U534" s="63">
        <v>398</v>
      </c>
      <c r="V534" s="70">
        <v>17968</v>
      </c>
      <c r="W534" s="70">
        <v>18000</v>
      </c>
      <c r="X534" s="83" t="s">
        <v>6128</v>
      </c>
      <c r="Y534" s="70">
        <v>15000</v>
      </c>
      <c r="Z534" s="63" t="s">
        <v>5866</v>
      </c>
      <c r="AC534" s="67"/>
      <c r="AD534" s="61" t="s">
        <v>181</v>
      </c>
      <c r="AE534" s="71"/>
      <c r="AF534" s="71"/>
      <c r="AG534" s="71"/>
      <c r="AH534" s="71"/>
      <c r="AI534" s="71"/>
      <c r="AJ534" s="71"/>
      <c r="AK534" s="71" t="s">
        <v>181</v>
      </c>
      <c r="AM534" s="59" t="s">
        <v>181</v>
      </c>
    </row>
    <row r="535" spans="1:39">
      <c r="A535" s="62">
        <v>7</v>
      </c>
      <c r="B535" s="93">
        <v>527</v>
      </c>
      <c r="C535" s="68" t="s">
        <v>6751</v>
      </c>
      <c r="D535" s="59" t="s">
        <v>6683</v>
      </c>
      <c r="E535" s="72" t="s">
        <v>5862</v>
      </c>
      <c r="F535" s="73" t="s">
        <v>7388</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6754</v>
      </c>
      <c r="U535" s="63">
        <v>401</v>
      </c>
      <c r="V535" s="70">
        <v>38282</v>
      </c>
      <c r="W535" s="70">
        <v>38000</v>
      </c>
      <c r="X535" s="83" t="s">
        <v>6331</v>
      </c>
      <c r="Y535" s="70">
        <v>29000</v>
      </c>
      <c r="Z535" s="63" t="s">
        <v>5866</v>
      </c>
      <c r="AC535" s="67"/>
      <c r="AD535" s="61" t="s">
        <v>6685</v>
      </c>
      <c r="AE535" s="71"/>
      <c r="AF535" s="71"/>
      <c r="AG535" s="71"/>
      <c r="AH535" s="71"/>
      <c r="AI535" s="71"/>
      <c r="AJ535" s="71"/>
      <c r="AK535" s="71" t="s">
        <v>181</v>
      </c>
      <c r="AM535" s="59" t="s">
        <v>181</v>
      </c>
    </row>
    <row r="536" spans="1:39">
      <c r="A536" s="62">
        <v>7</v>
      </c>
      <c r="B536" s="93">
        <v>528</v>
      </c>
      <c r="C536" s="68" t="s">
        <v>6751</v>
      </c>
      <c r="D536" s="59" t="s">
        <v>6689</v>
      </c>
      <c r="E536" s="72" t="s">
        <v>5862</v>
      </c>
      <c r="F536" s="73" t="s">
        <v>7389</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6757</v>
      </c>
      <c r="U536" s="63">
        <v>401</v>
      </c>
      <c r="V536" s="70">
        <v>12500</v>
      </c>
      <c r="W536" s="70">
        <v>13000</v>
      </c>
      <c r="X536" s="83" t="s">
        <v>7042</v>
      </c>
      <c r="Y536" s="70">
        <v>2000</v>
      </c>
      <c r="Z536" s="63" t="s">
        <v>5866</v>
      </c>
      <c r="AC536" s="67"/>
      <c r="AD536" s="61" t="s">
        <v>6691</v>
      </c>
      <c r="AE536" s="71"/>
      <c r="AF536" s="71"/>
      <c r="AG536" s="71"/>
      <c r="AH536" s="71"/>
      <c r="AI536" s="71"/>
      <c r="AJ536" s="71"/>
      <c r="AK536" s="71" t="s">
        <v>181</v>
      </c>
      <c r="AM536" s="59" t="s">
        <v>181</v>
      </c>
    </row>
    <row r="537" spans="1:39">
      <c r="A537" s="62">
        <v>7</v>
      </c>
      <c r="B537" s="93">
        <v>529</v>
      </c>
      <c r="C537" s="68" t="s">
        <v>6751</v>
      </c>
      <c r="D537" s="59" t="s">
        <v>7390</v>
      </c>
      <c r="E537" s="72" t="s">
        <v>5862</v>
      </c>
      <c r="F537" s="73" t="s">
        <v>7391</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6757</v>
      </c>
      <c r="U537" s="63">
        <v>398</v>
      </c>
      <c r="V537" s="70">
        <v>33135</v>
      </c>
      <c r="W537" s="70">
        <v>33000</v>
      </c>
      <c r="X537" s="83" t="s">
        <v>5871</v>
      </c>
      <c r="Y537" s="70">
        <v>5000</v>
      </c>
      <c r="Z537" s="63" t="s">
        <v>5866</v>
      </c>
      <c r="AC537" s="67"/>
      <c r="AD537" s="61" t="s">
        <v>7392</v>
      </c>
      <c r="AE537" s="71"/>
      <c r="AF537" s="71"/>
      <c r="AG537" s="71"/>
      <c r="AH537" s="71"/>
      <c r="AI537" s="71"/>
      <c r="AJ537" s="71"/>
      <c r="AK537" s="71" t="s">
        <v>7393</v>
      </c>
      <c r="AM537" s="59" t="s">
        <v>181</v>
      </c>
    </row>
    <row r="538" spans="1:39">
      <c r="A538" s="62">
        <v>7</v>
      </c>
      <c r="B538" s="93">
        <v>530</v>
      </c>
      <c r="C538" s="68" t="s">
        <v>6751</v>
      </c>
      <c r="D538" s="59" t="s">
        <v>6698</v>
      </c>
      <c r="E538" s="72" t="s">
        <v>5862</v>
      </c>
      <c r="F538" s="73" t="s">
        <v>7394</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6754</v>
      </c>
      <c r="U538" s="63">
        <v>398</v>
      </c>
      <c r="V538" s="70">
        <v>21128</v>
      </c>
      <c r="W538" s="70">
        <v>21000</v>
      </c>
      <c r="X538" s="83" t="s">
        <v>5874</v>
      </c>
      <c r="Y538" s="70">
        <v>9000</v>
      </c>
      <c r="Z538" s="63" t="s">
        <v>5866</v>
      </c>
      <c r="AC538" s="67"/>
      <c r="AD538" s="61" t="s">
        <v>181</v>
      </c>
      <c r="AE538" s="71"/>
      <c r="AF538" s="71"/>
      <c r="AG538" s="71"/>
      <c r="AH538" s="71"/>
      <c r="AI538" s="71"/>
      <c r="AJ538" s="71"/>
      <c r="AK538" s="71" t="s">
        <v>7395</v>
      </c>
      <c r="AM538" s="59" t="s">
        <v>181</v>
      </c>
    </row>
    <row r="539" spans="1:39">
      <c r="A539" s="62">
        <v>7</v>
      </c>
      <c r="B539" s="93">
        <v>531</v>
      </c>
      <c r="C539" s="68" t="s">
        <v>6751</v>
      </c>
      <c r="D539" s="59" t="s">
        <v>7396</v>
      </c>
      <c r="E539" s="72" t="s">
        <v>5862</v>
      </c>
      <c r="F539" s="73" t="s">
        <v>7397</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6759</v>
      </c>
      <c r="U539" s="63">
        <v>396</v>
      </c>
      <c r="V539" s="70">
        <v>76475</v>
      </c>
      <c r="W539" s="70">
        <v>76000</v>
      </c>
      <c r="X539" s="83" t="s">
        <v>6516</v>
      </c>
      <c r="Y539" s="70">
        <v>26000</v>
      </c>
      <c r="Z539" s="63" t="s">
        <v>5866</v>
      </c>
      <c r="AC539" s="67"/>
      <c r="AD539" s="61" t="s">
        <v>7398</v>
      </c>
      <c r="AE539" s="71"/>
      <c r="AF539" s="71"/>
      <c r="AG539" s="71"/>
      <c r="AH539" s="71"/>
      <c r="AI539" s="71"/>
      <c r="AJ539" s="71"/>
      <c r="AK539" s="71" t="s">
        <v>7399</v>
      </c>
      <c r="AM539" s="59" t="s">
        <v>181</v>
      </c>
    </row>
    <row r="540" spans="1:39">
      <c r="A540" s="62">
        <v>7</v>
      </c>
      <c r="B540" s="93">
        <v>532</v>
      </c>
      <c r="C540" s="68" t="s">
        <v>6751</v>
      </c>
      <c r="D540" s="59" t="s">
        <v>7400</v>
      </c>
      <c r="E540" s="72" t="s">
        <v>5862</v>
      </c>
      <c r="F540" s="73" t="s">
        <v>7401</v>
      </c>
      <c r="G540" s="67">
        <v>44.1</v>
      </c>
      <c r="H540" s="67">
        <v>9506</v>
      </c>
      <c r="I540" s="69">
        <v>0</v>
      </c>
      <c r="J540" s="70">
        <v>2000</v>
      </c>
      <c r="K540" s="75">
        <v>4.8</v>
      </c>
      <c r="L540" s="74">
        <v>0</v>
      </c>
      <c r="M540" s="76">
        <v>0.1479166666666667</v>
      </c>
      <c r="N540" s="67">
        <v>1943</v>
      </c>
      <c r="O540" s="64">
        <v>0</v>
      </c>
      <c r="Q540" s="59">
        <v>10</v>
      </c>
      <c r="R540" s="59">
        <v>7</v>
      </c>
      <c r="S540" s="59">
        <v>1</v>
      </c>
      <c r="T540" s="63" t="s">
        <v>6759</v>
      </c>
      <c r="U540" s="63">
        <v>398</v>
      </c>
      <c r="V540" s="70">
        <v>8650</v>
      </c>
      <c r="W540" s="70">
        <v>9000</v>
      </c>
      <c r="X540" s="83" t="s">
        <v>5933</v>
      </c>
      <c r="Y540" s="70">
        <v>2000</v>
      </c>
      <c r="Z540" s="63" t="s">
        <v>5866</v>
      </c>
      <c r="AC540" s="67"/>
      <c r="AD540" s="61" t="s">
        <v>5904</v>
      </c>
      <c r="AE540" s="71"/>
      <c r="AF540" s="71"/>
      <c r="AG540" s="71"/>
      <c r="AH540" s="71"/>
      <c r="AI540" s="71"/>
      <c r="AJ540" s="71"/>
      <c r="AK540" s="71" t="s">
        <v>7402</v>
      </c>
      <c r="AM540" s="59" t="s">
        <v>181</v>
      </c>
    </row>
    <row r="541" spans="1:39">
      <c r="A541" s="62">
        <v>7</v>
      </c>
      <c r="B541" s="93">
        <v>533</v>
      </c>
      <c r="C541" s="68" t="s">
        <v>6751</v>
      </c>
      <c r="D541" s="59" t="s">
        <v>7403</v>
      </c>
      <c r="E541" s="72" t="s">
        <v>5862</v>
      </c>
      <c r="F541" s="73" t="s">
        <v>7404</v>
      </c>
      <c r="G541" s="67">
        <v>44.1</v>
      </c>
      <c r="H541" s="67">
        <v>9506</v>
      </c>
      <c r="I541" s="69">
        <v>0</v>
      </c>
      <c r="J541" s="70">
        <v>7040</v>
      </c>
      <c r="K541" s="75">
        <v>6.8215909090909088</v>
      </c>
      <c r="L541" s="74">
        <v>0.24</v>
      </c>
      <c r="M541" s="76">
        <v>0</v>
      </c>
      <c r="N541" s="67">
        <v>1973</v>
      </c>
      <c r="O541" s="64">
        <v>1212</v>
      </c>
      <c r="Q541" s="59">
        <v>11</v>
      </c>
      <c r="R541" s="59">
        <v>14</v>
      </c>
      <c r="S541" s="59">
        <v>1</v>
      </c>
      <c r="T541" s="63" t="s">
        <v>6759</v>
      </c>
      <c r="U541" s="63">
        <v>398</v>
      </c>
      <c r="V541" s="70">
        <v>31915</v>
      </c>
      <c r="W541" s="70">
        <v>32000</v>
      </c>
      <c r="X541" s="83" t="s">
        <v>5903</v>
      </c>
      <c r="Y541" s="70">
        <v>7000</v>
      </c>
      <c r="Z541" s="63" t="s">
        <v>5866</v>
      </c>
      <c r="AC541" s="67"/>
      <c r="AD541" s="61" t="s">
        <v>7405</v>
      </c>
      <c r="AE541" s="71"/>
      <c r="AF541" s="71"/>
      <c r="AG541" s="71"/>
      <c r="AH541" s="71"/>
      <c r="AI541" s="71"/>
      <c r="AJ541" s="71"/>
      <c r="AK541" s="71" t="s">
        <v>7406</v>
      </c>
      <c r="AM541" s="59" t="s">
        <v>181</v>
      </c>
    </row>
    <row r="542" spans="1:39">
      <c r="A542" s="62">
        <v>7</v>
      </c>
      <c r="B542" s="93">
        <v>534</v>
      </c>
      <c r="C542" s="68" t="s">
        <v>6751</v>
      </c>
      <c r="D542" s="59" t="s">
        <v>7407</v>
      </c>
      <c r="E542" s="72" t="s">
        <v>5862</v>
      </c>
      <c r="F542" s="73" t="s">
        <v>7408</v>
      </c>
      <c r="G542" s="82">
        <v>44.8</v>
      </c>
      <c r="H542" s="67">
        <v>9506</v>
      </c>
      <c r="I542" s="69">
        <v>0</v>
      </c>
      <c r="J542" s="70">
        <v>2102</v>
      </c>
      <c r="K542" s="75">
        <v>8.5632730732635594</v>
      </c>
      <c r="L542" s="74">
        <v>0</v>
      </c>
      <c r="M542" s="76">
        <v>0</v>
      </c>
      <c r="N542" s="67">
        <v>1982</v>
      </c>
      <c r="O542" s="64">
        <v>0</v>
      </c>
      <c r="Q542" s="59">
        <v>16</v>
      </c>
      <c r="R542" s="59">
        <v>3</v>
      </c>
      <c r="S542" s="59">
        <v>1</v>
      </c>
      <c r="T542" s="63" t="s">
        <v>6754</v>
      </c>
      <c r="U542" s="63">
        <v>398</v>
      </c>
      <c r="V542" s="70">
        <v>3521</v>
      </c>
      <c r="W542" s="70">
        <v>4000</v>
      </c>
      <c r="X542" s="83" t="s">
        <v>6182</v>
      </c>
      <c r="Y542" s="70">
        <v>2000</v>
      </c>
      <c r="Z542" s="63" t="s">
        <v>5866</v>
      </c>
      <c r="AC542" s="67"/>
      <c r="AD542" s="61" t="s">
        <v>7409</v>
      </c>
      <c r="AE542" s="71"/>
      <c r="AF542" s="71"/>
      <c r="AG542" s="71"/>
      <c r="AH542" s="71"/>
      <c r="AI542" s="71"/>
      <c r="AJ542" s="71"/>
      <c r="AK542" s="71" t="s">
        <v>181</v>
      </c>
      <c r="AM542" s="59" t="s">
        <v>181</v>
      </c>
    </row>
    <row r="543" spans="1:39">
      <c r="A543" s="62">
        <v>7</v>
      </c>
      <c r="B543" s="93">
        <v>535</v>
      </c>
      <c r="C543" s="68" t="s">
        <v>6751</v>
      </c>
      <c r="D543" s="59" t="s">
        <v>7410</v>
      </c>
      <c r="E543" s="72" t="s">
        <v>5862</v>
      </c>
      <c r="F543" s="73" t="s">
        <v>7408</v>
      </c>
      <c r="G543" s="82">
        <v>44.8</v>
      </c>
      <c r="H543" s="67">
        <v>9506</v>
      </c>
      <c r="I543" s="69">
        <v>0</v>
      </c>
      <c r="J543" s="70">
        <v>2126</v>
      </c>
      <c r="K543" s="75">
        <v>8.4666039510818436</v>
      </c>
      <c r="L543" s="74">
        <v>0</v>
      </c>
      <c r="M543" s="76">
        <v>0</v>
      </c>
      <c r="N543" s="67">
        <v>1982</v>
      </c>
      <c r="O543" s="64">
        <v>0</v>
      </c>
      <c r="Q543" s="59">
        <v>16</v>
      </c>
      <c r="R543" s="59">
        <v>3</v>
      </c>
      <c r="S543" s="59">
        <v>1</v>
      </c>
      <c r="T543" s="63" t="s">
        <v>6754</v>
      </c>
      <c r="U543" s="63">
        <v>398</v>
      </c>
      <c r="V543" s="70">
        <v>3586</v>
      </c>
      <c r="W543" s="70">
        <v>4000</v>
      </c>
      <c r="X543" s="83" t="s">
        <v>6182</v>
      </c>
      <c r="Y543" s="70">
        <v>2000</v>
      </c>
      <c r="Z543" s="63" t="s">
        <v>5866</v>
      </c>
      <c r="AC543" s="67"/>
      <c r="AD543" s="61" t="s">
        <v>7411</v>
      </c>
      <c r="AE543" s="71"/>
      <c r="AF543" s="71"/>
      <c r="AG543" s="71"/>
      <c r="AH543" s="71"/>
      <c r="AI543" s="71"/>
      <c r="AJ543" s="71"/>
      <c r="AK543" s="71" t="s">
        <v>181</v>
      </c>
      <c r="AM543" s="59" t="s">
        <v>181</v>
      </c>
    </row>
    <row r="544" spans="1:39">
      <c r="A544" s="62">
        <v>7</v>
      </c>
      <c r="B544" s="93">
        <v>536</v>
      </c>
      <c r="C544" s="68" t="s">
        <v>6751</v>
      </c>
      <c r="D544" s="59" t="s">
        <v>6703</v>
      </c>
      <c r="E544" s="72" t="s">
        <v>5862</v>
      </c>
      <c r="F544" s="73" t="s">
        <v>7412</v>
      </c>
      <c r="G544" s="67">
        <v>44.1</v>
      </c>
      <c r="H544" s="67">
        <v>9506</v>
      </c>
      <c r="I544" s="69">
        <v>0</v>
      </c>
      <c r="J544" s="70">
        <v>2000</v>
      </c>
      <c r="K544" s="75">
        <v>5.94</v>
      </c>
      <c r="L544" s="74">
        <v>0</v>
      </c>
      <c r="M544" s="76">
        <v>0.34587542087542089</v>
      </c>
      <c r="N544" s="67">
        <v>1960</v>
      </c>
      <c r="O544" s="64">
        <v>0</v>
      </c>
      <c r="Q544" s="59">
        <v>12</v>
      </c>
      <c r="R544" s="59">
        <v>1</v>
      </c>
      <c r="S544" s="59">
        <v>2</v>
      </c>
      <c r="T544" s="63" t="s">
        <v>6754</v>
      </c>
      <c r="U544" s="63">
        <v>398</v>
      </c>
      <c r="V544" s="70">
        <v>9375</v>
      </c>
      <c r="W544" s="70">
        <v>9000</v>
      </c>
      <c r="X544" s="83" t="s">
        <v>5878</v>
      </c>
      <c r="Y544" s="70">
        <v>2000</v>
      </c>
      <c r="Z544" s="63" t="s">
        <v>5866</v>
      </c>
      <c r="AC544" s="67"/>
      <c r="AD544" s="61" t="s">
        <v>6705</v>
      </c>
      <c r="AE544" s="71"/>
      <c r="AF544" s="71"/>
      <c r="AG544" s="71"/>
      <c r="AH544" s="71"/>
      <c r="AI544" s="71"/>
      <c r="AJ544" s="71"/>
      <c r="AK544" s="71" t="s">
        <v>7413</v>
      </c>
      <c r="AM544" s="59" t="s">
        <v>181</v>
      </c>
    </row>
    <row r="545" spans="1:39">
      <c r="A545" s="62">
        <v>7</v>
      </c>
      <c r="B545" s="93">
        <v>537</v>
      </c>
      <c r="C545" s="68" t="s">
        <v>6751</v>
      </c>
      <c r="D545" s="59" t="s">
        <v>6706</v>
      </c>
      <c r="E545" s="72" t="s">
        <v>5862</v>
      </c>
      <c r="F545" s="73" t="s">
        <v>7414</v>
      </c>
      <c r="G545" s="67">
        <v>44.1</v>
      </c>
      <c r="H545" s="67">
        <v>9506</v>
      </c>
      <c r="I545" s="69">
        <v>0</v>
      </c>
      <c r="J545" s="70">
        <v>4000</v>
      </c>
      <c r="K545" s="75">
        <v>6.1</v>
      </c>
      <c r="L545" s="74">
        <v>0</v>
      </c>
      <c r="M545" s="76">
        <v>0.110327868852459</v>
      </c>
      <c r="N545" s="67">
        <v>1962</v>
      </c>
      <c r="O545" s="64">
        <v>0</v>
      </c>
      <c r="Q545" s="59">
        <v>12</v>
      </c>
      <c r="R545" s="59">
        <v>1</v>
      </c>
      <c r="S545" s="59">
        <v>1</v>
      </c>
      <c r="T545" s="63" t="s">
        <v>6754</v>
      </c>
      <c r="U545" s="63">
        <v>398</v>
      </c>
      <c r="V545" s="70">
        <v>9375</v>
      </c>
      <c r="W545" s="70">
        <v>9000</v>
      </c>
      <c r="X545" s="83" t="s">
        <v>5874</v>
      </c>
      <c r="Y545" s="70">
        <v>4000</v>
      </c>
      <c r="Z545" s="63" t="s">
        <v>5866</v>
      </c>
      <c r="AC545" s="67"/>
      <c r="AD545" s="61" t="s">
        <v>6708</v>
      </c>
      <c r="AE545" s="71"/>
      <c r="AF545" s="71"/>
      <c r="AG545" s="71"/>
      <c r="AH545" s="71"/>
      <c r="AI545" s="71"/>
      <c r="AJ545" s="71"/>
      <c r="AK545" s="71" t="s">
        <v>181</v>
      </c>
      <c r="AM545" s="59" t="s">
        <v>181</v>
      </c>
    </row>
    <row r="546" spans="1:39">
      <c r="A546" s="62">
        <v>7</v>
      </c>
      <c r="B546" s="93">
        <v>538</v>
      </c>
      <c r="C546" s="68" t="s">
        <v>6751</v>
      </c>
      <c r="D546" s="59" t="s">
        <v>6709</v>
      </c>
      <c r="E546" s="72" t="s">
        <v>5862</v>
      </c>
      <c r="F546" s="73" t="s">
        <v>7415</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6754</v>
      </c>
      <c r="U546" s="63">
        <v>401</v>
      </c>
      <c r="V546" s="70">
        <v>12500</v>
      </c>
      <c r="W546" s="70">
        <v>13000</v>
      </c>
      <c r="X546" s="83" t="s">
        <v>5979</v>
      </c>
      <c r="Y546" s="70">
        <v>4000</v>
      </c>
      <c r="Z546" s="63" t="s">
        <v>5866</v>
      </c>
      <c r="AC546" s="67"/>
      <c r="AD546" s="61" t="s">
        <v>6711</v>
      </c>
      <c r="AE546" s="71"/>
      <c r="AF546" s="71"/>
      <c r="AG546" s="71"/>
      <c r="AH546" s="71"/>
      <c r="AI546" s="71"/>
      <c r="AJ546" s="71"/>
      <c r="AK546" s="71" t="s">
        <v>181</v>
      </c>
      <c r="AM546" s="59" t="s">
        <v>181</v>
      </c>
    </row>
    <row r="547" spans="1:39">
      <c r="A547" s="62">
        <v>7</v>
      </c>
      <c r="B547" s="93">
        <v>539</v>
      </c>
      <c r="C547" s="68" t="s">
        <v>6751</v>
      </c>
      <c r="D547" s="59" t="s">
        <v>7416</v>
      </c>
      <c r="E547" s="72" t="s">
        <v>5862</v>
      </c>
      <c r="F547" s="73" t="s">
        <v>7417</v>
      </c>
      <c r="G547" s="67">
        <v>44.1</v>
      </c>
      <c r="H547" s="67">
        <v>9506</v>
      </c>
      <c r="I547" s="69">
        <v>0</v>
      </c>
      <c r="J547" s="70">
        <v>4000</v>
      </c>
      <c r="K547" s="75">
        <v>12</v>
      </c>
      <c r="L547" s="74">
        <v>0</v>
      </c>
      <c r="M547" s="76">
        <v>0</v>
      </c>
      <c r="N547" s="67">
        <v>1972</v>
      </c>
      <c r="O547" s="64">
        <v>0</v>
      </c>
      <c r="Q547" s="59">
        <v>0</v>
      </c>
      <c r="S547" s="59">
        <v>0</v>
      </c>
      <c r="T547" s="63" t="s">
        <v>6754</v>
      </c>
      <c r="U547" s="63">
        <v>397</v>
      </c>
      <c r="V547" s="70">
        <v>6250</v>
      </c>
      <c r="W547" s="70">
        <v>6000</v>
      </c>
      <c r="X547" s="83" t="s">
        <v>5896</v>
      </c>
      <c r="Y547" s="70">
        <v>4000</v>
      </c>
      <c r="Z547" s="63" t="s">
        <v>209</v>
      </c>
      <c r="AC547" s="67"/>
      <c r="AD547" s="61" t="s">
        <v>181</v>
      </c>
      <c r="AE547" s="71"/>
      <c r="AF547" s="71"/>
      <c r="AG547" s="71"/>
      <c r="AH547" s="71"/>
      <c r="AI547" s="71"/>
      <c r="AJ547" s="71"/>
      <c r="AK547" s="71" t="s">
        <v>181</v>
      </c>
      <c r="AM547" s="59" t="s">
        <v>181</v>
      </c>
    </row>
    <row r="548" spans="1:39">
      <c r="A548" s="62">
        <v>7</v>
      </c>
      <c r="B548" s="93">
        <v>540</v>
      </c>
      <c r="C548" s="68" t="s">
        <v>6751</v>
      </c>
      <c r="D548" s="59" t="s">
        <v>6712</v>
      </c>
      <c r="E548" s="72" t="s">
        <v>5862</v>
      </c>
      <c r="F548" s="73" t="s">
        <v>7418</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6754</v>
      </c>
      <c r="U548" s="63">
        <v>397</v>
      </c>
      <c r="V548" s="70">
        <v>15625</v>
      </c>
      <c r="W548" s="70">
        <v>16000</v>
      </c>
      <c r="X548" s="83" t="s">
        <v>5896</v>
      </c>
      <c r="Y548" s="70">
        <v>10000</v>
      </c>
      <c r="Z548" s="63" t="s">
        <v>5866</v>
      </c>
      <c r="AC548" s="67"/>
      <c r="AD548" s="61" t="s">
        <v>181</v>
      </c>
      <c r="AE548" s="71"/>
      <c r="AF548" s="71"/>
      <c r="AG548" s="71"/>
      <c r="AH548" s="71"/>
      <c r="AI548" s="71"/>
      <c r="AJ548" s="71"/>
      <c r="AK548" s="71" t="s">
        <v>181</v>
      </c>
      <c r="AM548" s="59" t="s">
        <v>181</v>
      </c>
    </row>
    <row r="549" spans="1:39">
      <c r="A549" s="62">
        <v>7</v>
      </c>
      <c r="B549" s="93">
        <v>541</v>
      </c>
      <c r="C549" s="68" t="s">
        <v>6751</v>
      </c>
      <c r="D549" s="59" t="s">
        <v>7419</v>
      </c>
      <c r="E549" s="72" t="s">
        <v>5862</v>
      </c>
      <c r="F549" s="73" t="s">
        <v>7420</v>
      </c>
      <c r="G549" s="67">
        <v>44.1</v>
      </c>
      <c r="H549" s="67">
        <v>9506</v>
      </c>
      <c r="I549" s="69">
        <v>0</v>
      </c>
      <c r="J549" s="70">
        <v>5000</v>
      </c>
      <c r="K549" s="75">
        <v>6</v>
      </c>
      <c r="L549" s="74">
        <v>0</v>
      </c>
      <c r="M549" s="76">
        <v>0.1080333333333333</v>
      </c>
      <c r="N549" s="67">
        <v>1966</v>
      </c>
      <c r="O549" s="64">
        <v>521</v>
      </c>
      <c r="Q549" s="59">
        <v>14</v>
      </c>
      <c r="R549" s="59">
        <v>3</v>
      </c>
      <c r="S549" s="59">
        <v>1</v>
      </c>
      <c r="T549" s="63" t="s">
        <v>6754</v>
      </c>
      <c r="U549" s="63">
        <v>397</v>
      </c>
      <c r="V549" s="70">
        <v>6250</v>
      </c>
      <c r="W549" s="70">
        <v>6000</v>
      </c>
      <c r="X549" s="83" t="s">
        <v>6331</v>
      </c>
      <c r="Y549" s="70">
        <v>5000</v>
      </c>
      <c r="Z549" s="63" t="s">
        <v>5866</v>
      </c>
      <c r="AC549" s="67"/>
      <c r="AD549" s="61" t="s">
        <v>7421</v>
      </c>
      <c r="AE549" s="71"/>
      <c r="AF549" s="71"/>
      <c r="AG549" s="71"/>
      <c r="AH549" s="71"/>
      <c r="AI549" s="71"/>
      <c r="AJ549" s="71"/>
      <c r="AK549" s="71" t="s">
        <v>6755</v>
      </c>
      <c r="AM549" s="59" t="s">
        <v>181</v>
      </c>
    </row>
    <row r="550" spans="1:39">
      <c r="A550" s="62">
        <v>7</v>
      </c>
      <c r="B550" s="93">
        <v>542</v>
      </c>
      <c r="C550" s="68" t="s">
        <v>6751</v>
      </c>
      <c r="D550" s="59" t="s">
        <v>7422</v>
      </c>
      <c r="E550" s="72" t="s">
        <v>5862</v>
      </c>
      <c r="F550" s="73" t="s">
        <v>7423</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6754</v>
      </c>
      <c r="U550" s="63">
        <v>397</v>
      </c>
      <c r="V550" s="70">
        <v>12500</v>
      </c>
      <c r="W550" s="70">
        <v>13000</v>
      </c>
      <c r="X550" s="83" t="s">
        <v>5874</v>
      </c>
      <c r="Y550" s="70">
        <v>5000</v>
      </c>
      <c r="Z550" s="63" t="s">
        <v>5866</v>
      </c>
      <c r="AC550" s="67"/>
      <c r="AD550" s="61" t="s">
        <v>7424</v>
      </c>
      <c r="AE550" s="71"/>
      <c r="AF550" s="71"/>
      <c r="AG550" s="71"/>
      <c r="AH550" s="71"/>
      <c r="AI550" s="71"/>
      <c r="AJ550" s="71"/>
      <c r="AK550" s="71" t="s">
        <v>6755</v>
      </c>
      <c r="AM550" s="59" t="s">
        <v>181</v>
      </c>
    </row>
    <row r="551" spans="1:39">
      <c r="A551" s="62">
        <v>7</v>
      </c>
      <c r="B551" s="93">
        <v>543</v>
      </c>
      <c r="C551" s="68" t="s">
        <v>6751</v>
      </c>
      <c r="D551" s="59" t="s">
        <v>6714</v>
      </c>
      <c r="E551" s="72" t="s">
        <v>5862</v>
      </c>
      <c r="F551" s="73" t="s">
        <v>7425</v>
      </c>
      <c r="G551" s="82">
        <v>44.2</v>
      </c>
      <c r="H551" s="67">
        <v>9506</v>
      </c>
      <c r="I551" s="69">
        <v>0</v>
      </c>
      <c r="J551" s="70">
        <v>2000</v>
      </c>
      <c r="K551" s="75">
        <v>7.2</v>
      </c>
      <c r="L551" s="74">
        <v>0</v>
      </c>
      <c r="M551" s="76">
        <v>7.9166666666666663E-2</v>
      </c>
      <c r="N551" s="67">
        <v>1962</v>
      </c>
      <c r="O551" s="64">
        <v>0</v>
      </c>
      <c r="Q551" s="59">
        <v>12</v>
      </c>
      <c r="R551" s="59">
        <v>3</v>
      </c>
      <c r="S551" s="59">
        <v>1</v>
      </c>
      <c r="T551" s="63" t="s">
        <v>6754</v>
      </c>
      <c r="U551" s="63">
        <v>398</v>
      </c>
      <c r="V551" s="70">
        <v>12500</v>
      </c>
      <c r="W551" s="70">
        <v>13000</v>
      </c>
      <c r="X551" s="83" t="s">
        <v>6716</v>
      </c>
      <c r="Y551" s="70">
        <v>2000</v>
      </c>
      <c r="Z551" s="63" t="s">
        <v>5866</v>
      </c>
      <c r="AC551" s="67"/>
      <c r="AD551" s="61" t="s">
        <v>6717</v>
      </c>
      <c r="AE551" s="71"/>
      <c r="AF551" s="71"/>
      <c r="AG551" s="71"/>
      <c r="AH551" s="71"/>
      <c r="AI551" s="71"/>
      <c r="AJ551" s="71"/>
      <c r="AK551" s="71" t="s">
        <v>6755</v>
      </c>
      <c r="AM551" s="59" t="s">
        <v>181</v>
      </c>
    </row>
    <row r="552" spans="1:39">
      <c r="A552" s="62">
        <v>7</v>
      </c>
      <c r="B552" s="93">
        <v>544</v>
      </c>
      <c r="C552" s="68" t="s">
        <v>6751</v>
      </c>
      <c r="D552" s="59" t="s">
        <v>7426</v>
      </c>
      <c r="E552" s="72" t="s">
        <v>5862</v>
      </c>
      <c r="F552" s="73" t="s">
        <v>7427</v>
      </c>
      <c r="G552" s="82" t="s">
        <v>6239</v>
      </c>
      <c r="H552" s="67">
        <v>9506</v>
      </c>
      <c r="I552" s="69">
        <v>0</v>
      </c>
      <c r="J552" s="70">
        <v>2490</v>
      </c>
      <c r="K552" s="75">
        <v>7.7108433734939759</v>
      </c>
      <c r="L552" s="74">
        <v>0</v>
      </c>
      <c r="M552" s="76">
        <v>0</v>
      </c>
      <c r="N552" s="67">
        <v>1954</v>
      </c>
      <c r="O552" s="64">
        <v>0</v>
      </c>
      <c r="Q552" s="59">
        <v>10</v>
      </c>
      <c r="R552" s="59">
        <v>1</v>
      </c>
      <c r="S552" s="59">
        <v>1</v>
      </c>
      <c r="T552" s="63" t="s">
        <v>6754</v>
      </c>
      <c r="U552" s="63">
        <v>398</v>
      </c>
      <c r="V552" s="70">
        <v>29660</v>
      </c>
      <c r="W552" s="70">
        <v>30000</v>
      </c>
      <c r="X552" s="83" t="s">
        <v>7428</v>
      </c>
      <c r="Y552" s="70">
        <v>2000</v>
      </c>
      <c r="Z552" s="63" t="s">
        <v>5866</v>
      </c>
      <c r="AC552" s="67"/>
      <c r="AD552" s="61" t="s">
        <v>181</v>
      </c>
      <c r="AE552" s="71"/>
      <c r="AF552" s="71"/>
      <c r="AG552" s="71"/>
      <c r="AH552" s="71"/>
      <c r="AI552" s="71"/>
      <c r="AJ552" s="71"/>
      <c r="AK552" s="71" t="s">
        <v>181</v>
      </c>
      <c r="AM552" s="59" t="s">
        <v>181</v>
      </c>
    </row>
    <row r="553" spans="1:39">
      <c r="A553" s="62">
        <v>7</v>
      </c>
      <c r="B553" s="93">
        <v>545</v>
      </c>
      <c r="C553" s="68" t="s">
        <v>6751</v>
      </c>
      <c r="D553" s="59" t="s">
        <v>7429</v>
      </c>
      <c r="E553" s="72" t="s">
        <v>5862</v>
      </c>
      <c r="F553" s="73" t="s">
        <v>7430</v>
      </c>
      <c r="G553" s="67">
        <v>44.1</v>
      </c>
      <c r="H553" s="67">
        <v>9506</v>
      </c>
      <c r="I553" s="69">
        <v>0</v>
      </c>
      <c r="J553" s="70">
        <v>1360</v>
      </c>
      <c r="K553" s="75">
        <v>13.23529411764706</v>
      </c>
      <c r="L553" s="74">
        <v>0</v>
      </c>
      <c r="M553" s="76">
        <v>0</v>
      </c>
      <c r="N553" s="67">
        <v>1970</v>
      </c>
      <c r="O553" s="64">
        <v>200</v>
      </c>
      <c r="Q553" s="59">
        <v>12</v>
      </c>
      <c r="R553" s="59">
        <v>7</v>
      </c>
      <c r="S553" s="59">
        <v>1</v>
      </c>
      <c r="T553" s="63" t="s">
        <v>6754</v>
      </c>
      <c r="U553" s="63">
        <v>398</v>
      </c>
      <c r="V553" s="70">
        <v>9975</v>
      </c>
      <c r="W553" s="70">
        <v>10000</v>
      </c>
      <c r="X553" s="83" t="s">
        <v>6134</v>
      </c>
      <c r="Y553" s="70">
        <v>1000</v>
      </c>
      <c r="Z553" s="63" t="s">
        <v>5866</v>
      </c>
      <c r="AC553" s="67"/>
      <c r="AD553" s="61" t="s">
        <v>7431</v>
      </c>
      <c r="AE553" s="71"/>
      <c r="AF553" s="71"/>
      <c r="AG553" s="71"/>
      <c r="AH553" s="71"/>
      <c r="AI553" s="71"/>
      <c r="AJ553" s="71"/>
      <c r="AK553" s="71" t="s">
        <v>7432</v>
      </c>
      <c r="AM553" s="59" t="s">
        <v>181</v>
      </c>
    </row>
    <row r="554" spans="1:39">
      <c r="A554" s="62">
        <v>7</v>
      </c>
      <c r="B554" s="93">
        <v>546</v>
      </c>
      <c r="C554" s="68" t="s">
        <v>6751</v>
      </c>
      <c r="D554" s="59" t="s">
        <v>7433</v>
      </c>
      <c r="E554" s="72" t="s">
        <v>5862</v>
      </c>
      <c r="F554" s="73" t="s">
        <v>7434</v>
      </c>
      <c r="G554" s="82">
        <v>44.2</v>
      </c>
      <c r="H554" s="67">
        <v>9506</v>
      </c>
      <c r="I554" s="69">
        <v>0</v>
      </c>
      <c r="J554" s="70">
        <v>5500</v>
      </c>
      <c r="K554" s="75">
        <v>4.8</v>
      </c>
      <c r="L554" s="74">
        <v>0</v>
      </c>
      <c r="M554" s="76">
        <v>0</v>
      </c>
      <c r="N554" s="67">
        <v>1982</v>
      </c>
      <c r="O554" s="64">
        <v>1500</v>
      </c>
      <c r="Q554" s="59">
        <v>19</v>
      </c>
      <c r="R554" s="59">
        <v>7</v>
      </c>
      <c r="S554" s="59">
        <v>1</v>
      </c>
      <c r="T554" s="63" t="s">
        <v>6754</v>
      </c>
      <c r="U554" s="63">
        <v>398</v>
      </c>
      <c r="V554" s="70">
        <v>29925</v>
      </c>
      <c r="W554" s="70">
        <v>30000</v>
      </c>
      <c r="X554" s="83" t="s">
        <v>5874</v>
      </c>
      <c r="Y554" s="70">
        <v>6000</v>
      </c>
      <c r="Z554" s="63" t="s">
        <v>5866</v>
      </c>
      <c r="AC554" s="67"/>
      <c r="AD554" s="61" t="s">
        <v>181</v>
      </c>
      <c r="AE554" s="71"/>
      <c r="AF554" s="71"/>
      <c r="AG554" s="71"/>
      <c r="AH554" s="71"/>
      <c r="AI554" s="71"/>
      <c r="AJ554" s="71"/>
      <c r="AK554" s="71" t="s">
        <v>181</v>
      </c>
      <c r="AM554" s="59" t="s">
        <v>181</v>
      </c>
    </row>
    <row r="555" spans="1:39">
      <c r="A555" s="62">
        <v>7</v>
      </c>
      <c r="B555" s="93">
        <v>547</v>
      </c>
      <c r="C555" s="68" t="s">
        <v>6751</v>
      </c>
      <c r="D555" s="59" t="s">
        <v>7435</v>
      </c>
      <c r="E555" s="72" t="s">
        <v>5862</v>
      </c>
      <c r="F555" s="73" t="s">
        <v>7436</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6763</v>
      </c>
      <c r="U555" s="63">
        <v>398</v>
      </c>
      <c r="V555" s="70">
        <v>15960</v>
      </c>
      <c r="W555" s="70">
        <v>16000</v>
      </c>
      <c r="X555" s="83" t="s">
        <v>5928</v>
      </c>
      <c r="Y555" s="70">
        <v>2000</v>
      </c>
      <c r="Z555" s="63" t="s">
        <v>5866</v>
      </c>
      <c r="AC555" s="67"/>
      <c r="AD555" s="61" t="s">
        <v>7437</v>
      </c>
      <c r="AE555" s="71"/>
      <c r="AF555" s="71"/>
      <c r="AG555" s="71"/>
      <c r="AH555" s="71"/>
      <c r="AI555" s="71"/>
      <c r="AJ555" s="71"/>
      <c r="AK555" s="71" t="s">
        <v>7438</v>
      </c>
      <c r="AM555" s="59" t="s">
        <v>181</v>
      </c>
    </row>
    <row r="556" spans="1:39">
      <c r="A556" s="62">
        <v>7</v>
      </c>
      <c r="B556" s="93">
        <v>548</v>
      </c>
      <c r="C556" s="68" t="s">
        <v>6751</v>
      </c>
      <c r="D556" s="59" t="s">
        <v>6721</v>
      </c>
      <c r="E556" s="72" t="s">
        <v>5862</v>
      </c>
      <c r="F556" s="73" t="s">
        <v>7439</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6754</v>
      </c>
      <c r="U556" s="63">
        <v>398</v>
      </c>
      <c r="V556" s="70">
        <v>12500</v>
      </c>
      <c r="W556" s="70">
        <v>13000</v>
      </c>
      <c r="X556" s="83" t="s">
        <v>6128</v>
      </c>
      <c r="Y556" s="70">
        <v>10000</v>
      </c>
      <c r="Z556" s="63" t="s">
        <v>5963</v>
      </c>
      <c r="AC556" s="67"/>
      <c r="AD556" s="61" t="s">
        <v>6723</v>
      </c>
      <c r="AE556" s="71"/>
      <c r="AF556" s="71"/>
      <c r="AG556" s="71"/>
      <c r="AH556" s="71"/>
      <c r="AI556" s="71"/>
      <c r="AJ556" s="71"/>
      <c r="AK556" s="71" t="s">
        <v>6755</v>
      </c>
      <c r="AM556" s="59" t="s">
        <v>181</v>
      </c>
    </row>
    <row r="557" spans="1:39">
      <c r="A557" s="62">
        <v>7</v>
      </c>
      <c r="B557" s="93">
        <v>549</v>
      </c>
      <c r="C557" s="68" t="s">
        <v>6751</v>
      </c>
      <c r="D557" s="59" t="s">
        <v>6727</v>
      </c>
      <c r="E557" s="72" t="s">
        <v>5862</v>
      </c>
      <c r="F557" s="73" t="s">
        <v>7440</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6754</v>
      </c>
      <c r="U557" s="63">
        <v>398</v>
      </c>
      <c r="V557" s="70">
        <v>12500</v>
      </c>
      <c r="W557" s="70">
        <v>13000</v>
      </c>
      <c r="X557" s="83" t="s">
        <v>6128</v>
      </c>
      <c r="Y557" s="70">
        <v>10000</v>
      </c>
      <c r="Z557" s="63" t="s">
        <v>5866</v>
      </c>
      <c r="AC557" s="67"/>
      <c r="AD557" s="61" t="s">
        <v>6729</v>
      </c>
      <c r="AE557" s="71"/>
      <c r="AF557" s="71"/>
      <c r="AG557" s="71"/>
      <c r="AH557" s="71"/>
      <c r="AI557" s="71"/>
      <c r="AJ557" s="71"/>
      <c r="AK557" s="71" t="s">
        <v>181</v>
      </c>
      <c r="AM557" s="59" t="s">
        <v>181</v>
      </c>
    </row>
    <row r="558" spans="1:39">
      <c r="A558" s="62">
        <v>7</v>
      </c>
      <c r="B558" s="93">
        <v>550</v>
      </c>
      <c r="C558" s="68" t="s">
        <v>6751</v>
      </c>
      <c r="D558" s="59" t="s">
        <v>6731</v>
      </c>
      <c r="E558" s="72" t="s">
        <v>5862</v>
      </c>
      <c r="F558" s="73" t="s">
        <v>7441</v>
      </c>
      <c r="G558" s="82">
        <v>44.2</v>
      </c>
      <c r="H558" s="67">
        <v>9506</v>
      </c>
      <c r="I558" s="69">
        <v>0</v>
      </c>
      <c r="J558" s="70">
        <v>6000</v>
      </c>
      <c r="K558" s="75">
        <v>6.3</v>
      </c>
      <c r="L558" s="74">
        <v>0</v>
      </c>
      <c r="M558" s="76">
        <v>0.29486772486772489</v>
      </c>
      <c r="N558" s="67">
        <v>1973</v>
      </c>
      <c r="O558" s="64">
        <v>1440</v>
      </c>
      <c r="Q558" s="59">
        <v>14</v>
      </c>
      <c r="R558" s="59">
        <v>1</v>
      </c>
      <c r="S558" s="59">
        <v>1</v>
      </c>
      <c r="T558" s="63" t="s">
        <v>6754</v>
      </c>
      <c r="U558" s="63">
        <v>398</v>
      </c>
      <c r="V558" s="70">
        <v>18750</v>
      </c>
      <c r="W558" s="70">
        <v>19000</v>
      </c>
      <c r="X558" s="83" t="s">
        <v>5896</v>
      </c>
      <c r="Y558" s="70">
        <v>6000</v>
      </c>
      <c r="Z558" s="63" t="s">
        <v>5866</v>
      </c>
      <c r="AC558" s="67"/>
      <c r="AD558" s="61" t="s">
        <v>181</v>
      </c>
      <c r="AE558" s="71"/>
      <c r="AF558" s="71"/>
      <c r="AG558" s="71"/>
      <c r="AH558" s="71"/>
      <c r="AI558" s="71"/>
      <c r="AJ558" s="71"/>
      <c r="AK558" s="71" t="s">
        <v>7442</v>
      </c>
      <c r="AM558" s="59" t="s">
        <v>181</v>
      </c>
    </row>
    <row r="559" spans="1:39">
      <c r="A559" s="62">
        <v>7</v>
      </c>
      <c r="B559" s="93">
        <v>551</v>
      </c>
      <c r="C559" s="68" t="s">
        <v>6751</v>
      </c>
      <c r="D559" s="59" t="s">
        <v>7443</v>
      </c>
      <c r="E559" s="72" t="s">
        <v>5862</v>
      </c>
      <c r="F559" s="73" t="s">
        <v>7444</v>
      </c>
      <c r="G559" s="82">
        <v>44.2</v>
      </c>
      <c r="H559" s="67">
        <v>9506</v>
      </c>
      <c r="I559" s="69">
        <v>0</v>
      </c>
      <c r="J559" s="70">
        <v>4000</v>
      </c>
      <c r="K559" s="75">
        <v>6.45</v>
      </c>
      <c r="L559" s="74">
        <v>0</v>
      </c>
      <c r="M559" s="76">
        <v>0.17953488372093021</v>
      </c>
      <c r="N559" s="67">
        <v>1973</v>
      </c>
      <c r="O559" s="64">
        <v>400</v>
      </c>
      <c r="Q559" s="59">
        <v>14</v>
      </c>
      <c r="R559" s="59">
        <v>1</v>
      </c>
      <c r="S559" s="59">
        <v>2</v>
      </c>
      <c r="T559" s="63" t="s">
        <v>6754</v>
      </c>
      <c r="U559" s="63">
        <v>398</v>
      </c>
      <c r="V559" s="70">
        <v>6250</v>
      </c>
      <c r="W559" s="70">
        <v>6000</v>
      </c>
      <c r="X559" s="83" t="s">
        <v>5896</v>
      </c>
      <c r="Y559" s="70">
        <v>4000</v>
      </c>
      <c r="Z559" s="63" t="s">
        <v>5866</v>
      </c>
      <c r="AC559" s="67"/>
      <c r="AD559" s="61" t="s">
        <v>5879</v>
      </c>
      <c r="AE559" s="71"/>
      <c r="AF559" s="71"/>
      <c r="AG559" s="71"/>
      <c r="AH559" s="71"/>
      <c r="AI559" s="71"/>
      <c r="AJ559" s="71"/>
      <c r="AK559" s="71" t="s">
        <v>181</v>
      </c>
      <c r="AM559" s="59" t="s">
        <v>181</v>
      </c>
    </row>
    <row r="560" spans="1:39">
      <c r="A560" s="62">
        <v>7</v>
      </c>
      <c r="B560" s="93">
        <v>552</v>
      </c>
      <c r="C560" s="68" t="s">
        <v>6751</v>
      </c>
      <c r="D560" s="59" t="s">
        <v>7445</v>
      </c>
      <c r="E560" s="72" t="s">
        <v>5862</v>
      </c>
      <c r="F560" s="73" t="s">
        <v>7446</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7018</v>
      </c>
      <c r="U560" s="63">
        <v>401</v>
      </c>
      <c r="V560" s="70">
        <v>14704</v>
      </c>
      <c r="W560" s="70">
        <v>15000</v>
      </c>
      <c r="X560" s="83" t="s">
        <v>6308</v>
      </c>
      <c r="Y560" s="70">
        <v>3000</v>
      </c>
      <c r="Z560" s="63" t="s">
        <v>5866</v>
      </c>
      <c r="AC560" s="67"/>
      <c r="AD560" s="61" t="s">
        <v>7447</v>
      </c>
      <c r="AE560" s="71"/>
      <c r="AF560" s="71"/>
      <c r="AG560" s="71"/>
      <c r="AH560" s="71"/>
      <c r="AI560" s="71"/>
      <c r="AJ560" s="71"/>
      <c r="AK560" s="71" t="s">
        <v>6755</v>
      </c>
      <c r="AM560" s="59" t="s">
        <v>181</v>
      </c>
    </row>
    <row r="561" spans="1:39">
      <c r="A561" s="62">
        <v>7</v>
      </c>
      <c r="B561" s="93">
        <v>553</v>
      </c>
      <c r="C561" s="68" t="s">
        <v>6751</v>
      </c>
      <c r="D561" s="59" t="s">
        <v>7448</v>
      </c>
      <c r="E561" s="72" t="s">
        <v>5862</v>
      </c>
      <c r="F561" s="73" t="s">
        <v>7449</v>
      </c>
      <c r="G561" s="67">
        <v>44.1</v>
      </c>
      <c r="H561" s="67">
        <v>9601</v>
      </c>
      <c r="I561" s="69">
        <v>0</v>
      </c>
      <c r="J561" s="70">
        <v>1500</v>
      </c>
      <c r="K561" s="75">
        <v>4.8</v>
      </c>
      <c r="L561" s="74">
        <v>0</v>
      </c>
      <c r="M561" s="76">
        <v>0</v>
      </c>
      <c r="N561" s="67">
        <v>1949</v>
      </c>
      <c r="O561" s="64">
        <v>0</v>
      </c>
      <c r="P561" s="64">
        <v>703</v>
      </c>
      <c r="Q561" s="59">
        <v>10</v>
      </c>
      <c r="R561" s="59">
        <v>7</v>
      </c>
      <c r="S561" s="59">
        <v>1</v>
      </c>
      <c r="T561" s="63" t="s">
        <v>7450</v>
      </c>
      <c r="U561" s="63">
        <v>398</v>
      </c>
      <c r="V561" s="70">
        <v>12200</v>
      </c>
      <c r="W561" s="70">
        <v>12000</v>
      </c>
      <c r="X561" s="83" t="s">
        <v>5892</v>
      </c>
      <c r="Y561" s="70">
        <v>2000</v>
      </c>
      <c r="Z561" s="63" t="s">
        <v>5866</v>
      </c>
      <c r="AC561" s="67"/>
      <c r="AD561" s="61" t="s">
        <v>7451</v>
      </c>
      <c r="AE561" s="71"/>
      <c r="AF561" s="71"/>
      <c r="AG561" s="71"/>
      <c r="AH561" s="71"/>
      <c r="AI561" s="71"/>
      <c r="AJ561" s="71"/>
      <c r="AK561" s="71" t="s">
        <v>7452</v>
      </c>
      <c r="AM561" s="59" t="s">
        <v>181</v>
      </c>
    </row>
    <row r="562" spans="1:39">
      <c r="A562" s="62">
        <v>7</v>
      </c>
      <c r="B562" s="93">
        <v>554</v>
      </c>
      <c r="C562" s="68" t="s">
        <v>6751</v>
      </c>
      <c r="D562" s="59" t="s">
        <v>7453</v>
      </c>
      <c r="E562" s="72" t="s">
        <v>5862</v>
      </c>
      <c r="F562" s="73" t="s">
        <v>7454</v>
      </c>
      <c r="G562" s="82">
        <v>44.2</v>
      </c>
      <c r="H562" s="67">
        <v>9601</v>
      </c>
      <c r="I562" s="69">
        <v>0</v>
      </c>
      <c r="J562" s="70">
        <v>5978</v>
      </c>
      <c r="K562" s="75">
        <v>4.5165607226497153</v>
      </c>
      <c r="L562" s="74">
        <v>0</v>
      </c>
      <c r="M562" s="76">
        <v>0</v>
      </c>
      <c r="N562" s="67">
        <v>1964</v>
      </c>
      <c r="O562" s="64">
        <v>0</v>
      </c>
      <c r="Q562" s="59">
        <v>10</v>
      </c>
      <c r="R562" s="59">
        <v>3</v>
      </c>
      <c r="S562" s="59">
        <v>2</v>
      </c>
      <c r="T562" s="63" t="s">
        <v>7450</v>
      </c>
      <c r="U562" s="63">
        <v>398</v>
      </c>
      <c r="V562" s="70">
        <v>12200</v>
      </c>
      <c r="W562" s="70">
        <v>12000</v>
      </c>
      <c r="X562" s="83" t="s">
        <v>6774</v>
      </c>
      <c r="Y562" s="70">
        <v>6000</v>
      </c>
      <c r="Z562" s="63" t="s">
        <v>5866</v>
      </c>
      <c r="AC562" s="67"/>
      <c r="AD562" s="61" t="s">
        <v>181</v>
      </c>
      <c r="AE562" s="71"/>
      <c r="AF562" s="71"/>
      <c r="AG562" s="71"/>
      <c r="AH562" s="71"/>
      <c r="AI562" s="71"/>
      <c r="AJ562" s="71"/>
      <c r="AK562" s="71" t="s">
        <v>7455</v>
      </c>
      <c r="AM562" s="59" t="s">
        <v>181</v>
      </c>
    </row>
    <row r="563" spans="1:39">
      <c r="A563" s="62">
        <v>7</v>
      </c>
      <c r="B563" s="93">
        <v>555</v>
      </c>
      <c r="C563" s="68" t="s">
        <v>6751</v>
      </c>
      <c r="D563" s="59" t="s">
        <v>7456</v>
      </c>
      <c r="E563" s="72" t="s">
        <v>5862</v>
      </c>
      <c r="F563" s="73" t="s">
        <v>7457</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6763</v>
      </c>
      <c r="U563" s="63">
        <v>396</v>
      </c>
      <c r="V563" s="70">
        <v>95897</v>
      </c>
      <c r="W563" s="70">
        <v>96000</v>
      </c>
      <c r="X563" s="83" t="s">
        <v>6331</v>
      </c>
      <c r="Y563" s="70">
        <v>75000</v>
      </c>
      <c r="Z563" s="63" t="s">
        <v>5924</v>
      </c>
      <c r="AC563" s="67"/>
      <c r="AD563" s="61" t="s">
        <v>7458</v>
      </c>
      <c r="AE563" s="71"/>
      <c r="AF563" s="71"/>
      <c r="AG563" s="71"/>
      <c r="AH563" s="71"/>
      <c r="AI563" s="71"/>
      <c r="AJ563" s="71"/>
      <c r="AK563" s="71" t="s">
        <v>181</v>
      </c>
      <c r="AM563" s="59" t="s">
        <v>181</v>
      </c>
    </row>
    <row r="564" spans="1:39">
      <c r="A564" s="62">
        <v>7</v>
      </c>
      <c r="B564" s="93">
        <v>556</v>
      </c>
      <c r="C564" s="68" t="s">
        <v>6751</v>
      </c>
      <c r="D564" s="59" t="s">
        <v>7459</v>
      </c>
      <c r="E564" s="72" t="s">
        <v>5862</v>
      </c>
      <c r="F564" s="73" t="s">
        <v>7460</v>
      </c>
      <c r="G564" s="82">
        <v>44.2</v>
      </c>
      <c r="H564" s="67">
        <v>9603</v>
      </c>
      <c r="I564" s="69">
        <v>0</v>
      </c>
      <c r="J564" s="70">
        <v>3400</v>
      </c>
      <c r="K564" s="75">
        <v>8.84</v>
      </c>
      <c r="L564" s="74">
        <v>0</v>
      </c>
      <c r="M564" s="76">
        <v>0.1080982166622305</v>
      </c>
      <c r="N564" s="67">
        <v>1977</v>
      </c>
      <c r="O564" s="64">
        <v>8901</v>
      </c>
      <c r="Q564" s="59">
        <v>19</v>
      </c>
      <c r="R564" s="59">
        <v>10</v>
      </c>
      <c r="S564" s="59">
        <v>3</v>
      </c>
      <c r="T564" s="63" t="s">
        <v>6754</v>
      </c>
      <c r="U564" s="63">
        <v>398</v>
      </c>
      <c r="V564" s="70">
        <v>41625</v>
      </c>
      <c r="W564" s="70">
        <v>42000</v>
      </c>
      <c r="X564" s="83" t="s">
        <v>5878</v>
      </c>
      <c r="Y564" s="70">
        <v>3000</v>
      </c>
      <c r="Z564" s="63" t="s">
        <v>5866</v>
      </c>
      <c r="AC564" s="67"/>
      <c r="AD564" s="61" t="s">
        <v>6523</v>
      </c>
      <c r="AE564" s="71"/>
      <c r="AF564" s="71"/>
      <c r="AG564" s="71"/>
      <c r="AH564" s="71"/>
      <c r="AI564" s="71"/>
      <c r="AJ564" s="71"/>
      <c r="AK564" s="71" t="s">
        <v>7461</v>
      </c>
      <c r="AM564" s="59" t="s">
        <v>181</v>
      </c>
    </row>
    <row r="565" spans="1:39">
      <c r="A565" s="62">
        <v>7</v>
      </c>
      <c r="B565" s="93">
        <v>557</v>
      </c>
      <c r="C565" s="68" t="s">
        <v>6751</v>
      </c>
      <c r="D565" s="59" t="s">
        <v>6739</v>
      </c>
      <c r="E565" s="72" t="s">
        <v>5862</v>
      </c>
      <c r="F565" s="73" t="s">
        <v>7462</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6757</v>
      </c>
      <c r="U565" s="63">
        <v>398</v>
      </c>
      <c r="V565" s="70">
        <v>43775</v>
      </c>
      <c r="W565" s="70">
        <v>44000</v>
      </c>
      <c r="X565" s="83" t="s">
        <v>6240</v>
      </c>
      <c r="Y565" s="70">
        <v>12000</v>
      </c>
      <c r="Z565" s="63" t="s">
        <v>5866</v>
      </c>
      <c r="AC565" s="67"/>
      <c r="AD565" s="61" t="s">
        <v>6741</v>
      </c>
      <c r="AE565" s="71"/>
      <c r="AF565" s="71"/>
      <c r="AG565" s="71"/>
      <c r="AH565" s="71"/>
      <c r="AI565" s="71"/>
      <c r="AJ565" s="71"/>
      <c r="AK565" s="71" t="s">
        <v>181</v>
      </c>
      <c r="AM565" s="59" t="s">
        <v>181</v>
      </c>
    </row>
    <row r="566" spans="1:39">
      <c r="A566" s="62">
        <v>7</v>
      </c>
      <c r="B566" s="93">
        <v>558</v>
      </c>
      <c r="C566" s="68" t="s">
        <v>6751</v>
      </c>
      <c r="D566" s="59" t="s">
        <v>7463</v>
      </c>
      <c r="E566" s="72" t="s">
        <v>5862</v>
      </c>
      <c r="F566" s="73" t="s">
        <v>7464</v>
      </c>
      <c r="G566" s="82" t="s">
        <v>6239</v>
      </c>
      <c r="H566" s="67">
        <v>9603</v>
      </c>
      <c r="I566" s="69">
        <v>0</v>
      </c>
      <c r="J566" s="70">
        <v>10200</v>
      </c>
      <c r="K566" s="75">
        <v>11.94705882352941</v>
      </c>
      <c r="L566" s="74">
        <v>0</v>
      </c>
      <c r="M566" s="76">
        <v>0.28101099622517639</v>
      </c>
      <c r="N566" s="67">
        <v>1974</v>
      </c>
      <c r="O566" s="64">
        <v>0</v>
      </c>
      <c r="Q566" s="59">
        <v>10</v>
      </c>
      <c r="R566" s="59">
        <v>3</v>
      </c>
      <c r="S566" s="59">
        <v>56</v>
      </c>
      <c r="T566" s="63" t="s">
        <v>6757</v>
      </c>
      <c r="U566" s="63">
        <v>396</v>
      </c>
      <c r="V566" s="70">
        <v>34151</v>
      </c>
      <c r="W566" s="70">
        <v>34000</v>
      </c>
      <c r="X566" s="83" t="s">
        <v>5871</v>
      </c>
      <c r="Y566" s="70">
        <v>10000</v>
      </c>
      <c r="Z566" s="63" t="s">
        <v>5866</v>
      </c>
      <c r="AC566" s="67"/>
      <c r="AD566" s="61" t="s">
        <v>7465</v>
      </c>
      <c r="AE566" s="71"/>
      <c r="AF566" s="71"/>
      <c r="AG566" s="71"/>
      <c r="AH566" s="71"/>
      <c r="AI566" s="71"/>
      <c r="AJ566" s="71"/>
      <c r="AK566" s="71" t="s">
        <v>181</v>
      </c>
      <c r="AM566" s="59" t="s">
        <v>181</v>
      </c>
    </row>
    <row r="567" spans="1:39">
      <c r="A567" s="62">
        <v>7</v>
      </c>
      <c r="B567" s="93">
        <v>559</v>
      </c>
      <c r="C567" s="68" t="s">
        <v>6751</v>
      </c>
      <c r="D567" s="59" t="s">
        <v>7466</v>
      </c>
      <c r="E567" s="72" t="s">
        <v>5862</v>
      </c>
      <c r="F567" s="73" t="s">
        <v>7467</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6757</v>
      </c>
      <c r="U567" s="63">
        <v>398</v>
      </c>
      <c r="V567" s="70">
        <v>66517</v>
      </c>
      <c r="W567" s="70">
        <v>67000</v>
      </c>
      <c r="X567" s="83" t="s">
        <v>6182</v>
      </c>
      <c r="Y567" s="70">
        <v>40000</v>
      </c>
      <c r="Z567" s="63" t="s">
        <v>5866</v>
      </c>
      <c r="AC567" s="67"/>
      <c r="AD567" s="61" t="s">
        <v>7468</v>
      </c>
      <c r="AE567" s="71"/>
      <c r="AF567" s="71"/>
      <c r="AG567" s="71"/>
      <c r="AH567" s="71"/>
      <c r="AI567" s="71"/>
      <c r="AJ567" s="71"/>
      <c r="AK567" s="71" t="s">
        <v>181</v>
      </c>
      <c r="AM567" s="59" t="s">
        <v>181</v>
      </c>
    </row>
    <row r="568" spans="1:39">
      <c r="A568" s="62">
        <v>7</v>
      </c>
      <c r="B568" s="93">
        <v>560</v>
      </c>
      <c r="C568" s="68" t="s">
        <v>6751</v>
      </c>
      <c r="D568" s="59" t="s">
        <v>7469</v>
      </c>
      <c r="E568" s="72" t="s">
        <v>5862</v>
      </c>
      <c r="F568" s="73" t="s">
        <v>7470</v>
      </c>
      <c r="G568" s="67">
        <v>44.1</v>
      </c>
      <c r="H568" s="67">
        <v>9603</v>
      </c>
      <c r="I568" s="69">
        <v>0</v>
      </c>
      <c r="J568" s="70">
        <v>6752</v>
      </c>
      <c r="K568" s="75">
        <v>7.2867298578199051</v>
      </c>
      <c r="L568" s="74">
        <v>0</v>
      </c>
      <c r="M568" s="76">
        <v>0</v>
      </c>
      <c r="N568" s="67">
        <v>1973</v>
      </c>
      <c r="O568" s="64">
        <v>2832</v>
      </c>
      <c r="Q568" s="59">
        <v>20</v>
      </c>
      <c r="R568" s="59">
        <v>14</v>
      </c>
      <c r="S568" s="59">
        <v>1</v>
      </c>
      <c r="T568" s="63" t="s">
        <v>6757</v>
      </c>
      <c r="U568" s="63">
        <v>398</v>
      </c>
      <c r="V568" s="70">
        <v>15625</v>
      </c>
      <c r="W568" s="70">
        <v>16000</v>
      </c>
      <c r="X568" s="83" t="s">
        <v>5874</v>
      </c>
      <c r="Y568" s="70">
        <v>7000</v>
      </c>
      <c r="Z568" s="63" t="s">
        <v>5866</v>
      </c>
      <c r="AC568" s="67"/>
      <c r="AD568" s="61" t="s">
        <v>7471</v>
      </c>
      <c r="AE568" s="71"/>
      <c r="AF568" s="71"/>
      <c r="AG568" s="71"/>
      <c r="AH568" s="71"/>
      <c r="AI568" s="71"/>
      <c r="AJ568" s="71"/>
      <c r="AK568" s="71" t="s">
        <v>181</v>
      </c>
      <c r="AM568" s="59" t="s">
        <v>181</v>
      </c>
    </row>
    <row r="569" spans="1:39">
      <c r="A569" s="62">
        <v>7</v>
      </c>
      <c r="B569" s="93">
        <v>561</v>
      </c>
      <c r="C569" s="68" t="s">
        <v>6751</v>
      </c>
      <c r="D569" s="59" t="s">
        <v>7472</v>
      </c>
      <c r="E569" s="72" t="s">
        <v>5862</v>
      </c>
      <c r="F569" s="73" t="s">
        <v>7473</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6757</v>
      </c>
      <c r="U569" s="63">
        <v>398</v>
      </c>
      <c r="V569" s="70">
        <v>19718</v>
      </c>
      <c r="W569" s="70">
        <v>20000</v>
      </c>
      <c r="X569" s="83" t="s">
        <v>5874</v>
      </c>
      <c r="Y569" s="70">
        <v>9000</v>
      </c>
      <c r="Z569" s="63" t="s">
        <v>5866</v>
      </c>
      <c r="AC569" s="67"/>
      <c r="AD569" s="61" t="s">
        <v>181</v>
      </c>
      <c r="AE569" s="71"/>
      <c r="AF569" s="71"/>
      <c r="AG569" s="71"/>
      <c r="AH569" s="71"/>
      <c r="AI569" s="71"/>
      <c r="AJ569" s="71"/>
      <c r="AK569" s="71" t="s">
        <v>7474</v>
      </c>
      <c r="AM569" s="59" t="s">
        <v>181</v>
      </c>
    </row>
    <row r="570" spans="1:39">
      <c r="A570" s="62">
        <v>8</v>
      </c>
      <c r="B570" s="93">
        <v>562</v>
      </c>
      <c r="C570" s="68" t="s">
        <v>7475</v>
      </c>
      <c r="D570" s="59" t="s">
        <v>6761</v>
      </c>
      <c r="E570" s="72" t="s">
        <v>5862</v>
      </c>
      <c r="F570" s="73" t="s">
        <v>7476</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6763</v>
      </c>
      <c r="U570" s="63">
        <v>396</v>
      </c>
      <c r="V570" s="70">
        <v>223537</v>
      </c>
      <c r="W570" s="70">
        <v>220000</v>
      </c>
      <c r="X570" s="83" t="s">
        <v>5945</v>
      </c>
      <c r="Y570" s="70">
        <f>ROUND(J570,-4)</f>
        <v>60000</v>
      </c>
      <c r="Z570" s="63" t="s">
        <v>5866</v>
      </c>
      <c r="AA570" s="59">
        <v>3</v>
      </c>
      <c r="AB570" s="59">
        <v>3</v>
      </c>
      <c r="AC570" s="67" t="s">
        <v>333</v>
      </c>
      <c r="AD570" s="61" t="s">
        <v>6764</v>
      </c>
      <c r="AE570" s="71"/>
      <c r="AF570" s="71"/>
      <c r="AG570" s="71"/>
      <c r="AH570" s="71"/>
      <c r="AI570" s="71"/>
      <c r="AJ570" s="71"/>
      <c r="AK570" s="71" t="s">
        <v>7477</v>
      </c>
      <c r="AL570">
        <f t="shared" ref="AL570:AL601" si="0">IF(AND(ISNUMBER($S570),$S570&gt;0,ISNUMBER($K570),ISNUMBER($J570)),($K570*$J570)/$S570,"")</f>
        <v>610236</v>
      </c>
    </row>
    <row r="571" spans="1:39">
      <c r="A571" s="62">
        <v>8</v>
      </c>
      <c r="B571" s="93">
        <v>563</v>
      </c>
      <c r="C571" s="68" t="s">
        <v>7475</v>
      </c>
      <c r="D571" s="59" t="s">
        <v>7478</v>
      </c>
      <c r="E571" s="72" t="s">
        <v>5862</v>
      </c>
      <c r="F571" s="73" t="s">
        <v>7479</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6759</v>
      </c>
      <c r="U571" s="63">
        <v>398</v>
      </c>
      <c r="V571" s="70">
        <v>311753</v>
      </c>
      <c r="W571" s="70">
        <v>310000</v>
      </c>
      <c r="X571" s="83" t="s">
        <v>6091</v>
      </c>
      <c r="Y571" s="70">
        <f>ROUND(J571,-4)</f>
        <v>170000</v>
      </c>
      <c r="Z571" s="63" t="s">
        <v>5866</v>
      </c>
      <c r="AA571" s="59">
        <v>3</v>
      </c>
      <c r="AB571" s="59">
        <v>3</v>
      </c>
      <c r="AC571" s="67" t="s">
        <v>333</v>
      </c>
      <c r="AD571" s="61" t="s">
        <v>7480</v>
      </c>
      <c r="AE571" s="71"/>
      <c r="AF571" s="71"/>
      <c r="AG571" s="71"/>
      <c r="AH571" s="71"/>
      <c r="AI571" s="71"/>
      <c r="AJ571" s="71"/>
      <c r="AK571" s="71" t="s">
        <v>7481</v>
      </c>
      <c r="AL571">
        <f t="shared" si="0"/>
        <v>757727.00000000012</v>
      </c>
    </row>
    <row r="572" spans="1:39">
      <c r="A572" s="62">
        <v>8</v>
      </c>
      <c r="B572" s="93">
        <v>564</v>
      </c>
      <c r="C572" s="68" t="s">
        <v>7475</v>
      </c>
      <c r="D572" s="59" t="s">
        <v>6772</v>
      </c>
      <c r="E572" s="72" t="s">
        <v>5862</v>
      </c>
      <c r="F572" s="73" t="s">
        <v>7482</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6759</v>
      </c>
      <c r="U572" s="63">
        <v>398</v>
      </c>
      <c r="V572" s="70">
        <v>339340</v>
      </c>
      <c r="W572" s="70">
        <v>340000</v>
      </c>
      <c r="X572" s="83" t="s">
        <v>6774</v>
      </c>
      <c r="Y572" s="70">
        <f>ROUND(J572,-4)</f>
        <v>170000</v>
      </c>
      <c r="Z572" s="63" t="s">
        <v>5866</v>
      </c>
      <c r="AA572" s="59">
        <v>3</v>
      </c>
      <c r="AB572" s="59">
        <v>3</v>
      </c>
      <c r="AC572" s="67" t="s">
        <v>333</v>
      </c>
      <c r="AD572" s="61" t="s">
        <v>6775</v>
      </c>
      <c r="AE572" s="71"/>
      <c r="AF572" s="71"/>
      <c r="AG572" s="71"/>
      <c r="AH572" s="71"/>
      <c r="AI572" s="71"/>
      <c r="AJ572" s="71"/>
      <c r="AK572" s="71" t="s">
        <v>7483</v>
      </c>
      <c r="AL572">
        <f t="shared" si="0"/>
        <v>165091.6</v>
      </c>
    </row>
    <row r="573" spans="1:39">
      <c r="A573" s="62">
        <v>8</v>
      </c>
      <c r="B573" s="93">
        <v>565</v>
      </c>
      <c r="C573" s="68" t="s">
        <v>7475</v>
      </c>
      <c r="D573" s="59" t="s">
        <v>7484</v>
      </c>
      <c r="E573" s="72" t="s">
        <v>5862</v>
      </c>
      <c r="F573" s="73" t="s">
        <v>5863</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6757</v>
      </c>
      <c r="U573" s="63">
        <v>398</v>
      </c>
      <c r="V573" s="70">
        <v>5810</v>
      </c>
      <c r="W573" s="70">
        <v>6000</v>
      </c>
      <c r="X573" s="83" t="s">
        <v>5871</v>
      </c>
      <c r="Y573" s="70">
        <f>ROUND(J573,-2)</f>
        <v>1800</v>
      </c>
      <c r="Z573" s="63" t="s">
        <v>5866</v>
      </c>
      <c r="AA573" s="59">
        <v>3</v>
      </c>
      <c r="AB573" s="59">
        <v>3</v>
      </c>
      <c r="AC573" s="67" t="s">
        <v>333</v>
      </c>
      <c r="AD573" s="61" t="s">
        <v>7485</v>
      </c>
      <c r="AE573" s="71"/>
      <c r="AF573" s="71"/>
      <c r="AG573" s="71"/>
      <c r="AH573" s="71"/>
      <c r="AI573" s="71"/>
      <c r="AJ573" s="71"/>
      <c r="AK573" s="71" t="s">
        <v>7486</v>
      </c>
      <c r="AL573">
        <f t="shared" si="0"/>
        <v>20580.000000000004</v>
      </c>
    </row>
    <row r="574" spans="1:39">
      <c r="A574" s="62">
        <v>8</v>
      </c>
      <c r="B574" s="93">
        <v>566</v>
      </c>
      <c r="C574" s="68" t="s">
        <v>7475</v>
      </c>
      <c r="D574" s="59" t="s">
        <v>5861</v>
      </c>
      <c r="E574" s="72" t="s">
        <v>5862</v>
      </c>
      <c r="F574" s="73" t="s">
        <v>5863</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6757</v>
      </c>
      <c r="U574" s="63">
        <v>398</v>
      </c>
      <c r="V574" s="70">
        <v>5810</v>
      </c>
      <c r="W574" s="70">
        <v>6000</v>
      </c>
      <c r="X574" s="83" t="s">
        <v>5865</v>
      </c>
      <c r="Y574" s="70">
        <f>ROUND(J574,-2)</f>
        <v>1500</v>
      </c>
      <c r="Z574" s="63" t="s">
        <v>5866</v>
      </c>
      <c r="AA574" s="59">
        <v>3</v>
      </c>
      <c r="AB574" s="59">
        <v>3</v>
      </c>
      <c r="AC574" s="67" t="s">
        <v>333</v>
      </c>
      <c r="AD574" s="61" t="s">
        <v>5867</v>
      </c>
      <c r="AE574" s="71"/>
      <c r="AF574" s="71"/>
      <c r="AG574" s="71"/>
      <c r="AH574" s="71"/>
      <c r="AI574" s="71"/>
      <c r="AJ574" s="71"/>
      <c r="AK574" s="71" t="s">
        <v>7486</v>
      </c>
      <c r="AL574">
        <f t="shared" si="0"/>
        <v>14400</v>
      </c>
    </row>
    <row r="575" spans="1:39">
      <c r="A575" s="62">
        <v>8</v>
      </c>
      <c r="B575" s="93">
        <v>567</v>
      </c>
      <c r="C575" s="68" t="s">
        <v>7475</v>
      </c>
      <c r="D575" s="59" t="s">
        <v>7487</v>
      </c>
      <c r="E575" s="72" t="s">
        <v>5862</v>
      </c>
      <c r="F575" s="73" t="s">
        <v>7488</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6754</v>
      </c>
      <c r="U575" s="63">
        <v>398</v>
      </c>
      <c r="V575" s="70">
        <v>358383</v>
      </c>
      <c r="W575" s="70">
        <v>360000</v>
      </c>
      <c r="X575" s="83" t="s">
        <v>5878</v>
      </c>
      <c r="Y575" s="70">
        <f>ROUND(J575,-4)</f>
        <v>150000</v>
      </c>
      <c r="Z575" s="63" t="s">
        <v>5866</v>
      </c>
      <c r="AA575" s="59">
        <v>3</v>
      </c>
      <c r="AB575" s="59">
        <v>3</v>
      </c>
      <c r="AC575" s="67" t="s">
        <v>333</v>
      </c>
      <c r="AD575" s="61" t="s">
        <v>7489</v>
      </c>
      <c r="AE575" s="71"/>
      <c r="AF575" s="71"/>
      <c r="AG575" s="71"/>
      <c r="AH575" s="71"/>
      <c r="AI575" s="71"/>
      <c r="AJ575" s="71"/>
      <c r="AK575" s="71" t="s">
        <v>181</v>
      </c>
      <c r="AL575">
        <f t="shared" si="0"/>
        <v>183342.6</v>
      </c>
    </row>
    <row r="576" spans="1:39">
      <c r="A576" s="62">
        <v>8</v>
      </c>
      <c r="B576" s="93">
        <v>568</v>
      </c>
      <c r="C576" s="68" t="s">
        <v>7475</v>
      </c>
      <c r="D576" s="59" t="s">
        <v>7490</v>
      </c>
      <c r="E576" s="72" t="s">
        <v>5862</v>
      </c>
      <c r="F576" s="73" t="s">
        <v>7491</v>
      </c>
      <c r="G576" s="82">
        <v>44.2</v>
      </c>
      <c r="H576" s="67">
        <v>9102</v>
      </c>
      <c r="I576" s="69">
        <v>0</v>
      </c>
      <c r="J576" s="70">
        <v>96836</v>
      </c>
      <c r="K576" s="75">
        <v>3.9702486678507989</v>
      </c>
      <c r="L576" s="74">
        <v>0</v>
      </c>
      <c r="M576" s="76">
        <v>0</v>
      </c>
      <c r="N576" s="67">
        <v>1996</v>
      </c>
      <c r="O576" s="64">
        <v>9601</v>
      </c>
      <c r="Q576" s="59">
        <v>26</v>
      </c>
      <c r="R576" s="59">
        <v>14</v>
      </c>
      <c r="S576" s="59">
        <v>1</v>
      </c>
      <c r="T576" s="63" t="s">
        <v>6759</v>
      </c>
      <c r="U576" s="63">
        <v>398</v>
      </c>
      <c r="V576" s="70">
        <v>314024</v>
      </c>
      <c r="W576" s="70">
        <v>310000</v>
      </c>
      <c r="X576" s="83" t="s">
        <v>5923</v>
      </c>
      <c r="Y576" s="70">
        <f>ROUND(J576,-4)</f>
        <v>100000</v>
      </c>
      <c r="Z576" s="63" t="s">
        <v>5866</v>
      </c>
      <c r="AA576" s="59">
        <v>3</v>
      </c>
      <c r="AB576" s="59">
        <v>3</v>
      </c>
      <c r="AC576" s="67" t="s">
        <v>333</v>
      </c>
      <c r="AD576" s="61" t="s">
        <v>7492</v>
      </c>
      <c r="AE576" s="71"/>
      <c r="AF576" s="71"/>
      <c r="AG576" s="71"/>
      <c r="AH576" s="71"/>
      <c r="AI576" s="71"/>
      <c r="AJ576" s="71"/>
      <c r="AK576" s="71" t="s">
        <v>7486</v>
      </c>
      <c r="AL576">
        <f t="shared" si="0"/>
        <v>384462.99999999994</v>
      </c>
    </row>
    <row r="577" spans="1:38">
      <c r="A577" s="62">
        <v>8</v>
      </c>
      <c r="B577" s="93">
        <v>569</v>
      </c>
      <c r="C577" s="68" t="s">
        <v>7475</v>
      </c>
      <c r="D577" s="59" t="s">
        <v>7493</v>
      </c>
      <c r="E577" s="72" t="s">
        <v>5862</v>
      </c>
      <c r="F577" s="73" t="s">
        <v>7494</v>
      </c>
      <c r="G577" s="82">
        <v>44.2</v>
      </c>
      <c r="H577" s="67">
        <v>9102</v>
      </c>
      <c r="I577" s="69">
        <v>0</v>
      </c>
      <c r="J577" s="70">
        <v>22144</v>
      </c>
      <c r="K577" s="75">
        <v>7.5867052023121389</v>
      </c>
      <c r="L577" s="74">
        <v>0</v>
      </c>
      <c r="M577" s="76">
        <v>0</v>
      </c>
      <c r="N577" s="67">
        <v>1980</v>
      </c>
      <c r="O577" s="64">
        <v>4080</v>
      </c>
      <c r="Q577" s="59">
        <v>21</v>
      </c>
      <c r="R577" s="59">
        <v>3</v>
      </c>
      <c r="S577" s="59">
        <v>1</v>
      </c>
      <c r="T577" s="63" t="s">
        <v>6759</v>
      </c>
      <c r="U577" s="63">
        <v>398</v>
      </c>
      <c r="V577" s="70">
        <v>61688</v>
      </c>
      <c r="W577" s="70">
        <v>60000</v>
      </c>
      <c r="X577" s="83" t="s">
        <v>5892</v>
      </c>
      <c r="Y577" s="70">
        <f>ROUND(J577,-3)</f>
        <v>22000</v>
      </c>
      <c r="Z577" s="63" t="s">
        <v>5866</v>
      </c>
      <c r="AA577" s="59">
        <v>3</v>
      </c>
      <c r="AB577" s="59">
        <v>3</v>
      </c>
      <c r="AC577" s="67" t="s">
        <v>333</v>
      </c>
      <c r="AD577" s="61" t="s">
        <v>181</v>
      </c>
      <c r="AE577" s="71"/>
      <c r="AF577" s="71"/>
      <c r="AG577" s="71"/>
      <c r="AH577" s="71"/>
      <c r="AI577" s="71"/>
      <c r="AJ577" s="71"/>
      <c r="AK577" s="71" t="s">
        <v>7486</v>
      </c>
      <c r="AL577">
        <f t="shared" si="0"/>
        <v>168000</v>
      </c>
    </row>
    <row r="578" spans="1:38">
      <c r="A578" s="62">
        <v>8</v>
      </c>
      <c r="B578" s="93">
        <v>570</v>
      </c>
      <c r="C578" s="68" t="s">
        <v>7495</v>
      </c>
      <c r="D578" s="59" t="s">
        <v>7496</v>
      </c>
      <c r="E578" s="72" t="s">
        <v>5862</v>
      </c>
      <c r="F578" s="73" t="s">
        <v>7497</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6770</v>
      </c>
      <c r="U578" s="63">
        <v>398</v>
      </c>
      <c r="V578" s="70">
        <v>492234</v>
      </c>
      <c r="W578" s="70">
        <v>500000</v>
      </c>
      <c r="X578" s="83">
        <f>5/2</f>
        <v>2.5</v>
      </c>
      <c r="Y578" s="70">
        <v>200000</v>
      </c>
      <c r="Z578" s="63" t="s">
        <v>207</v>
      </c>
      <c r="AA578" s="59">
        <v>3</v>
      </c>
      <c r="AB578" s="59">
        <v>3</v>
      </c>
      <c r="AC578" s="67">
        <v>33</v>
      </c>
      <c r="AD578" s="61" t="s">
        <v>7498</v>
      </c>
      <c r="AE578" s="71">
        <v>3.67</v>
      </c>
      <c r="AF578" s="71"/>
      <c r="AG578" s="71">
        <f>843917/236800</f>
        <v>3.5638386824324324</v>
      </c>
      <c r="AH578" s="71">
        <f>AE578-AG578</f>
        <v>0.10616131756756753</v>
      </c>
      <c r="AI578" s="71"/>
      <c r="AJ578" s="71"/>
      <c r="AK578" s="71" t="s">
        <v>7499</v>
      </c>
      <c r="AL578">
        <f t="shared" si="0"/>
        <v>174044.6</v>
      </c>
    </row>
    <row r="579" spans="1:38">
      <c r="A579" s="62">
        <v>8</v>
      </c>
      <c r="B579" s="93">
        <v>571</v>
      </c>
      <c r="C579" s="68" t="s">
        <v>7475</v>
      </c>
      <c r="D579" s="59" t="s">
        <v>5872</v>
      </c>
      <c r="E579" s="72" t="s">
        <v>5862</v>
      </c>
      <c r="F579" s="73" t="s">
        <v>5873</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6759</v>
      </c>
      <c r="U579" s="63">
        <v>398</v>
      </c>
      <c r="V579" s="70">
        <v>46294</v>
      </c>
      <c r="W579" s="70">
        <v>46000</v>
      </c>
      <c r="X579" s="83" t="s">
        <v>5874</v>
      </c>
      <c r="Y579" s="70">
        <f>ROUND(J579,-3)</f>
        <v>20000</v>
      </c>
      <c r="Z579" s="63" t="s">
        <v>5866</v>
      </c>
      <c r="AA579" s="59">
        <v>3</v>
      </c>
      <c r="AB579" s="59">
        <v>3</v>
      </c>
      <c r="AC579" s="67" t="s">
        <v>333</v>
      </c>
      <c r="AD579" s="61" t="s">
        <v>181</v>
      </c>
      <c r="AE579" s="71"/>
      <c r="AF579" s="71"/>
      <c r="AG579" s="71"/>
      <c r="AH579" s="71"/>
      <c r="AI579" s="71"/>
      <c r="AJ579" s="71"/>
      <c r="AK579" s="71" t="s">
        <v>7486</v>
      </c>
      <c r="AL579">
        <f t="shared" si="0"/>
        <v>117600</v>
      </c>
    </row>
    <row r="580" spans="1:38">
      <c r="A580" s="62">
        <v>8</v>
      </c>
      <c r="B580" s="93">
        <v>572</v>
      </c>
      <c r="C580" s="68" t="s">
        <v>7475</v>
      </c>
      <c r="D580" s="59" t="s">
        <v>5876</v>
      </c>
      <c r="E580" s="72" t="s">
        <v>5862</v>
      </c>
      <c r="F580" s="73" t="s">
        <v>5877</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6759</v>
      </c>
      <c r="U580" s="63">
        <v>398</v>
      </c>
      <c r="V580" s="70">
        <v>87567</v>
      </c>
      <c r="W580" s="70">
        <v>90000</v>
      </c>
      <c r="X580" s="83" t="s">
        <v>5878</v>
      </c>
      <c r="Y580" s="70">
        <f>ROUND(J580,-3)</f>
        <v>19000</v>
      </c>
      <c r="Z580" s="63" t="s">
        <v>5866</v>
      </c>
      <c r="AA580" s="59">
        <v>3</v>
      </c>
      <c r="AB580" s="59">
        <v>3</v>
      </c>
      <c r="AC580" s="67" t="s">
        <v>333</v>
      </c>
      <c r="AD580" s="61" t="s">
        <v>5879</v>
      </c>
      <c r="AE580" s="71"/>
      <c r="AF580" s="71"/>
      <c r="AG580" s="71"/>
      <c r="AH580" s="71"/>
      <c r="AI580" s="71"/>
      <c r="AJ580" s="71"/>
      <c r="AK580" s="71" t="s">
        <v>7500</v>
      </c>
      <c r="AL580">
        <f t="shared" si="0"/>
        <v>16947.400000000001</v>
      </c>
    </row>
    <row r="581" spans="1:38">
      <c r="A581" s="62">
        <v>8</v>
      </c>
      <c r="B581" s="93">
        <v>573</v>
      </c>
      <c r="C581" s="68" t="s">
        <v>7475</v>
      </c>
      <c r="D581" s="59" t="s">
        <v>7501</v>
      </c>
      <c r="E581" s="72" t="s">
        <v>5862</v>
      </c>
      <c r="F581" s="73" t="s">
        <v>7502</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6759</v>
      </c>
      <c r="U581" s="63">
        <v>398</v>
      </c>
      <c r="V581" s="70">
        <v>174895</v>
      </c>
      <c r="W581" s="70">
        <v>170000</v>
      </c>
      <c r="X581" s="83" t="s">
        <v>5982</v>
      </c>
      <c r="Y581" s="70">
        <f>ROUND(J581,-4)</f>
        <v>80000</v>
      </c>
      <c r="Z581" s="63" t="s">
        <v>5866</v>
      </c>
      <c r="AA581" s="59">
        <v>3</v>
      </c>
      <c r="AB581" s="59">
        <v>3</v>
      </c>
      <c r="AC581" s="67" t="s">
        <v>333</v>
      </c>
      <c r="AD581" s="61" t="s">
        <v>7503</v>
      </c>
      <c r="AE581" s="71"/>
      <c r="AF581" s="71"/>
      <c r="AG581" s="71"/>
      <c r="AH581" s="71"/>
      <c r="AI581" s="71"/>
      <c r="AJ581" s="71"/>
      <c r="AK581" s="71" t="s">
        <v>7504</v>
      </c>
      <c r="AL581">
        <f t="shared" si="0"/>
        <v>325311</v>
      </c>
    </row>
    <row r="582" spans="1:38">
      <c r="A582" s="62">
        <v>8</v>
      </c>
      <c r="B582" s="93">
        <v>574</v>
      </c>
      <c r="C582" s="68" t="s">
        <v>7475</v>
      </c>
      <c r="D582" s="59" t="s">
        <v>5885</v>
      </c>
      <c r="E582" s="72" t="s">
        <v>5862</v>
      </c>
      <c r="F582" s="73" t="s">
        <v>5886</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6759</v>
      </c>
      <c r="U582" s="63">
        <v>398</v>
      </c>
      <c r="V582" s="70">
        <v>100126</v>
      </c>
      <c r="W582" s="70">
        <v>100000</v>
      </c>
      <c r="X582" s="83" t="s">
        <v>5887</v>
      </c>
      <c r="Y582" s="70">
        <f>ROUND(J582,-3)</f>
        <v>24000</v>
      </c>
      <c r="Z582" s="63" t="s">
        <v>5866</v>
      </c>
      <c r="AA582" s="59">
        <v>3</v>
      </c>
      <c r="AB582" s="59">
        <v>3</v>
      </c>
      <c r="AC582" s="67" t="s">
        <v>333</v>
      </c>
      <c r="AD582" s="61" t="s">
        <v>5888</v>
      </c>
      <c r="AE582" s="71"/>
      <c r="AF582" s="71"/>
      <c r="AG582" s="71"/>
      <c r="AH582" s="71"/>
      <c r="AI582" s="71"/>
      <c r="AJ582" s="71"/>
      <c r="AK582" s="71" t="s">
        <v>7486</v>
      </c>
      <c r="AL582">
        <f t="shared" si="0"/>
        <v>168000</v>
      </c>
    </row>
    <row r="583" spans="1:38">
      <c r="A583" s="62">
        <v>8</v>
      </c>
      <c r="B583" s="93">
        <v>575</v>
      </c>
      <c r="C583" s="68" t="s">
        <v>7475</v>
      </c>
      <c r="D583" s="59" t="s">
        <v>6781</v>
      </c>
      <c r="E583" s="72" t="s">
        <v>5862</v>
      </c>
      <c r="F583" s="73" t="s">
        <v>7505</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6759</v>
      </c>
      <c r="U583" s="63">
        <v>398</v>
      </c>
      <c r="V583" s="70">
        <v>104089</v>
      </c>
      <c r="W583" s="70">
        <v>100000</v>
      </c>
      <c r="X583" s="83" t="s">
        <v>5928</v>
      </c>
      <c r="Y583" s="70">
        <f>ROUND(J583,-3)</f>
        <v>48000</v>
      </c>
      <c r="Z583" s="63" t="s">
        <v>5866</v>
      </c>
      <c r="AA583" s="59">
        <v>3</v>
      </c>
      <c r="AB583" s="59">
        <v>3</v>
      </c>
      <c r="AC583" s="67" t="s">
        <v>333</v>
      </c>
      <c r="AD583" s="61" t="s">
        <v>6783</v>
      </c>
      <c r="AE583" s="71"/>
      <c r="AF583" s="71"/>
      <c r="AG583" s="71"/>
      <c r="AH583" s="71"/>
      <c r="AI583" s="71"/>
      <c r="AJ583" s="71"/>
      <c r="AK583" s="71" t="s">
        <v>7500</v>
      </c>
      <c r="AL583">
        <f t="shared" si="0"/>
        <v>77594.333333333343</v>
      </c>
    </row>
    <row r="584" spans="1:38">
      <c r="A584" s="62">
        <v>8</v>
      </c>
      <c r="B584" s="93">
        <v>576</v>
      </c>
      <c r="C584" s="68" t="s">
        <v>7475</v>
      </c>
      <c r="D584" s="59" t="s">
        <v>6789</v>
      </c>
      <c r="E584" s="72" t="s">
        <v>5862</v>
      </c>
      <c r="F584" s="73" t="s">
        <v>7506</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6759</v>
      </c>
      <c r="U584" s="63">
        <v>397</v>
      </c>
      <c r="V584" s="70">
        <v>169147</v>
      </c>
      <c r="W584" s="70">
        <v>170000</v>
      </c>
      <c r="X584" s="83" t="s">
        <v>6791</v>
      </c>
      <c r="Y584" s="70">
        <f>ROUND(J584,-4)</f>
        <v>60000</v>
      </c>
      <c r="Z584" s="63" t="s">
        <v>5866</v>
      </c>
      <c r="AA584" s="59">
        <v>3</v>
      </c>
      <c r="AB584" s="59">
        <v>3</v>
      </c>
      <c r="AC584" s="67" t="s">
        <v>333</v>
      </c>
      <c r="AD584" s="61" t="s">
        <v>6792</v>
      </c>
      <c r="AE584" s="71"/>
      <c r="AF584" s="71"/>
      <c r="AG584" s="71"/>
      <c r="AH584" s="71"/>
      <c r="AI584" s="71"/>
      <c r="AJ584" s="71"/>
      <c r="AK584" s="71" t="s">
        <v>7507</v>
      </c>
      <c r="AL584">
        <f t="shared" si="0"/>
        <v>53941.42857142858</v>
      </c>
    </row>
    <row r="585" spans="1:38">
      <c r="A585" s="62">
        <v>8</v>
      </c>
      <c r="B585" s="93">
        <v>577</v>
      </c>
      <c r="C585" s="68" t="s">
        <v>7475</v>
      </c>
      <c r="D585" s="59" t="s">
        <v>7508</v>
      </c>
      <c r="E585" s="72" t="s">
        <v>5862</v>
      </c>
      <c r="F585" s="73" t="s">
        <v>7509</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6759</v>
      </c>
      <c r="U585" s="63">
        <v>398</v>
      </c>
      <c r="V585" s="70">
        <v>72790</v>
      </c>
      <c r="W585" s="70">
        <v>70000</v>
      </c>
      <c r="X585" s="83" t="s">
        <v>6065</v>
      </c>
      <c r="Y585" s="70">
        <f>ROUND(J585,-3)</f>
        <v>25000</v>
      </c>
      <c r="Z585" s="63" t="s">
        <v>5866</v>
      </c>
      <c r="AA585" s="59">
        <v>2</v>
      </c>
      <c r="AB585" s="59">
        <v>3</v>
      </c>
      <c r="AC585" s="67" t="s">
        <v>284</v>
      </c>
      <c r="AD585" s="61" t="s">
        <v>7510</v>
      </c>
      <c r="AE585" s="71"/>
      <c r="AF585" s="71"/>
      <c r="AG585" s="71"/>
      <c r="AH585" s="71"/>
      <c r="AI585" s="71"/>
      <c r="AJ585" s="71"/>
      <c r="AK585" s="71" t="s">
        <v>7511</v>
      </c>
      <c r="AL585">
        <f t="shared" si="0"/>
        <v>51567.000000000007</v>
      </c>
    </row>
    <row r="586" spans="1:38">
      <c r="A586" s="62">
        <v>8</v>
      </c>
      <c r="B586" s="93">
        <v>578</v>
      </c>
      <c r="C586" s="68" t="s">
        <v>7475</v>
      </c>
      <c r="D586" s="59" t="s">
        <v>7512</v>
      </c>
      <c r="E586" s="72" t="s">
        <v>5862</v>
      </c>
      <c r="F586" s="73" t="s">
        <v>7513</v>
      </c>
      <c r="G586" s="82">
        <v>44.2</v>
      </c>
      <c r="H586" s="67">
        <v>9102</v>
      </c>
      <c r="I586" s="69">
        <v>0</v>
      </c>
      <c r="J586" s="70">
        <v>10604</v>
      </c>
      <c r="K586" s="75">
        <v>8.4873632591474912</v>
      </c>
      <c r="L586" s="74">
        <v>0</v>
      </c>
      <c r="M586" s="76">
        <v>0</v>
      </c>
      <c r="N586" s="67">
        <v>1994</v>
      </c>
      <c r="O586" s="64">
        <v>3059</v>
      </c>
      <c r="Q586" s="59">
        <v>21</v>
      </c>
      <c r="R586" s="59">
        <v>6</v>
      </c>
      <c r="S586" s="59">
        <v>2</v>
      </c>
      <c r="T586" s="63" t="s">
        <v>6759</v>
      </c>
      <c r="U586" s="63">
        <v>332</v>
      </c>
      <c r="V586" s="70">
        <v>56150</v>
      </c>
      <c r="W586" s="70">
        <v>60000</v>
      </c>
      <c r="X586" s="83" t="s">
        <v>5882</v>
      </c>
      <c r="Y586" s="70">
        <f>ROUND(J586,-3)</f>
        <v>11000</v>
      </c>
      <c r="Z586" s="63" t="s">
        <v>5866</v>
      </c>
      <c r="AA586" s="59">
        <v>3</v>
      </c>
      <c r="AB586" s="59">
        <v>3</v>
      </c>
      <c r="AC586" s="67">
        <v>33</v>
      </c>
      <c r="AD586" s="61" t="s">
        <v>181</v>
      </c>
      <c r="AE586" s="71"/>
      <c r="AF586" s="71"/>
      <c r="AG586" s="71"/>
      <c r="AH586" s="71"/>
      <c r="AI586" s="71"/>
      <c r="AJ586" s="71"/>
      <c r="AK586" s="71" t="s">
        <v>181</v>
      </c>
      <c r="AL586">
        <f t="shared" si="0"/>
        <v>45000</v>
      </c>
    </row>
    <row r="587" spans="1:38">
      <c r="A587" s="62">
        <v>8</v>
      </c>
      <c r="B587" s="93">
        <v>579</v>
      </c>
      <c r="C587" s="68" t="s">
        <v>7475</v>
      </c>
      <c r="D587" s="59" t="s">
        <v>7514</v>
      </c>
      <c r="E587" s="72" t="s">
        <v>5862</v>
      </c>
      <c r="F587" s="73" t="s">
        <v>7515</v>
      </c>
      <c r="G587" s="82">
        <v>44.2</v>
      </c>
      <c r="H587" s="67">
        <v>9102</v>
      </c>
      <c r="I587" s="69">
        <v>0</v>
      </c>
      <c r="J587" s="70">
        <v>14270</v>
      </c>
      <c r="K587" s="75">
        <v>6.2088297126839516</v>
      </c>
      <c r="L587" s="74">
        <v>0</v>
      </c>
      <c r="M587" s="76">
        <v>0.28011286681715569</v>
      </c>
      <c r="N587" s="67">
        <v>1987</v>
      </c>
      <c r="O587" s="64" t="s">
        <v>181</v>
      </c>
      <c r="P587" s="64">
        <v>6822</v>
      </c>
      <c r="Q587" s="59">
        <v>16</v>
      </c>
      <c r="R587" s="59">
        <v>3</v>
      </c>
      <c r="S587" s="59">
        <v>1</v>
      </c>
      <c r="T587" s="63" t="s">
        <v>6759</v>
      </c>
      <c r="U587" s="63">
        <v>397</v>
      </c>
      <c r="V587" s="70">
        <v>48567</v>
      </c>
      <c r="W587" s="70">
        <v>49000</v>
      </c>
      <c r="X587" s="83" t="s">
        <v>6293</v>
      </c>
      <c r="Y587" s="70">
        <f>ROUND(J587,-3)</f>
        <v>14000</v>
      </c>
      <c r="Z587" s="63" t="s">
        <v>5866</v>
      </c>
      <c r="AA587" s="59">
        <v>3</v>
      </c>
      <c r="AB587" s="59">
        <v>3</v>
      </c>
      <c r="AC587" s="67" t="s">
        <v>333</v>
      </c>
      <c r="AD587" s="61" t="s">
        <v>7516</v>
      </c>
      <c r="AE587" s="71"/>
      <c r="AF587" s="71"/>
      <c r="AG587" s="71"/>
      <c r="AH587" s="71"/>
      <c r="AI587" s="71"/>
      <c r="AJ587" s="71"/>
      <c r="AK587" s="71" t="s">
        <v>7517</v>
      </c>
      <c r="AL587">
        <f t="shared" si="0"/>
        <v>88599.999999999985</v>
      </c>
    </row>
    <row r="588" spans="1:38">
      <c r="A588" s="62">
        <v>8</v>
      </c>
      <c r="B588" s="93">
        <v>580</v>
      </c>
      <c r="C588" s="68" t="s">
        <v>7475</v>
      </c>
      <c r="D588" s="59" t="s">
        <v>6795</v>
      </c>
      <c r="E588" s="72" t="s">
        <v>5862</v>
      </c>
      <c r="F588" s="73" t="s">
        <v>7518</v>
      </c>
      <c r="G588" s="82">
        <v>44.1</v>
      </c>
      <c r="H588" s="67">
        <v>9102</v>
      </c>
      <c r="I588" s="69">
        <v>0</v>
      </c>
      <c r="J588" s="70">
        <v>53947</v>
      </c>
      <c r="K588" s="75">
        <v>5.0716443917177969</v>
      </c>
      <c r="L588" s="74">
        <v>0</v>
      </c>
      <c r="M588" s="76">
        <v>0</v>
      </c>
      <c r="N588" s="67">
        <v>1999</v>
      </c>
      <c r="O588" s="64">
        <v>2507</v>
      </c>
      <c r="Q588" s="59">
        <v>20</v>
      </c>
      <c r="R588" s="59">
        <v>14</v>
      </c>
      <c r="S588" s="59">
        <v>1</v>
      </c>
      <c r="T588" s="63" t="s">
        <v>6759</v>
      </c>
      <c r="U588" s="63">
        <v>398</v>
      </c>
      <c r="V588" s="70">
        <v>74836</v>
      </c>
      <c r="W588" s="70">
        <v>70000</v>
      </c>
      <c r="X588" s="83" t="s">
        <v>5938</v>
      </c>
      <c r="Y588" s="70">
        <f>ROUND(J588,-4)</f>
        <v>50000</v>
      </c>
      <c r="Z588" s="63" t="s">
        <v>5866</v>
      </c>
      <c r="AA588" s="59">
        <v>3</v>
      </c>
      <c r="AB588" s="59">
        <v>3</v>
      </c>
      <c r="AC588" s="67" t="s">
        <v>333</v>
      </c>
      <c r="AD588" s="61" t="s">
        <v>6797</v>
      </c>
      <c r="AE588" s="71"/>
      <c r="AF588" s="71"/>
      <c r="AG588" s="71"/>
      <c r="AH588" s="71"/>
      <c r="AI588" s="71"/>
      <c r="AJ588" s="71"/>
      <c r="AK588" s="71" t="s">
        <v>7519</v>
      </c>
      <c r="AL588">
        <f t="shared" si="0"/>
        <v>273600</v>
      </c>
    </row>
    <row r="589" spans="1:38">
      <c r="A589" s="62">
        <v>8</v>
      </c>
      <c r="B589" s="93">
        <v>581</v>
      </c>
      <c r="C589" s="68" t="s">
        <v>7475</v>
      </c>
      <c r="D589" s="59" t="s">
        <v>7520</v>
      </c>
      <c r="E589" s="72" t="s">
        <v>5862</v>
      </c>
      <c r="F589" s="73" t="s">
        <v>7521</v>
      </c>
      <c r="G589" s="82">
        <v>43.2</v>
      </c>
      <c r="H589" s="67">
        <v>9102</v>
      </c>
      <c r="I589" s="69">
        <v>0</v>
      </c>
      <c r="J589" s="70">
        <v>45450</v>
      </c>
      <c r="K589" s="75">
        <v>5.8085808580858087</v>
      </c>
      <c r="L589" s="74">
        <v>0</v>
      </c>
      <c r="M589" s="76">
        <v>0</v>
      </c>
      <c r="N589" s="67">
        <v>1980</v>
      </c>
      <c r="O589" s="64">
        <v>6453</v>
      </c>
      <c r="Q589" s="59">
        <v>26</v>
      </c>
      <c r="R589" s="59">
        <v>10</v>
      </c>
      <c r="S589" s="59">
        <v>1</v>
      </c>
      <c r="T589" s="63" t="s">
        <v>6759</v>
      </c>
      <c r="U589" s="63">
        <v>401</v>
      </c>
      <c r="V589" s="70">
        <v>78320</v>
      </c>
      <c r="W589" s="70">
        <v>80000</v>
      </c>
      <c r="X589" s="83" t="s">
        <v>6182</v>
      </c>
      <c r="Y589" s="70">
        <f t="shared" ref="Y589:Y596" si="1">ROUND(J589,-3)</f>
        <v>45000</v>
      </c>
      <c r="Z589" s="63" t="s">
        <v>5866</v>
      </c>
      <c r="AA589" s="59">
        <v>3</v>
      </c>
      <c r="AB589" s="59">
        <v>3</v>
      </c>
      <c r="AC589" s="67" t="s">
        <v>333</v>
      </c>
      <c r="AD589" s="61" t="s">
        <v>7522</v>
      </c>
      <c r="AE589" s="71"/>
      <c r="AF589" s="71"/>
      <c r="AG589" s="71"/>
      <c r="AH589" s="71"/>
      <c r="AI589" s="71"/>
      <c r="AJ589" s="71"/>
      <c r="AK589" s="71" t="s">
        <v>7523</v>
      </c>
      <c r="AL589">
        <f t="shared" si="0"/>
        <v>264000</v>
      </c>
    </row>
    <row r="590" spans="1:38">
      <c r="A590" s="62">
        <v>8</v>
      </c>
      <c r="B590" s="93">
        <v>582</v>
      </c>
      <c r="C590" s="68" t="s">
        <v>7475</v>
      </c>
      <c r="D590" s="59" t="s">
        <v>5901</v>
      </c>
      <c r="E590" s="72" t="s">
        <v>5862</v>
      </c>
      <c r="F590" s="73" t="s">
        <v>5902</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6759</v>
      </c>
      <c r="U590" s="63">
        <v>398</v>
      </c>
      <c r="V590" s="70">
        <v>77488</v>
      </c>
      <c r="W590" s="70">
        <v>80000</v>
      </c>
      <c r="X590" s="83" t="s">
        <v>5903</v>
      </c>
      <c r="Y590" s="70">
        <f t="shared" si="1"/>
        <v>40000</v>
      </c>
      <c r="Z590" s="63" t="s">
        <v>5866</v>
      </c>
      <c r="AA590" s="59">
        <v>3</v>
      </c>
      <c r="AB590" s="59">
        <v>3</v>
      </c>
      <c r="AC590" s="67" t="s">
        <v>333</v>
      </c>
      <c r="AD590" s="61" t="s">
        <v>5904</v>
      </c>
      <c r="AE590" s="71"/>
      <c r="AF590" s="71"/>
      <c r="AG590" s="71"/>
      <c r="AH590" s="71"/>
      <c r="AI590" s="71"/>
      <c r="AJ590" s="71"/>
      <c r="AK590" s="71" t="s">
        <v>7524</v>
      </c>
      <c r="AL590">
        <f t="shared" si="0"/>
        <v>175560</v>
      </c>
    </row>
    <row r="591" spans="1:38">
      <c r="A591" s="62">
        <v>8</v>
      </c>
      <c r="B591" s="93">
        <v>583</v>
      </c>
      <c r="C591" s="68" t="s">
        <v>7475</v>
      </c>
      <c r="D591" s="59" t="s">
        <v>7525</v>
      </c>
      <c r="E591" s="72" t="s">
        <v>5862</v>
      </c>
      <c r="F591" s="73" t="s">
        <v>7526</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6757</v>
      </c>
      <c r="U591" s="63">
        <v>398</v>
      </c>
      <c r="V591" s="70">
        <v>33200</v>
      </c>
      <c r="W591" s="70">
        <v>33000</v>
      </c>
      <c r="X591" s="83" t="s">
        <v>5874</v>
      </c>
      <c r="Y591" s="70">
        <f t="shared" si="1"/>
        <v>15000</v>
      </c>
      <c r="Z591" s="63" t="s">
        <v>5866</v>
      </c>
      <c r="AA591" s="59">
        <v>3</v>
      </c>
      <c r="AB591" s="59">
        <v>3</v>
      </c>
      <c r="AC591" s="67" t="s">
        <v>333</v>
      </c>
      <c r="AD591" s="61" t="s">
        <v>7527</v>
      </c>
      <c r="AE591" s="71"/>
      <c r="AF591" s="71"/>
      <c r="AG591" s="71"/>
      <c r="AH591" s="71"/>
      <c r="AI591" s="71"/>
      <c r="AJ591" s="71"/>
      <c r="AK591" s="71" t="s">
        <v>7528</v>
      </c>
      <c r="AL591">
        <f t="shared" si="0"/>
        <v>105163</v>
      </c>
    </row>
    <row r="592" spans="1:38">
      <c r="A592" s="62">
        <v>8</v>
      </c>
      <c r="B592" s="93">
        <v>584</v>
      </c>
      <c r="C592" s="68" t="s">
        <v>7475</v>
      </c>
      <c r="D592" s="59" t="s">
        <v>7529</v>
      </c>
      <c r="E592" s="72" t="s">
        <v>5862</v>
      </c>
      <c r="F592" s="73" t="s">
        <v>7530</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6757</v>
      </c>
      <c r="U592" s="63">
        <v>398</v>
      </c>
      <c r="V592" s="70">
        <v>27477</v>
      </c>
      <c r="W592" s="70">
        <v>27000</v>
      </c>
      <c r="X592" s="83" t="s">
        <v>6516</v>
      </c>
      <c r="Y592" s="70">
        <f t="shared" si="1"/>
        <v>9000</v>
      </c>
      <c r="Z592" s="63" t="s">
        <v>5866</v>
      </c>
      <c r="AA592" s="59">
        <v>3</v>
      </c>
      <c r="AB592" s="59">
        <v>3</v>
      </c>
      <c r="AC592" s="67" t="s">
        <v>333</v>
      </c>
      <c r="AD592" s="61" t="s">
        <v>181</v>
      </c>
      <c r="AE592" s="71"/>
      <c r="AF592" s="71"/>
      <c r="AG592" s="71"/>
      <c r="AH592" s="71"/>
      <c r="AI592" s="71"/>
      <c r="AJ592" s="71"/>
      <c r="AK592" s="71" t="s">
        <v>7486</v>
      </c>
      <c r="AL592">
        <f t="shared" si="0"/>
        <v>64999.999999999993</v>
      </c>
    </row>
    <row r="593" spans="1:38">
      <c r="A593" s="62">
        <v>8</v>
      </c>
      <c r="B593" s="93">
        <v>585</v>
      </c>
      <c r="C593" s="68" t="s">
        <v>7475</v>
      </c>
      <c r="D593" s="59" t="s">
        <v>6801</v>
      </c>
      <c r="E593" s="72" t="s">
        <v>5862</v>
      </c>
      <c r="F593" s="73" t="s">
        <v>7531</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6754</v>
      </c>
      <c r="U593" s="63">
        <v>398</v>
      </c>
      <c r="V593" s="70">
        <v>42336</v>
      </c>
      <c r="W593" s="70">
        <v>42000</v>
      </c>
      <c r="X593" s="83" t="s">
        <v>5933</v>
      </c>
      <c r="Y593" s="70">
        <f t="shared" si="1"/>
        <v>10000</v>
      </c>
      <c r="Z593" s="63" t="s">
        <v>5866</v>
      </c>
      <c r="AA593" s="59">
        <v>3</v>
      </c>
      <c r="AB593" s="59">
        <v>3</v>
      </c>
      <c r="AC593" s="67" t="s">
        <v>333</v>
      </c>
      <c r="AD593" s="61" t="s">
        <v>6803</v>
      </c>
      <c r="AE593" s="71"/>
      <c r="AF593" s="71"/>
      <c r="AG593" s="71"/>
      <c r="AH593" s="71"/>
      <c r="AI593" s="71"/>
      <c r="AJ593" s="71"/>
      <c r="AK593" s="71" t="s">
        <v>7532</v>
      </c>
      <c r="AL593">
        <f t="shared" si="0"/>
        <v>80299</v>
      </c>
    </row>
    <row r="594" spans="1:38">
      <c r="A594" s="62">
        <v>8</v>
      </c>
      <c r="B594" s="93">
        <v>586</v>
      </c>
      <c r="C594" s="68" t="s">
        <v>7475</v>
      </c>
      <c r="D594" s="59" t="s">
        <v>6805</v>
      </c>
      <c r="E594" s="72" t="s">
        <v>5862</v>
      </c>
      <c r="F594" s="73" t="s">
        <v>7533</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6754</v>
      </c>
      <c r="U594" s="63">
        <v>401</v>
      </c>
      <c r="V594" s="70">
        <v>30504</v>
      </c>
      <c r="W594" s="70">
        <v>31000</v>
      </c>
      <c r="X594" s="83" t="s">
        <v>6791</v>
      </c>
      <c r="Y594" s="70">
        <f t="shared" si="1"/>
        <v>10000</v>
      </c>
      <c r="Z594" s="63" t="s">
        <v>5866</v>
      </c>
      <c r="AA594" s="59">
        <v>3</v>
      </c>
      <c r="AB594" s="59">
        <v>3</v>
      </c>
      <c r="AC594" s="67" t="s">
        <v>333</v>
      </c>
      <c r="AD594" s="61" t="s">
        <v>181</v>
      </c>
      <c r="AE594" s="71"/>
      <c r="AF594" s="71"/>
      <c r="AG594" s="71"/>
      <c r="AH594" s="71"/>
      <c r="AI594" s="71"/>
      <c r="AJ594" s="71"/>
      <c r="AK594" s="71" t="s">
        <v>7486</v>
      </c>
      <c r="AL594">
        <f t="shared" si="0"/>
        <v>94650</v>
      </c>
    </row>
    <row r="595" spans="1:38">
      <c r="A595" s="62">
        <v>8</v>
      </c>
      <c r="B595" s="93">
        <v>587</v>
      </c>
      <c r="C595" s="68" t="s">
        <v>7475</v>
      </c>
      <c r="D595" s="59" t="s">
        <v>7534</v>
      </c>
      <c r="E595" s="72" t="s">
        <v>5862</v>
      </c>
      <c r="F595" s="73" t="s">
        <v>7535</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6754</v>
      </c>
      <c r="U595" s="63">
        <v>397</v>
      </c>
      <c r="V595" s="70">
        <v>40424</v>
      </c>
      <c r="W595" s="70">
        <v>40000</v>
      </c>
      <c r="X595" s="83" t="s">
        <v>5952</v>
      </c>
      <c r="Y595" s="70">
        <f t="shared" si="1"/>
        <v>16000</v>
      </c>
      <c r="Z595" s="63" t="s">
        <v>5866</v>
      </c>
      <c r="AA595" s="59">
        <v>3</v>
      </c>
      <c r="AB595" s="59">
        <v>3</v>
      </c>
      <c r="AC595" s="67" t="s">
        <v>333</v>
      </c>
      <c r="AD595" s="61" t="s">
        <v>7536</v>
      </c>
      <c r="AE595" s="71"/>
      <c r="AF595" s="71"/>
      <c r="AG595" s="71"/>
      <c r="AH595" s="71"/>
      <c r="AI595" s="71"/>
      <c r="AJ595" s="71"/>
      <c r="AK595" s="71" t="s">
        <v>7486</v>
      </c>
      <c r="AL595">
        <f t="shared" si="0"/>
        <v>137500</v>
      </c>
    </row>
    <row r="596" spans="1:38">
      <c r="A596" s="62">
        <v>8</v>
      </c>
      <c r="B596" s="93">
        <v>588</v>
      </c>
      <c r="C596" s="68" t="s">
        <v>7475</v>
      </c>
      <c r="D596" s="59" t="s">
        <v>5918</v>
      </c>
      <c r="E596" s="72" t="s">
        <v>5862</v>
      </c>
      <c r="F596" s="73" t="s">
        <v>5919</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6754</v>
      </c>
      <c r="U596" s="63">
        <v>398</v>
      </c>
      <c r="V596" s="70">
        <v>40424</v>
      </c>
      <c r="W596" s="70">
        <v>40000</v>
      </c>
      <c r="X596" s="83" t="s">
        <v>5920</v>
      </c>
      <c r="Y596" s="70">
        <f t="shared" si="1"/>
        <v>16000</v>
      </c>
      <c r="Z596" s="63" t="s">
        <v>5866</v>
      </c>
      <c r="AA596" s="59">
        <v>3</v>
      </c>
      <c r="AB596" s="59">
        <v>3</v>
      </c>
      <c r="AC596" s="67" t="s">
        <v>333</v>
      </c>
      <c r="AD596" s="61" t="s">
        <v>181</v>
      </c>
      <c r="AE596" s="71"/>
      <c r="AF596" s="71"/>
      <c r="AG596" s="71"/>
      <c r="AH596" s="71"/>
      <c r="AI596" s="71"/>
      <c r="AJ596" s="71"/>
      <c r="AK596" s="71" t="s">
        <v>7537</v>
      </c>
      <c r="AL596">
        <f t="shared" si="0"/>
        <v>86671</v>
      </c>
    </row>
    <row r="597" spans="1:38">
      <c r="A597" s="62">
        <v>8</v>
      </c>
      <c r="B597" s="93">
        <v>589</v>
      </c>
      <c r="C597" s="68" t="s">
        <v>7475</v>
      </c>
      <c r="D597" s="59" t="s">
        <v>7538</v>
      </c>
      <c r="E597" s="72" t="s">
        <v>5862</v>
      </c>
      <c r="F597" s="73" t="s">
        <v>7539</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6759</v>
      </c>
      <c r="U597" s="63">
        <v>397</v>
      </c>
      <c r="V597" s="70">
        <v>211126</v>
      </c>
      <c r="W597" s="70">
        <v>210000</v>
      </c>
      <c r="X597" s="83" t="s">
        <v>5878</v>
      </c>
      <c r="Y597" s="70">
        <f>ROUND(J597,-4)</f>
        <v>90000</v>
      </c>
      <c r="Z597" s="63" t="s">
        <v>5924</v>
      </c>
      <c r="AA597" s="59">
        <v>3</v>
      </c>
      <c r="AB597" s="59">
        <v>3</v>
      </c>
      <c r="AC597" s="67" t="s">
        <v>333</v>
      </c>
      <c r="AD597" s="61" t="s">
        <v>7540</v>
      </c>
      <c r="AE597" s="71"/>
      <c r="AF597" s="71"/>
      <c r="AG597" s="71"/>
      <c r="AH597" s="71"/>
      <c r="AI597" s="71"/>
      <c r="AJ597" s="71"/>
      <c r="AK597" s="71" t="s">
        <v>7541</v>
      </c>
      <c r="AL597">
        <f t="shared" si="0"/>
        <v>379901.99999999988</v>
      </c>
    </row>
    <row r="598" spans="1:38">
      <c r="A598" s="62">
        <v>8</v>
      </c>
      <c r="B598" s="93">
        <v>590</v>
      </c>
      <c r="C598" s="68" t="s">
        <v>7475</v>
      </c>
      <c r="D598" s="59" t="s">
        <v>5930</v>
      </c>
      <c r="E598" s="72" t="s">
        <v>5862</v>
      </c>
      <c r="F598" s="73" t="s">
        <v>5931</v>
      </c>
      <c r="G598" s="82">
        <v>44.1</v>
      </c>
      <c r="H598" s="67">
        <v>9103</v>
      </c>
      <c r="I598" s="69">
        <v>0</v>
      </c>
      <c r="J598" s="70">
        <v>10530</v>
      </c>
      <c r="K598" s="75">
        <v>5.650522317188984</v>
      </c>
      <c r="L598" s="74">
        <v>0</v>
      </c>
      <c r="M598" s="76">
        <v>0</v>
      </c>
      <c r="N598" s="67">
        <v>2006</v>
      </c>
      <c r="O598" s="64">
        <v>3547</v>
      </c>
      <c r="P598" s="64" t="s">
        <v>181</v>
      </c>
      <c r="Q598" s="59">
        <v>25</v>
      </c>
      <c r="R598" s="59">
        <v>14</v>
      </c>
      <c r="S598" s="59">
        <v>1</v>
      </c>
      <c r="T598" s="63" t="s">
        <v>6813</v>
      </c>
      <c r="U598" s="63">
        <v>398</v>
      </c>
      <c r="V598" s="70">
        <v>44907</v>
      </c>
      <c r="W598" s="70">
        <v>45000</v>
      </c>
      <c r="X598" s="83" t="s">
        <v>5933</v>
      </c>
      <c r="Y598" s="70">
        <f>ROUND(J598,-3)</f>
        <v>11000</v>
      </c>
      <c r="Z598" s="63" t="s">
        <v>5866</v>
      </c>
      <c r="AA598" s="59">
        <v>3</v>
      </c>
      <c r="AB598" s="59">
        <v>3</v>
      </c>
      <c r="AC598" s="67" t="s">
        <v>333</v>
      </c>
      <c r="AD598" s="61" t="s">
        <v>5934</v>
      </c>
      <c r="AE598" s="71"/>
      <c r="AF598" s="71"/>
      <c r="AG598" s="71"/>
      <c r="AH598" s="71"/>
      <c r="AI598" s="71"/>
      <c r="AJ598" s="71"/>
      <c r="AK598" s="71" t="s">
        <v>7542</v>
      </c>
      <c r="AL598">
        <f t="shared" si="0"/>
        <v>59500</v>
      </c>
    </row>
    <row r="599" spans="1:38">
      <c r="A599" s="62">
        <v>8</v>
      </c>
      <c r="B599" s="93">
        <v>591</v>
      </c>
      <c r="C599" s="68" t="s">
        <v>7495</v>
      </c>
      <c r="D599" s="59" t="s">
        <v>7543</v>
      </c>
      <c r="E599" s="72" t="s">
        <v>5862</v>
      </c>
      <c r="F599" s="73" t="s">
        <v>7544</v>
      </c>
      <c r="G599" s="82">
        <v>44.4</v>
      </c>
      <c r="H599" s="67">
        <v>9103</v>
      </c>
      <c r="I599" s="69">
        <v>0</v>
      </c>
      <c r="J599" s="70">
        <v>323860</v>
      </c>
      <c r="K599" s="75">
        <v>3.76</v>
      </c>
      <c r="L599" s="74">
        <v>0</v>
      </c>
      <c r="M599" s="76">
        <v>0.01</v>
      </c>
      <c r="N599" s="67">
        <v>1998</v>
      </c>
      <c r="O599" s="64">
        <v>8739</v>
      </c>
      <c r="Q599" s="59">
        <v>35</v>
      </c>
      <c r="R599" s="59">
        <v>14</v>
      </c>
      <c r="S599" s="59">
        <v>4</v>
      </c>
      <c r="T599" s="63" t="s">
        <v>6813</v>
      </c>
      <c r="U599" s="63">
        <v>398</v>
      </c>
      <c r="V599" s="70">
        <v>857261</v>
      </c>
      <c r="W599" s="70">
        <v>900000</v>
      </c>
      <c r="X599" s="83" t="s">
        <v>5952</v>
      </c>
      <c r="Y599" s="70">
        <v>350000</v>
      </c>
      <c r="Z599" s="63" t="s">
        <v>207</v>
      </c>
      <c r="AA599" s="59">
        <v>3</v>
      </c>
      <c r="AB599" s="59">
        <v>3</v>
      </c>
      <c r="AC599" s="67">
        <v>33</v>
      </c>
      <c r="AD599" s="61" t="s">
        <v>7545</v>
      </c>
      <c r="AE599" s="71">
        <v>3.76</v>
      </c>
      <c r="AF599" s="71">
        <v>3.76</v>
      </c>
      <c r="AG599" s="71">
        <v>3.72</v>
      </c>
      <c r="AH599" s="71">
        <v>0.04</v>
      </c>
      <c r="AI599" s="71" t="s">
        <v>1057</v>
      </c>
      <c r="AJ599" s="71" t="s">
        <v>1057</v>
      </c>
      <c r="AK599" s="71"/>
      <c r="AL599">
        <f t="shared" si="0"/>
        <v>304428.39999999997</v>
      </c>
    </row>
    <row r="600" spans="1:38">
      <c r="A600" s="62">
        <v>8</v>
      </c>
      <c r="B600" s="93">
        <v>592</v>
      </c>
      <c r="C600" s="68" t="s">
        <v>7475</v>
      </c>
      <c r="D600" s="59" t="s">
        <v>7546</v>
      </c>
      <c r="E600" s="72" t="s">
        <v>5862</v>
      </c>
      <c r="F600" s="73" t="s">
        <v>7547</v>
      </c>
      <c r="G600" s="82">
        <v>46.7</v>
      </c>
      <c r="H600" s="67">
        <v>9103</v>
      </c>
      <c r="I600" s="69">
        <v>0</v>
      </c>
      <c r="J600" s="70">
        <v>34112</v>
      </c>
      <c r="K600" s="75">
        <v>12.224437148217641</v>
      </c>
      <c r="L600" s="74">
        <v>0</v>
      </c>
      <c r="M600" s="76">
        <v>0</v>
      </c>
      <c r="N600" s="67">
        <v>1998</v>
      </c>
      <c r="O600" s="64">
        <v>5312</v>
      </c>
      <c r="Q600" s="59">
        <v>26</v>
      </c>
      <c r="R600" s="59">
        <v>14</v>
      </c>
      <c r="S600" s="59">
        <v>1</v>
      </c>
      <c r="T600" s="63" t="s">
        <v>6813</v>
      </c>
      <c r="U600" s="63">
        <v>391</v>
      </c>
      <c r="V600" s="70">
        <v>206039</v>
      </c>
      <c r="W600" s="70">
        <v>210000</v>
      </c>
      <c r="X600" s="83" t="s">
        <v>7548</v>
      </c>
      <c r="Y600" s="70">
        <f>ROUND(J600,-3)</f>
        <v>34000</v>
      </c>
      <c r="Z600" s="63" t="s">
        <v>5866</v>
      </c>
      <c r="AA600" s="59">
        <v>3</v>
      </c>
      <c r="AB600" s="59">
        <v>3</v>
      </c>
      <c r="AC600" s="67" t="s">
        <v>333</v>
      </c>
      <c r="AD600" s="61" t="s">
        <v>7549</v>
      </c>
      <c r="AE600" s="71"/>
      <c r="AF600" s="71"/>
      <c r="AG600" s="71"/>
      <c r="AH600" s="71"/>
      <c r="AI600" s="71"/>
      <c r="AJ600" s="71"/>
      <c r="AK600" s="71" t="s">
        <v>7550</v>
      </c>
      <c r="AL600">
        <f t="shared" si="0"/>
        <v>417000.00000000017</v>
      </c>
    </row>
    <row r="601" spans="1:38">
      <c r="A601" s="62">
        <v>8</v>
      </c>
      <c r="B601" s="93">
        <v>593</v>
      </c>
      <c r="C601" s="68" t="s">
        <v>7475</v>
      </c>
      <c r="D601" s="59" t="s">
        <v>6814</v>
      </c>
      <c r="E601" s="72" t="s">
        <v>5862</v>
      </c>
      <c r="F601" s="73" t="s">
        <v>7551</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6813</v>
      </c>
      <c r="U601" s="63">
        <v>398</v>
      </c>
      <c r="V601" s="70">
        <v>202118</v>
      </c>
      <c r="W601" s="70">
        <v>200000</v>
      </c>
      <c r="X601" s="83" t="s">
        <v>6816</v>
      </c>
      <c r="Y601" s="70">
        <f>ROUND(J601,-4)</f>
        <v>50000</v>
      </c>
      <c r="Z601" s="63" t="s">
        <v>5866</v>
      </c>
      <c r="AA601" s="59">
        <v>3</v>
      </c>
      <c r="AB601" s="59">
        <v>3</v>
      </c>
      <c r="AC601" s="67" t="s">
        <v>333</v>
      </c>
      <c r="AD601" s="61" t="s">
        <v>6817</v>
      </c>
      <c r="AE601" s="71"/>
      <c r="AF601" s="71"/>
      <c r="AG601" s="71"/>
      <c r="AH601" s="71"/>
      <c r="AI601" s="71"/>
      <c r="AJ601" s="71"/>
      <c r="AK601" s="71" t="s">
        <v>7524</v>
      </c>
      <c r="AL601">
        <f t="shared" si="0"/>
        <v>364560</v>
      </c>
    </row>
    <row r="602" spans="1:38">
      <c r="A602" s="62">
        <v>8</v>
      </c>
      <c r="B602" s="93">
        <v>594</v>
      </c>
      <c r="C602" s="68" t="s">
        <v>7475</v>
      </c>
      <c r="D602" s="59" t="s">
        <v>6818</v>
      </c>
      <c r="E602" s="72" t="s">
        <v>5862</v>
      </c>
      <c r="F602" s="73" t="s">
        <v>7552</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6813</v>
      </c>
      <c r="U602" s="63">
        <v>398</v>
      </c>
      <c r="V602" s="70">
        <v>71003</v>
      </c>
      <c r="W602" s="70">
        <v>70000</v>
      </c>
      <c r="X602" s="83" t="s">
        <v>6436</v>
      </c>
      <c r="Y602" s="70">
        <f>ROUND(J602,-3)</f>
        <v>20000</v>
      </c>
      <c r="Z602" s="63" t="s">
        <v>5866</v>
      </c>
      <c r="AA602" s="59">
        <v>3</v>
      </c>
      <c r="AB602" s="59">
        <v>3</v>
      </c>
      <c r="AC602" s="67" t="s">
        <v>333</v>
      </c>
      <c r="AD602" s="61" t="s">
        <v>6817</v>
      </c>
      <c r="AE602" s="71"/>
      <c r="AF602" s="71"/>
      <c r="AG602" s="71"/>
      <c r="AH602" s="71"/>
      <c r="AI602" s="71"/>
      <c r="AJ602" s="71"/>
      <c r="AK602" s="71" t="s">
        <v>7486</v>
      </c>
      <c r="AL602">
        <f t="shared" ref="AL602:AL633" si="2">IF(AND(ISNUMBER($S602),$S602&gt;0,ISNUMBER($K602),ISNUMBER($J602)),($K602*$J602)/$S602,"")</f>
        <v>112000</v>
      </c>
    </row>
    <row r="603" spans="1:38">
      <c r="A603" s="62">
        <v>8</v>
      </c>
      <c r="B603" s="93">
        <v>595</v>
      </c>
      <c r="C603" s="68" t="s">
        <v>7475</v>
      </c>
      <c r="D603" s="59" t="s">
        <v>5943</v>
      </c>
      <c r="E603" s="72" t="s">
        <v>5862</v>
      </c>
      <c r="F603" s="73" t="s">
        <v>5944</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6813</v>
      </c>
      <c r="U603" s="63">
        <v>398</v>
      </c>
      <c r="V603" s="70">
        <v>65250</v>
      </c>
      <c r="W603" s="70">
        <v>70000</v>
      </c>
      <c r="X603" s="83" t="s">
        <v>5945</v>
      </c>
      <c r="Y603" s="70">
        <f>ROUND(J603,-3)</f>
        <v>18000</v>
      </c>
      <c r="Z603" s="63" t="s">
        <v>5866</v>
      </c>
      <c r="AA603" s="59">
        <v>3</v>
      </c>
      <c r="AB603" s="59">
        <v>3</v>
      </c>
      <c r="AC603" s="67" t="s">
        <v>333</v>
      </c>
      <c r="AD603" s="61" t="s">
        <v>5946</v>
      </c>
      <c r="AE603" s="71"/>
      <c r="AF603" s="71"/>
      <c r="AG603" s="71"/>
      <c r="AH603" s="71"/>
      <c r="AI603" s="71"/>
      <c r="AJ603" s="71"/>
      <c r="AK603" s="71" t="s">
        <v>7553</v>
      </c>
      <c r="AL603">
        <f t="shared" si="2"/>
        <v>149828</v>
      </c>
    </row>
    <row r="604" spans="1:38">
      <c r="A604" s="62">
        <v>8</v>
      </c>
      <c r="B604" s="93">
        <v>596</v>
      </c>
      <c r="C604" s="68" t="s">
        <v>7475</v>
      </c>
      <c r="D604" s="59" t="s">
        <v>7554</v>
      </c>
      <c r="E604" s="72" t="s">
        <v>5862</v>
      </c>
      <c r="F604" s="73" t="s">
        <v>7555</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6759</v>
      </c>
      <c r="U604" s="63">
        <v>398</v>
      </c>
      <c r="V604" s="70">
        <v>95733</v>
      </c>
      <c r="W604" s="70">
        <v>100000</v>
      </c>
      <c r="X604" s="83" t="s">
        <v>5874</v>
      </c>
      <c r="Y604" s="70">
        <f>ROUND(J604,-3)</f>
        <v>41000</v>
      </c>
      <c r="Z604" s="63" t="s">
        <v>5866</v>
      </c>
      <c r="AA604" s="59">
        <v>3</v>
      </c>
      <c r="AB604" s="59">
        <v>3</v>
      </c>
      <c r="AC604" s="67" t="s">
        <v>333</v>
      </c>
      <c r="AD604" s="61" t="s">
        <v>7540</v>
      </c>
      <c r="AE604" s="71"/>
      <c r="AF604" s="71"/>
      <c r="AG604" s="71"/>
      <c r="AH604" s="71"/>
      <c r="AI604" s="71"/>
      <c r="AJ604" s="71"/>
      <c r="AK604" s="71" t="s">
        <v>7524</v>
      </c>
      <c r="AL604">
        <f t="shared" si="2"/>
        <v>102381.99999999999</v>
      </c>
    </row>
    <row r="605" spans="1:38">
      <c r="A605" s="62">
        <v>8</v>
      </c>
      <c r="B605" s="93">
        <v>597</v>
      </c>
      <c r="C605" s="68" t="s">
        <v>7475</v>
      </c>
      <c r="D605" s="59" t="s">
        <v>7556</v>
      </c>
      <c r="E605" s="72" t="s">
        <v>5862</v>
      </c>
      <c r="F605" s="73" t="s">
        <v>7557</v>
      </c>
      <c r="G605" s="82">
        <v>44.2</v>
      </c>
      <c r="H605" s="67">
        <v>9101</v>
      </c>
      <c r="I605" s="69">
        <v>5</v>
      </c>
      <c r="J605" s="70">
        <v>15058</v>
      </c>
      <c r="K605" s="75">
        <v>4.59058307876212</v>
      </c>
      <c r="L605" s="74">
        <v>0</v>
      </c>
      <c r="M605" s="76">
        <v>0</v>
      </c>
      <c r="N605" s="67">
        <v>1964</v>
      </c>
      <c r="P605" s="64">
        <v>1872</v>
      </c>
      <c r="Q605" s="59">
        <v>19</v>
      </c>
      <c r="R605" s="59">
        <v>1</v>
      </c>
      <c r="S605" s="59">
        <v>1</v>
      </c>
      <c r="T605" s="63" t="s">
        <v>6759</v>
      </c>
      <c r="U605" s="63">
        <v>398</v>
      </c>
      <c r="V605" s="70">
        <v>59290</v>
      </c>
      <c r="W605" s="70">
        <v>60000</v>
      </c>
      <c r="X605" s="83" t="s">
        <v>5865</v>
      </c>
      <c r="Y605" s="70">
        <f>ROUND(J605,-3)</f>
        <v>15000</v>
      </c>
      <c r="Z605" s="63" t="s">
        <v>5866</v>
      </c>
      <c r="AA605" s="59">
        <v>3</v>
      </c>
      <c r="AB605" s="59">
        <v>3</v>
      </c>
      <c r="AC605" s="67" t="s">
        <v>333</v>
      </c>
      <c r="AD605" s="61" t="s">
        <v>7558</v>
      </c>
      <c r="AE605" s="71"/>
      <c r="AF605" s="71"/>
      <c r="AG605" s="71"/>
      <c r="AH605" s="71"/>
      <c r="AI605" s="71"/>
      <c r="AJ605" s="71"/>
      <c r="AK605" s="71" t="s">
        <v>7553</v>
      </c>
      <c r="AL605">
        <f t="shared" si="2"/>
        <v>69125</v>
      </c>
    </row>
    <row r="606" spans="1:38">
      <c r="A606" s="62">
        <v>8</v>
      </c>
      <c r="B606" s="93">
        <v>598</v>
      </c>
      <c r="C606" s="68" t="s">
        <v>7475</v>
      </c>
      <c r="D606" s="59" t="s">
        <v>7559</v>
      </c>
      <c r="E606" s="72" t="s">
        <v>5862</v>
      </c>
      <c r="F606" s="73" t="s">
        <v>7560</v>
      </c>
      <c r="G606" s="82">
        <v>44.2</v>
      </c>
      <c r="H606" s="67">
        <v>9101</v>
      </c>
      <c r="I606" s="69">
        <v>5</v>
      </c>
      <c r="J606" s="70">
        <v>44780</v>
      </c>
      <c r="K606" s="75">
        <v>3.752300133988387</v>
      </c>
      <c r="L606" s="74">
        <v>0</v>
      </c>
      <c r="M606" s="76">
        <v>0</v>
      </c>
      <c r="N606" s="67">
        <v>1955</v>
      </c>
      <c r="P606" s="64">
        <v>4259</v>
      </c>
      <c r="Q606" s="59">
        <v>20</v>
      </c>
      <c r="R606" s="59">
        <v>10</v>
      </c>
      <c r="S606" s="59">
        <v>1</v>
      </c>
      <c r="T606" s="63" t="s">
        <v>6759</v>
      </c>
      <c r="U606" s="63">
        <v>398</v>
      </c>
      <c r="V606" s="70">
        <v>104790</v>
      </c>
      <c r="W606" s="70">
        <v>100000</v>
      </c>
      <c r="X606" s="83" t="s">
        <v>5874</v>
      </c>
      <c r="Y606" s="70">
        <f>ROUND(J606,-3)</f>
        <v>45000</v>
      </c>
      <c r="Z606" s="63" t="s">
        <v>5866</v>
      </c>
      <c r="AA606" s="59">
        <v>3</v>
      </c>
      <c r="AB606" s="59">
        <v>3</v>
      </c>
      <c r="AC606" s="67" t="s">
        <v>333</v>
      </c>
      <c r="AD606" s="61" t="s">
        <v>181</v>
      </c>
      <c r="AE606" s="71"/>
      <c r="AF606" s="71"/>
      <c r="AG606" s="71"/>
      <c r="AH606" s="71"/>
      <c r="AI606" s="71"/>
      <c r="AJ606" s="71"/>
      <c r="AK606" s="71" t="s">
        <v>7561</v>
      </c>
      <c r="AL606">
        <f t="shared" si="2"/>
        <v>168027.99999999997</v>
      </c>
    </row>
    <row r="607" spans="1:38">
      <c r="A607" s="62">
        <v>8</v>
      </c>
      <c r="B607" s="93">
        <v>599</v>
      </c>
      <c r="C607" s="68" t="s">
        <v>7475</v>
      </c>
      <c r="D607" s="59" t="s">
        <v>7562</v>
      </c>
      <c r="E607" s="72" t="s">
        <v>5862</v>
      </c>
      <c r="F607" s="73" t="s">
        <v>7563</v>
      </c>
      <c r="G607" s="82">
        <v>47.2</v>
      </c>
      <c r="H607" s="67">
        <v>9101</v>
      </c>
      <c r="I607" s="69">
        <v>0</v>
      </c>
      <c r="J607" s="70">
        <v>75608</v>
      </c>
      <c r="K607" s="75">
        <v>1.983917045815258</v>
      </c>
      <c r="L607" s="74">
        <v>0</v>
      </c>
      <c r="M607" s="76">
        <v>0</v>
      </c>
      <c r="N607" s="67">
        <v>1963</v>
      </c>
      <c r="O607" s="64">
        <f>4254+1382</f>
        <v>5636</v>
      </c>
      <c r="P607" s="64" t="s">
        <v>181</v>
      </c>
      <c r="Q607" s="59">
        <v>15</v>
      </c>
      <c r="R607" s="59">
        <v>3</v>
      </c>
      <c r="S607" s="59">
        <v>1</v>
      </c>
      <c r="T607" s="63" t="s">
        <v>6759</v>
      </c>
      <c r="U607" s="63">
        <v>401</v>
      </c>
      <c r="V607" s="70">
        <v>110783</v>
      </c>
      <c r="W607" s="70">
        <v>110000</v>
      </c>
      <c r="X607" s="83" t="s">
        <v>6065</v>
      </c>
      <c r="Y607" s="70">
        <f>ROUND(J607,-4)</f>
        <v>80000</v>
      </c>
      <c r="Z607" s="63" t="s">
        <v>5866</v>
      </c>
      <c r="AA607" s="59">
        <v>2</v>
      </c>
      <c r="AB607" s="59">
        <v>2</v>
      </c>
      <c r="AC607" s="67" t="s">
        <v>280</v>
      </c>
      <c r="AD607" s="61" t="s">
        <v>181</v>
      </c>
      <c r="AE607" s="71"/>
      <c r="AF607" s="71"/>
      <c r="AG607" s="71"/>
      <c r="AH607" s="71"/>
      <c r="AI607" s="71"/>
      <c r="AJ607" s="71"/>
      <c r="AK607" s="71" t="s">
        <v>7564</v>
      </c>
      <c r="AL607">
        <f t="shared" si="2"/>
        <v>150000.00000000003</v>
      </c>
    </row>
    <row r="608" spans="1:38">
      <c r="A608" s="62">
        <v>8</v>
      </c>
      <c r="B608" s="93">
        <v>600</v>
      </c>
      <c r="C608" s="68" t="s">
        <v>7475</v>
      </c>
      <c r="D608" s="59" t="s">
        <v>6822</v>
      </c>
      <c r="E608" s="72" t="s">
        <v>5862</v>
      </c>
      <c r="F608" s="73" t="s">
        <v>7565</v>
      </c>
      <c r="G608" s="82">
        <v>44.2</v>
      </c>
      <c r="H608" s="67">
        <v>9101</v>
      </c>
      <c r="I608" s="69">
        <v>0</v>
      </c>
      <c r="J608" s="70">
        <v>19692</v>
      </c>
      <c r="K608" s="75">
        <v>2.5898842169408902</v>
      </c>
      <c r="L608" s="74">
        <v>0</v>
      </c>
      <c r="M608" s="76">
        <v>0</v>
      </c>
      <c r="N608" s="67">
        <v>1959</v>
      </c>
      <c r="O608" s="64">
        <v>1400</v>
      </c>
      <c r="Q608" s="59">
        <v>17</v>
      </c>
      <c r="R608" s="59">
        <v>3</v>
      </c>
      <c r="S608" s="59">
        <v>1</v>
      </c>
      <c r="T608" s="63" t="s">
        <v>6759</v>
      </c>
      <c r="U608" s="63">
        <v>398</v>
      </c>
      <c r="V608" s="70">
        <v>45551</v>
      </c>
      <c r="W608" s="70">
        <v>46000</v>
      </c>
      <c r="X608" s="83" t="s">
        <v>5874</v>
      </c>
      <c r="Y608" s="70">
        <f>ROUND(J608,-3)</f>
        <v>20000</v>
      </c>
      <c r="Z608" s="63" t="s">
        <v>5866</v>
      </c>
      <c r="AA608" s="59">
        <v>2</v>
      </c>
      <c r="AB608" s="59">
        <v>2</v>
      </c>
      <c r="AC608" s="67" t="s">
        <v>280</v>
      </c>
      <c r="AD608" s="61" t="s">
        <v>181</v>
      </c>
      <c r="AE608" s="71"/>
      <c r="AF608" s="71"/>
      <c r="AG608" s="71"/>
      <c r="AH608" s="71"/>
      <c r="AI608" s="71"/>
      <c r="AJ608" s="71"/>
      <c r="AK608" s="71" t="s">
        <v>7566</v>
      </c>
      <c r="AL608">
        <f t="shared" si="2"/>
        <v>51000.000000000007</v>
      </c>
    </row>
    <row r="609" spans="1:38">
      <c r="A609" s="62">
        <v>8</v>
      </c>
      <c r="B609" s="93">
        <v>601</v>
      </c>
      <c r="C609" s="68" t="s">
        <v>7475</v>
      </c>
      <c r="D609" s="59" t="s">
        <v>7567</v>
      </c>
      <c r="E609" s="72" t="s">
        <v>5862</v>
      </c>
      <c r="F609" s="73" t="s">
        <v>7568</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6759</v>
      </c>
      <c r="U609" s="63">
        <v>398</v>
      </c>
      <c r="V609" s="70">
        <v>81553</v>
      </c>
      <c r="W609" s="70">
        <v>80000</v>
      </c>
      <c r="X609" s="83" t="s">
        <v>5979</v>
      </c>
      <c r="Y609" s="70">
        <f>ROUND(J609,-3)</f>
        <v>26000</v>
      </c>
      <c r="Z609" s="63" t="s">
        <v>5866</v>
      </c>
      <c r="AA609" s="59">
        <v>3</v>
      </c>
      <c r="AB609" s="59">
        <v>3</v>
      </c>
      <c r="AC609" s="67" t="s">
        <v>333</v>
      </c>
      <c r="AD609" s="61" t="s">
        <v>7569</v>
      </c>
      <c r="AE609" s="71"/>
      <c r="AF609" s="71"/>
      <c r="AG609" s="71"/>
      <c r="AH609" s="71"/>
      <c r="AI609" s="71"/>
      <c r="AJ609" s="71"/>
      <c r="AK609" s="71" t="s">
        <v>7570</v>
      </c>
      <c r="AL609">
        <f t="shared" si="2"/>
        <v>360000</v>
      </c>
    </row>
    <row r="610" spans="1:38">
      <c r="A610" s="62">
        <v>8</v>
      </c>
      <c r="B610" s="93">
        <v>602</v>
      </c>
      <c r="C610" s="68" t="s">
        <v>7475</v>
      </c>
      <c r="D610" s="59" t="s">
        <v>5955</v>
      </c>
      <c r="E610" s="72" t="s">
        <v>5862</v>
      </c>
      <c r="F610" s="73" t="s">
        <v>5956</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6759</v>
      </c>
      <c r="U610" s="63">
        <v>398</v>
      </c>
      <c r="V610" s="70">
        <v>261000</v>
      </c>
      <c r="W610" s="70">
        <v>260000</v>
      </c>
      <c r="X610" s="83" t="s">
        <v>5952</v>
      </c>
      <c r="Y610" s="70">
        <f>ROUND(J610,-4)</f>
        <v>100000</v>
      </c>
      <c r="Z610" s="63" t="s">
        <v>5866</v>
      </c>
      <c r="AA610" s="59">
        <v>3</v>
      </c>
      <c r="AB610" s="59">
        <v>3</v>
      </c>
      <c r="AC610" s="67" t="s">
        <v>333</v>
      </c>
      <c r="AD610" s="61" t="s">
        <v>5957</v>
      </c>
      <c r="AE610" s="71"/>
      <c r="AF610" s="71"/>
      <c r="AG610" s="71"/>
      <c r="AH610" s="71"/>
      <c r="AI610" s="71"/>
      <c r="AJ610" s="71"/>
      <c r="AK610" s="71" t="s">
        <v>7571</v>
      </c>
      <c r="AL610">
        <f t="shared" si="2"/>
        <v>324255</v>
      </c>
    </row>
    <row r="611" spans="1:38">
      <c r="A611" s="62">
        <v>8</v>
      </c>
      <c r="B611" s="93">
        <v>603</v>
      </c>
      <c r="C611" s="68" t="s">
        <v>7475</v>
      </c>
      <c r="D611" s="59" t="s">
        <v>5958</v>
      </c>
      <c r="E611" s="72" t="s">
        <v>5862</v>
      </c>
      <c r="F611" s="73" t="s">
        <v>5959</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6759</v>
      </c>
      <c r="U611" s="63">
        <v>398</v>
      </c>
      <c r="V611" s="70">
        <v>261359</v>
      </c>
      <c r="W611" s="70">
        <v>260000</v>
      </c>
      <c r="X611" s="83" t="s">
        <v>5920</v>
      </c>
      <c r="Y611" s="70">
        <f>ROUND(J611,-4)</f>
        <v>100000</v>
      </c>
      <c r="Z611" s="63" t="s">
        <v>5866</v>
      </c>
      <c r="AA611" s="59">
        <v>3</v>
      </c>
      <c r="AB611" s="59">
        <v>3</v>
      </c>
      <c r="AC611" s="67" t="s">
        <v>333</v>
      </c>
      <c r="AD611" s="61" t="s">
        <v>5960</v>
      </c>
      <c r="AE611" s="71"/>
      <c r="AF611" s="71"/>
      <c r="AG611" s="71"/>
      <c r="AH611" s="71"/>
      <c r="AI611" s="71"/>
      <c r="AJ611" s="71"/>
      <c r="AK611" s="71" t="s">
        <v>7572</v>
      </c>
      <c r="AL611">
        <f t="shared" si="2"/>
        <v>278322.00000000006</v>
      </c>
    </row>
    <row r="612" spans="1:38">
      <c r="A612" s="62">
        <v>8</v>
      </c>
      <c r="B612" s="93">
        <v>604</v>
      </c>
      <c r="C612" s="68" t="s">
        <v>7475</v>
      </c>
      <c r="D612" s="59" t="s">
        <v>5961</v>
      </c>
      <c r="E612" s="72" t="s">
        <v>5862</v>
      </c>
      <c r="F612" s="73" t="s">
        <v>5962</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6759</v>
      </c>
      <c r="U612" s="63">
        <v>398</v>
      </c>
      <c r="V612" s="70">
        <v>18315</v>
      </c>
      <c r="W612" s="70">
        <v>18000</v>
      </c>
      <c r="X612" s="83" t="s">
        <v>5938</v>
      </c>
      <c r="Y612" s="70">
        <f>ROUND(J612,-3)</f>
        <v>13000</v>
      </c>
      <c r="Z612" s="63" t="s">
        <v>5866</v>
      </c>
      <c r="AA612" s="59">
        <v>3</v>
      </c>
      <c r="AB612" s="59">
        <v>3</v>
      </c>
      <c r="AC612" s="67" t="s">
        <v>333</v>
      </c>
      <c r="AD612" s="61" t="s">
        <v>181</v>
      </c>
      <c r="AE612" s="71"/>
      <c r="AF612" s="71"/>
      <c r="AG612" s="71"/>
      <c r="AH612" s="71"/>
      <c r="AI612" s="71"/>
      <c r="AJ612" s="71"/>
      <c r="AK612" s="71" t="s">
        <v>7573</v>
      </c>
      <c r="AL612">
        <f t="shared" si="2"/>
        <v>24375</v>
      </c>
    </row>
    <row r="613" spans="1:38">
      <c r="A613" s="62">
        <v>8</v>
      </c>
      <c r="B613" s="93">
        <v>605</v>
      </c>
      <c r="C613" s="68" t="s">
        <v>7475</v>
      </c>
      <c r="D613" s="59" t="s">
        <v>5964</v>
      </c>
      <c r="E613" s="72" t="s">
        <v>5862</v>
      </c>
      <c r="F613" s="73" t="s">
        <v>5965</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6759</v>
      </c>
      <c r="U613" s="63">
        <v>398</v>
      </c>
      <c r="V613" s="70">
        <v>21764</v>
      </c>
      <c r="W613" s="70">
        <v>22000</v>
      </c>
      <c r="X613" s="83" t="s">
        <v>5903</v>
      </c>
      <c r="Y613" s="70">
        <f>ROUND(J613,-3)</f>
        <v>11000</v>
      </c>
      <c r="Z613" s="63" t="s">
        <v>5866</v>
      </c>
      <c r="AA613" s="59">
        <v>3</v>
      </c>
      <c r="AB613" s="59">
        <v>3</v>
      </c>
      <c r="AC613" s="67" t="s">
        <v>333</v>
      </c>
      <c r="AD613" s="61" t="s">
        <v>181</v>
      </c>
      <c r="AE613" s="71"/>
      <c r="AF613" s="71"/>
      <c r="AG613" s="71"/>
      <c r="AH613" s="71"/>
      <c r="AI613" s="71"/>
      <c r="AJ613" s="71"/>
      <c r="AK613" s="71" t="s">
        <v>7500</v>
      </c>
      <c r="AL613">
        <f t="shared" si="2"/>
        <v>78000</v>
      </c>
    </row>
    <row r="614" spans="1:38">
      <c r="A614" s="62">
        <v>8</v>
      </c>
      <c r="B614" s="93">
        <v>606</v>
      </c>
      <c r="C614" s="68" t="s">
        <v>7475</v>
      </c>
      <c r="D614" s="59" t="s">
        <v>7574</v>
      </c>
      <c r="E614" s="72" t="s">
        <v>5862</v>
      </c>
      <c r="F614" s="73" t="s">
        <v>7575</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6759</v>
      </c>
      <c r="U614" s="63">
        <v>398</v>
      </c>
      <c r="V614" s="70">
        <v>169045</v>
      </c>
      <c r="W614" s="70">
        <v>170000</v>
      </c>
      <c r="X614" s="83" t="s">
        <v>5982</v>
      </c>
      <c r="Y614" s="70">
        <f>ROUND(J614,-4)</f>
        <v>80000</v>
      </c>
      <c r="Z614" s="63" t="s">
        <v>5866</v>
      </c>
      <c r="AA614" s="59">
        <v>3</v>
      </c>
      <c r="AB614" s="59">
        <v>3</v>
      </c>
      <c r="AC614" s="67" t="s">
        <v>333</v>
      </c>
      <c r="AD614" s="61" t="s">
        <v>7576</v>
      </c>
      <c r="AE614" s="71"/>
      <c r="AF614" s="71"/>
      <c r="AG614" s="71"/>
      <c r="AH614" s="71"/>
      <c r="AI614" s="71"/>
      <c r="AJ614" s="71"/>
      <c r="AK614" s="71" t="s">
        <v>7577</v>
      </c>
      <c r="AL614">
        <f t="shared" si="2"/>
        <v>415560</v>
      </c>
    </row>
    <row r="615" spans="1:38">
      <c r="A615" s="62">
        <v>8</v>
      </c>
      <c r="B615" s="93">
        <v>607</v>
      </c>
      <c r="C615" s="68" t="s">
        <v>7475</v>
      </c>
      <c r="D615" s="59" t="s">
        <v>5966</v>
      </c>
      <c r="E615" s="72" t="s">
        <v>5862</v>
      </c>
      <c r="F615" s="73" t="s">
        <v>5967</v>
      </c>
      <c r="G615" s="82">
        <v>44.2</v>
      </c>
      <c r="H615" s="67">
        <v>9101</v>
      </c>
      <c r="I615" s="69">
        <v>0</v>
      </c>
      <c r="J615" s="70">
        <v>40200</v>
      </c>
      <c r="K615" s="75">
        <v>3.374850746268657</v>
      </c>
      <c r="L615" s="74">
        <v>0</v>
      </c>
      <c r="M615" s="76">
        <v>3.9014071011063689E-2</v>
      </c>
      <c r="N615" s="67">
        <v>1966</v>
      </c>
      <c r="Q615" s="59">
        <v>30</v>
      </c>
      <c r="R615" s="59">
        <v>1</v>
      </c>
      <c r="S615" s="59">
        <v>1</v>
      </c>
      <c r="T615" s="63" t="s">
        <v>6759</v>
      </c>
      <c r="U615" s="63">
        <v>398</v>
      </c>
      <c r="V615" s="70">
        <v>102703</v>
      </c>
      <c r="W615" s="70">
        <v>100000</v>
      </c>
      <c r="X615" s="83" t="s">
        <v>5952</v>
      </c>
      <c r="Y615" s="70">
        <f t="shared" ref="Y615:Y621" si="3">ROUND(J615,-3)</f>
        <v>40000</v>
      </c>
      <c r="Z615" s="63" t="s">
        <v>5866</v>
      </c>
      <c r="AA615" s="59">
        <v>2</v>
      </c>
      <c r="AB615" s="59">
        <v>3</v>
      </c>
      <c r="AC615" s="67" t="s">
        <v>284</v>
      </c>
      <c r="AD615" s="61" t="s">
        <v>5968</v>
      </c>
      <c r="AE615" s="71"/>
      <c r="AF615" s="71"/>
      <c r="AG615" s="71"/>
      <c r="AH615" s="71"/>
      <c r="AI615" s="71"/>
      <c r="AJ615" s="71"/>
      <c r="AK615" s="71" t="s">
        <v>7486</v>
      </c>
      <c r="AL615">
        <f t="shared" si="2"/>
        <v>135669</v>
      </c>
    </row>
    <row r="616" spans="1:38">
      <c r="A616" s="62">
        <v>8</v>
      </c>
      <c r="B616" s="93">
        <v>608</v>
      </c>
      <c r="C616" s="68" t="s">
        <v>7475</v>
      </c>
      <c r="D616" s="59" t="s">
        <v>7578</v>
      </c>
      <c r="E616" s="72" t="s">
        <v>5862</v>
      </c>
      <c r="F616" s="73" t="s">
        <v>7579</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6759</v>
      </c>
      <c r="U616" s="63">
        <v>398</v>
      </c>
      <c r="V616" s="70">
        <v>239703</v>
      </c>
      <c r="W616" s="70">
        <v>240000</v>
      </c>
      <c r="X616" s="83" t="s">
        <v>5874</v>
      </c>
      <c r="Y616" s="70">
        <f t="shared" si="3"/>
        <v>28000</v>
      </c>
      <c r="Z616" s="63" t="s">
        <v>5866</v>
      </c>
      <c r="AA616" s="59">
        <v>3</v>
      </c>
      <c r="AB616" s="59">
        <v>3</v>
      </c>
      <c r="AC616" s="67" t="s">
        <v>333</v>
      </c>
      <c r="AD616" s="61" t="s">
        <v>7580</v>
      </c>
      <c r="AE616" s="71"/>
      <c r="AF616" s="71"/>
      <c r="AG616" s="71"/>
      <c r="AH616" s="71"/>
      <c r="AI616" s="71"/>
      <c r="AJ616" s="71"/>
      <c r="AK616" s="71" t="s">
        <v>7500</v>
      </c>
      <c r="AL616">
        <f t="shared" si="2"/>
        <v>124890.00000000003</v>
      </c>
    </row>
    <row r="617" spans="1:38">
      <c r="A617" s="62">
        <v>8</v>
      </c>
      <c r="B617" s="93">
        <v>609</v>
      </c>
      <c r="C617" s="68" t="s">
        <v>7475</v>
      </c>
      <c r="D617" s="59" t="s">
        <v>6828</v>
      </c>
      <c r="E617" s="72" t="s">
        <v>5862</v>
      </c>
      <c r="F617" s="73" t="s">
        <v>7581</v>
      </c>
      <c r="G617" s="82">
        <v>44.2</v>
      </c>
      <c r="H617" s="67">
        <v>9101</v>
      </c>
      <c r="I617" s="69">
        <v>0</v>
      </c>
      <c r="J617" s="70">
        <v>14222</v>
      </c>
      <c r="K617" s="75">
        <v>5.0625791027984812</v>
      </c>
      <c r="L617" s="74">
        <v>0</v>
      </c>
      <c r="M617" s="76">
        <v>0</v>
      </c>
      <c r="N617" s="67">
        <v>1986</v>
      </c>
      <c r="O617" s="64">
        <v>1731</v>
      </c>
      <c r="Q617" s="59">
        <v>18</v>
      </c>
      <c r="R617" s="59">
        <v>8</v>
      </c>
      <c r="S617" s="59">
        <v>1</v>
      </c>
      <c r="T617" s="63" t="s">
        <v>6759</v>
      </c>
      <c r="U617" s="63">
        <v>398</v>
      </c>
      <c r="V617" s="70">
        <v>99260</v>
      </c>
      <c r="W617" s="70">
        <v>100000</v>
      </c>
      <c r="X617" s="83" t="s">
        <v>6830</v>
      </c>
      <c r="Y617" s="70">
        <f t="shared" si="3"/>
        <v>14000</v>
      </c>
      <c r="Z617" s="63" t="s">
        <v>5866</v>
      </c>
      <c r="AA617" s="59">
        <v>3</v>
      </c>
      <c r="AB617" s="59">
        <v>3</v>
      </c>
      <c r="AC617" s="67" t="s">
        <v>333</v>
      </c>
      <c r="AD617" s="61" t="s">
        <v>6831</v>
      </c>
      <c r="AE617" s="71"/>
      <c r="AF617" s="71"/>
      <c r="AG617" s="71"/>
      <c r="AH617" s="71"/>
      <c r="AI617" s="71"/>
      <c r="AJ617" s="71"/>
      <c r="AK617" s="71" t="s">
        <v>7486</v>
      </c>
      <c r="AL617">
        <f t="shared" si="2"/>
        <v>72000</v>
      </c>
    </row>
    <row r="618" spans="1:38">
      <c r="A618" s="62">
        <v>8</v>
      </c>
      <c r="B618" s="93">
        <v>610</v>
      </c>
      <c r="C618" s="68" t="s">
        <v>7475</v>
      </c>
      <c r="D618" s="59" t="s">
        <v>5973</v>
      </c>
      <c r="E618" s="72" t="s">
        <v>5862</v>
      </c>
      <c r="F618" s="73" t="s">
        <v>5974</v>
      </c>
      <c r="G618" s="82">
        <v>44.2</v>
      </c>
      <c r="H618" s="67">
        <v>9101</v>
      </c>
      <c r="I618" s="69">
        <v>0</v>
      </c>
      <c r="J618" s="70">
        <v>6480</v>
      </c>
      <c r="K618" s="75">
        <v>9.2592592592592595</v>
      </c>
      <c r="L618" s="74">
        <v>0</v>
      </c>
      <c r="M618" s="76">
        <v>0</v>
      </c>
      <c r="N618" s="67">
        <v>1987</v>
      </c>
      <c r="O618" s="64">
        <v>1744</v>
      </c>
      <c r="Q618" s="59">
        <v>16</v>
      </c>
      <c r="R618" s="59">
        <v>8</v>
      </c>
      <c r="S618" s="59">
        <v>1</v>
      </c>
      <c r="T618" s="63" t="s">
        <v>6759</v>
      </c>
      <c r="U618" s="63">
        <v>398</v>
      </c>
      <c r="V618" s="70">
        <v>45216</v>
      </c>
      <c r="W618" s="70">
        <v>45000</v>
      </c>
      <c r="X618" s="83" t="s">
        <v>6830</v>
      </c>
      <c r="Y618" s="70">
        <f t="shared" si="3"/>
        <v>6000</v>
      </c>
      <c r="Z618" s="63" t="s">
        <v>5866</v>
      </c>
      <c r="AA618" s="59">
        <v>3</v>
      </c>
      <c r="AB618" s="59">
        <v>3</v>
      </c>
      <c r="AC618" s="67" t="s">
        <v>333</v>
      </c>
      <c r="AD618" s="61" t="s">
        <v>5976</v>
      </c>
      <c r="AE618" s="71"/>
      <c r="AF618" s="71"/>
      <c r="AG618" s="71"/>
      <c r="AH618" s="71"/>
      <c r="AI618" s="71"/>
      <c r="AJ618" s="71"/>
      <c r="AK618" s="71" t="s">
        <v>7582</v>
      </c>
      <c r="AL618">
        <f t="shared" si="2"/>
        <v>60000</v>
      </c>
    </row>
    <row r="619" spans="1:38">
      <c r="A619" s="62">
        <v>8</v>
      </c>
      <c r="B619" s="93">
        <v>611</v>
      </c>
      <c r="C619" s="68" t="s">
        <v>7475</v>
      </c>
      <c r="D619" s="59" t="s">
        <v>7583</v>
      </c>
      <c r="E619" s="72" t="s">
        <v>5862</v>
      </c>
      <c r="F619" s="73" t="s">
        <v>7584</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6759</v>
      </c>
      <c r="U619" s="63">
        <v>398</v>
      </c>
      <c r="V619" s="70">
        <v>157000</v>
      </c>
      <c r="W619" s="70">
        <v>160000</v>
      </c>
      <c r="X619" s="83" t="s">
        <v>5933</v>
      </c>
      <c r="Y619" s="70">
        <f t="shared" si="3"/>
        <v>37000</v>
      </c>
      <c r="Z619" s="63" t="s">
        <v>5866</v>
      </c>
      <c r="AA619" s="59">
        <v>3</v>
      </c>
      <c r="AB619" s="59">
        <v>3</v>
      </c>
      <c r="AC619" s="67" t="s">
        <v>333</v>
      </c>
      <c r="AD619" s="61" t="s">
        <v>7585</v>
      </c>
      <c r="AE619" s="71"/>
      <c r="AF619" s="71"/>
      <c r="AG619" s="71"/>
      <c r="AH619" s="71"/>
      <c r="AI619" s="71"/>
      <c r="AJ619" s="71"/>
      <c r="AK619" s="71" t="s">
        <v>7486</v>
      </c>
      <c r="AL619">
        <f t="shared" si="2"/>
        <v>180000</v>
      </c>
    </row>
    <row r="620" spans="1:38">
      <c r="A620" s="62">
        <v>8</v>
      </c>
      <c r="B620" s="93">
        <v>612</v>
      </c>
      <c r="C620" s="68" t="s">
        <v>7475</v>
      </c>
      <c r="D620" s="59" t="s">
        <v>7586</v>
      </c>
      <c r="E620" s="72" t="s">
        <v>5862</v>
      </c>
      <c r="F620" s="73" t="s">
        <v>7587</v>
      </c>
      <c r="G620" s="82">
        <v>44.2</v>
      </c>
      <c r="H620" s="67">
        <v>9101</v>
      </c>
      <c r="I620" s="69">
        <v>0</v>
      </c>
      <c r="J620" s="70">
        <v>22808</v>
      </c>
      <c r="K620" s="75">
        <v>4.7865661171518763</v>
      </c>
      <c r="L620" s="74">
        <v>0</v>
      </c>
      <c r="M620" s="76">
        <v>0</v>
      </c>
      <c r="N620" s="67">
        <v>1964</v>
      </c>
      <c r="P620" s="64">
        <v>2358</v>
      </c>
      <c r="Q620" s="59">
        <v>18</v>
      </c>
      <c r="R620" s="59">
        <v>3</v>
      </c>
      <c r="S620" s="59">
        <v>1</v>
      </c>
      <c r="T620" s="63" t="s">
        <v>6759</v>
      </c>
      <c r="U620" s="63">
        <v>398</v>
      </c>
      <c r="V620" s="70">
        <v>133478</v>
      </c>
      <c r="W620" s="70">
        <v>130000</v>
      </c>
      <c r="X620" s="83" t="s">
        <v>6419</v>
      </c>
      <c r="Y620" s="70">
        <f t="shared" si="3"/>
        <v>23000</v>
      </c>
      <c r="Z620" s="63" t="s">
        <v>5866</v>
      </c>
      <c r="AA620" s="59">
        <v>3</v>
      </c>
      <c r="AB620" s="59">
        <v>3</v>
      </c>
      <c r="AC620" s="67" t="s">
        <v>333</v>
      </c>
      <c r="AD620" s="61" t="s">
        <v>7588</v>
      </c>
      <c r="AE620" s="71"/>
      <c r="AF620" s="71"/>
      <c r="AG620" s="71"/>
      <c r="AH620" s="71"/>
      <c r="AI620" s="71"/>
      <c r="AJ620" s="71"/>
      <c r="AK620" s="71" t="s">
        <v>7486</v>
      </c>
      <c r="AL620">
        <f t="shared" si="2"/>
        <v>109172</v>
      </c>
    </row>
    <row r="621" spans="1:38">
      <c r="A621" s="62">
        <v>8</v>
      </c>
      <c r="B621" s="93">
        <v>613</v>
      </c>
      <c r="C621" s="68" t="s">
        <v>7475</v>
      </c>
      <c r="D621" s="59" t="s">
        <v>7589</v>
      </c>
      <c r="E621" s="72" t="s">
        <v>5862</v>
      </c>
      <c r="F621" s="73" t="s">
        <v>7590</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6759</v>
      </c>
      <c r="U621" s="63">
        <v>398</v>
      </c>
      <c r="V621" s="70">
        <v>102727</v>
      </c>
      <c r="W621" s="70">
        <v>100000</v>
      </c>
      <c r="X621" s="83" t="s">
        <v>5887</v>
      </c>
      <c r="Y621" s="70">
        <f t="shared" si="3"/>
        <v>25000</v>
      </c>
      <c r="Z621" s="63" t="s">
        <v>5866</v>
      </c>
      <c r="AA621" s="59">
        <v>3</v>
      </c>
      <c r="AB621" s="59">
        <v>3</v>
      </c>
      <c r="AC621" s="67" t="s">
        <v>333</v>
      </c>
      <c r="AD621" s="61" t="s">
        <v>181</v>
      </c>
      <c r="AE621" s="71"/>
      <c r="AF621" s="71"/>
      <c r="AG621" s="71"/>
      <c r="AH621" s="71"/>
      <c r="AI621" s="71"/>
      <c r="AJ621" s="71"/>
      <c r="AK621" s="71" t="s">
        <v>7486</v>
      </c>
      <c r="AL621">
        <f t="shared" si="2"/>
        <v>121349</v>
      </c>
    </row>
    <row r="622" spans="1:38">
      <c r="A622" s="62">
        <v>8</v>
      </c>
      <c r="B622" s="93">
        <v>614</v>
      </c>
      <c r="C622" s="68" t="s">
        <v>7475</v>
      </c>
      <c r="D622" s="59" t="s">
        <v>7591</v>
      </c>
      <c r="E622" s="72" t="s">
        <v>5862</v>
      </c>
      <c r="F622" s="73" t="s">
        <v>7592</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6759</v>
      </c>
      <c r="U622" s="63">
        <v>398</v>
      </c>
      <c r="V622" s="70">
        <v>133546</v>
      </c>
      <c r="W622" s="70">
        <v>130000</v>
      </c>
      <c r="X622" s="83" t="s">
        <v>5896</v>
      </c>
      <c r="Y622" s="70">
        <f>ROUND(J622,-4)</f>
        <v>80000</v>
      </c>
      <c r="Z622" s="63" t="s">
        <v>5866</v>
      </c>
      <c r="AA622" s="59">
        <v>3</v>
      </c>
      <c r="AB622" s="59">
        <v>3</v>
      </c>
      <c r="AC622" s="67" t="s">
        <v>333</v>
      </c>
      <c r="AD622" s="61" t="s">
        <v>181</v>
      </c>
      <c r="AE622" s="71"/>
      <c r="AF622" s="71"/>
      <c r="AG622" s="71"/>
      <c r="AH622" s="71"/>
      <c r="AI622" s="71"/>
      <c r="AJ622" s="71"/>
      <c r="AK622" s="71" t="s">
        <v>7537</v>
      </c>
      <c r="AL622">
        <f t="shared" si="2"/>
        <v>273625</v>
      </c>
    </row>
    <row r="623" spans="1:38">
      <c r="A623" s="62">
        <v>8</v>
      </c>
      <c r="B623" s="93">
        <v>615</v>
      </c>
      <c r="C623" s="68" t="s">
        <v>7475</v>
      </c>
      <c r="D623" s="59" t="s">
        <v>7593</v>
      </c>
      <c r="E623" s="72" t="s">
        <v>5862</v>
      </c>
      <c r="F623" s="73" t="s">
        <v>7594</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6759</v>
      </c>
      <c r="U623" s="63">
        <v>398</v>
      </c>
      <c r="V623" s="70">
        <v>193278</v>
      </c>
      <c r="W623" s="70">
        <v>190000</v>
      </c>
      <c r="X623" s="83" t="s">
        <v>5928</v>
      </c>
      <c r="Y623" s="70">
        <f>ROUND(J623,-4)</f>
        <v>90000</v>
      </c>
      <c r="Z623" s="63" t="s">
        <v>5866</v>
      </c>
      <c r="AA623" s="59">
        <v>3</v>
      </c>
      <c r="AB623" s="59">
        <v>3</v>
      </c>
      <c r="AC623" s="67" t="s">
        <v>333</v>
      </c>
      <c r="AD623" s="61" t="s">
        <v>7595</v>
      </c>
      <c r="AE623" s="71"/>
      <c r="AF623" s="71"/>
      <c r="AG623" s="71"/>
      <c r="AH623" s="71"/>
      <c r="AI623" s="71"/>
      <c r="AJ623" s="71"/>
      <c r="AK623" s="71" t="s">
        <v>7596</v>
      </c>
      <c r="AL623">
        <f t="shared" si="2"/>
        <v>304201</v>
      </c>
    </row>
    <row r="624" spans="1:38">
      <c r="A624" s="62">
        <v>8</v>
      </c>
      <c r="B624" s="93">
        <v>616</v>
      </c>
      <c r="C624" s="68" t="s">
        <v>7475</v>
      </c>
      <c r="D624" s="59" t="s">
        <v>5983</v>
      </c>
      <c r="E624" s="72" t="s">
        <v>5862</v>
      </c>
      <c r="F624" s="73" t="s">
        <v>5984</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6759</v>
      </c>
      <c r="U624" s="63">
        <v>398</v>
      </c>
      <c r="V624" s="70">
        <v>117172</v>
      </c>
      <c r="W624" s="70">
        <v>120000</v>
      </c>
      <c r="X624" s="83" t="s">
        <v>5985</v>
      </c>
      <c r="Y624" s="70">
        <f t="shared" ref="Y624:Y648" si="4">ROUND(J624,-3)</f>
        <v>44000</v>
      </c>
      <c r="Z624" s="63" t="s">
        <v>5866</v>
      </c>
      <c r="AA624" s="59">
        <v>3</v>
      </c>
      <c r="AB624" s="59">
        <v>3</v>
      </c>
      <c r="AC624" s="67" t="s">
        <v>333</v>
      </c>
      <c r="AD624" s="61" t="s">
        <v>5986</v>
      </c>
      <c r="AE624" s="71"/>
      <c r="AF624" s="71"/>
      <c r="AG624" s="71"/>
      <c r="AH624" s="71"/>
      <c r="AI624" s="71"/>
      <c r="AJ624" s="71"/>
      <c r="AK624" s="71" t="s">
        <v>7597</v>
      </c>
      <c r="AL624">
        <f t="shared" si="2"/>
        <v>161999</v>
      </c>
    </row>
    <row r="625" spans="1:38">
      <c r="A625" s="62">
        <v>8</v>
      </c>
      <c r="B625" s="93">
        <v>617</v>
      </c>
      <c r="C625" s="68" t="s">
        <v>7475</v>
      </c>
      <c r="D625" s="59" t="s">
        <v>6839</v>
      </c>
      <c r="E625" s="72" t="s">
        <v>5862</v>
      </c>
      <c r="F625" s="73" t="s">
        <v>7598</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6759</v>
      </c>
      <c r="U625" s="63">
        <v>398</v>
      </c>
      <c r="V625" s="70">
        <v>25000</v>
      </c>
      <c r="W625" s="70">
        <v>25000</v>
      </c>
      <c r="X625" s="83" t="s">
        <v>6774</v>
      </c>
      <c r="Y625" s="70">
        <f t="shared" si="4"/>
        <v>13000</v>
      </c>
      <c r="Z625" s="63" t="s">
        <v>5866</v>
      </c>
      <c r="AA625" s="59">
        <v>3</v>
      </c>
      <c r="AB625" s="59">
        <v>2</v>
      </c>
      <c r="AC625" s="67" t="s">
        <v>329</v>
      </c>
      <c r="AD625" s="61" t="s">
        <v>181</v>
      </c>
      <c r="AE625" s="71"/>
      <c r="AF625" s="71"/>
      <c r="AG625" s="71"/>
      <c r="AH625" s="71"/>
      <c r="AI625" s="71"/>
      <c r="AJ625" s="71"/>
      <c r="AK625" s="71" t="s">
        <v>7486</v>
      </c>
      <c r="AL625">
        <f t="shared" si="2"/>
        <v>49374.999999999993</v>
      </c>
    </row>
    <row r="626" spans="1:38">
      <c r="A626" s="62">
        <v>8</v>
      </c>
      <c r="B626" s="93">
        <v>618</v>
      </c>
      <c r="C626" s="68" t="s">
        <v>7475</v>
      </c>
      <c r="D626" s="59" t="s">
        <v>7599</v>
      </c>
      <c r="E626" s="72" t="s">
        <v>5862</v>
      </c>
      <c r="F626" s="73" t="s">
        <v>7600</v>
      </c>
      <c r="G626" s="82">
        <v>44.2</v>
      </c>
      <c r="H626" s="67">
        <v>9101</v>
      </c>
      <c r="I626" s="69">
        <v>0</v>
      </c>
      <c r="J626" s="70">
        <v>17600</v>
      </c>
      <c r="K626" s="75">
        <v>5.2670454545454541</v>
      </c>
      <c r="L626" s="74">
        <v>0</v>
      </c>
      <c r="M626" s="76">
        <v>0.16806903991370009</v>
      </c>
      <c r="N626" s="67">
        <v>1973</v>
      </c>
      <c r="O626" s="64">
        <f>1900*2</f>
        <v>3800</v>
      </c>
      <c r="P626" s="64" t="s">
        <v>181</v>
      </c>
      <c r="Q626" s="59">
        <v>24</v>
      </c>
      <c r="R626" s="59">
        <v>14</v>
      </c>
      <c r="S626" s="59">
        <v>1</v>
      </c>
      <c r="T626" s="63" t="s">
        <v>6759</v>
      </c>
      <c r="U626" s="63">
        <v>398</v>
      </c>
      <c r="V626" s="70">
        <v>43750</v>
      </c>
      <c r="W626" s="70">
        <v>44000</v>
      </c>
      <c r="X626" s="83" t="s">
        <v>5920</v>
      </c>
      <c r="Y626" s="70">
        <f t="shared" si="4"/>
        <v>18000</v>
      </c>
      <c r="Z626" s="63" t="s">
        <v>5866</v>
      </c>
      <c r="AA626" s="59">
        <v>3</v>
      </c>
      <c r="AB626" s="59">
        <v>3</v>
      </c>
      <c r="AC626" s="67" t="s">
        <v>333</v>
      </c>
      <c r="AD626" s="61" t="s">
        <v>7601</v>
      </c>
      <c r="AE626" s="71"/>
      <c r="AF626" s="71"/>
      <c r="AG626" s="71"/>
      <c r="AH626" s="71"/>
      <c r="AI626" s="71"/>
      <c r="AJ626" s="71"/>
      <c r="AK626" s="71" t="s">
        <v>7571</v>
      </c>
      <c r="AL626">
        <f t="shared" si="2"/>
        <v>92700</v>
      </c>
    </row>
    <row r="627" spans="1:38">
      <c r="A627" s="62">
        <v>8</v>
      </c>
      <c r="B627" s="93">
        <v>619</v>
      </c>
      <c r="C627" s="68" t="s">
        <v>7475</v>
      </c>
      <c r="D627" s="59" t="s">
        <v>7602</v>
      </c>
      <c r="E627" s="72" t="s">
        <v>5862</v>
      </c>
      <c r="F627" s="73" t="s">
        <v>7603</v>
      </c>
      <c r="G627" s="82">
        <v>44.1</v>
      </c>
      <c r="H627" s="67">
        <v>9101</v>
      </c>
      <c r="I627" s="69">
        <v>0</v>
      </c>
      <c r="J627" s="70">
        <v>3178</v>
      </c>
      <c r="K627" s="75">
        <v>4.6016362492133416</v>
      </c>
      <c r="L627" s="74">
        <v>0</v>
      </c>
      <c r="M627" s="76">
        <v>0</v>
      </c>
      <c r="N627" s="67">
        <v>1963</v>
      </c>
      <c r="Q627" s="59">
        <v>14</v>
      </c>
      <c r="R627" s="59">
        <v>3</v>
      </c>
      <c r="S627" s="59">
        <v>1</v>
      </c>
      <c r="T627" s="63" t="s">
        <v>6757</v>
      </c>
      <c r="U627" s="63">
        <v>398</v>
      </c>
      <c r="V627" s="70">
        <v>12500</v>
      </c>
      <c r="W627" s="70">
        <v>13000</v>
      </c>
      <c r="X627" s="83" t="s">
        <v>5865</v>
      </c>
      <c r="Y627" s="70">
        <f t="shared" si="4"/>
        <v>3000</v>
      </c>
      <c r="Z627" s="63" t="s">
        <v>5866</v>
      </c>
      <c r="AA627" s="59">
        <v>3</v>
      </c>
      <c r="AB627" s="59">
        <v>3</v>
      </c>
      <c r="AC627" s="67" t="s">
        <v>333</v>
      </c>
      <c r="AD627" s="61" t="s">
        <v>7604</v>
      </c>
      <c r="AE627" s="71"/>
      <c r="AF627" s="71"/>
      <c r="AG627" s="71"/>
      <c r="AH627" s="71"/>
      <c r="AI627" s="71"/>
      <c r="AJ627" s="71"/>
      <c r="AK627" s="71" t="s">
        <v>7486</v>
      </c>
      <c r="AL627">
        <f t="shared" si="2"/>
        <v>14624</v>
      </c>
    </row>
    <row r="628" spans="1:38">
      <c r="A628" s="62">
        <v>8</v>
      </c>
      <c r="B628" s="93">
        <v>620</v>
      </c>
      <c r="C628" s="68" t="s">
        <v>7475</v>
      </c>
      <c r="D628" s="59" t="s">
        <v>7605</v>
      </c>
      <c r="E628" s="72" t="s">
        <v>5862</v>
      </c>
      <c r="F628" s="73" t="s">
        <v>7606</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6757</v>
      </c>
      <c r="U628" s="63">
        <v>398</v>
      </c>
      <c r="V628" s="70">
        <v>11850</v>
      </c>
      <c r="W628" s="70">
        <v>12000</v>
      </c>
      <c r="X628" s="83" t="s">
        <v>6774</v>
      </c>
      <c r="Y628" s="70">
        <f t="shared" si="4"/>
        <v>6000</v>
      </c>
      <c r="Z628" s="63" t="s">
        <v>5866</v>
      </c>
      <c r="AA628" s="59">
        <v>3</v>
      </c>
      <c r="AB628" s="59">
        <v>3</v>
      </c>
      <c r="AC628" s="67" t="s">
        <v>333</v>
      </c>
      <c r="AD628" s="61" t="s">
        <v>7607</v>
      </c>
      <c r="AE628" s="71"/>
      <c r="AF628" s="71"/>
      <c r="AG628" s="71"/>
      <c r="AH628" s="71"/>
      <c r="AI628" s="71"/>
      <c r="AJ628" s="71"/>
      <c r="AK628" s="71" t="s">
        <v>7486</v>
      </c>
      <c r="AL628">
        <f t="shared" si="2"/>
        <v>27376</v>
      </c>
    </row>
    <row r="629" spans="1:38">
      <c r="A629" s="62">
        <v>8</v>
      </c>
      <c r="B629" s="93">
        <v>621</v>
      </c>
      <c r="C629" s="68" t="s">
        <v>7475</v>
      </c>
      <c r="D629" s="59" t="s">
        <v>5993</v>
      </c>
      <c r="E629" s="72" t="s">
        <v>5862</v>
      </c>
      <c r="F629" s="73" t="s">
        <v>5994</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6757</v>
      </c>
      <c r="U629" s="63">
        <v>398</v>
      </c>
      <c r="V629" s="70">
        <v>14387</v>
      </c>
      <c r="W629" s="70">
        <v>14000</v>
      </c>
      <c r="X629" s="83" t="s">
        <v>6774</v>
      </c>
      <c r="Y629" s="70">
        <f t="shared" si="4"/>
        <v>2000</v>
      </c>
      <c r="Z629" s="63" t="s">
        <v>5924</v>
      </c>
      <c r="AA629" s="59">
        <v>3</v>
      </c>
      <c r="AB629" s="59">
        <v>3</v>
      </c>
      <c r="AC629" s="67" t="s">
        <v>333</v>
      </c>
      <c r="AD629" s="61" t="s">
        <v>181</v>
      </c>
      <c r="AE629" s="71"/>
      <c r="AF629" s="71"/>
      <c r="AG629" s="71"/>
      <c r="AH629" s="71"/>
      <c r="AI629" s="71"/>
      <c r="AJ629" s="71"/>
      <c r="AK629" s="71" t="s">
        <v>7608</v>
      </c>
      <c r="AL629">
        <f t="shared" si="2"/>
        <v>7800</v>
      </c>
    </row>
    <row r="630" spans="1:38">
      <c r="A630" s="62">
        <v>8</v>
      </c>
      <c r="B630" s="93">
        <v>622</v>
      </c>
      <c r="C630" s="68" t="s">
        <v>7475</v>
      </c>
      <c r="D630" s="59" t="s">
        <v>6843</v>
      </c>
      <c r="E630" s="72" t="s">
        <v>5862</v>
      </c>
      <c r="F630" s="73" t="s">
        <v>7609</v>
      </c>
      <c r="G630" s="82">
        <v>45.1</v>
      </c>
      <c r="H630" s="67">
        <v>9101</v>
      </c>
      <c r="I630" s="69">
        <v>0</v>
      </c>
      <c r="J630" s="70">
        <v>10250</v>
      </c>
      <c r="K630" s="75">
        <v>8.3414634146341466</v>
      </c>
      <c r="L630" s="74">
        <v>0</v>
      </c>
      <c r="M630" s="76">
        <v>0</v>
      </c>
      <c r="N630" s="67">
        <v>1965</v>
      </c>
      <c r="O630" s="64">
        <v>2584</v>
      </c>
      <c r="Q630" s="59">
        <v>18</v>
      </c>
      <c r="R630" s="59">
        <v>1</v>
      </c>
      <c r="S630" s="59">
        <v>1</v>
      </c>
      <c r="T630" s="63" t="s">
        <v>6754</v>
      </c>
      <c r="U630" s="63">
        <v>401</v>
      </c>
      <c r="V630" s="70">
        <v>18500</v>
      </c>
      <c r="W630" s="70">
        <v>19000</v>
      </c>
      <c r="X630" s="83" t="s">
        <v>6091</v>
      </c>
      <c r="Y630" s="70">
        <f t="shared" si="4"/>
        <v>10000</v>
      </c>
      <c r="Z630" s="63" t="s">
        <v>5866</v>
      </c>
      <c r="AA630" s="59">
        <v>3</v>
      </c>
      <c r="AB630" s="59">
        <v>3</v>
      </c>
      <c r="AC630" s="67" t="s">
        <v>333</v>
      </c>
      <c r="AD630" s="61" t="s">
        <v>6845</v>
      </c>
      <c r="AE630" s="71"/>
      <c r="AF630" s="71"/>
      <c r="AG630" s="71"/>
      <c r="AH630" s="71"/>
      <c r="AI630" s="71"/>
      <c r="AJ630" s="71"/>
      <c r="AK630" s="71" t="s">
        <v>7610</v>
      </c>
      <c r="AL630">
        <f t="shared" si="2"/>
        <v>85500</v>
      </c>
    </row>
    <row r="631" spans="1:38">
      <c r="A631" s="62">
        <v>8</v>
      </c>
      <c r="B631" s="93">
        <v>623</v>
      </c>
      <c r="C631" s="68" t="s">
        <v>7475</v>
      </c>
      <c r="D631" s="59" t="s">
        <v>7611</v>
      </c>
      <c r="E631" s="72" t="s">
        <v>5862</v>
      </c>
      <c r="F631" s="73" t="s">
        <v>6019</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6754</v>
      </c>
      <c r="U631" s="63">
        <v>398</v>
      </c>
      <c r="V631" s="70">
        <v>153000</v>
      </c>
      <c r="W631" s="70">
        <v>150000</v>
      </c>
      <c r="X631" s="83" t="s">
        <v>6774</v>
      </c>
      <c r="Y631" s="70">
        <f t="shared" si="4"/>
        <v>27000</v>
      </c>
      <c r="Z631" s="63" t="s">
        <v>5866</v>
      </c>
      <c r="AA631" s="59">
        <v>3</v>
      </c>
      <c r="AB631" s="59">
        <v>3</v>
      </c>
      <c r="AC631" s="67" t="s">
        <v>333</v>
      </c>
      <c r="AD631" s="61" t="s">
        <v>6020</v>
      </c>
      <c r="AE631" s="71"/>
      <c r="AF631" s="71"/>
      <c r="AG631" s="71"/>
      <c r="AH631" s="71"/>
      <c r="AI631" s="71"/>
      <c r="AJ631" s="71"/>
      <c r="AK631" s="71" t="s">
        <v>7612</v>
      </c>
      <c r="AL631">
        <f t="shared" si="2"/>
        <v>23285.5</v>
      </c>
    </row>
    <row r="632" spans="1:38">
      <c r="A632" s="62">
        <v>8</v>
      </c>
      <c r="B632" s="93">
        <v>624</v>
      </c>
      <c r="C632" s="68" t="s">
        <v>7475</v>
      </c>
      <c r="D632" s="59" t="s">
        <v>5998</v>
      </c>
      <c r="E632" s="72" t="s">
        <v>5862</v>
      </c>
      <c r="F632" s="73" t="s">
        <v>5999</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6754</v>
      </c>
      <c r="U632" s="63">
        <v>398</v>
      </c>
      <c r="V632" s="70">
        <v>39942</v>
      </c>
      <c r="W632" s="70">
        <v>40000</v>
      </c>
      <c r="X632" s="83" t="s">
        <v>5878</v>
      </c>
      <c r="Y632" s="70">
        <f t="shared" si="4"/>
        <v>17000</v>
      </c>
      <c r="Z632" s="63" t="s">
        <v>5866</v>
      </c>
      <c r="AA632" s="59">
        <v>3</v>
      </c>
      <c r="AB632" s="59">
        <v>3</v>
      </c>
      <c r="AC632" s="67" t="s">
        <v>333</v>
      </c>
      <c r="AD632" s="61" t="s">
        <v>5879</v>
      </c>
      <c r="AE632" s="71"/>
      <c r="AF632" s="71"/>
      <c r="AG632" s="71"/>
      <c r="AH632" s="71"/>
      <c r="AI632" s="71"/>
      <c r="AJ632" s="71"/>
      <c r="AK632" s="71" t="s">
        <v>7613</v>
      </c>
      <c r="AL632">
        <f t="shared" si="2"/>
        <v>98100</v>
      </c>
    </row>
    <row r="633" spans="1:38">
      <c r="A633" s="62">
        <v>8</v>
      </c>
      <c r="B633" s="93">
        <v>625</v>
      </c>
      <c r="C633" s="68" t="s">
        <v>7475</v>
      </c>
      <c r="D633" s="59" t="s">
        <v>6849</v>
      </c>
      <c r="E633" s="72" t="s">
        <v>5862</v>
      </c>
      <c r="F633" s="73" t="s">
        <v>7614</v>
      </c>
      <c r="G633" s="82">
        <v>44.1</v>
      </c>
      <c r="H633" s="67">
        <v>9101</v>
      </c>
      <c r="I633" s="69">
        <v>0</v>
      </c>
      <c r="J633" s="70">
        <v>18901</v>
      </c>
      <c r="K633" s="75">
        <v>5.7139833871223749</v>
      </c>
      <c r="L633" s="74">
        <v>0</v>
      </c>
      <c r="M633" s="76">
        <v>0</v>
      </c>
      <c r="N633" s="67">
        <v>1959</v>
      </c>
      <c r="O633" s="64">
        <v>3532</v>
      </c>
      <c r="Q633" s="59">
        <v>12</v>
      </c>
      <c r="R633" s="59">
        <v>1</v>
      </c>
      <c r="S633" s="59">
        <v>1</v>
      </c>
      <c r="T633" s="63" t="s">
        <v>6757</v>
      </c>
      <c r="U633" s="63">
        <v>398</v>
      </c>
      <c r="V633" s="70">
        <v>43080</v>
      </c>
      <c r="W633" s="70">
        <v>43000</v>
      </c>
      <c r="X633" s="83" t="s">
        <v>5874</v>
      </c>
      <c r="Y633" s="70">
        <f t="shared" si="4"/>
        <v>19000</v>
      </c>
      <c r="Z633" s="63" t="s">
        <v>5866</v>
      </c>
      <c r="AA633" s="59">
        <v>3</v>
      </c>
      <c r="AB633" s="59">
        <v>3</v>
      </c>
      <c r="AC633" s="67" t="s">
        <v>333</v>
      </c>
      <c r="AD633" s="61" t="s">
        <v>5986</v>
      </c>
      <c r="AE633" s="71"/>
      <c r="AF633" s="71"/>
      <c r="AG633" s="71"/>
      <c r="AH633" s="71"/>
      <c r="AI633" s="71"/>
      <c r="AJ633" s="71"/>
      <c r="AK633" s="71" t="s">
        <v>7615</v>
      </c>
      <c r="AL633">
        <f t="shared" si="2"/>
        <v>108000</v>
      </c>
    </row>
    <row r="634" spans="1:38">
      <c r="A634" s="62">
        <v>8</v>
      </c>
      <c r="B634" s="93">
        <v>626</v>
      </c>
      <c r="C634" s="68" t="s">
        <v>7475</v>
      </c>
      <c r="D634" s="59" t="s">
        <v>7616</v>
      </c>
      <c r="E634" s="72" t="s">
        <v>5862</v>
      </c>
      <c r="F634" s="73" t="s">
        <v>7617</v>
      </c>
      <c r="G634" s="82">
        <v>44.1</v>
      </c>
      <c r="H634" s="67">
        <v>9101</v>
      </c>
      <c r="I634" s="69">
        <v>0</v>
      </c>
      <c r="J634" s="70">
        <v>8145</v>
      </c>
      <c r="K634" s="75">
        <v>3.867403314917127</v>
      </c>
      <c r="L634" s="74">
        <v>0</v>
      </c>
      <c r="M634" s="76">
        <v>0.1</v>
      </c>
      <c r="N634" s="67">
        <v>1969</v>
      </c>
      <c r="O634" s="64">
        <v>1780</v>
      </c>
      <c r="Q634" s="59">
        <v>17</v>
      </c>
      <c r="R634" s="59">
        <v>1</v>
      </c>
      <c r="S634" s="59">
        <v>1</v>
      </c>
      <c r="T634" s="63" t="s">
        <v>6757</v>
      </c>
      <c r="U634" s="63">
        <v>398</v>
      </c>
      <c r="V634" s="70">
        <v>16700</v>
      </c>
      <c r="W634" s="70">
        <v>17000</v>
      </c>
      <c r="X634" s="83" t="s">
        <v>5982</v>
      </c>
      <c r="Y634" s="70">
        <f t="shared" si="4"/>
        <v>8000</v>
      </c>
      <c r="Z634" s="63" t="s">
        <v>5866</v>
      </c>
      <c r="AA634" s="59">
        <v>3</v>
      </c>
      <c r="AB634" s="59">
        <v>3</v>
      </c>
      <c r="AC634" s="67" t="s">
        <v>333</v>
      </c>
      <c r="AD634" s="61" t="s">
        <v>7618</v>
      </c>
      <c r="AE634" s="71"/>
      <c r="AF634" s="71"/>
      <c r="AG634" s="71"/>
      <c r="AH634" s="71"/>
      <c r="AI634" s="71"/>
      <c r="AJ634" s="71"/>
      <c r="AK634" s="71" t="s">
        <v>7571</v>
      </c>
      <c r="AL634">
        <f t="shared" ref="AL634:AL665" si="5">IF(AND(ISNUMBER($S634),$S634&gt;0,ISNUMBER($K634),ISNUMBER($J634)),($K634*$J634)/$S634,"")</f>
        <v>31500</v>
      </c>
    </row>
    <row r="635" spans="1:38">
      <c r="A635" s="62">
        <v>8</v>
      </c>
      <c r="B635" s="93">
        <v>627</v>
      </c>
      <c r="C635" s="68" t="s">
        <v>7475</v>
      </c>
      <c r="D635" s="59" t="s">
        <v>6851</v>
      </c>
      <c r="E635" s="72" t="s">
        <v>5862</v>
      </c>
      <c r="F635" s="73" t="s">
        <v>7619</v>
      </c>
      <c r="G635" s="82">
        <v>44.1</v>
      </c>
      <c r="H635" s="67">
        <v>9101</v>
      </c>
      <c r="I635" s="69">
        <v>0</v>
      </c>
      <c r="J635" s="70">
        <v>11308</v>
      </c>
      <c r="K635" s="75">
        <v>10.399717014503009</v>
      </c>
      <c r="L635" s="74">
        <v>0</v>
      </c>
      <c r="M635" s="76">
        <v>0</v>
      </c>
      <c r="N635" s="67">
        <v>1976</v>
      </c>
      <c r="O635" s="64">
        <v>1392</v>
      </c>
      <c r="Q635" s="59">
        <v>19</v>
      </c>
      <c r="R635" s="59">
        <v>10</v>
      </c>
      <c r="S635" s="59">
        <v>1</v>
      </c>
      <c r="T635" s="63" t="s">
        <v>6754</v>
      </c>
      <c r="U635" s="63">
        <v>398</v>
      </c>
      <c r="V635" s="70">
        <v>35505</v>
      </c>
      <c r="W635" s="70">
        <v>36000</v>
      </c>
      <c r="X635" s="83" t="s">
        <v>5979</v>
      </c>
      <c r="Y635" s="70">
        <f t="shared" si="4"/>
        <v>11000</v>
      </c>
      <c r="Z635" s="63" t="s">
        <v>5866</v>
      </c>
      <c r="AA635" s="59">
        <v>3</v>
      </c>
      <c r="AB635" s="59">
        <v>3</v>
      </c>
      <c r="AC635" s="67" t="s">
        <v>333</v>
      </c>
      <c r="AD635" s="61" t="s">
        <v>181</v>
      </c>
      <c r="AE635" s="71"/>
      <c r="AF635" s="71"/>
      <c r="AG635" s="71"/>
      <c r="AH635" s="71"/>
      <c r="AI635" s="71"/>
      <c r="AJ635" s="71"/>
      <c r="AK635" s="71" t="s">
        <v>7486</v>
      </c>
      <c r="AL635">
        <f t="shared" si="5"/>
        <v>117600.00000000003</v>
      </c>
    </row>
    <row r="636" spans="1:38">
      <c r="A636" s="62">
        <v>8</v>
      </c>
      <c r="B636" s="93">
        <v>628</v>
      </c>
      <c r="C636" s="68" t="s">
        <v>7475</v>
      </c>
      <c r="D636" s="59" t="s">
        <v>6004</v>
      </c>
      <c r="E636" s="72" t="s">
        <v>5862</v>
      </c>
      <c r="F636" s="73" t="s">
        <v>6005</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6757</v>
      </c>
      <c r="U636" s="63">
        <v>398</v>
      </c>
      <c r="V636" s="70">
        <v>92437</v>
      </c>
      <c r="W636" s="70">
        <v>90000</v>
      </c>
      <c r="X636" s="83" t="s">
        <v>6006</v>
      </c>
      <c r="Y636" s="70">
        <f t="shared" si="4"/>
        <v>7000</v>
      </c>
      <c r="Z636" s="63" t="s">
        <v>5866</v>
      </c>
      <c r="AA636" s="59">
        <v>3</v>
      </c>
      <c r="AB636" s="59">
        <v>3</v>
      </c>
      <c r="AC636" s="67" t="s">
        <v>333</v>
      </c>
      <c r="AD636" s="61" t="s">
        <v>181</v>
      </c>
      <c r="AE636" s="71"/>
      <c r="AF636" s="71"/>
      <c r="AG636" s="71"/>
      <c r="AH636" s="71"/>
      <c r="AI636" s="71"/>
      <c r="AJ636" s="71"/>
      <c r="AK636" s="71" t="s">
        <v>7553</v>
      </c>
      <c r="AL636">
        <f t="shared" si="5"/>
        <v>15000</v>
      </c>
    </row>
    <row r="637" spans="1:38">
      <c r="A637" s="62">
        <v>8</v>
      </c>
      <c r="B637" s="93">
        <v>629</v>
      </c>
      <c r="C637" s="68" t="s">
        <v>7475</v>
      </c>
      <c r="D637" s="59" t="s">
        <v>6010</v>
      </c>
      <c r="E637" s="72" t="s">
        <v>5862</v>
      </c>
      <c r="F637" s="73" t="s">
        <v>6011</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6757</v>
      </c>
      <c r="U637" s="63">
        <v>398</v>
      </c>
      <c r="V637" s="70">
        <v>21300</v>
      </c>
      <c r="W637" s="70">
        <v>21000</v>
      </c>
      <c r="X637" s="83" t="s">
        <v>5982</v>
      </c>
      <c r="Y637" s="70">
        <f t="shared" si="4"/>
        <v>4000</v>
      </c>
      <c r="Z637" s="63" t="s">
        <v>5866</v>
      </c>
      <c r="AA637" s="59">
        <v>3</v>
      </c>
      <c r="AB637" s="59">
        <v>3</v>
      </c>
      <c r="AC637" s="67" t="s">
        <v>333</v>
      </c>
      <c r="AD637" s="61" t="s">
        <v>6012</v>
      </c>
      <c r="AE637" s="71"/>
      <c r="AF637" s="71"/>
      <c r="AG637" s="71"/>
      <c r="AH637" s="71"/>
      <c r="AI637" s="71"/>
      <c r="AJ637" s="71"/>
      <c r="AK637" s="71" t="s">
        <v>7620</v>
      </c>
      <c r="AL637">
        <f t="shared" si="5"/>
        <v>28663</v>
      </c>
    </row>
    <row r="638" spans="1:38">
      <c r="A638" s="62">
        <v>8</v>
      </c>
      <c r="B638" s="93">
        <v>630</v>
      </c>
      <c r="C638" s="68" t="s">
        <v>7475</v>
      </c>
      <c r="D638" s="59" t="s">
        <v>7621</v>
      </c>
      <c r="E638" s="72" t="s">
        <v>5862</v>
      </c>
      <c r="F638" s="73" t="s">
        <v>7622</v>
      </c>
      <c r="G638" s="82">
        <v>44.8</v>
      </c>
      <c r="H638" s="67">
        <v>9101</v>
      </c>
      <c r="I638" s="69">
        <v>0</v>
      </c>
      <c r="J638" s="70">
        <v>6719</v>
      </c>
      <c r="K638" s="75">
        <v>7.8583122488465547</v>
      </c>
      <c r="L638" s="74">
        <v>0</v>
      </c>
      <c r="M638" s="76">
        <v>0</v>
      </c>
      <c r="N638" s="67">
        <v>1962</v>
      </c>
      <c r="O638" s="64" t="s">
        <v>181</v>
      </c>
      <c r="P638" s="64">
        <v>750</v>
      </c>
      <c r="Q638" s="59">
        <v>16</v>
      </c>
      <c r="R638" s="59">
        <v>1</v>
      </c>
      <c r="S638" s="59">
        <v>1</v>
      </c>
      <c r="T638" s="63" t="s">
        <v>6757</v>
      </c>
      <c r="U638" s="63">
        <v>398</v>
      </c>
      <c r="V638" s="70">
        <v>14654</v>
      </c>
      <c r="W638" s="70">
        <v>15000</v>
      </c>
      <c r="X638" s="83" t="s">
        <v>5928</v>
      </c>
      <c r="Y638" s="70">
        <f t="shared" si="4"/>
        <v>7000</v>
      </c>
      <c r="Z638" s="63" t="s">
        <v>5866</v>
      </c>
      <c r="AA638" s="59">
        <v>3</v>
      </c>
      <c r="AB638" s="59">
        <v>3</v>
      </c>
      <c r="AC638" s="67" t="s">
        <v>333</v>
      </c>
      <c r="AD638" s="61" t="s">
        <v>7623</v>
      </c>
      <c r="AE638" s="71"/>
      <c r="AF638" s="71"/>
      <c r="AG638" s="71"/>
      <c r="AH638" s="71"/>
      <c r="AI638" s="71"/>
      <c r="AJ638" s="71"/>
      <c r="AK638" s="71" t="s">
        <v>7486</v>
      </c>
      <c r="AL638">
        <f t="shared" si="5"/>
        <v>52800</v>
      </c>
    </row>
    <row r="639" spans="1:38">
      <c r="A639" s="62">
        <v>8</v>
      </c>
      <c r="B639" s="93">
        <v>631</v>
      </c>
      <c r="C639" s="68" t="s">
        <v>7475</v>
      </c>
      <c r="D639" s="59" t="s">
        <v>7624</v>
      </c>
      <c r="E639" s="72" t="s">
        <v>5862</v>
      </c>
      <c r="F639" s="73" t="s">
        <v>7625</v>
      </c>
      <c r="G639" s="82">
        <v>44.2</v>
      </c>
      <c r="H639" s="67">
        <v>9101</v>
      </c>
      <c r="I639" s="69">
        <v>0</v>
      </c>
      <c r="J639" s="70">
        <v>29244</v>
      </c>
      <c r="K639" s="75">
        <v>4.0486937491451238</v>
      </c>
      <c r="L639" s="74">
        <v>0.12</v>
      </c>
      <c r="M639" s="76">
        <v>0</v>
      </c>
      <c r="N639" s="67">
        <v>1973</v>
      </c>
      <c r="O639" s="64">
        <v>2590</v>
      </c>
      <c r="Q639" s="59">
        <v>21</v>
      </c>
      <c r="R639" s="59">
        <v>3</v>
      </c>
      <c r="S639" s="59">
        <v>4</v>
      </c>
      <c r="T639" s="63" t="s">
        <v>6754</v>
      </c>
      <c r="U639" s="63">
        <v>398</v>
      </c>
      <c r="V639" s="70">
        <v>75985</v>
      </c>
      <c r="W639" s="70">
        <v>80000</v>
      </c>
      <c r="X639" s="83" t="s">
        <v>5952</v>
      </c>
      <c r="Y639" s="70">
        <f t="shared" si="4"/>
        <v>29000</v>
      </c>
      <c r="Z639" s="63" t="s">
        <v>5866</v>
      </c>
      <c r="AA639" s="59">
        <v>2</v>
      </c>
      <c r="AB639" s="59">
        <v>2</v>
      </c>
      <c r="AC639" s="67" t="s">
        <v>280</v>
      </c>
      <c r="AD639" s="61" t="s">
        <v>7626</v>
      </c>
      <c r="AE639" s="71"/>
      <c r="AF639" s="71"/>
      <c r="AG639" s="71"/>
      <c r="AH639" s="71"/>
      <c r="AI639" s="71"/>
      <c r="AJ639" s="71"/>
      <c r="AK639" s="71" t="s">
        <v>7627</v>
      </c>
      <c r="AL639">
        <f t="shared" si="5"/>
        <v>29600</v>
      </c>
    </row>
    <row r="640" spans="1:38">
      <c r="A640" s="62">
        <v>8</v>
      </c>
      <c r="B640" s="93">
        <v>632</v>
      </c>
      <c r="C640" s="68" t="s">
        <v>7475</v>
      </c>
      <c r="D640" s="59" t="s">
        <v>6025</v>
      </c>
      <c r="E640" s="72" t="s">
        <v>5862</v>
      </c>
      <c r="F640" s="73" t="s">
        <v>6026</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6757</v>
      </c>
      <c r="U640" s="63">
        <v>398</v>
      </c>
      <c r="V640" s="70">
        <v>19800</v>
      </c>
      <c r="W640" s="70">
        <v>20000</v>
      </c>
      <c r="X640" s="83" t="s">
        <v>5892</v>
      </c>
      <c r="Y640" s="70">
        <f t="shared" si="4"/>
        <v>7000</v>
      </c>
      <c r="Z640" s="63" t="s">
        <v>5866</v>
      </c>
      <c r="AA640" s="59">
        <v>3</v>
      </c>
      <c r="AB640" s="59">
        <v>3</v>
      </c>
      <c r="AC640" s="67" t="s">
        <v>333</v>
      </c>
      <c r="AD640" s="61" t="s">
        <v>6027</v>
      </c>
      <c r="AE640" s="71"/>
      <c r="AF640" s="71"/>
      <c r="AG640" s="71"/>
      <c r="AH640" s="71"/>
      <c r="AI640" s="71"/>
      <c r="AJ640" s="71"/>
      <c r="AK640" s="71" t="s">
        <v>7486</v>
      </c>
      <c r="AL640">
        <f t="shared" si="5"/>
        <v>42000</v>
      </c>
    </row>
    <row r="641" spans="1:38">
      <c r="A641" s="62">
        <v>8</v>
      </c>
      <c r="B641" s="93">
        <v>633</v>
      </c>
      <c r="C641" s="68" t="s">
        <v>7475</v>
      </c>
      <c r="D641" s="59" t="s">
        <v>6028</v>
      </c>
      <c r="E641" s="72" t="s">
        <v>5862</v>
      </c>
      <c r="F641" s="73" t="s">
        <v>6029</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6754</v>
      </c>
      <c r="U641" s="63">
        <v>401</v>
      </c>
      <c r="V641" s="70">
        <v>12951</v>
      </c>
      <c r="W641" s="70">
        <v>13000</v>
      </c>
      <c r="X641" s="83" t="s">
        <v>5982</v>
      </c>
      <c r="Y641" s="70">
        <f t="shared" si="4"/>
        <v>6000</v>
      </c>
      <c r="Z641" s="63" t="s">
        <v>5866</v>
      </c>
      <c r="AA641" s="59">
        <v>3</v>
      </c>
      <c r="AB641" s="59">
        <v>2</v>
      </c>
      <c r="AC641" s="67" t="s">
        <v>329</v>
      </c>
      <c r="AD641" s="61" t="s">
        <v>6030</v>
      </c>
      <c r="AE641" s="71"/>
      <c r="AF641" s="71"/>
      <c r="AG641" s="71"/>
      <c r="AH641" s="71"/>
      <c r="AI641" s="71"/>
      <c r="AJ641" s="71"/>
      <c r="AK641" s="71" t="s">
        <v>7628</v>
      </c>
      <c r="AL641">
        <f t="shared" si="5"/>
        <v>43753.999999999993</v>
      </c>
    </row>
    <row r="642" spans="1:38">
      <c r="A642" s="62">
        <v>8</v>
      </c>
      <c r="B642" s="93">
        <v>634</v>
      </c>
      <c r="C642" s="68" t="s">
        <v>7475</v>
      </c>
      <c r="D642" s="59" t="s">
        <v>7629</v>
      </c>
      <c r="E642" s="72" t="s">
        <v>5862</v>
      </c>
      <c r="F642" s="73" t="s">
        <v>7630</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6754</v>
      </c>
      <c r="U642" s="63">
        <v>397</v>
      </c>
      <c r="V642" s="70">
        <v>12100</v>
      </c>
      <c r="W642" s="70">
        <v>12000</v>
      </c>
      <c r="X642" s="83" t="s">
        <v>5878</v>
      </c>
      <c r="Y642" s="70">
        <f t="shared" si="4"/>
        <v>5000</v>
      </c>
      <c r="Z642" s="63" t="s">
        <v>5866</v>
      </c>
      <c r="AA642" s="59">
        <v>3</v>
      </c>
      <c r="AB642" s="59">
        <v>3</v>
      </c>
      <c r="AC642" s="67" t="s">
        <v>333</v>
      </c>
      <c r="AD642" s="61" t="s">
        <v>181</v>
      </c>
      <c r="AE642" s="71"/>
      <c r="AF642" s="71"/>
      <c r="AG642" s="71"/>
      <c r="AH642" s="71"/>
      <c r="AI642" s="71"/>
      <c r="AJ642" s="71"/>
      <c r="AK642" s="71" t="s">
        <v>7553</v>
      </c>
      <c r="AL642">
        <f t="shared" si="5"/>
        <v>36000</v>
      </c>
    </row>
    <row r="643" spans="1:38">
      <c r="A643" s="62">
        <v>8</v>
      </c>
      <c r="B643" s="93">
        <v>635</v>
      </c>
      <c r="C643" s="68" t="s">
        <v>7475</v>
      </c>
      <c r="D643" s="59" t="s">
        <v>6031</v>
      </c>
      <c r="E643" s="72" t="s">
        <v>5862</v>
      </c>
      <c r="F643" s="73" t="s">
        <v>6032</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6757</v>
      </c>
      <c r="U643" s="63">
        <v>398</v>
      </c>
      <c r="V643" s="70">
        <v>41400</v>
      </c>
      <c r="W643" s="70">
        <v>41000</v>
      </c>
      <c r="X643" s="83" t="s">
        <v>5874</v>
      </c>
      <c r="Y643" s="70">
        <f t="shared" si="4"/>
        <v>18000</v>
      </c>
      <c r="Z643" s="63" t="s">
        <v>5866</v>
      </c>
      <c r="AA643" s="59">
        <v>3</v>
      </c>
      <c r="AB643" s="59">
        <v>3</v>
      </c>
      <c r="AC643" s="67" t="s">
        <v>333</v>
      </c>
      <c r="AD643" s="61" t="s">
        <v>6033</v>
      </c>
      <c r="AE643" s="71"/>
      <c r="AF643" s="71"/>
      <c r="AG643" s="71"/>
      <c r="AH643" s="71"/>
      <c r="AI643" s="71"/>
      <c r="AJ643" s="71"/>
      <c r="AK643" s="71" t="s">
        <v>7631</v>
      </c>
      <c r="AL643">
        <f t="shared" si="5"/>
        <v>15670</v>
      </c>
    </row>
    <row r="644" spans="1:38">
      <c r="A644" s="62">
        <v>8</v>
      </c>
      <c r="B644" s="93">
        <v>636</v>
      </c>
      <c r="C644" s="68" t="s">
        <v>7475</v>
      </c>
      <c r="D644" s="59" t="s">
        <v>7632</v>
      </c>
      <c r="E644" s="72" t="s">
        <v>5862</v>
      </c>
      <c r="F644" s="73" t="s">
        <v>7633</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6757</v>
      </c>
      <c r="U644" s="63">
        <v>398</v>
      </c>
      <c r="V644" s="70">
        <v>34330</v>
      </c>
      <c r="W644" s="70">
        <v>34000</v>
      </c>
      <c r="X644" s="83" t="s">
        <v>6182</v>
      </c>
      <c r="Y644" s="70">
        <f t="shared" si="4"/>
        <v>20000</v>
      </c>
      <c r="Z644" s="63" t="s">
        <v>5866</v>
      </c>
      <c r="AA644" s="59">
        <v>3</v>
      </c>
      <c r="AB644" s="59">
        <v>3</v>
      </c>
      <c r="AC644" s="67" t="s">
        <v>333</v>
      </c>
      <c r="AD644" s="61" t="s">
        <v>7634</v>
      </c>
      <c r="AE644" s="71"/>
      <c r="AF644" s="71"/>
      <c r="AG644" s="71"/>
      <c r="AH644" s="71"/>
      <c r="AI644" s="71"/>
      <c r="AJ644" s="71"/>
      <c r="AK644" s="71" t="s">
        <v>7635</v>
      </c>
      <c r="AL644">
        <f t="shared" si="5"/>
        <v>54000</v>
      </c>
    </row>
    <row r="645" spans="1:38">
      <c r="A645" s="62">
        <v>8</v>
      </c>
      <c r="B645" s="93">
        <v>637</v>
      </c>
      <c r="C645" s="68" t="s">
        <v>7475</v>
      </c>
      <c r="D645" s="59" t="s">
        <v>6035</v>
      </c>
      <c r="E645" s="72" t="s">
        <v>5862</v>
      </c>
      <c r="F645" s="73" t="s">
        <v>6036</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6759</v>
      </c>
      <c r="U645" s="63">
        <v>398</v>
      </c>
      <c r="V645" s="70">
        <v>63328</v>
      </c>
      <c r="W645" s="70">
        <v>60000</v>
      </c>
      <c r="X645" s="83" t="s">
        <v>5923</v>
      </c>
      <c r="Y645" s="70">
        <f t="shared" si="4"/>
        <v>20000</v>
      </c>
      <c r="Z645" s="63" t="s">
        <v>5866</v>
      </c>
      <c r="AA645" s="59">
        <v>3</v>
      </c>
      <c r="AB645" s="59">
        <v>3</v>
      </c>
      <c r="AC645" s="67" t="s">
        <v>333</v>
      </c>
      <c r="AD645" s="61" t="s">
        <v>181</v>
      </c>
      <c r="AE645" s="71"/>
      <c r="AF645" s="71"/>
      <c r="AG645" s="71"/>
      <c r="AH645" s="71"/>
      <c r="AI645" s="71"/>
      <c r="AJ645" s="71"/>
      <c r="AK645" s="71" t="s">
        <v>7486</v>
      </c>
      <c r="AL645">
        <f t="shared" si="5"/>
        <v>88364</v>
      </c>
    </row>
    <row r="646" spans="1:38">
      <c r="A646" s="62">
        <v>8</v>
      </c>
      <c r="B646" s="93">
        <v>638</v>
      </c>
      <c r="C646" s="68" t="s">
        <v>7475</v>
      </c>
      <c r="D646" s="59" t="s">
        <v>7636</v>
      </c>
      <c r="E646" s="72" t="s">
        <v>5862</v>
      </c>
      <c r="F646" s="73" t="s">
        <v>7637</v>
      </c>
      <c r="G646" s="82">
        <v>44.2</v>
      </c>
      <c r="H646" s="67">
        <v>9101</v>
      </c>
      <c r="I646" s="69">
        <v>0</v>
      </c>
      <c r="J646" s="70">
        <v>15492</v>
      </c>
      <c r="K646" s="75">
        <v>3.4856700232378</v>
      </c>
      <c r="L646" s="74">
        <v>0</v>
      </c>
      <c r="M646" s="76">
        <v>0</v>
      </c>
      <c r="N646" s="67">
        <v>1974</v>
      </c>
      <c r="P646" s="64">
        <v>1508</v>
      </c>
      <c r="Q646" s="59">
        <v>20</v>
      </c>
      <c r="R646" s="59">
        <v>14</v>
      </c>
      <c r="S646" s="59">
        <v>1</v>
      </c>
      <c r="T646" s="63" t="s">
        <v>6759</v>
      </c>
      <c r="U646" s="63">
        <v>398</v>
      </c>
      <c r="V646" s="70">
        <v>87100</v>
      </c>
      <c r="W646" s="70">
        <v>90000</v>
      </c>
      <c r="X646" s="83" t="s">
        <v>6569</v>
      </c>
      <c r="Y646" s="70">
        <f t="shared" si="4"/>
        <v>15000</v>
      </c>
      <c r="Z646" s="63" t="s">
        <v>5866</v>
      </c>
      <c r="AA646" s="59">
        <v>3</v>
      </c>
      <c r="AB646" s="59">
        <v>3</v>
      </c>
      <c r="AC646" s="67" t="s">
        <v>333</v>
      </c>
      <c r="AD646" s="61" t="s">
        <v>181</v>
      </c>
      <c r="AE646" s="71"/>
      <c r="AF646" s="71"/>
      <c r="AG646" s="71"/>
      <c r="AH646" s="71"/>
      <c r="AI646" s="71"/>
      <c r="AJ646" s="71"/>
      <c r="AK646" s="71" t="s">
        <v>7486</v>
      </c>
      <c r="AL646">
        <f t="shared" si="5"/>
        <v>54000</v>
      </c>
    </row>
    <row r="647" spans="1:38">
      <c r="A647" s="62">
        <v>8</v>
      </c>
      <c r="B647" s="93">
        <v>639</v>
      </c>
      <c r="C647" s="68" t="s">
        <v>7475</v>
      </c>
      <c r="D647" s="59" t="s">
        <v>7638</v>
      </c>
      <c r="E647" s="72" t="s">
        <v>5862</v>
      </c>
      <c r="F647" s="73" t="s">
        <v>7639</v>
      </c>
      <c r="G647" s="82">
        <v>47.1</v>
      </c>
      <c r="H647" s="67">
        <v>9101</v>
      </c>
      <c r="I647" s="69">
        <v>0</v>
      </c>
      <c r="J647" s="70">
        <v>19998</v>
      </c>
      <c r="K647" s="75">
        <v>8.2308230823082305</v>
      </c>
      <c r="L647" s="74">
        <v>0</v>
      </c>
      <c r="M647" s="76">
        <v>0</v>
      </c>
      <c r="N647" s="67">
        <v>1970</v>
      </c>
      <c r="O647" s="64">
        <v>4632</v>
      </c>
      <c r="P647" s="64" t="s">
        <v>181</v>
      </c>
      <c r="Q647" s="59">
        <v>17</v>
      </c>
      <c r="R647" s="59">
        <v>1</v>
      </c>
      <c r="S647" s="59">
        <v>1</v>
      </c>
      <c r="T647" s="63" t="s">
        <v>6759</v>
      </c>
      <c r="U647" s="63">
        <v>401</v>
      </c>
      <c r="V647" s="70">
        <v>51907</v>
      </c>
      <c r="W647" s="70">
        <v>50000</v>
      </c>
      <c r="X647" s="83" t="s">
        <v>5952</v>
      </c>
      <c r="Y647" s="70">
        <f t="shared" si="4"/>
        <v>20000</v>
      </c>
      <c r="Z647" s="63" t="s">
        <v>5866</v>
      </c>
      <c r="AA647" s="59">
        <v>3</v>
      </c>
      <c r="AB647" s="59">
        <v>3</v>
      </c>
      <c r="AC647" s="67" t="s">
        <v>333</v>
      </c>
      <c r="AD647" s="61" t="s">
        <v>7640</v>
      </c>
      <c r="AE647" s="71"/>
      <c r="AF647" s="71"/>
      <c r="AG647" s="71"/>
      <c r="AH647" s="71"/>
      <c r="AI647" s="71"/>
      <c r="AJ647" s="71"/>
      <c r="AK647" s="71" t="s">
        <v>7641</v>
      </c>
      <c r="AL647">
        <f t="shared" si="5"/>
        <v>164600</v>
      </c>
    </row>
    <row r="648" spans="1:38">
      <c r="A648" s="62">
        <v>8</v>
      </c>
      <c r="B648" s="93">
        <v>640</v>
      </c>
      <c r="C648" s="68" t="s">
        <v>7475</v>
      </c>
      <c r="D648" s="59" t="s">
        <v>6038</v>
      </c>
      <c r="E648" s="72" t="s">
        <v>5862</v>
      </c>
      <c r="F648" s="73" t="s">
        <v>6039</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6759</v>
      </c>
      <c r="U648" s="63">
        <v>398</v>
      </c>
      <c r="V648" s="70">
        <v>97473</v>
      </c>
      <c r="W648" s="70">
        <v>100000</v>
      </c>
      <c r="X648" s="83" t="s">
        <v>5982</v>
      </c>
      <c r="Y648" s="70">
        <f t="shared" si="4"/>
        <v>46000</v>
      </c>
      <c r="Z648" s="63" t="s">
        <v>5866</v>
      </c>
      <c r="AA648" s="59">
        <v>3</v>
      </c>
      <c r="AB648" s="59">
        <v>3</v>
      </c>
      <c r="AC648" s="67" t="s">
        <v>333</v>
      </c>
      <c r="AD648" s="61" t="s">
        <v>181</v>
      </c>
      <c r="AE648" s="71"/>
      <c r="AF648" s="71"/>
      <c r="AG648" s="71"/>
      <c r="AH648" s="71"/>
      <c r="AI648" s="71"/>
      <c r="AJ648" s="71"/>
      <c r="AK648" s="71" t="s">
        <v>7642</v>
      </c>
      <c r="AL648">
        <f t="shared" si="5"/>
        <v>26546.875</v>
      </c>
    </row>
    <row r="649" spans="1:38">
      <c r="A649" s="62">
        <v>8</v>
      </c>
      <c r="B649" s="93">
        <v>641</v>
      </c>
      <c r="C649" s="68" t="s">
        <v>7475</v>
      </c>
      <c r="D649" s="59" t="s">
        <v>7643</v>
      </c>
      <c r="E649" s="72" t="s">
        <v>5862</v>
      </c>
      <c r="F649" s="73" t="s">
        <v>6044</v>
      </c>
      <c r="G649" s="82">
        <v>44.8</v>
      </c>
      <c r="H649" s="67">
        <v>9101</v>
      </c>
      <c r="I649" s="69">
        <v>0</v>
      </c>
      <c r="J649" s="70">
        <v>1510</v>
      </c>
      <c r="K649" s="75">
        <v>9.9337748344370862</v>
      </c>
      <c r="L649" s="74">
        <v>0</v>
      </c>
      <c r="M649" s="76">
        <v>0.1384</v>
      </c>
      <c r="N649" s="67">
        <v>2004</v>
      </c>
      <c r="O649" s="64">
        <v>1510</v>
      </c>
      <c r="Q649" s="59">
        <v>18</v>
      </c>
      <c r="R649" s="59">
        <v>14</v>
      </c>
      <c r="S649" s="59">
        <v>1</v>
      </c>
      <c r="T649" s="63" t="s">
        <v>6759</v>
      </c>
      <c r="U649" s="63">
        <v>398</v>
      </c>
      <c r="V649" s="70">
        <v>4552</v>
      </c>
      <c r="W649" s="70">
        <v>5000</v>
      </c>
      <c r="X649" s="83" t="s">
        <v>6791</v>
      </c>
      <c r="Y649" s="70">
        <f>ROUND(J649,-2)</f>
        <v>1500</v>
      </c>
      <c r="Z649" s="63" t="s">
        <v>5866</v>
      </c>
      <c r="AA649" s="59">
        <v>3</v>
      </c>
      <c r="AB649" s="59">
        <v>3</v>
      </c>
      <c r="AC649" s="67" t="s">
        <v>333</v>
      </c>
      <c r="AD649" s="61" t="s">
        <v>7644</v>
      </c>
      <c r="AE649" s="71"/>
      <c r="AF649" s="71"/>
      <c r="AG649" s="71"/>
      <c r="AH649" s="71"/>
      <c r="AI649" s="71"/>
      <c r="AJ649" s="71"/>
      <c r="AK649" s="71" t="s">
        <v>7645</v>
      </c>
      <c r="AL649">
        <f t="shared" si="5"/>
        <v>15000</v>
      </c>
    </row>
    <row r="650" spans="1:38">
      <c r="A650" s="62">
        <v>8</v>
      </c>
      <c r="B650" s="93">
        <v>642</v>
      </c>
      <c r="C650" s="68" t="s">
        <v>7475</v>
      </c>
      <c r="D650" s="59" t="s">
        <v>7646</v>
      </c>
      <c r="E650" s="72" t="s">
        <v>5862</v>
      </c>
      <c r="F650" s="73" t="s">
        <v>7647</v>
      </c>
      <c r="G650" s="82">
        <v>44.2</v>
      </c>
      <c r="H650" s="67">
        <v>9101</v>
      </c>
      <c r="I650" s="69">
        <v>0</v>
      </c>
      <c r="J650" s="70">
        <v>36000</v>
      </c>
      <c r="K650" s="75">
        <v>4.166666666666667</v>
      </c>
      <c r="L650" s="74">
        <v>0</v>
      </c>
      <c r="M650" s="76">
        <v>0</v>
      </c>
      <c r="N650" s="67">
        <v>1961</v>
      </c>
      <c r="O650" s="64">
        <v>6276</v>
      </c>
      <c r="Q650" s="59">
        <v>17</v>
      </c>
      <c r="R650" s="59">
        <v>10</v>
      </c>
      <c r="S650" s="59">
        <v>1</v>
      </c>
      <c r="T650" s="63" t="s">
        <v>6759</v>
      </c>
      <c r="U650" s="63">
        <v>398</v>
      </c>
      <c r="V650" s="70">
        <v>56220</v>
      </c>
      <c r="W650" s="70">
        <v>60000</v>
      </c>
      <c r="X650" s="83" t="s">
        <v>5896</v>
      </c>
      <c r="Y650" s="70">
        <f>ROUND(J650,-3)</f>
        <v>36000</v>
      </c>
      <c r="Z650" s="63" t="s">
        <v>5866</v>
      </c>
      <c r="AA650" s="59">
        <v>3</v>
      </c>
      <c r="AB650" s="59">
        <v>3</v>
      </c>
      <c r="AC650" s="67" t="s">
        <v>333</v>
      </c>
      <c r="AD650" s="61" t="s">
        <v>181</v>
      </c>
      <c r="AE650" s="71"/>
      <c r="AF650" s="71"/>
      <c r="AG650" s="71"/>
      <c r="AH650" s="71"/>
      <c r="AI650" s="71"/>
      <c r="AJ650" s="71"/>
      <c r="AK650" s="71" t="s">
        <v>7648</v>
      </c>
      <c r="AL650">
        <f t="shared" si="5"/>
        <v>150000</v>
      </c>
    </row>
    <row r="651" spans="1:38">
      <c r="A651" s="62">
        <v>8</v>
      </c>
      <c r="B651" s="93">
        <v>643</v>
      </c>
      <c r="C651" s="68" t="s">
        <v>7475</v>
      </c>
      <c r="D651" s="59" t="s">
        <v>7649</v>
      </c>
      <c r="E651" s="72" t="s">
        <v>5862</v>
      </c>
      <c r="F651" s="73" t="s">
        <v>7650</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6759</v>
      </c>
      <c r="U651" s="63">
        <v>398</v>
      </c>
      <c r="V651" s="70">
        <v>235873</v>
      </c>
      <c r="W651" s="70">
        <v>240000</v>
      </c>
      <c r="X651" s="83" t="s">
        <v>5878</v>
      </c>
      <c r="Y651" s="70">
        <f>ROUND(J651,-4)</f>
        <v>100000</v>
      </c>
      <c r="Z651" s="63" t="s">
        <v>5866</v>
      </c>
      <c r="AA651" s="59">
        <v>3</v>
      </c>
      <c r="AB651" s="59">
        <v>3</v>
      </c>
      <c r="AC651" s="67" t="s">
        <v>333</v>
      </c>
      <c r="AD651" s="61" t="s">
        <v>7651</v>
      </c>
      <c r="AE651" s="71"/>
      <c r="AF651" s="71"/>
      <c r="AG651" s="71"/>
      <c r="AH651" s="71"/>
      <c r="AI651" s="71"/>
      <c r="AJ651" s="71"/>
      <c r="AK651" s="71" t="s">
        <v>7486</v>
      </c>
      <c r="AL651">
        <f t="shared" si="5"/>
        <v>427199.99999999994</v>
      </c>
    </row>
    <row r="652" spans="1:38">
      <c r="A652" s="62">
        <v>8</v>
      </c>
      <c r="B652" s="93">
        <v>644</v>
      </c>
      <c r="C652" s="68" t="s">
        <v>7475</v>
      </c>
      <c r="D652" s="59" t="s">
        <v>7652</v>
      </c>
      <c r="E652" s="72" t="s">
        <v>5862</v>
      </c>
      <c r="F652" s="73" t="s">
        <v>7653</v>
      </c>
      <c r="G652" s="82">
        <v>44.2</v>
      </c>
      <c r="H652" s="67">
        <v>9101</v>
      </c>
      <c r="I652" s="69">
        <v>0</v>
      </c>
      <c r="J652" s="70">
        <v>36742</v>
      </c>
      <c r="K652" s="75">
        <v>4.899025638234173</v>
      </c>
      <c r="L652" s="74">
        <v>0</v>
      </c>
      <c r="M652" s="76">
        <v>0</v>
      </c>
      <c r="N652" s="67">
        <v>1983</v>
      </c>
      <c r="O652" s="64">
        <v>7524</v>
      </c>
      <c r="Q652" s="59">
        <v>18</v>
      </c>
      <c r="R652" s="59">
        <v>3</v>
      </c>
      <c r="S652" s="59">
        <v>1</v>
      </c>
      <c r="T652" s="63" t="s">
        <v>6757</v>
      </c>
      <c r="U652" s="63">
        <v>398</v>
      </c>
      <c r="V652" s="70">
        <v>50800</v>
      </c>
      <c r="W652" s="70">
        <v>50000</v>
      </c>
      <c r="X652" s="83" t="s">
        <v>5938</v>
      </c>
      <c r="Y652" s="70">
        <f>ROUND(J652,-3)</f>
        <v>37000</v>
      </c>
      <c r="Z652" s="63" t="s">
        <v>5866</v>
      </c>
      <c r="AA652" s="59">
        <v>3</v>
      </c>
      <c r="AB652" s="59">
        <v>3</v>
      </c>
      <c r="AC652" s="67" t="s">
        <v>333</v>
      </c>
      <c r="AD652" s="61" t="s">
        <v>181</v>
      </c>
      <c r="AE652" s="71"/>
      <c r="AF652" s="71"/>
      <c r="AG652" s="71"/>
      <c r="AH652" s="71"/>
      <c r="AI652" s="71"/>
      <c r="AJ652" s="71"/>
      <c r="AK652" s="71" t="s">
        <v>7654</v>
      </c>
      <c r="AL652">
        <f t="shared" si="5"/>
        <v>180000</v>
      </c>
    </row>
    <row r="653" spans="1:38">
      <c r="A653" s="62">
        <v>8</v>
      </c>
      <c r="B653" s="93">
        <v>645</v>
      </c>
      <c r="C653" s="68" t="s">
        <v>7475</v>
      </c>
      <c r="D653" s="59" t="s">
        <v>7655</v>
      </c>
      <c r="E653" s="72" t="s">
        <v>5862</v>
      </c>
      <c r="F653" s="73" t="s">
        <v>7656</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6754</v>
      </c>
      <c r="U653" s="63">
        <v>398</v>
      </c>
      <c r="V653" s="70">
        <v>22080</v>
      </c>
      <c r="W653" s="70">
        <v>22000</v>
      </c>
      <c r="X653" s="83" t="s">
        <v>5938</v>
      </c>
      <c r="Y653" s="70">
        <f>ROUND(J653,-3)</f>
        <v>15000</v>
      </c>
      <c r="Z653" s="63" t="s">
        <v>5866</v>
      </c>
      <c r="AA653" s="59">
        <v>3</v>
      </c>
      <c r="AB653" s="59">
        <v>3</v>
      </c>
      <c r="AC653" s="67" t="s">
        <v>333</v>
      </c>
      <c r="AD653" s="61" t="s">
        <v>181</v>
      </c>
      <c r="AE653" s="71"/>
      <c r="AF653" s="71"/>
      <c r="AG653" s="71"/>
      <c r="AH653" s="71"/>
      <c r="AI653" s="71"/>
      <c r="AJ653" s="71"/>
      <c r="AK653" s="71" t="s">
        <v>7657</v>
      </c>
      <c r="AL653">
        <f t="shared" si="5"/>
        <v>81522</v>
      </c>
    </row>
    <row r="654" spans="1:38">
      <c r="A654" s="62">
        <v>8</v>
      </c>
      <c r="B654" s="93">
        <v>646</v>
      </c>
      <c r="C654" s="68" t="s">
        <v>7475</v>
      </c>
      <c r="D654" s="59" t="s">
        <v>6063</v>
      </c>
      <c r="E654" s="72" t="s">
        <v>5862</v>
      </c>
      <c r="F654" s="73" t="s">
        <v>6064</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6754</v>
      </c>
      <c r="U654" s="63">
        <v>398</v>
      </c>
      <c r="V654" s="70">
        <v>38163</v>
      </c>
      <c r="W654" s="70">
        <v>38000</v>
      </c>
      <c r="X654" s="83" t="s">
        <v>6065</v>
      </c>
      <c r="Y654" s="70">
        <f>ROUND(J654,-3)</f>
        <v>25000</v>
      </c>
      <c r="Z654" s="63" t="s">
        <v>5866</v>
      </c>
      <c r="AA654" s="59">
        <v>3</v>
      </c>
      <c r="AB654" s="59">
        <v>3</v>
      </c>
      <c r="AC654" s="67" t="s">
        <v>333</v>
      </c>
      <c r="AD654" s="61" t="s">
        <v>181</v>
      </c>
      <c r="AE654" s="71"/>
      <c r="AF654" s="71"/>
      <c r="AG654" s="71"/>
      <c r="AH654" s="71"/>
      <c r="AI654" s="71"/>
      <c r="AJ654" s="71"/>
      <c r="AK654" s="71" t="s">
        <v>7537</v>
      </c>
      <c r="AL654">
        <f t="shared" si="5"/>
        <v>93546</v>
      </c>
    </row>
    <row r="655" spans="1:38">
      <c r="A655" s="62">
        <v>8</v>
      </c>
      <c r="B655" s="93">
        <v>647</v>
      </c>
      <c r="C655" s="68" t="s">
        <v>7475</v>
      </c>
      <c r="D655" s="59" t="s">
        <v>7658</v>
      </c>
      <c r="E655" s="72" t="s">
        <v>5862</v>
      </c>
      <c r="F655" s="73" t="s">
        <v>7659</v>
      </c>
      <c r="G655" s="82">
        <v>44.1</v>
      </c>
      <c r="H655" s="67">
        <v>9101</v>
      </c>
      <c r="I655" s="69">
        <v>0</v>
      </c>
      <c r="J655" s="70">
        <v>60520</v>
      </c>
      <c r="K655" s="75">
        <v>4.1639127561136817</v>
      </c>
      <c r="L655" s="74">
        <v>0</v>
      </c>
      <c r="M655" s="76">
        <v>0</v>
      </c>
      <c r="N655" s="67">
        <v>1969</v>
      </c>
      <c r="O655" s="64">
        <v>1566</v>
      </c>
      <c r="Q655" s="59">
        <v>22</v>
      </c>
      <c r="R655" s="59">
        <v>10</v>
      </c>
      <c r="S655" s="59">
        <v>1</v>
      </c>
      <c r="T655" s="63" t="s">
        <v>6757</v>
      </c>
      <c r="U655" s="63">
        <v>398</v>
      </c>
      <c r="V655" s="70">
        <v>127296</v>
      </c>
      <c r="W655" s="70">
        <v>130000</v>
      </c>
      <c r="X655" s="83" t="s">
        <v>5982</v>
      </c>
      <c r="Y655" s="70">
        <f>ROUND(J655,-4)</f>
        <v>60000</v>
      </c>
      <c r="Z655" s="63" t="s">
        <v>5866</v>
      </c>
      <c r="AA655" s="59">
        <v>3</v>
      </c>
      <c r="AB655" s="59">
        <v>3</v>
      </c>
      <c r="AC655" s="67" t="s">
        <v>333</v>
      </c>
      <c r="AD655" s="61" t="s">
        <v>181</v>
      </c>
      <c r="AE655" s="71"/>
      <c r="AF655" s="71"/>
      <c r="AG655" s="71"/>
      <c r="AH655" s="71"/>
      <c r="AI655" s="71"/>
      <c r="AJ655" s="71"/>
      <c r="AK655" s="71" t="s">
        <v>7486</v>
      </c>
      <c r="AL655">
        <f t="shared" si="5"/>
        <v>252000.00000000003</v>
      </c>
    </row>
    <row r="656" spans="1:38">
      <c r="A656" s="62">
        <v>8</v>
      </c>
      <c r="B656" s="93">
        <v>648</v>
      </c>
      <c r="C656" s="68" t="s">
        <v>7475</v>
      </c>
      <c r="D656" s="59" t="s">
        <v>7660</v>
      </c>
      <c r="E656" s="72" t="s">
        <v>5862</v>
      </c>
      <c r="F656" s="73" t="s">
        <v>7661</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6757</v>
      </c>
      <c r="U656" s="63">
        <v>398</v>
      </c>
      <c r="V656" s="70">
        <v>78900</v>
      </c>
      <c r="W656" s="70">
        <v>80000</v>
      </c>
      <c r="X656" s="83" t="s">
        <v>5982</v>
      </c>
      <c r="Y656" s="70">
        <f t="shared" ref="Y656:Y662" si="6">ROUND(J656,-3)</f>
        <v>38000</v>
      </c>
      <c r="Z656" s="63" t="s">
        <v>5866</v>
      </c>
      <c r="AA656" s="59">
        <v>3</v>
      </c>
      <c r="AB656" s="59">
        <v>3</v>
      </c>
      <c r="AC656" s="67" t="s">
        <v>333</v>
      </c>
      <c r="AD656" s="61" t="s">
        <v>7662</v>
      </c>
      <c r="AE656" s="71"/>
      <c r="AF656" s="71"/>
      <c r="AG656" s="71"/>
      <c r="AH656" s="71"/>
      <c r="AI656" s="71"/>
      <c r="AJ656" s="71"/>
      <c r="AK656" s="71" t="s">
        <v>7500</v>
      </c>
      <c r="AL656">
        <f t="shared" si="5"/>
        <v>149556.00000000003</v>
      </c>
    </row>
    <row r="657" spans="1:38">
      <c r="A657" s="62">
        <v>8</v>
      </c>
      <c r="B657" s="93">
        <v>649</v>
      </c>
      <c r="C657" s="68" t="s">
        <v>7475</v>
      </c>
      <c r="D657" s="59" t="s">
        <v>6066</v>
      </c>
      <c r="E657" s="72" t="s">
        <v>5862</v>
      </c>
      <c r="F657" s="73" t="s">
        <v>6067</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6757</v>
      </c>
      <c r="U657" s="63">
        <v>398</v>
      </c>
      <c r="V657" s="70">
        <v>61218</v>
      </c>
      <c r="W657" s="70">
        <v>60000</v>
      </c>
      <c r="X657" s="83" t="s">
        <v>5982</v>
      </c>
      <c r="Y657" s="70">
        <f t="shared" si="6"/>
        <v>29000</v>
      </c>
      <c r="Z657" s="63" t="s">
        <v>5866</v>
      </c>
      <c r="AA657" s="59">
        <v>3</v>
      </c>
      <c r="AB657" s="59">
        <v>3</v>
      </c>
      <c r="AC657" s="67" t="s">
        <v>333</v>
      </c>
      <c r="AD657" s="61" t="s">
        <v>181</v>
      </c>
      <c r="AE657" s="71"/>
      <c r="AF657" s="71"/>
      <c r="AG657" s="71"/>
      <c r="AH657" s="71"/>
      <c r="AI657" s="71"/>
      <c r="AJ657" s="71"/>
      <c r="AK657" s="71" t="s">
        <v>7663</v>
      </c>
      <c r="AL657">
        <f t="shared" si="5"/>
        <v>146777</v>
      </c>
    </row>
    <row r="658" spans="1:38">
      <c r="A658" s="62">
        <v>8</v>
      </c>
      <c r="B658" s="93">
        <v>650</v>
      </c>
      <c r="C658" s="68" t="s">
        <v>7475</v>
      </c>
      <c r="D658" s="59" t="s">
        <v>7664</v>
      </c>
      <c r="E658" s="72" t="s">
        <v>5862</v>
      </c>
      <c r="F658" s="73" t="s">
        <v>7665</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6754</v>
      </c>
      <c r="U658" s="63">
        <v>398</v>
      </c>
      <c r="V658" s="70">
        <v>107083</v>
      </c>
      <c r="W658" s="70">
        <v>110000</v>
      </c>
      <c r="X658" s="83" t="s">
        <v>5928</v>
      </c>
      <c r="Y658" s="70">
        <f t="shared" si="6"/>
        <v>49000</v>
      </c>
      <c r="Z658" s="63" t="s">
        <v>5866</v>
      </c>
      <c r="AA658" s="59">
        <v>3</v>
      </c>
      <c r="AB658" s="59">
        <v>3</v>
      </c>
      <c r="AC658" s="67" t="s">
        <v>333</v>
      </c>
      <c r="AD658" s="61" t="s">
        <v>181</v>
      </c>
      <c r="AE658" s="71"/>
      <c r="AF658" s="71"/>
      <c r="AG658" s="71"/>
      <c r="AH658" s="71"/>
      <c r="AI658" s="71"/>
      <c r="AJ658" s="71"/>
      <c r="AK658" s="71" t="s">
        <v>7666</v>
      </c>
      <c r="AL658">
        <f t="shared" si="5"/>
        <v>207900</v>
      </c>
    </row>
    <row r="659" spans="1:38">
      <c r="A659" s="62">
        <v>8</v>
      </c>
      <c r="B659" s="93">
        <v>651</v>
      </c>
      <c r="C659" s="68" t="s">
        <v>7475</v>
      </c>
      <c r="D659" s="59" t="s">
        <v>7667</v>
      </c>
      <c r="E659" s="72" t="s">
        <v>5862</v>
      </c>
      <c r="F659" s="73" t="s">
        <v>7668</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6754</v>
      </c>
      <c r="U659" s="63">
        <v>398</v>
      </c>
      <c r="V659" s="70">
        <v>104440</v>
      </c>
      <c r="W659" s="70">
        <v>100000</v>
      </c>
      <c r="X659" s="83" t="s">
        <v>5982</v>
      </c>
      <c r="Y659" s="70">
        <f t="shared" si="6"/>
        <v>49000</v>
      </c>
      <c r="Z659" s="63" t="s">
        <v>5866</v>
      </c>
      <c r="AA659" s="59">
        <v>3</v>
      </c>
      <c r="AB659" s="59">
        <v>3</v>
      </c>
      <c r="AC659" s="67" t="s">
        <v>333</v>
      </c>
      <c r="AD659" s="61" t="s">
        <v>7669</v>
      </c>
      <c r="AE659" s="71"/>
      <c r="AF659" s="71"/>
      <c r="AG659" s="71"/>
      <c r="AH659" s="71"/>
      <c r="AI659" s="71"/>
      <c r="AJ659" s="71"/>
      <c r="AK659" s="71" t="s">
        <v>7670</v>
      </c>
      <c r="AL659">
        <f t="shared" si="5"/>
        <v>197395</v>
      </c>
    </row>
    <row r="660" spans="1:38">
      <c r="A660" s="62">
        <v>8</v>
      </c>
      <c r="B660" s="93">
        <v>652</v>
      </c>
      <c r="C660" s="68" t="s">
        <v>7475</v>
      </c>
      <c r="D660" s="59" t="s">
        <v>7671</v>
      </c>
      <c r="E660" s="72" t="s">
        <v>5862</v>
      </c>
      <c r="F660" s="73" t="s">
        <v>7672</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6754</v>
      </c>
      <c r="U660" s="63">
        <v>398</v>
      </c>
      <c r="V660" s="70">
        <v>98955</v>
      </c>
      <c r="W660" s="70">
        <v>100000</v>
      </c>
      <c r="X660" s="83" t="s">
        <v>5874</v>
      </c>
      <c r="Y660" s="70">
        <f t="shared" si="6"/>
        <v>42000</v>
      </c>
      <c r="Z660" s="63" t="s">
        <v>5866</v>
      </c>
      <c r="AA660" s="59">
        <v>3</v>
      </c>
      <c r="AB660" s="59">
        <v>3</v>
      </c>
      <c r="AC660" s="67" t="s">
        <v>333</v>
      </c>
      <c r="AD660" s="61" t="s">
        <v>7673</v>
      </c>
      <c r="AE660" s="71"/>
      <c r="AF660" s="71"/>
      <c r="AG660" s="71"/>
      <c r="AH660" s="71"/>
      <c r="AI660" s="71"/>
      <c r="AJ660" s="71"/>
      <c r="AK660" s="71" t="s">
        <v>7674</v>
      </c>
      <c r="AL660">
        <f t="shared" si="5"/>
        <v>102451</v>
      </c>
    </row>
    <row r="661" spans="1:38">
      <c r="A661" s="62">
        <v>8</v>
      </c>
      <c r="B661" s="93">
        <v>653</v>
      </c>
      <c r="C661" s="68" t="s">
        <v>7475</v>
      </c>
      <c r="D661" s="59" t="s">
        <v>7675</v>
      </c>
      <c r="E661" s="72" t="s">
        <v>5862</v>
      </c>
      <c r="F661" s="73" t="s">
        <v>7676</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6754</v>
      </c>
      <c r="U661" s="63">
        <v>398</v>
      </c>
      <c r="V661" s="70">
        <v>11741</v>
      </c>
      <c r="W661" s="70">
        <v>12000</v>
      </c>
      <c r="X661" s="83" t="s">
        <v>5887</v>
      </c>
      <c r="Y661" s="70">
        <f t="shared" si="6"/>
        <v>3000</v>
      </c>
      <c r="Z661" s="63" t="s">
        <v>5866</v>
      </c>
      <c r="AA661" s="59">
        <v>3</v>
      </c>
      <c r="AB661" s="59">
        <v>3</v>
      </c>
      <c r="AC661" s="67" t="s">
        <v>333</v>
      </c>
      <c r="AD661" s="61" t="s">
        <v>7677</v>
      </c>
      <c r="AE661" s="71"/>
      <c r="AF661" s="71"/>
      <c r="AG661" s="71"/>
      <c r="AH661" s="71"/>
      <c r="AI661" s="71"/>
      <c r="AJ661" s="71"/>
      <c r="AK661" s="71" t="s">
        <v>7486</v>
      </c>
      <c r="AL661">
        <f t="shared" si="5"/>
        <v>5400</v>
      </c>
    </row>
    <row r="662" spans="1:38">
      <c r="A662" s="62">
        <v>8</v>
      </c>
      <c r="B662" s="93">
        <v>654</v>
      </c>
      <c r="C662" s="68" t="s">
        <v>7475</v>
      </c>
      <c r="D662" s="59" t="s">
        <v>6904</v>
      </c>
      <c r="E662" s="72" t="s">
        <v>5862</v>
      </c>
      <c r="F662" s="73" t="s">
        <v>7678</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6759</v>
      </c>
      <c r="U662" s="63">
        <v>398</v>
      </c>
      <c r="V662" s="70">
        <v>80527</v>
      </c>
      <c r="W662" s="70">
        <v>80000</v>
      </c>
      <c r="X662" s="83" t="s">
        <v>6091</v>
      </c>
      <c r="Y662" s="70">
        <f t="shared" si="6"/>
        <v>26000</v>
      </c>
      <c r="Z662" s="63" t="s">
        <v>5866</v>
      </c>
      <c r="AA662" s="59">
        <v>3</v>
      </c>
      <c r="AB662" s="59">
        <v>3</v>
      </c>
      <c r="AC662" s="67" t="s">
        <v>333</v>
      </c>
      <c r="AD662" s="61" t="s">
        <v>6906</v>
      </c>
      <c r="AE662" s="71"/>
      <c r="AF662" s="71"/>
      <c r="AG662" s="71"/>
      <c r="AH662" s="71"/>
      <c r="AI662" s="71"/>
      <c r="AJ662" s="71"/>
      <c r="AK662" s="71" t="s">
        <v>7679</v>
      </c>
      <c r="AL662">
        <f t="shared" si="5"/>
        <v>67500.000000000015</v>
      </c>
    </row>
    <row r="663" spans="1:38">
      <c r="A663" s="62">
        <v>8</v>
      </c>
      <c r="B663" s="93">
        <v>655</v>
      </c>
      <c r="C663" s="68" t="s">
        <v>7475</v>
      </c>
      <c r="D663" s="59" t="s">
        <v>7680</v>
      </c>
      <c r="E663" s="72" t="s">
        <v>5862</v>
      </c>
      <c r="F663" s="73" t="s">
        <v>7681</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7119</v>
      </c>
      <c r="U663" s="63">
        <v>398</v>
      </c>
      <c r="V663" s="70">
        <v>231935</v>
      </c>
      <c r="W663" s="70">
        <v>230000</v>
      </c>
      <c r="X663" s="83" t="s">
        <v>5945</v>
      </c>
      <c r="Y663" s="70">
        <f>ROUND(J663,-4)</f>
        <v>60000</v>
      </c>
      <c r="Z663" s="63" t="s">
        <v>5866</v>
      </c>
      <c r="AA663" s="59">
        <v>3</v>
      </c>
      <c r="AB663" s="59">
        <v>3</v>
      </c>
      <c r="AC663" s="67" t="s">
        <v>333</v>
      </c>
      <c r="AD663" s="61" t="s">
        <v>7682</v>
      </c>
      <c r="AE663" s="71"/>
      <c r="AF663" s="71"/>
      <c r="AG663" s="71"/>
      <c r="AH663" s="71"/>
      <c r="AI663" s="71"/>
      <c r="AJ663" s="71"/>
      <c r="AK663" s="71" t="s">
        <v>7683</v>
      </c>
      <c r="AL663">
        <f t="shared" si="5"/>
        <v>185151.66666666666</v>
      </c>
    </row>
    <row r="664" spans="1:38">
      <c r="A664" s="62">
        <v>8</v>
      </c>
      <c r="B664" s="93">
        <v>656</v>
      </c>
      <c r="C664" s="68" t="s">
        <v>7475</v>
      </c>
      <c r="D664" s="59" t="s">
        <v>6077</v>
      </c>
      <c r="E664" s="72" t="s">
        <v>5862</v>
      </c>
      <c r="F664" s="73" t="s">
        <v>6078</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6759</v>
      </c>
      <c r="U664" s="63">
        <v>398</v>
      </c>
      <c r="V664" s="70">
        <v>219619</v>
      </c>
      <c r="W664" s="70">
        <v>220000</v>
      </c>
      <c r="X664" s="83" t="s">
        <v>5982</v>
      </c>
      <c r="Y664" s="70">
        <f>ROUND(J664,-4)</f>
        <v>100000</v>
      </c>
      <c r="Z664" s="63" t="s">
        <v>5866</v>
      </c>
      <c r="AA664" s="59">
        <v>3</v>
      </c>
      <c r="AB664" s="59">
        <v>3</v>
      </c>
      <c r="AC664" s="67" t="s">
        <v>333</v>
      </c>
      <c r="AD664" s="61" t="s">
        <v>6079</v>
      </c>
      <c r="AE664" s="71"/>
      <c r="AF664" s="71"/>
      <c r="AG664" s="71"/>
      <c r="AH664" s="71"/>
      <c r="AI664" s="71"/>
      <c r="AJ664" s="71"/>
      <c r="AK664" s="71" t="s">
        <v>7684</v>
      </c>
      <c r="AL664">
        <f t="shared" si="5"/>
        <v>73663.5</v>
      </c>
    </row>
    <row r="665" spans="1:38">
      <c r="A665" s="62">
        <v>8</v>
      </c>
      <c r="B665" s="93">
        <v>657</v>
      </c>
      <c r="C665" s="61" t="s">
        <v>7495</v>
      </c>
      <c r="D665" s="59" t="s">
        <v>7685</v>
      </c>
      <c r="E665" s="63" t="s">
        <v>5862</v>
      </c>
      <c r="F665" s="59" t="s">
        <v>7686</v>
      </c>
      <c r="G665" s="82">
        <v>44.3</v>
      </c>
      <c r="H665" s="59">
        <v>9102</v>
      </c>
      <c r="I665" s="63">
        <v>0</v>
      </c>
      <c r="J665" s="64">
        <v>146721</v>
      </c>
      <c r="K665" s="87">
        <v>3.34</v>
      </c>
      <c r="L665" s="88">
        <v>0</v>
      </c>
      <c r="M665" s="88">
        <v>0.01</v>
      </c>
      <c r="N665" s="59">
        <v>1977</v>
      </c>
      <c r="O665" s="59">
        <v>4338</v>
      </c>
      <c r="P665" s="59"/>
      <c r="Q665" s="59">
        <v>29</v>
      </c>
      <c r="R665" s="59">
        <v>10</v>
      </c>
      <c r="S665" s="59">
        <v>1</v>
      </c>
      <c r="T665" s="63" t="s">
        <v>6770</v>
      </c>
      <c r="U665" s="59">
        <v>398</v>
      </c>
      <c r="V665" s="64">
        <v>307313</v>
      </c>
      <c r="W665" s="64">
        <v>300000</v>
      </c>
      <c r="X665" s="67" t="s">
        <v>6774</v>
      </c>
      <c r="Y665" s="64">
        <v>150000</v>
      </c>
      <c r="Z665" s="63" t="s">
        <v>209</v>
      </c>
      <c r="AA665" s="59">
        <v>3</v>
      </c>
      <c r="AB665" s="59">
        <v>3</v>
      </c>
      <c r="AC665" s="59">
        <v>33</v>
      </c>
      <c r="AD665" s="59" t="s">
        <v>7687</v>
      </c>
      <c r="AE665" s="89"/>
      <c r="AF665" s="90"/>
      <c r="AG665" s="90"/>
      <c r="AH665" s="89"/>
      <c r="AI665" s="71"/>
      <c r="AJ665" s="71"/>
      <c r="AK665" s="71"/>
      <c r="AL665">
        <f t="shared" si="5"/>
        <v>490048.13999999996</v>
      </c>
    </row>
    <row r="666" spans="1:38">
      <c r="A666" s="62">
        <v>8</v>
      </c>
      <c r="B666" s="93">
        <v>658</v>
      </c>
      <c r="C666" s="68" t="s">
        <v>7475</v>
      </c>
      <c r="D666" s="59" t="s">
        <v>7688</v>
      </c>
      <c r="E666" s="72" t="s">
        <v>5862</v>
      </c>
      <c r="F666" s="73" t="s">
        <v>7689</v>
      </c>
      <c r="G666" s="82">
        <v>44.1</v>
      </c>
      <c r="H666" s="67">
        <v>9102</v>
      </c>
      <c r="I666" s="69">
        <v>0</v>
      </c>
      <c r="J666" s="70">
        <v>10000</v>
      </c>
      <c r="K666" s="75">
        <v>4.24</v>
      </c>
      <c r="L666" s="74">
        <v>0</v>
      </c>
      <c r="M666" s="76">
        <v>0</v>
      </c>
      <c r="N666" s="67">
        <v>1969</v>
      </c>
      <c r="O666" s="64">
        <v>1120</v>
      </c>
      <c r="Q666" s="59">
        <v>22</v>
      </c>
      <c r="R666" s="59">
        <v>1</v>
      </c>
      <c r="S666" s="59">
        <v>1</v>
      </c>
      <c r="T666" s="63" t="s">
        <v>6759</v>
      </c>
      <c r="U666" s="63">
        <v>398</v>
      </c>
      <c r="V666" s="70">
        <v>25000</v>
      </c>
      <c r="W666" s="70">
        <v>25000</v>
      </c>
      <c r="X666" s="83" t="s">
        <v>5920</v>
      </c>
      <c r="Y666" s="70">
        <f>ROUND(J666,-3)</f>
        <v>10000</v>
      </c>
      <c r="Z666" s="63" t="s">
        <v>5866</v>
      </c>
      <c r="AA666" s="59">
        <v>3</v>
      </c>
      <c r="AB666" s="59">
        <v>3</v>
      </c>
      <c r="AC666" s="67" t="s">
        <v>333</v>
      </c>
      <c r="AD666" s="61" t="s">
        <v>7690</v>
      </c>
      <c r="AE666" s="71"/>
      <c r="AF666" s="71"/>
      <c r="AG666" s="71"/>
      <c r="AH666" s="71"/>
      <c r="AI666" s="71"/>
      <c r="AJ666" s="71"/>
      <c r="AK666" s="71" t="s">
        <v>7691</v>
      </c>
      <c r="AL666">
        <f t="shared" ref="AL666:AL678" si="7">IF(AND(ISNUMBER($S666),$S666&gt;0,ISNUMBER($K666),ISNUMBER($J666)),($K666*$J666)/$S666,"")</f>
        <v>42400</v>
      </c>
    </row>
    <row r="667" spans="1:38">
      <c r="A667" s="62">
        <v>8</v>
      </c>
      <c r="B667" s="93">
        <v>659</v>
      </c>
      <c r="C667" s="68" t="s">
        <v>7475</v>
      </c>
      <c r="D667" s="59" t="s">
        <v>7692</v>
      </c>
      <c r="E667" s="72" t="s">
        <v>5862</v>
      </c>
      <c r="F667" s="73" t="s">
        <v>7693</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6759</v>
      </c>
      <c r="U667" s="63">
        <v>398</v>
      </c>
      <c r="V667" s="70">
        <v>44000</v>
      </c>
      <c r="W667" s="70">
        <v>44000</v>
      </c>
      <c r="X667" s="83" t="s">
        <v>6091</v>
      </c>
      <c r="Y667" s="70">
        <f>ROUND(J667,-3)</f>
        <v>25000</v>
      </c>
      <c r="Z667" s="63" t="s">
        <v>5866</v>
      </c>
      <c r="AA667" s="59">
        <v>3</v>
      </c>
      <c r="AB667" s="59">
        <v>3</v>
      </c>
      <c r="AC667" s="67" t="s">
        <v>333</v>
      </c>
      <c r="AD667" s="61" t="s">
        <v>181</v>
      </c>
      <c r="AE667" s="71"/>
      <c r="AF667" s="71"/>
      <c r="AG667" s="71"/>
      <c r="AH667" s="71"/>
      <c r="AI667" s="71"/>
      <c r="AJ667" s="71"/>
      <c r="AK667" s="71" t="s">
        <v>7648</v>
      </c>
      <c r="AL667">
        <f t="shared" si="7"/>
        <v>55000</v>
      </c>
    </row>
    <row r="668" spans="1:38">
      <c r="A668" s="62">
        <v>8</v>
      </c>
      <c r="B668" s="93">
        <v>660</v>
      </c>
      <c r="C668" s="68" t="s">
        <v>7475</v>
      </c>
      <c r="D668" s="59" t="s">
        <v>7694</v>
      </c>
      <c r="E668" s="72" t="s">
        <v>5862</v>
      </c>
      <c r="F668" s="73" t="s">
        <v>7695</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6759</v>
      </c>
      <c r="U668" s="63">
        <v>398</v>
      </c>
      <c r="V668" s="70">
        <v>14025</v>
      </c>
      <c r="W668" s="70">
        <v>14000</v>
      </c>
      <c r="X668" s="83" t="s">
        <v>5892</v>
      </c>
      <c r="Y668" s="70">
        <f>ROUND(J668,-2)</f>
        <v>1800</v>
      </c>
      <c r="Z668" s="63" t="s">
        <v>5866</v>
      </c>
      <c r="AA668" s="59">
        <v>3</v>
      </c>
      <c r="AB668" s="59">
        <v>3</v>
      </c>
      <c r="AC668" s="67" t="s">
        <v>333</v>
      </c>
      <c r="AD668" s="61" t="s">
        <v>181</v>
      </c>
      <c r="AE668" s="71"/>
      <c r="AF668" s="71"/>
      <c r="AG668" s="71"/>
      <c r="AH668" s="71"/>
      <c r="AI668" s="71"/>
      <c r="AJ668" s="71"/>
      <c r="AK668" s="71" t="s">
        <v>7696</v>
      </c>
      <c r="AL668">
        <f t="shared" si="7"/>
        <v>6900</v>
      </c>
    </row>
    <row r="669" spans="1:38">
      <c r="A669" s="62">
        <v>8</v>
      </c>
      <c r="B669" s="93">
        <v>661</v>
      </c>
      <c r="C669" s="68" t="s">
        <v>7475</v>
      </c>
      <c r="D669" s="59" t="s">
        <v>6093</v>
      </c>
      <c r="E669" s="72" t="s">
        <v>5862</v>
      </c>
      <c r="F669" s="73" t="s">
        <v>6094</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6759</v>
      </c>
      <c r="U669" s="63">
        <v>398</v>
      </c>
      <c r="V669" s="70">
        <v>44000</v>
      </c>
      <c r="W669" s="70">
        <v>44000</v>
      </c>
      <c r="X669" s="83" t="s">
        <v>6791</v>
      </c>
      <c r="Y669" s="70">
        <f>ROUND(J669,-3)</f>
        <v>15000</v>
      </c>
      <c r="Z669" s="63" t="s">
        <v>5866</v>
      </c>
      <c r="AA669" s="59">
        <v>3</v>
      </c>
      <c r="AB669" s="59">
        <v>3</v>
      </c>
      <c r="AC669" s="67" t="s">
        <v>333</v>
      </c>
      <c r="AD669" s="61" t="s">
        <v>6095</v>
      </c>
      <c r="AE669" s="71"/>
      <c r="AF669" s="71"/>
      <c r="AG669" s="71"/>
      <c r="AH669" s="71"/>
      <c r="AI669" s="71"/>
      <c r="AJ669" s="71"/>
      <c r="AK669" s="71" t="s">
        <v>7571</v>
      </c>
      <c r="AL669">
        <f t="shared" si="7"/>
        <v>80932</v>
      </c>
    </row>
    <row r="670" spans="1:38">
      <c r="A670" s="62">
        <v>8</v>
      </c>
      <c r="B670" s="93">
        <v>662</v>
      </c>
      <c r="C670" s="68" t="s">
        <v>7475</v>
      </c>
      <c r="D670" s="59" t="s">
        <v>7697</v>
      </c>
      <c r="E670" s="72" t="s">
        <v>5862</v>
      </c>
      <c r="F670" s="73" t="s">
        <v>7698</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6759</v>
      </c>
      <c r="U670" s="63">
        <v>401</v>
      </c>
      <c r="V670" s="70">
        <v>183748</v>
      </c>
      <c r="W670" s="70">
        <v>180000</v>
      </c>
      <c r="X670" s="83" t="s">
        <v>5923</v>
      </c>
      <c r="Y670" s="70">
        <f>ROUND(J670,-4)</f>
        <v>60000</v>
      </c>
      <c r="Z670" s="63" t="s">
        <v>5866</v>
      </c>
      <c r="AA670" s="59">
        <v>3</v>
      </c>
      <c r="AB670" s="59">
        <v>3</v>
      </c>
      <c r="AC670" s="67" t="s">
        <v>333</v>
      </c>
      <c r="AD670" s="61" t="s">
        <v>7699</v>
      </c>
      <c r="AE670" s="71"/>
      <c r="AF670" s="71"/>
      <c r="AG670" s="71"/>
      <c r="AH670" s="71"/>
      <c r="AI670" s="71"/>
      <c r="AJ670" s="71"/>
      <c r="AK670" s="71" t="s">
        <v>7700</v>
      </c>
      <c r="AL670">
        <f t="shared" si="7"/>
        <v>197750</v>
      </c>
    </row>
    <row r="671" spans="1:38">
      <c r="A671" s="62">
        <v>8</v>
      </c>
      <c r="B671" s="93">
        <v>663</v>
      </c>
      <c r="C671" s="68" t="s">
        <v>7475</v>
      </c>
      <c r="D671" s="59" t="s">
        <v>7701</v>
      </c>
      <c r="E671" s="72" t="s">
        <v>5862</v>
      </c>
      <c r="F671" s="73" t="s">
        <v>7702</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6759</v>
      </c>
      <c r="U671" s="63">
        <v>398</v>
      </c>
      <c r="V671" s="70">
        <v>272263</v>
      </c>
      <c r="W671" s="70">
        <v>270000</v>
      </c>
      <c r="X671" s="83" t="s">
        <v>6816</v>
      </c>
      <c r="Y671" s="70">
        <f>ROUND(J671,-4)</f>
        <v>70000</v>
      </c>
      <c r="Z671" s="63" t="s">
        <v>5866</v>
      </c>
      <c r="AA671" s="59">
        <v>3</v>
      </c>
      <c r="AB671" s="59">
        <v>3</v>
      </c>
      <c r="AC671" s="67" t="s">
        <v>333</v>
      </c>
      <c r="AD671" s="61" t="s">
        <v>7703</v>
      </c>
      <c r="AE671" s="71"/>
      <c r="AF671" s="71"/>
      <c r="AG671" s="71"/>
      <c r="AH671" s="71"/>
      <c r="AI671" s="71"/>
      <c r="AJ671" s="71"/>
      <c r="AK671" s="71" t="s">
        <v>7704</v>
      </c>
      <c r="AL671">
        <f t="shared" si="7"/>
        <v>341605</v>
      </c>
    </row>
    <row r="672" spans="1:38">
      <c r="A672" s="62">
        <v>8</v>
      </c>
      <c r="B672" s="93">
        <v>664</v>
      </c>
      <c r="C672" s="68" t="s">
        <v>7475</v>
      </c>
      <c r="D672" s="59" t="s">
        <v>6927</v>
      </c>
      <c r="E672" s="72" t="s">
        <v>5862</v>
      </c>
      <c r="F672" s="73" t="s">
        <v>7705</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6759</v>
      </c>
      <c r="U672" s="63">
        <v>398</v>
      </c>
      <c r="V672" s="70">
        <v>304924</v>
      </c>
      <c r="W672" s="70">
        <v>300000</v>
      </c>
      <c r="X672" s="83" t="s">
        <v>6436</v>
      </c>
      <c r="Y672" s="70">
        <f>ROUND(J672,-4)</f>
        <v>90000</v>
      </c>
      <c r="Z672" s="63" t="s">
        <v>5866</v>
      </c>
      <c r="AA672" s="59">
        <v>3</v>
      </c>
      <c r="AB672" s="59">
        <v>3</v>
      </c>
      <c r="AC672" s="67" t="s">
        <v>333</v>
      </c>
      <c r="AD672" s="61" t="s">
        <v>6929</v>
      </c>
      <c r="AE672" s="71"/>
      <c r="AF672" s="71"/>
      <c r="AG672" s="71"/>
      <c r="AH672" s="71"/>
      <c r="AI672" s="71"/>
      <c r="AJ672" s="71"/>
      <c r="AK672" s="71" t="s">
        <v>7486</v>
      </c>
      <c r="AL672">
        <f t="shared" si="7"/>
        <v>380961</v>
      </c>
    </row>
    <row r="673" spans="1:38">
      <c r="A673" s="62">
        <v>8</v>
      </c>
      <c r="B673" s="93">
        <v>665</v>
      </c>
      <c r="C673" s="68" t="s">
        <v>7475</v>
      </c>
      <c r="D673" s="59" t="s">
        <v>7706</v>
      </c>
      <c r="E673" s="72" t="s">
        <v>5862</v>
      </c>
      <c r="F673" s="73" t="s">
        <v>7707</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6759</v>
      </c>
      <c r="U673" s="63">
        <v>401</v>
      </c>
      <c r="V673" s="70">
        <v>191876</v>
      </c>
      <c r="W673" s="70">
        <v>190000</v>
      </c>
      <c r="X673" s="83" t="s">
        <v>5928</v>
      </c>
      <c r="Y673" s="70">
        <f>ROUND(J673,-4)</f>
        <v>90000</v>
      </c>
      <c r="Z673" s="63" t="s">
        <v>5866</v>
      </c>
      <c r="AA673" s="59">
        <v>2</v>
      </c>
      <c r="AB673" s="59">
        <v>1</v>
      </c>
      <c r="AC673" s="67" t="s">
        <v>276</v>
      </c>
      <c r="AD673" s="61" t="s">
        <v>7708</v>
      </c>
      <c r="AE673" s="71"/>
      <c r="AF673" s="71"/>
      <c r="AG673" s="71"/>
      <c r="AH673" s="71"/>
      <c r="AI673" s="71"/>
      <c r="AJ673" s="71"/>
      <c r="AK673" s="71" t="s">
        <v>7709</v>
      </c>
      <c r="AL673">
        <f t="shared" si="7"/>
        <v>361265</v>
      </c>
    </row>
    <row r="674" spans="1:38">
      <c r="A674" s="62">
        <v>8</v>
      </c>
      <c r="B674" s="93">
        <v>666</v>
      </c>
      <c r="C674" s="68" t="s">
        <v>7475</v>
      </c>
      <c r="D674" s="59" t="s">
        <v>6930</v>
      </c>
      <c r="E674" s="72" t="s">
        <v>5862</v>
      </c>
      <c r="F674" s="73" t="s">
        <v>7710</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6754</v>
      </c>
      <c r="U674" s="63">
        <v>398</v>
      </c>
      <c r="V674" s="70">
        <v>36116</v>
      </c>
      <c r="W674" s="70">
        <v>36000</v>
      </c>
      <c r="X674" s="83" t="s">
        <v>5952</v>
      </c>
      <c r="Y674" s="70">
        <f>ROUND(J674,-3)</f>
        <v>14000</v>
      </c>
      <c r="Z674" s="63" t="s">
        <v>5866</v>
      </c>
      <c r="AA674" s="59">
        <v>3</v>
      </c>
      <c r="AB674" s="59">
        <v>3</v>
      </c>
      <c r="AC674" s="67" t="s">
        <v>333</v>
      </c>
      <c r="AD674" s="61" t="s">
        <v>181</v>
      </c>
      <c r="AE674" s="71"/>
      <c r="AF674" s="71"/>
      <c r="AG674" s="71"/>
      <c r="AH674" s="71"/>
      <c r="AI674" s="71"/>
      <c r="AJ674" s="71"/>
      <c r="AK674" s="71" t="s">
        <v>7711</v>
      </c>
      <c r="AL674">
        <f t="shared" si="7"/>
        <v>110828</v>
      </c>
    </row>
    <row r="675" spans="1:38">
      <c r="A675" s="62">
        <v>8</v>
      </c>
      <c r="B675" s="93">
        <v>667</v>
      </c>
      <c r="C675" s="68" t="s">
        <v>7475</v>
      </c>
      <c r="D675" s="59" t="s">
        <v>6099</v>
      </c>
      <c r="E675" s="72" t="s">
        <v>5862</v>
      </c>
      <c r="F675" s="73" t="s">
        <v>6100</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6759</v>
      </c>
      <c r="U675" s="63">
        <v>398</v>
      </c>
      <c r="V675" s="70">
        <v>43000</v>
      </c>
      <c r="W675" s="70">
        <v>43000</v>
      </c>
      <c r="X675" s="83" t="s">
        <v>5982</v>
      </c>
      <c r="Y675" s="70">
        <f>ROUND(J675,-3)</f>
        <v>20000</v>
      </c>
      <c r="Z675" s="63" t="s">
        <v>5866</v>
      </c>
      <c r="AA675" s="59">
        <v>3</v>
      </c>
      <c r="AB675" s="59">
        <v>3</v>
      </c>
      <c r="AC675" s="67" t="s">
        <v>333</v>
      </c>
      <c r="AD675" s="61" t="s">
        <v>181</v>
      </c>
      <c r="AE675" s="71"/>
      <c r="AF675" s="71"/>
      <c r="AG675" s="71"/>
      <c r="AH675" s="71"/>
      <c r="AI675" s="71"/>
      <c r="AJ675" s="71"/>
      <c r="AK675" s="71" t="s">
        <v>7712</v>
      </c>
      <c r="AL675">
        <f t="shared" si="7"/>
        <v>126600</v>
      </c>
    </row>
    <row r="676" spans="1:38">
      <c r="A676" s="62">
        <v>8</v>
      </c>
      <c r="B676" s="93">
        <v>668</v>
      </c>
      <c r="C676" s="68" t="s">
        <v>7475</v>
      </c>
      <c r="D676" s="59" t="s">
        <v>7713</v>
      </c>
      <c r="E676" s="72" t="s">
        <v>5862</v>
      </c>
      <c r="F676" s="73" t="s">
        <v>7714</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6759</v>
      </c>
      <c r="U676" s="63">
        <v>398</v>
      </c>
      <c r="V676" s="70">
        <v>22683</v>
      </c>
      <c r="W676" s="70">
        <v>23000</v>
      </c>
      <c r="X676" s="83" t="s">
        <v>6091</v>
      </c>
      <c r="Y676" s="70">
        <f>ROUND(J676,-3)</f>
        <v>6000</v>
      </c>
      <c r="Z676" s="63" t="s">
        <v>5866</v>
      </c>
      <c r="AA676" s="59">
        <v>3</v>
      </c>
      <c r="AB676" s="59">
        <v>3</v>
      </c>
      <c r="AC676" s="67" t="s">
        <v>333</v>
      </c>
      <c r="AD676" s="61" t="s">
        <v>181</v>
      </c>
      <c r="AE676" s="71"/>
      <c r="AF676" s="71"/>
      <c r="AG676" s="71"/>
      <c r="AH676" s="71"/>
      <c r="AI676" s="71"/>
      <c r="AJ676" s="71"/>
      <c r="AK676" s="71" t="s">
        <v>7715</v>
      </c>
      <c r="AL676">
        <f t="shared" si="7"/>
        <v>18750.000000000004</v>
      </c>
    </row>
    <row r="677" spans="1:38">
      <c r="A677" s="62">
        <v>8</v>
      </c>
      <c r="B677" s="93">
        <v>669</v>
      </c>
      <c r="C677" s="61" t="s">
        <v>7495</v>
      </c>
      <c r="D677" s="59" t="s">
        <v>7716</v>
      </c>
      <c r="E677" s="63" t="s">
        <v>5862</v>
      </c>
      <c r="F677" s="59" t="s">
        <v>7717</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7718</v>
      </c>
      <c r="U677" s="59">
        <v>398</v>
      </c>
      <c r="V677" s="64">
        <v>1400794</v>
      </c>
      <c r="W677" s="64">
        <v>1500000</v>
      </c>
      <c r="X677" s="67" t="s">
        <v>5920</v>
      </c>
      <c r="Y677" s="64">
        <v>600000</v>
      </c>
      <c r="Z677" s="63" t="s">
        <v>207</v>
      </c>
      <c r="AA677" s="59">
        <v>3</v>
      </c>
      <c r="AB677" s="59">
        <v>3</v>
      </c>
      <c r="AC677" s="59">
        <v>33</v>
      </c>
      <c r="AD677" s="59" t="s">
        <v>7719</v>
      </c>
      <c r="AE677" s="89"/>
      <c r="AF677" s="90"/>
      <c r="AG677" s="90"/>
      <c r="AH677" s="89"/>
      <c r="AI677" s="71"/>
      <c r="AJ677" s="71"/>
      <c r="AK677" s="59" t="s">
        <v>7720</v>
      </c>
      <c r="AL677">
        <f t="shared" si="7"/>
        <v>316508.62124999997</v>
      </c>
    </row>
    <row r="678" spans="1:38">
      <c r="A678" s="62">
        <v>8</v>
      </c>
      <c r="B678" s="93">
        <v>670</v>
      </c>
      <c r="C678" s="68" t="s">
        <v>7475</v>
      </c>
      <c r="D678" s="59" t="s">
        <v>7721</v>
      </c>
      <c r="E678" s="72" t="s">
        <v>5862</v>
      </c>
      <c r="F678" s="73" t="s">
        <v>7722</v>
      </c>
      <c r="G678" s="82">
        <v>44.1</v>
      </c>
      <c r="H678" s="67">
        <v>9102</v>
      </c>
      <c r="I678" s="69">
        <v>0</v>
      </c>
      <c r="J678" s="70">
        <v>27584</v>
      </c>
      <c r="K678" s="75">
        <v>6.4998549883990719</v>
      </c>
      <c r="L678" s="74">
        <v>0</v>
      </c>
      <c r="M678" s="76">
        <v>0</v>
      </c>
      <c r="N678" s="67">
        <v>2005</v>
      </c>
      <c r="O678" s="64">
        <v>6709</v>
      </c>
      <c r="Q678" s="59">
        <v>24</v>
      </c>
      <c r="R678" s="59">
        <v>2</v>
      </c>
      <c r="S678" s="59">
        <v>1</v>
      </c>
      <c r="T678" s="63" t="s">
        <v>7018</v>
      </c>
      <c r="U678" s="63">
        <v>398</v>
      </c>
      <c r="V678" s="70">
        <v>111372</v>
      </c>
      <c r="W678" s="70">
        <v>110000</v>
      </c>
      <c r="X678" s="83" t="s">
        <v>6816</v>
      </c>
      <c r="Y678" s="70">
        <f>ROUND(J678,-3)</f>
        <v>28000</v>
      </c>
      <c r="Z678" s="63" t="s">
        <v>5866</v>
      </c>
      <c r="AA678" s="59">
        <v>3</v>
      </c>
      <c r="AB678" s="59">
        <v>3</v>
      </c>
      <c r="AC678" s="67" t="s">
        <v>333</v>
      </c>
      <c r="AD678" s="61" t="s">
        <v>181</v>
      </c>
      <c r="AE678" s="71"/>
      <c r="AF678" s="71"/>
      <c r="AG678" s="71"/>
      <c r="AH678" s="71"/>
      <c r="AI678" s="71"/>
      <c r="AJ678" s="71"/>
      <c r="AK678" s="71" t="s">
        <v>7648</v>
      </c>
      <c r="AL678">
        <f t="shared" si="7"/>
        <v>179292</v>
      </c>
    </row>
    <row r="679" spans="1:38">
      <c r="A679" s="62">
        <v>8</v>
      </c>
      <c r="B679" s="93">
        <v>671</v>
      </c>
      <c r="C679" s="61" t="s">
        <v>7495</v>
      </c>
      <c r="D679" s="59" t="s">
        <v>7723</v>
      </c>
      <c r="E679" s="63" t="s">
        <v>5862</v>
      </c>
      <c r="F679" s="59" t="s">
        <v>7724</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6895</v>
      </c>
      <c r="U679" s="59">
        <v>398</v>
      </c>
      <c r="V679" s="64">
        <v>998049</v>
      </c>
      <c r="W679" s="64">
        <v>1000000</v>
      </c>
      <c r="X679" s="67" t="s">
        <v>5920</v>
      </c>
      <c r="Y679" s="64">
        <v>400000</v>
      </c>
      <c r="Z679" s="63" t="s">
        <v>207</v>
      </c>
      <c r="AA679" s="59">
        <v>3</v>
      </c>
      <c r="AB679" s="59">
        <v>3</v>
      </c>
      <c r="AC679" s="59">
        <v>33</v>
      </c>
      <c r="AE679" s="89"/>
      <c r="AF679" s="90"/>
      <c r="AG679" s="90"/>
      <c r="AH679" s="89"/>
      <c r="AI679" s="90"/>
      <c r="AJ679" s="89"/>
      <c r="AL679" s="71"/>
    </row>
    <row r="680" spans="1:38">
      <c r="A680" s="62">
        <v>8</v>
      </c>
      <c r="B680" s="93">
        <v>672</v>
      </c>
      <c r="C680" s="68" t="s">
        <v>7475</v>
      </c>
      <c r="D680" s="59" t="s">
        <v>6107</v>
      </c>
      <c r="E680" s="72" t="s">
        <v>5862</v>
      </c>
      <c r="F680" s="73" t="s">
        <v>6108</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6759</v>
      </c>
      <c r="U680" s="63">
        <v>398</v>
      </c>
      <c r="V680" s="70">
        <v>255000</v>
      </c>
      <c r="W680" s="70">
        <v>260000</v>
      </c>
      <c r="X680" s="83" t="s">
        <v>5982</v>
      </c>
      <c r="Y680" s="70">
        <f>ROUND(J680,-4)</f>
        <v>120000</v>
      </c>
      <c r="Z680" s="63" t="s">
        <v>5866</v>
      </c>
      <c r="AA680" s="59">
        <v>3</v>
      </c>
      <c r="AB680" s="59">
        <v>3</v>
      </c>
      <c r="AC680" s="67" t="s">
        <v>333</v>
      </c>
      <c r="AD680" s="61" t="s">
        <v>6109</v>
      </c>
      <c r="AE680" s="71"/>
      <c r="AF680" s="71"/>
      <c r="AG680" s="71"/>
      <c r="AH680" s="71"/>
      <c r="AI680" s="71"/>
      <c r="AJ680" s="71"/>
      <c r="AK680" s="71" t="s">
        <v>7725</v>
      </c>
      <c r="AL680">
        <f t="shared" ref="AL680:AL703" si="8">IF(AND(ISNUMBER($S680),$S680&gt;0,ISNUMBER($K680),ISNUMBER($J680)),($K680*$J680)/$S680,"")</f>
        <v>223580</v>
      </c>
    </row>
    <row r="681" spans="1:38">
      <c r="A681" s="62">
        <v>8</v>
      </c>
      <c r="B681" s="93">
        <v>673</v>
      </c>
      <c r="C681" s="68" t="s">
        <v>7475</v>
      </c>
      <c r="D681" s="59" t="s">
        <v>6110</v>
      </c>
      <c r="E681" s="72" t="s">
        <v>5862</v>
      </c>
      <c r="F681" s="73" t="s">
        <v>6111</v>
      </c>
      <c r="G681" s="82">
        <v>44.1</v>
      </c>
      <c r="H681" s="67">
        <v>9104</v>
      </c>
      <c r="I681" s="69">
        <v>0</v>
      </c>
      <c r="J681" s="70">
        <v>25095</v>
      </c>
      <c r="K681" s="75">
        <v>4.3036461446503287</v>
      </c>
      <c r="L681" s="74">
        <v>1</v>
      </c>
      <c r="M681" s="76">
        <v>0</v>
      </c>
      <c r="N681" s="67">
        <v>1990</v>
      </c>
      <c r="O681" s="64">
        <v>3274</v>
      </c>
      <c r="Q681" s="59">
        <v>24</v>
      </c>
      <c r="R681" s="59">
        <v>3</v>
      </c>
      <c r="S681" s="59">
        <v>1</v>
      </c>
      <c r="T681" s="63" t="s">
        <v>6759</v>
      </c>
      <c r="U681" s="63">
        <v>401</v>
      </c>
      <c r="V681" s="70">
        <v>45240</v>
      </c>
      <c r="W681" s="70">
        <v>45000</v>
      </c>
      <c r="X681" s="83" t="s">
        <v>6091</v>
      </c>
      <c r="Y681" s="70">
        <f>ROUND(J681,-3)</f>
        <v>25000</v>
      </c>
      <c r="Z681" s="63" t="s">
        <v>5866</v>
      </c>
      <c r="AA681" s="59">
        <v>3</v>
      </c>
      <c r="AB681" s="59">
        <v>3</v>
      </c>
      <c r="AC681" s="67" t="s">
        <v>333</v>
      </c>
      <c r="AD681" s="61" t="s">
        <v>6112</v>
      </c>
      <c r="AE681" s="71"/>
      <c r="AF681" s="71"/>
      <c r="AG681" s="71"/>
      <c r="AH681" s="71"/>
      <c r="AI681" s="71"/>
      <c r="AJ681" s="71"/>
      <c r="AK681" s="71" t="s">
        <v>181</v>
      </c>
      <c r="AL681">
        <f t="shared" si="8"/>
        <v>108000</v>
      </c>
    </row>
    <row r="682" spans="1:38">
      <c r="A682" s="62">
        <v>8</v>
      </c>
      <c r="B682" s="93">
        <v>674</v>
      </c>
      <c r="C682" s="68" t="s">
        <v>7475</v>
      </c>
      <c r="D682" s="59" t="s">
        <v>6113</v>
      </c>
      <c r="E682" s="72" t="s">
        <v>5862</v>
      </c>
      <c r="F682" s="73" t="s">
        <v>6114</v>
      </c>
      <c r="G682" s="82">
        <v>44.2</v>
      </c>
      <c r="H682" s="67">
        <v>9104</v>
      </c>
      <c r="I682" s="69">
        <v>0</v>
      </c>
      <c r="J682" s="70">
        <v>6000</v>
      </c>
      <c r="K682" s="75">
        <v>4</v>
      </c>
      <c r="L682" s="74">
        <v>0</v>
      </c>
      <c r="M682" s="76">
        <v>0</v>
      </c>
      <c r="N682" s="67">
        <v>2000</v>
      </c>
      <c r="O682" s="64">
        <f>3823+3055</f>
        <v>6878</v>
      </c>
      <c r="Q682" s="59">
        <v>24</v>
      </c>
      <c r="R682" s="59">
        <v>3</v>
      </c>
      <c r="S682" s="59">
        <v>5</v>
      </c>
      <c r="T682" s="63" t="s">
        <v>6759</v>
      </c>
      <c r="U682" s="63">
        <v>398</v>
      </c>
      <c r="V682" s="70">
        <v>38408</v>
      </c>
      <c r="W682" s="70">
        <v>38000</v>
      </c>
      <c r="X682" s="83" t="s">
        <v>5923</v>
      </c>
      <c r="Y682" s="70">
        <f>ROUND(J682,-3)</f>
        <v>6000</v>
      </c>
      <c r="Z682" s="63" t="s">
        <v>5866</v>
      </c>
      <c r="AA682" s="59">
        <v>3</v>
      </c>
      <c r="AB682" s="59">
        <v>3</v>
      </c>
      <c r="AC682" s="67" t="s">
        <v>333</v>
      </c>
      <c r="AD682" s="61" t="s">
        <v>5879</v>
      </c>
      <c r="AE682" s="71"/>
      <c r="AF682" s="71"/>
      <c r="AG682" s="71"/>
      <c r="AH682" s="71"/>
      <c r="AI682" s="71"/>
      <c r="AJ682" s="71"/>
      <c r="AK682" s="71" t="s">
        <v>7726</v>
      </c>
      <c r="AL682">
        <f t="shared" si="8"/>
        <v>4800</v>
      </c>
    </row>
    <row r="683" spans="1:38">
      <c r="A683" s="62">
        <v>8</v>
      </c>
      <c r="B683" s="93">
        <v>675</v>
      </c>
      <c r="C683" s="68" t="s">
        <v>7475</v>
      </c>
      <c r="D683" s="59" t="s">
        <v>7727</v>
      </c>
      <c r="E683" s="72" t="s">
        <v>5862</v>
      </c>
      <c r="F683" s="73" t="s">
        <v>7728</v>
      </c>
      <c r="G683" s="82">
        <v>44.1</v>
      </c>
      <c r="H683" s="67">
        <v>9104</v>
      </c>
      <c r="I683" s="69">
        <v>0</v>
      </c>
      <c r="J683" s="70">
        <v>15000</v>
      </c>
      <c r="K683" s="75">
        <v>9</v>
      </c>
      <c r="L683" s="74">
        <v>0</v>
      </c>
      <c r="M683" s="76">
        <v>0</v>
      </c>
      <c r="N683" s="67">
        <v>1997</v>
      </c>
      <c r="O683" s="64">
        <v>1953</v>
      </c>
      <c r="Q683" s="59">
        <v>20</v>
      </c>
      <c r="R683" s="59">
        <v>3</v>
      </c>
      <c r="S683" s="59">
        <v>1</v>
      </c>
      <c r="T683" s="63" t="s">
        <v>6759</v>
      </c>
      <c r="U683" s="63">
        <v>399</v>
      </c>
      <c r="V683" s="70">
        <v>111770</v>
      </c>
      <c r="W683" s="70">
        <v>110000</v>
      </c>
      <c r="X683" s="83" t="s">
        <v>7729</v>
      </c>
      <c r="Y683" s="70">
        <f>ROUND(J683,-3)</f>
        <v>15000</v>
      </c>
      <c r="Z683" s="63" t="s">
        <v>5866</v>
      </c>
      <c r="AA683" s="59">
        <v>3</v>
      </c>
      <c r="AB683" s="59">
        <v>3</v>
      </c>
      <c r="AC683" s="67" t="s">
        <v>333</v>
      </c>
      <c r="AD683" s="61" t="s">
        <v>7730</v>
      </c>
      <c r="AE683" s="71"/>
      <c r="AF683" s="71"/>
      <c r="AG683" s="71"/>
      <c r="AH683" s="71"/>
      <c r="AI683" s="71"/>
      <c r="AJ683" s="71"/>
      <c r="AK683" s="71" t="s">
        <v>7731</v>
      </c>
      <c r="AL683">
        <f t="shared" si="8"/>
        <v>135000</v>
      </c>
    </row>
    <row r="684" spans="1:38">
      <c r="A684" s="62">
        <v>8</v>
      </c>
      <c r="B684" s="93">
        <v>676</v>
      </c>
      <c r="C684" s="68" t="s">
        <v>7475</v>
      </c>
      <c r="D684" s="59" t="s">
        <v>6117</v>
      </c>
      <c r="E684" s="72" t="s">
        <v>5862</v>
      </c>
      <c r="F684" s="73" t="s">
        <v>6118</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6759</v>
      </c>
      <c r="U684" s="63">
        <v>398</v>
      </c>
      <c r="V684" s="70">
        <v>99319</v>
      </c>
      <c r="W684" s="70">
        <v>100000</v>
      </c>
      <c r="X684" s="83" t="s">
        <v>6091</v>
      </c>
      <c r="Y684" s="70">
        <f>ROUND(J684,-4)</f>
        <v>50000</v>
      </c>
      <c r="Z684" s="63" t="s">
        <v>5866</v>
      </c>
      <c r="AA684" s="59">
        <v>3</v>
      </c>
      <c r="AB684" s="59">
        <v>3</v>
      </c>
      <c r="AC684" s="67" t="s">
        <v>333</v>
      </c>
      <c r="AD684" s="61" t="s">
        <v>6119</v>
      </c>
      <c r="AE684" s="71"/>
      <c r="AF684" s="71"/>
      <c r="AG684" s="71"/>
      <c r="AH684" s="71"/>
      <c r="AI684" s="71"/>
      <c r="AJ684" s="71"/>
      <c r="AK684" s="71" t="s">
        <v>7732</v>
      </c>
      <c r="AL684">
        <f t="shared" si="8"/>
        <v>278880</v>
      </c>
    </row>
    <row r="685" spans="1:38">
      <c r="A685" s="62">
        <v>8</v>
      </c>
      <c r="B685" s="93">
        <v>677</v>
      </c>
      <c r="C685" s="61" t="s">
        <v>7495</v>
      </c>
      <c r="D685" s="59" t="s">
        <v>7733</v>
      </c>
      <c r="E685" s="63" t="s">
        <v>5862</v>
      </c>
      <c r="F685" s="59" t="s">
        <v>7734</v>
      </c>
      <c r="G685" s="82">
        <v>44.3</v>
      </c>
      <c r="H685" s="59">
        <v>9104</v>
      </c>
      <c r="I685" s="63">
        <v>0</v>
      </c>
      <c r="J685" s="64">
        <v>153815</v>
      </c>
      <c r="K685" s="87">
        <v>3.27</v>
      </c>
      <c r="L685" s="88">
        <v>0</v>
      </c>
      <c r="M685" s="88">
        <v>0</v>
      </c>
      <c r="N685" s="59">
        <v>1973</v>
      </c>
      <c r="O685" s="64">
        <v>6892</v>
      </c>
      <c r="P685" s="59"/>
      <c r="Q685" s="59">
        <v>22</v>
      </c>
      <c r="R685" s="59">
        <v>10</v>
      </c>
      <c r="S685" s="59">
        <v>3</v>
      </c>
      <c r="T685" s="63" t="s">
        <v>7735</v>
      </c>
      <c r="U685" s="59">
        <v>398</v>
      </c>
      <c r="V685" s="64">
        <v>270532</v>
      </c>
      <c r="W685" s="64">
        <v>300000</v>
      </c>
      <c r="X685" s="67" t="s">
        <v>6774</v>
      </c>
      <c r="Y685" s="64">
        <v>150000</v>
      </c>
      <c r="Z685" s="63" t="s">
        <v>209</v>
      </c>
      <c r="AA685" s="59">
        <v>3</v>
      </c>
      <c r="AB685" s="59">
        <v>3</v>
      </c>
      <c r="AC685" s="59">
        <v>33</v>
      </c>
      <c r="AD685" s="59" t="s">
        <v>7736</v>
      </c>
      <c r="AE685" s="89">
        <v>3.27</v>
      </c>
      <c r="AF685" s="90">
        <v>3.27</v>
      </c>
      <c r="AG685" s="90">
        <v>3.27</v>
      </c>
      <c r="AH685" s="89">
        <v>0</v>
      </c>
      <c r="AI685" s="90">
        <v>0</v>
      </c>
      <c r="AJ685" s="89"/>
      <c r="AK685" s="59" t="s">
        <v>7737</v>
      </c>
      <c r="AL685">
        <f t="shared" si="8"/>
        <v>167658.35</v>
      </c>
    </row>
    <row r="686" spans="1:38">
      <c r="A686" s="62">
        <v>8</v>
      </c>
      <c r="B686" s="93">
        <v>678</v>
      </c>
      <c r="C686" s="61" t="s">
        <v>7495</v>
      </c>
      <c r="D686" s="59" t="s">
        <v>7738</v>
      </c>
      <c r="E686" s="63" t="s">
        <v>5862</v>
      </c>
      <c r="F686" s="59" t="s">
        <v>7739</v>
      </c>
      <c r="G686" s="82">
        <v>44.3</v>
      </c>
      <c r="H686" s="59">
        <v>9104</v>
      </c>
      <c r="I686" s="63">
        <v>0</v>
      </c>
      <c r="J686" s="64">
        <v>200000</v>
      </c>
      <c r="K686" s="87">
        <v>3.34</v>
      </c>
      <c r="L686" s="88">
        <v>0.04</v>
      </c>
      <c r="M686" s="88">
        <v>0</v>
      </c>
      <c r="N686" s="59">
        <v>1974</v>
      </c>
      <c r="O686" s="64">
        <v>16178</v>
      </c>
      <c r="P686" s="59"/>
      <c r="Q686" s="59">
        <v>22</v>
      </c>
      <c r="R686" s="59">
        <v>10</v>
      </c>
      <c r="S686" s="59">
        <v>3</v>
      </c>
      <c r="T686" s="63" t="s">
        <v>6770</v>
      </c>
      <c r="U686" s="59">
        <v>398</v>
      </c>
      <c r="V686" s="64">
        <v>442561</v>
      </c>
      <c r="W686" s="64">
        <v>500000</v>
      </c>
      <c r="X686" s="67" t="s">
        <v>5928</v>
      </c>
      <c r="Y686" s="64">
        <v>200000</v>
      </c>
      <c r="Z686" s="63" t="s">
        <v>209</v>
      </c>
      <c r="AA686" s="59">
        <v>2</v>
      </c>
      <c r="AB686" s="59">
        <v>3</v>
      </c>
      <c r="AC686" s="59">
        <v>23</v>
      </c>
      <c r="AD686" s="59" t="s">
        <v>7740</v>
      </c>
      <c r="AE686" s="89">
        <v>3.34</v>
      </c>
      <c r="AF686" s="90">
        <f>AE686*0.96</f>
        <v>3.2063999999999999</v>
      </c>
      <c r="AG686" s="90">
        <v>3.21</v>
      </c>
      <c r="AH686" s="89">
        <v>0</v>
      </c>
      <c r="AI686" s="90">
        <v>0</v>
      </c>
      <c r="AJ686" s="89">
        <v>0</v>
      </c>
      <c r="AK686" s="59" t="s">
        <v>7741</v>
      </c>
      <c r="AL686">
        <f t="shared" si="8"/>
        <v>222666.66666666666</v>
      </c>
    </row>
    <row r="687" spans="1:38">
      <c r="A687" s="62">
        <v>8</v>
      </c>
      <c r="B687" s="93">
        <v>679</v>
      </c>
      <c r="C687" s="68" t="s">
        <v>7475</v>
      </c>
      <c r="D687" s="59" t="s">
        <v>6946</v>
      </c>
      <c r="E687" s="72" t="s">
        <v>5862</v>
      </c>
      <c r="F687" s="73" t="s">
        <v>7742</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6759</v>
      </c>
      <c r="U687" s="63">
        <v>398</v>
      </c>
      <c r="V687" s="70">
        <v>31803</v>
      </c>
      <c r="W687" s="70">
        <v>32000</v>
      </c>
      <c r="X687" s="83" t="s">
        <v>5903</v>
      </c>
      <c r="Y687" s="70">
        <f>ROUND(J687,-3)</f>
        <v>17000</v>
      </c>
      <c r="Z687" s="63" t="s">
        <v>5866</v>
      </c>
      <c r="AA687" s="59">
        <v>3</v>
      </c>
      <c r="AB687" s="59">
        <v>3</v>
      </c>
      <c r="AC687" s="67" t="s">
        <v>333</v>
      </c>
      <c r="AD687" s="61" t="s">
        <v>6948</v>
      </c>
      <c r="AE687" s="71"/>
      <c r="AF687" s="71"/>
      <c r="AG687" s="71"/>
      <c r="AH687" s="71"/>
      <c r="AI687" s="71"/>
      <c r="AJ687" s="71"/>
      <c r="AK687" s="71" t="s">
        <v>7486</v>
      </c>
      <c r="AL687">
        <f t="shared" si="8"/>
        <v>69000</v>
      </c>
    </row>
    <row r="688" spans="1:38">
      <c r="A688" s="62">
        <v>8</v>
      </c>
      <c r="B688" s="93">
        <v>680</v>
      </c>
      <c r="C688" s="68" t="s">
        <v>7475</v>
      </c>
      <c r="D688" s="59" t="s">
        <v>7743</v>
      </c>
      <c r="E688" s="72" t="s">
        <v>5862</v>
      </c>
      <c r="F688" s="73" t="s">
        <v>7744</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6759</v>
      </c>
      <c r="U688" s="63">
        <v>398</v>
      </c>
      <c r="V688" s="70">
        <v>192587</v>
      </c>
      <c r="W688" s="70">
        <v>190000</v>
      </c>
      <c r="X688" s="83" t="s">
        <v>6331</v>
      </c>
      <c r="Y688" s="70">
        <f>ROUND(J688,-4)</f>
        <v>150000</v>
      </c>
      <c r="Z688" s="63" t="s">
        <v>5866</v>
      </c>
      <c r="AA688" s="59">
        <v>3</v>
      </c>
      <c r="AB688" s="59">
        <v>3</v>
      </c>
      <c r="AC688" s="67" t="s">
        <v>333</v>
      </c>
      <c r="AD688" s="61" t="s">
        <v>7745</v>
      </c>
      <c r="AE688" s="71"/>
      <c r="AF688" s="71"/>
      <c r="AG688" s="71"/>
      <c r="AH688" s="71"/>
      <c r="AI688" s="71"/>
      <c r="AJ688" s="71"/>
      <c r="AK688" s="71" t="s">
        <v>7537</v>
      </c>
      <c r="AL688">
        <f t="shared" si="8"/>
        <v>496560</v>
      </c>
    </row>
    <row r="689" spans="1:40">
      <c r="A689" s="62">
        <v>8</v>
      </c>
      <c r="B689" s="93">
        <v>681</v>
      </c>
      <c r="C689" s="68" t="s">
        <v>7475</v>
      </c>
      <c r="D689" s="59" t="s">
        <v>7746</v>
      </c>
      <c r="E689" s="72" t="s">
        <v>5862</v>
      </c>
      <c r="F689" s="73" t="s">
        <v>7747</v>
      </c>
      <c r="G689" s="82">
        <v>44.1</v>
      </c>
      <c r="H689" s="67">
        <v>9101</v>
      </c>
      <c r="I689" s="69">
        <v>0</v>
      </c>
      <c r="J689" s="70">
        <v>983</v>
      </c>
      <c r="K689" s="75">
        <v>5.5951169888097656</v>
      </c>
      <c r="L689" s="74">
        <v>0</v>
      </c>
      <c r="M689" s="76">
        <v>0.14709090909090911</v>
      </c>
      <c r="N689" s="67">
        <v>1990</v>
      </c>
      <c r="Q689" s="59">
        <v>15</v>
      </c>
      <c r="R689" s="59">
        <v>3</v>
      </c>
      <c r="S689" s="59">
        <v>1</v>
      </c>
      <c r="T689" s="63" t="s">
        <v>7748</v>
      </c>
      <c r="U689" s="63">
        <v>398</v>
      </c>
      <c r="V689" s="70">
        <v>5050</v>
      </c>
      <c r="W689" s="70">
        <v>5000</v>
      </c>
      <c r="X689" s="83" t="s">
        <v>6412</v>
      </c>
      <c r="Y689" s="70">
        <f>ROUND(J689,-2)</f>
        <v>1000</v>
      </c>
      <c r="Z689" s="63" t="s">
        <v>5866</v>
      </c>
      <c r="AA689" s="59">
        <v>3</v>
      </c>
      <c r="AB689" s="59">
        <v>3</v>
      </c>
      <c r="AC689" s="67" t="s">
        <v>333</v>
      </c>
      <c r="AD689" s="61" t="s">
        <v>7749</v>
      </c>
      <c r="AE689" s="71"/>
      <c r="AF689" s="71"/>
      <c r="AG689" s="71"/>
      <c r="AH689" s="71"/>
      <c r="AI689" s="71"/>
      <c r="AJ689" s="71"/>
      <c r="AK689" s="71" t="s">
        <v>181</v>
      </c>
      <c r="AL689">
        <f t="shared" si="8"/>
        <v>5500</v>
      </c>
    </row>
    <row r="690" spans="1:40">
      <c r="A690" s="62">
        <v>8</v>
      </c>
      <c r="B690" s="93">
        <v>682</v>
      </c>
      <c r="C690" s="68" t="s">
        <v>7475</v>
      </c>
      <c r="D690" s="59" t="s">
        <v>6137</v>
      </c>
      <c r="E690" s="72" t="s">
        <v>5862</v>
      </c>
      <c r="F690" s="73" t="s">
        <v>6138</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6754</v>
      </c>
      <c r="U690" s="63">
        <v>332</v>
      </c>
      <c r="V690" s="70">
        <v>25000</v>
      </c>
      <c r="W690" s="70">
        <v>25000</v>
      </c>
      <c r="X690" s="83" t="s">
        <v>5896</v>
      </c>
      <c r="Y690" s="70">
        <f>ROUND(J690,-3)</f>
        <v>16000</v>
      </c>
      <c r="Z690" s="63" t="s">
        <v>5866</v>
      </c>
      <c r="AA690" s="59">
        <v>3</v>
      </c>
      <c r="AB690" s="59">
        <v>3</v>
      </c>
      <c r="AC690" s="67">
        <v>33</v>
      </c>
      <c r="AD690" s="61" t="s">
        <v>181</v>
      </c>
      <c r="AE690" s="71"/>
      <c r="AF690" s="71"/>
      <c r="AG690" s="71"/>
      <c r="AH690" s="71"/>
      <c r="AI690" s="71"/>
      <c r="AJ690" s="71"/>
      <c r="AK690" s="71" t="s">
        <v>181</v>
      </c>
      <c r="AL690">
        <f t="shared" si="8"/>
        <v>68400</v>
      </c>
    </row>
    <row r="691" spans="1:40">
      <c r="A691" s="62">
        <v>8</v>
      </c>
      <c r="B691" s="93">
        <v>683</v>
      </c>
      <c r="C691" s="68" t="s">
        <v>7475</v>
      </c>
      <c r="D691" s="59" t="s">
        <v>7750</v>
      </c>
      <c r="E691" s="72" t="s">
        <v>5862</v>
      </c>
      <c r="F691" s="73" t="s">
        <v>7751</v>
      </c>
      <c r="G691" s="82">
        <v>44.1</v>
      </c>
      <c r="H691" s="67">
        <v>9201</v>
      </c>
      <c r="I691" s="69">
        <v>0</v>
      </c>
      <c r="J691" s="70">
        <v>1007</v>
      </c>
      <c r="K691" s="75">
        <v>13.10824230387289</v>
      </c>
      <c r="L691" s="74">
        <v>0</v>
      </c>
      <c r="M691" s="76">
        <v>8.3333333333333329E-2</v>
      </c>
      <c r="N691" s="67">
        <v>1932</v>
      </c>
      <c r="O691" s="64" t="s">
        <v>181</v>
      </c>
      <c r="Q691" s="59">
        <v>8</v>
      </c>
      <c r="R691" s="59">
        <v>2</v>
      </c>
      <c r="S691" s="59">
        <v>1</v>
      </c>
      <c r="T691" s="63" t="s">
        <v>6754</v>
      </c>
      <c r="U691" s="63">
        <v>398</v>
      </c>
      <c r="V691" s="70">
        <v>31875</v>
      </c>
      <c r="W691" s="70">
        <v>32000</v>
      </c>
      <c r="X691" s="83" t="s">
        <v>7752</v>
      </c>
      <c r="Y691" s="70">
        <f>ROUND(J691,-2)</f>
        <v>1000</v>
      </c>
      <c r="Z691" s="63" t="s">
        <v>5866</v>
      </c>
      <c r="AA691" s="59">
        <v>3</v>
      </c>
      <c r="AB691" s="59">
        <v>1</v>
      </c>
      <c r="AC691" s="67" t="s">
        <v>323</v>
      </c>
      <c r="AD691" s="61" t="s">
        <v>7753</v>
      </c>
      <c r="AE691" s="71"/>
      <c r="AF691" s="71"/>
      <c r="AG691" s="71"/>
      <c r="AH691" s="71"/>
      <c r="AI691" s="71"/>
      <c r="AJ691" s="71"/>
      <c r="AK691" s="71" t="s">
        <v>7486</v>
      </c>
      <c r="AL691">
        <f t="shared" si="8"/>
        <v>13200</v>
      </c>
    </row>
    <row r="692" spans="1:40">
      <c r="A692" s="62">
        <v>8</v>
      </c>
      <c r="B692" s="93">
        <v>684</v>
      </c>
      <c r="C692" s="68" t="s">
        <v>7475</v>
      </c>
      <c r="D692" s="59" t="s">
        <v>6957</v>
      </c>
      <c r="E692" s="72" t="s">
        <v>5862</v>
      </c>
      <c r="F692" s="73" t="s">
        <v>7754</v>
      </c>
      <c r="G692" s="82">
        <v>44.1</v>
      </c>
      <c r="H692" s="67">
        <v>9201</v>
      </c>
      <c r="I692" s="69">
        <v>0</v>
      </c>
      <c r="J692" s="70">
        <v>6400</v>
      </c>
      <c r="K692" s="75">
        <v>3.46875</v>
      </c>
      <c r="L692" s="74">
        <v>0</v>
      </c>
      <c r="M692" s="76">
        <v>7.2297297297297294E-2</v>
      </c>
      <c r="N692" s="67">
        <v>1972</v>
      </c>
      <c r="O692" s="64">
        <v>360</v>
      </c>
      <c r="Q692" s="59">
        <v>15</v>
      </c>
      <c r="R692" s="59">
        <v>7</v>
      </c>
      <c r="S692" s="59">
        <v>1</v>
      </c>
      <c r="T692" s="63" t="s">
        <v>6754</v>
      </c>
      <c r="U692" s="63">
        <v>398</v>
      </c>
      <c r="V692" s="70">
        <v>12750</v>
      </c>
      <c r="W692" s="70">
        <v>13000</v>
      </c>
      <c r="X692" s="83" t="s">
        <v>6774</v>
      </c>
      <c r="Y692" s="70">
        <f t="shared" ref="Y692:Y697" si="9">ROUND(J692,-3)</f>
        <v>6000</v>
      </c>
      <c r="Z692" s="63" t="s">
        <v>5866</v>
      </c>
      <c r="AA692" s="59">
        <v>3</v>
      </c>
      <c r="AB692" s="59">
        <v>3</v>
      </c>
      <c r="AC692" s="67" t="s">
        <v>333</v>
      </c>
      <c r="AD692" s="61" t="s">
        <v>181</v>
      </c>
      <c r="AE692" s="71"/>
      <c r="AF692" s="71"/>
      <c r="AG692" s="71"/>
      <c r="AH692" s="71"/>
      <c r="AI692" s="71"/>
      <c r="AJ692" s="71"/>
      <c r="AK692" s="71" t="s">
        <v>7755</v>
      </c>
      <c r="AL692">
        <f t="shared" si="8"/>
        <v>22200</v>
      </c>
    </row>
    <row r="693" spans="1:40">
      <c r="A693" s="62">
        <v>8</v>
      </c>
      <c r="B693" s="93">
        <v>685</v>
      </c>
      <c r="C693" s="68" t="s">
        <v>7475</v>
      </c>
      <c r="D693" s="59" t="s">
        <v>6143</v>
      </c>
      <c r="E693" s="72" t="s">
        <v>5862</v>
      </c>
      <c r="F693" s="73" t="s">
        <v>6144</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6754</v>
      </c>
      <c r="U693" s="63">
        <v>398</v>
      </c>
      <c r="V693" s="70">
        <v>58000</v>
      </c>
      <c r="W693" s="70">
        <v>60000</v>
      </c>
      <c r="X693" s="83" t="s">
        <v>5878</v>
      </c>
      <c r="Y693" s="70">
        <f t="shared" si="9"/>
        <v>24000</v>
      </c>
      <c r="Z693" s="63" t="s">
        <v>5866</v>
      </c>
      <c r="AA693" s="59">
        <v>3</v>
      </c>
      <c r="AB693" s="59">
        <v>3</v>
      </c>
      <c r="AC693" s="67" t="s">
        <v>333</v>
      </c>
      <c r="AD693" s="61" t="s">
        <v>6145</v>
      </c>
      <c r="AE693" s="71"/>
      <c r="AF693" s="71"/>
      <c r="AG693" s="71"/>
      <c r="AH693" s="71"/>
      <c r="AI693" s="71"/>
      <c r="AJ693" s="71"/>
      <c r="AK693" s="71" t="s">
        <v>7756</v>
      </c>
      <c r="AL693">
        <f t="shared" si="8"/>
        <v>19752</v>
      </c>
    </row>
    <row r="694" spans="1:40">
      <c r="A694" s="62">
        <v>8</v>
      </c>
      <c r="B694" s="93">
        <v>686</v>
      </c>
      <c r="C694" s="68" t="s">
        <v>7475</v>
      </c>
      <c r="D694" s="59" t="s">
        <v>7757</v>
      </c>
      <c r="E694" s="72" t="s">
        <v>5862</v>
      </c>
      <c r="F694" s="73" t="s">
        <v>7758</v>
      </c>
      <c r="G694" s="82">
        <v>44.2</v>
      </c>
      <c r="H694" s="67">
        <v>9201</v>
      </c>
      <c r="I694" s="69">
        <v>0</v>
      </c>
      <c r="J694" s="70">
        <v>43087</v>
      </c>
      <c r="K694" s="75">
        <v>7.8056954533850114</v>
      </c>
      <c r="L694" s="74">
        <v>0</v>
      </c>
      <c r="M694" s="76">
        <v>0</v>
      </c>
      <c r="N694" s="67">
        <v>1950</v>
      </c>
      <c r="O694" s="64">
        <v>12200</v>
      </c>
      <c r="Q694" s="59">
        <v>17</v>
      </c>
      <c r="R694" s="59">
        <v>1</v>
      </c>
      <c r="S694" s="59">
        <v>1</v>
      </c>
      <c r="T694" s="63" t="s">
        <v>6754</v>
      </c>
      <c r="U694" s="63">
        <v>398</v>
      </c>
      <c r="V694" s="70">
        <v>195500</v>
      </c>
      <c r="W694" s="70">
        <v>200000</v>
      </c>
      <c r="X694" s="83" t="s">
        <v>6308</v>
      </c>
      <c r="Y694" s="70">
        <f t="shared" si="9"/>
        <v>43000</v>
      </c>
      <c r="Z694" s="63" t="s">
        <v>5866</v>
      </c>
      <c r="AA694" s="59">
        <v>3</v>
      </c>
      <c r="AB694" s="59">
        <v>3</v>
      </c>
      <c r="AC694" s="67" t="s">
        <v>333</v>
      </c>
      <c r="AD694" s="61" t="s">
        <v>7759</v>
      </c>
      <c r="AE694" s="71"/>
      <c r="AF694" s="71"/>
      <c r="AG694" s="71"/>
      <c r="AH694" s="71"/>
      <c r="AI694" s="71"/>
      <c r="AJ694" s="71"/>
      <c r="AK694" s="71" t="s">
        <v>7760</v>
      </c>
      <c r="AL694">
        <f t="shared" si="8"/>
        <v>336324</v>
      </c>
    </row>
    <row r="695" spans="1:40">
      <c r="A695" s="62">
        <v>8</v>
      </c>
      <c r="B695" s="93">
        <v>687</v>
      </c>
      <c r="C695" s="68" t="s">
        <v>7475</v>
      </c>
      <c r="D695" s="59" t="s">
        <v>7761</v>
      </c>
      <c r="E695" s="72" t="s">
        <v>5862</v>
      </c>
      <c r="F695" s="73" t="s">
        <v>7762</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6757</v>
      </c>
      <c r="U695" s="63">
        <v>332</v>
      </c>
      <c r="V695" s="70">
        <v>104879</v>
      </c>
      <c r="W695" s="70">
        <v>100000</v>
      </c>
      <c r="X695" s="83" t="s">
        <v>5945</v>
      </c>
      <c r="Y695" s="70">
        <f t="shared" si="9"/>
        <v>29000</v>
      </c>
      <c r="Z695" s="63" t="s">
        <v>5866</v>
      </c>
      <c r="AA695" s="59">
        <v>3</v>
      </c>
      <c r="AB695" s="59">
        <v>3</v>
      </c>
      <c r="AC695" s="67">
        <v>33</v>
      </c>
      <c r="AD695" s="61" t="s">
        <v>7763</v>
      </c>
      <c r="AE695" s="71"/>
      <c r="AF695" s="71"/>
      <c r="AG695" s="71"/>
      <c r="AH695" s="71"/>
      <c r="AI695" s="71"/>
      <c r="AJ695" s="71"/>
      <c r="AK695" s="71" t="s">
        <v>181</v>
      </c>
      <c r="AL695">
        <f t="shared" si="8"/>
        <v>50299.500000000007</v>
      </c>
    </row>
    <row r="696" spans="1:40">
      <c r="A696" s="62">
        <v>8</v>
      </c>
      <c r="B696" s="93">
        <v>688</v>
      </c>
      <c r="C696" s="68" t="s">
        <v>7475</v>
      </c>
      <c r="D696" s="59" t="s">
        <v>6147</v>
      </c>
      <c r="E696" s="72" t="s">
        <v>5862</v>
      </c>
      <c r="F696" s="73" t="s">
        <v>6148</v>
      </c>
      <c r="G696" s="82">
        <v>44.1</v>
      </c>
      <c r="H696" s="67">
        <v>9201</v>
      </c>
      <c r="I696" s="69">
        <v>0</v>
      </c>
      <c r="J696" s="70">
        <v>29787</v>
      </c>
      <c r="K696" s="75">
        <v>5.2371840064457649</v>
      </c>
      <c r="L696" s="74">
        <v>0</v>
      </c>
      <c r="M696" s="76">
        <v>0</v>
      </c>
      <c r="N696" s="67">
        <v>1983</v>
      </c>
      <c r="O696" s="64">
        <v>1063</v>
      </c>
      <c r="Q696" s="59">
        <v>18</v>
      </c>
      <c r="R696" s="59">
        <v>10</v>
      </c>
      <c r="S696" s="59">
        <v>1</v>
      </c>
      <c r="T696" s="63" t="s">
        <v>6754</v>
      </c>
      <c r="U696" s="63">
        <v>398</v>
      </c>
      <c r="V696" s="70">
        <v>130639</v>
      </c>
      <c r="W696" s="70">
        <v>130000</v>
      </c>
      <c r="X696" s="83" t="s">
        <v>6123</v>
      </c>
      <c r="Y696" s="70">
        <f t="shared" si="9"/>
        <v>30000</v>
      </c>
      <c r="Z696" s="63" t="s">
        <v>5866</v>
      </c>
      <c r="AA696" s="59">
        <v>3</v>
      </c>
      <c r="AB696" s="59">
        <v>3</v>
      </c>
      <c r="AC696" s="67" t="s">
        <v>333</v>
      </c>
      <c r="AD696" s="61" t="s">
        <v>6149</v>
      </c>
      <c r="AE696" s="71"/>
      <c r="AF696" s="71"/>
      <c r="AG696" s="71"/>
      <c r="AH696" s="71"/>
      <c r="AI696" s="71"/>
      <c r="AJ696" s="71"/>
      <c r="AK696" s="71" t="s">
        <v>7648</v>
      </c>
      <c r="AL696">
        <f t="shared" si="8"/>
        <v>156000</v>
      </c>
    </row>
    <row r="697" spans="1:40">
      <c r="A697" s="62">
        <v>8</v>
      </c>
      <c r="B697" s="93">
        <v>689</v>
      </c>
      <c r="C697" s="68" t="s">
        <v>7475</v>
      </c>
      <c r="D697" s="59" t="s">
        <v>7764</v>
      </c>
      <c r="E697" s="72" t="s">
        <v>5862</v>
      </c>
      <c r="F697" s="73" t="s">
        <v>7765</v>
      </c>
      <c r="G697" s="82">
        <v>44.2</v>
      </c>
      <c r="H697" s="67">
        <v>9201</v>
      </c>
      <c r="I697" s="69">
        <v>0</v>
      </c>
      <c r="J697" s="70">
        <v>10014</v>
      </c>
      <c r="K697" s="75">
        <v>5.7519472738166568</v>
      </c>
      <c r="L697" s="74">
        <v>0</v>
      </c>
      <c r="M697" s="76">
        <v>0</v>
      </c>
      <c r="N697" s="67">
        <v>1958</v>
      </c>
      <c r="O697" s="64">
        <v>1620</v>
      </c>
      <c r="Q697" s="59">
        <v>15</v>
      </c>
      <c r="R697" s="59">
        <v>1</v>
      </c>
      <c r="S697" s="59">
        <v>1</v>
      </c>
      <c r="T697" s="63" t="s">
        <v>6754</v>
      </c>
      <c r="U697" s="63">
        <v>398</v>
      </c>
      <c r="V697" s="70">
        <v>23865</v>
      </c>
      <c r="W697" s="70">
        <v>24000</v>
      </c>
      <c r="X697" s="83" t="s">
        <v>5878</v>
      </c>
      <c r="Y697" s="70">
        <f t="shared" si="9"/>
        <v>10000</v>
      </c>
      <c r="Z697" s="63" t="s">
        <v>5866</v>
      </c>
      <c r="AA697" s="59">
        <v>3</v>
      </c>
      <c r="AB697" s="59">
        <v>3</v>
      </c>
      <c r="AC697" s="67" t="s">
        <v>333</v>
      </c>
      <c r="AD697" s="61" t="s">
        <v>181</v>
      </c>
      <c r="AE697" s="71"/>
      <c r="AF697" s="71"/>
      <c r="AG697" s="71"/>
      <c r="AH697" s="71"/>
      <c r="AI697" s="71"/>
      <c r="AJ697" s="71"/>
      <c r="AK697" s="71" t="s">
        <v>7766</v>
      </c>
      <c r="AL697">
        <f t="shared" si="8"/>
        <v>57600</v>
      </c>
    </row>
    <row r="698" spans="1:40">
      <c r="A698" s="62">
        <v>8</v>
      </c>
      <c r="B698" s="93">
        <v>690</v>
      </c>
      <c r="C698" s="68" t="s">
        <v>7475</v>
      </c>
      <c r="D698" s="59" t="s">
        <v>7767</v>
      </c>
      <c r="E698" s="72" t="s">
        <v>5862</v>
      </c>
      <c r="F698" s="73" t="s">
        <v>7768</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6754</v>
      </c>
      <c r="U698" s="63">
        <v>398</v>
      </c>
      <c r="V698" s="70">
        <v>141100</v>
      </c>
      <c r="W698" s="70">
        <v>140000</v>
      </c>
      <c r="X698" s="83" t="s">
        <v>5874</v>
      </c>
      <c r="Y698" s="70">
        <f>ROUND(J698,-4)</f>
        <v>60000</v>
      </c>
      <c r="Z698" s="63" t="s">
        <v>5866</v>
      </c>
      <c r="AA698" s="59">
        <v>2</v>
      </c>
      <c r="AB698" s="59">
        <v>2</v>
      </c>
      <c r="AC698" s="67" t="s">
        <v>280</v>
      </c>
      <c r="AD698" s="61" t="s">
        <v>181</v>
      </c>
      <c r="AE698" s="71"/>
      <c r="AF698" s="71"/>
      <c r="AG698" s="71"/>
      <c r="AH698" s="71"/>
      <c r="AI698" s="71"/>
      <c r="AJ698" s="71"/>
      <c r="AK698" s="71" t="s">
        <v>7486</v>
      </c>
      <c r="AL698">
        <f t="shared" si="8"/>
        <v>107999.99999999997</v>
      </c>
    </row>
    <row r="699" spans="1:40">
      <c r="A699" s="62">
        <v>8</v>
      </c>
      <c r="B699" s="93">
        <v>691</v>
      </c>
      <c r="C699" s="68" t="s">
        <v>7475</v>
      </c>
      <c r="D699" s="59" t="s">
        <v>6158</v>
      </c>
      <c r="E699" s="72" t="s">
        <v>5862</v>
      </c>
      <c r="F699" s="73" t="s">
        <v>6159</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6754</v>
      </c>
      <c r="U699" s="63">
        <v>401</v>
      </c>
      <c r="V699" s="70">
        <v>31600</v>
      </c>
      <c r="W699" s="70">
        <v>32000</v>
      </c>
      <c r="X699" s="83" t="s">
        <v>6774</v>
      </c>
      <c r="Y699" s="70">
        <f>ROUND(J699,-3)</f>
        <v>16000</v>
      </c>
      <c r="Z699" s="63" t="s">
        <v>5866</v>
      </c>
      <c r="AA699" s="59">
        <v>3</v>
      </c>
      <c r="AB699" s="59">
        <v>3</v>
      </c>
      <c r="AC699" s="67" t="s">
        <v>333</v>
      </c>
      <c r="AD699" s="61" t="s">
        <v>6160</v>
      </c>
      <c r="AE699" s="71"/>
      <c r="AF699" s="71"/>
      <c r="AG699" s="71"/>
      <c r="AH699" s="71"/>
      <c r="AI699" s="71"/>
      <c r="AJ699" s="71"/>
      <c r="AK699" s="71" t="s">
        <v>7769</v>
      </c>
      <c r="AL699">
        <f t="shared" si="8"/>
        <v>170000.00000000006</v>
      </c>
    </row>
    <row r="700" spans="1:40">
      <c r="A700" s="62">
        <v>8</v>
      </c>
      <c r="B700" s="93">
        <v>692</v>
      </c>
      <c r="C700" s="68" t="s">
        <v>7475</v>
      </c>
      <c r="D700" s="59" t="s">
        <v>6980</v>
      </c>
      <c r="E700" s="72" t="s">
        <v>5862</v>
      </c>
      <c r="F700" s="73" t="s">
        <v>7770</v>
      </c>
      <c r="G700" s="82">
        <v>44.1</v>
      </c>
      <c r="H700" s="67">
        <v>9201</v>
      </c>
      <c r="I700" s="69">
        <v>0</v>
      </c>
      <c r="J700" s="70">
        <v>19989</v>
      </c>
      <c r="K700" s="75">
        <v>4.3223773075191358</v>
      </c>
      <c r="L700" s="74">
        <v>0</v>
      </c>
      <c r="M700" s="76">
        <v>0</v>
      </c>
      <c r="N700" s="67">
        <v>1948</v>
      </c>
      <c r="O700" s="64">
        <f>2865*2</f>
        <v>5730</v>
      </c>
      <c r="Q700" s="59">
        <v>18</v>
      </c>
      <c r="R700" s="59">
        <v>1</v>
      </c>
      <c r="S700" s="59">
        <v>1</v>
      </c>
      <c r="T700" s="63" t="s">
        <v>6759</v>
      </c>
      <c r="U700" s="63">
        <v>398</v>
      </c>
      <c r="V700" s="70">
        <v>100554</v>
      </c>
      <c r="W700" s="70">
        <v>100000</v>
      </c>
      <c r="X700" s="83" t="s">
        <v>7042</v>
      </c>
      <c r="Y700" s="70">
        <f>ROUND(J700,-3)</f>
        <v>20000</v>
      </c>
      <c r="Z700" s="63" t="s">
        <v>5866</v>
      </c>
      <c r="AA700" s="59">
        <v>2</v>
      </c>
      <c r="AB700" s="59">
        <v>2</v>
      </c>
      <c r="AC700" s="67" t="s">
        <v>280</v>
      </c>
      <c r="AD700" s="61" t="s">
        <v>181</v>
      </c>
      <c r="AE700" s="71"/>
      <c r="AF700" s="71"/>
      <c r="AG700" s="71"/>
      <c r="AH700" s="71"/>
      <c r="AI700" s="71"/>
      <c r="AJ700" s="71"/>
      <c r="AK700" s="71" t="s">
        <v>7771</v>
      </c>
      <c r="AL700">
        <f t="shared" si="8"/>
        <v>86400</v>
      </c>
    </row>
    <row r="701" spans="1:40">
      <c r="A701" s="62">
        <v>8</v>
      </c>
      <c r="B701" s="93">
        <v>693</v>
      </c>
      <c r="C701" s="68" t="s">
        <v>7475</v>
      </c>
      <c r="D701" s="59" t="s">
        <v>7772</v>
      </c>
      <c r="E701" s="72" t="s">
        <v>5862</v>
      </c>
      <c r="F701" s="73" t="s">
        <v>7773</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6754</v>
      </c>
      <c r="U701" s="63">
        <v>397</v>
      </c>
      <c r="V701" s="70">
        <v>9380</v>
      </c>
      <c r="W701" s="70">
        <v>9000</v>
      </c>
      <c r="X701" s="83" t="s">
        <v>6516</v>
      </c>
      <c r="Y701" s="70">
        <f>ROUND(J701,-3)</f>
        <v>3000</v>
      </c>
      <c r="Z701" s="63" t="s">
        <v>5866</v>
      </c>
      <c r="AA701" s="59">
        <v>3</v>
      </c>
      <c r="AB701" s="59">
        <v>3</v>
      </c>
      <c r="AC701" s="67" t="s">
        <v>333</v>
      </c>
      <c r="AD701" s="61" t="s">
        <v>7774</v>
      </c>
      <c r="AE701" s="71"/>
      <c r="AF701" s="71"/>
      <c r="AG701" s="71"/>
      <c r="AH701" s="71"/>
      <c r="AI701" s="71"/>
      <c r="AJ701" s="71"/>
      <c r="AK701" s="71" t="s">
        <v>7486</v>
      </c>
      <c r="AL701">
        <f t="shared" si="8"/>
        <v>71999.999999999985</v>
      </c>
    </row>
    <row r="702" spans="1:40">
      <c r="A702" s="62">
        <v>8</v>
      </c>
      <c r="B702" s="93">
        <v>694</v>
      </c>
      <c r="C702" s="68" t="s">
        <v>7475</v>
      </c>
      <c r="D702" s="59" t="s">
        <v>6171</v>
      </c>
      <c r="E702" s="72" t="s">
        <v>5862</v>
      </c>
      <c r="F702" s="73" t="s">
        <v>6172</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6759</v>
      </c>
      <c r="U702" s="63">
        <v>398</v>
      </c>
      <c r="V702" s="70">
        <v>144374</v>
      </c>
      <c r="W702" s="70">
        <v>140000</v>
      </c>
      <c r="X702" s="83" t="s">
        <v>6173</v>
      </c>
      <c r="Y702" s="70">
        <f>ROUND(J702,-3)</f>
        <v>28000</v>
      </c>
      <c r="Z702" s="63" t="s">
        <v>5866</v>
      </c>
      <c r="AA702" s="59">
        <v>3</v>
      </c>
      <c r="AB702" s="59">
        <v>3</v>
      </c>
      <c r="AC702" s="67" t="s">
        <v>333</v>
      </c>
      <c r="AD702" s="61" t="s">
        <v>5904</v>
      </c>
      <c r="AE702" s="71"/>
      <c r="AF702" s="71"/>
      <c r="AG702" s="71"/>
      <c r="AH702" s="71"/>
      <c r="AI702" s="71"/>
      <c r="AJ702" s="71"/>
      <c r="AK702" s="71" t="s">
        <v>7704</v>
      </c>
      <c r="AL702">
        <f t="shared" si="8"/>
        <v>210600</v>
      </c>
    </row>
    <row r="703" spans="1:40">
      <c r="A703" s="62">
        <v>8</v>
      </c>
      <c r="B703" s="93">
        <v>695</v>
      </c>
      <c r="C703" s="68" t="s">
        <v>7475</v>
      </c>
      <c r="D703" s="59" t="s">
        <v>7775</v>
      </c>
      <c r="E703" s="72" t="s">
        <v>5862</v>
      </c>
      <c r="F703" s="73" t="s">
        <v>7776</v>
      </c>
      <c r="G703" s="82">
        <v>44.1</v>
      </c>
      <c r="H703" s="67">
        <v>9201</v>
      </c>
      <c r="I703" s="69">
        <v>0</v>
      </c>
      <c r="J703" s="70">
        <v>21422</v>
      </c>
      <c r="K703" s="75">
        <v>4.1844832415274018</v>
      </c>
      <c r="L703" s="74">
        <v>0</v>
      </c>
      <c r="M703" s="76">
        <v>0</v>
      </c>
      <c r="N703" s="67">
        <v>1983</v>
      </c>
      <c r="O703" s="64">
        <v>2148</v>
      </c>
      <c r="Q703" s="59">
        <v>20</v>
      </c>
      <c r="R703" s="59">
        <v>1</v>
      </c>
      <c r="S703" s="59">
        <v>1</v>
      </c>
      <c r="T703" s="63" t="s">
        <v>6759</v>
      </c>
      <c r="U703" s="63">
        <v>398</v>
      </c>
      <c r="V703" s="70">
        <v>59113</v>
      </c>
      <c r="W703" s="70">
        <v>60000</v>
      </c>
      <c r="X703" s="83" t="s">
        <v>5892</v>
      </c>
      <c r="Y703" s="70">
        <f>ROUND(J703,-3)</f>
        <v>21000</v>
      </c>
      <c r="Z703" s="63" t="s">
        <v>5866</v>
      </c>
      <c r="AA703" s="59">
        <v>3</v>
      </c>
      <c r="AB703" s="59">
        <v>3</v>
      </c>
      <c r="AC703" s="67" t="s">
        <v>333</v>
      </c>
      <c r="AD703" s="61" t="s">
        <v>181</v>
      </c>
      <c r="AE703" s="71"/>
      <c r="AF703" s="71"/>
      <c r="AG703" s="71"/>
      <c r="AH703" s="71"/>
      <c r="AI703" s="71"/>
      <c r="AJ703" s="71"/>
      <c r="AK703" s="71" t="s">
        <v>7704</v>
      </c>
      <c r="AL703">
        <f t="shared" si="8"/>
        <v>89640</v>
      </c>
    </row>
    <row r="704" spans="1:40">
      <c r="A704" s="62">
        <v>8</v>
      </c>
      <c r="B704" s="93">
        <v>696</v>
      </c>
      <c r="C704" s="61" t="s">
        <v>7495</v>
      </c>
      <c r="D704" s="59" t="s">
        <v>7777</v>
      </c>
      <c r="E704" s="63" t="s">
        <v>5862</v>
      </c>
      <c r="F704" s="59" t="s">
        <v>7778</v>
      </c>
      <c r="G704" s="82">
        <v>44.2</v>
      </c>
      <c r="H704" s="59">
        <v>9201</v>
      </c>
      <c r="I704" s="63">
        <v>0</v>
      </c>
      <c r="J704" s="64">
        <v>56859</v>
      </c>
      <c r="K704" s="87">
        <v>3.96</v>
      </c>
      <c r="L704" s="88">
        <v>0</v>
      </c>
      <c r="M704" s="88" t="s">
        <v>7779</v>
      </c>
      <c r="N704" s="59">
        <v>1962</v>
      </c>
      <c r="O704" s="59">
        <v>6097</v>
      </c>
      <c r="P704" s="59">
        <v>8921</v>
      </c>
      <c r="Q704" s="59">
        <v>20</v>
      </c>
      <c r="R704" s="59">
        <v>3</v>
      </c>
      <c r="S704" s="59">
        <v>1</v>
      </c>
      <c r="T704" s="63" t="s">
        <v>6770</v>
      </c>
      <c r="U704" s="59">
        <v>398</v>
      </c>
      <c r="V704" s="64">
        <v>139000</v>
      </c>
      <c r="W704" s="64">
        <v>140000</v>
      </c>
      <c r="X704" s="67" t="s">
        <v>5874</v>
      </c>
      <c r="Y704" s="64">
        <v>60000</v>
      </c>
      <c r="Z704" s="63" t="s">
        <v>209</v>
      </c>
      <c r="AA704" s="59">
        <v>3</v>
      </c>
      <c r="AB704" s="59">
        <v>3</v>
      </c>
      <c r="AC704" s="59">
        <v>33</v>
      </c>
      <c r="AE704" s="89"/>
      <c r="AF704" s="90"/>
      <c r="AG704" s="90"/>
      <c r="AH704" s="89"/>
      <c r="AI704" s="90"/>
      <c r="AJ704" s="89"/>
      <c r="AL704" s="71"/>
      <c r="AM704" s="71"/>
      <c r="AN704" s="71"/>
    </row>
    <row r="705" spans="1:38">
      <c r="A705" s="62">
        <v>8</v>
      </c>
      <c r="B705" s="93">
        <v>697</v>
      </c>
      <c r="C705" s="68" t="s">
        <v>7475</v>
      </c>
      <c r="D705" s="59" t="s">
        <v>6177</v>
      </c>
      <c r="E705" s="72" t="s">
        <v>5862</v>
      </c>
      <c r="F705" s="73" t="s">
        <v>6178</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6759</v>
      </c>
      <c r="U705" s="63">
        <v>398</v>
      </c>
      <c r="V705" s="70">
        <v>153950</v>
      </c>
      <c r="W705" s="70">
        <v>150000</v>
      </c>
      <c r="X705" s="83" t="s">
        <v>5896</v>
      </c>
      <c r="Y705" s="70">
        <f>ROUND(J705,-4)</f>
        <v>100000</v>
      </c>
      <c r="Z705" s="63" t="s">
        <v>5866</v>
      </c>
      <c r="AA705" s="59">
        <v>3</v>
      </c>
      <c r="AB705" s="59">
        <v>3</v>
      </c>
      <c r="AC705" s="67" t="s">
        <v>333</v>
      </c>
      <c r="AD705" s="61" t="s">
        <v>6024</v>
      </c>
      <c r="AE705" s="71"/>
      <c r="AF705" s="71"/>
      <c r="AG705" s="71"/>
      <c r="AH705" s="71"/>
      <c r="AI705" s="71"/>
      <c r="AJ705" s="71"/>
      <c r="AK705" s="71" t="s">
        <v>7648</v>
      </c>
      <c r="AL705">
        <f t="shared" ref="AL705:AL736" si="10">IF(AND(ISNUMBER($S705),$S705&gt;0,ISNUMBER($K705),ISNUMBER($J705)),($K705*$J705)/$S705,"")</f>
        <v>429851</v>
      </c>
    </row>
    <row r="706" spans="1:38">
      <c r="A706" s="62">
        <v>8</v>
      </c>
      <c r="B706" s="93">
        <v>698</v>
      </c>
      <c r="C706" s="68" t="s">
        <v>7475</v>
      </c>
      <c r="D706" s="59" t="s">
        <v>6180</v>
      </c>
      <c r="E706" s="72" t="s">
        <v>5862</v>
      </c>
      <c r="F706" s="73" t="s">
        <v>6181</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6754</v>
      </c>
      <c r="U706" s="63">
        <v>398</v>
      </c>
      <c r="V706" s="70">
        <v>24000</v>
      </c>
      <c r="W706" s="70">
        <v>24000</v>
      </c>
      <c r="X706" s="83" t="s">
        <v>6182</v>
      </c>
      <c r="Y706" s="70">
        <f>ROUND(J706,-3)</f>
        <v>14000</v>
      </c>
      <c r="Z706" s="63" t="s">
        <v>5866</v>
      </c>
      <c r="AA706" s="59">
        <v>3</v>
      </c>
      <c r="AB706" s="59">
        <v>3</v>
      </c>
      <c r="AC706" s="67" t="s">
        <v>333</v>
      </c>
      <c r="AD706" s="61" t="s">
        <v>181</v>
      </c>
      <c r="AE706" s="71"/>
      <c r="AF706" s="71"/>
      <c r="AG706" s="71"/>
      <c r="AH706" s="71"/>
      <c r="AI706" s="71"/>
      <c r="AJ706" s="71"/>
      <c r="AK706" s="71" t="s">
        <v>7553</v>
      </c>
      <c r="AL706">
        <f t="shared" si="10"/>
        <v>36900</v>
      </c>
    </row>
    <row r="707" spans="1:38">
      <c r="A707" s="62">
        <v>8</v>
      </c>
      <c r="B707" s="93">
        <v>699</v>
      </c>
      <c r="C707" s="68" t="s">
        <v>7475</v>
      </c>
      <c r="D707" s="59" t="s">
        <v>6184</v>
      </c>
      <c r="E707" s="72" t="s">
        <v>5862</v>
      </c>
      <c r="F707" s="73" t="s">
        <v>6185</v>
      </c>
      <c r="G707" s="82">
        <v>44.1</v>
      </c>
      <c r="H707" s="67">
        <v>9201</v>
      </c>
      <c r="I707" s="69">
        <v>0</v>
      </c>
      <c r="J707" s="70">
        <v>16140</v>
      </c>
      <c r="K707" s="75">
        <v>5.5762081784386606</v>
      </c>
      <c r="L707" s="74">
        <v>0</v>
      </c>
      <c r="M707" s="76">
        <v>0</v>
      </c>
      <c r="N707" s="67">
        <v>1951</v>
      </c>
      <c r="Q707" s="59">
        <v>17</v>
      </c>
      <c r="R707" s="59">
        <v>2</v>
      </c>
      <c r="S707" s="59">
        <v>1</v>
      </c>
      <c r="T707" s="63" t="s">
        <v>6754</v>
      </c>
      <c r="U707" s="63">
        <v>398</v>
      </c>
      <c r="V707" s="70">
        <v>47915</v>
      </c>
      <c r="W707" s="70">
        <v>48000</v>
      </c>
      <c r="X707" s="83" t="s">
        <v>6791</v>
      </c>
      <c r="Y707" s="70">
        <f>ROUND(J707,-3)</f>
        <v>16000</v>
      </c>
      <c r="Z707" s="63" t="s">
        <v>5866</v>
      </c>
      <c r="AA707" s="59">
        <v>1</v>
      </c>
      <c r="AB707" s="59">
        <v>3</v>
      </c>
      <c r="AC707" s="67" t="s">
        <v>244</v>
      </c>
      <c r="AD707" s="61" t="s">
        <v>6186</v>
      </c>
      <c r="AE707" s="71"/>
      <c r="AF707" s="71"/>
      <c r="AG707" s="71"/>
      <c r="AH707" s="71"/>
      <c r="AI707" s="71"/>
      <c r="AJ707" s="71"/>
      <c r="AK707" s="71" t="s">
        <v>7780</v>
      </c>
      <c r="AL707">
        <f t="shared" si="10"/>
        <v>89999.999999999985</v>
      </c>
    </row>
    <row r="708" spans="1:38">
      <c r="A708" s="62">
        <v>8</v>
      </c>
      <c r="B708" s="93">
        <v>700</v>
      </c>
      <c r="C708" s="68" t="s">
        <v>7475</v>
      </c>
      <c r="D708" s="59" t="s">
        <v>6187</v>
      </c>
      <c r="E708" s="72" t="s">
        <v>5862</v>
      </c>
      <c r="F708" s="73" t="s">
        <v>6188</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6754</v>
      </c>
      <c r="U708" s="63">
        <v>401</v>
      </c>
      <c r="V708" s="70">
        <v>21063</v>
      </c>
      <c r="W708" s="70">
        <v>21000</v>
      </c>
      <c r="X708" s="83" t="s">
        <v>6774</v>
      </c>
      <c r="Y708" s="70">
        <f>ROUND(J708,-3)</f>
        <v>10000</v>
      </c>
      <c r="Z708" s="63" t="s">
        <v>5866</v>
      </c>
      <c r="AA708" s="59">
        <v>3</v>
      </c>
      <c r="AB708" s="59">
        <v>3</v>
      </c>
      <c r="AC708" s="67" t="s">
        <v>333</v>
      </c>
      <c r="AD708" s="61" t="s">
        <v>181</v>
      </c>
      <c r="AE708" s="71"/>
      <c r="AF708" s="71"/>
      <c r="AG708" s="71"/>
      <c r="AH708" s="71"/>
      <c r="AI708" s="71"/>
      <c r="AJ708" s="71"/>
      <c r="AK708" s="71" t="s">
        <v>7781</v>
      </c>
      <c r="AL708">
        <f t="shared" si="10"/>
        <v>18200</v>
      </c>
    </row>
    <row r="709" spans="1:38">
      <c r="A709" s="62">
        <v>8</v>
      </c>
      <c r="B709" s="93">
        <v>701</v>
      </c>
      <c r="C709" s="68" t="s">
        <v>7475</v>
      </c>
      <c r="D709" s="59" t="s">
        <v>6191</v>
      </c>
      <c r="E709" s="72" t="s">
        <v>5862</v>
      </c>
      <c r="F709" s="73" t="s">
        <v>6192</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6757</v>
      </c>
      <c r="U709" s="63">
        <v>398</v>
      </c>
      <c r="V709" s="70">
        <v>47500</v>
      </c>
      <c r="W709" s="70">
        <v>48000</v>
      </c>
      <c r="X709" s="83" t="s">
        <v>6774</v>
      </c>
      <c r="Y709" s="70">
        <f>ROUND(J709,-3)</f>
        <v>24000</v>
      </c>
      <c r="Z709" s="63" t="s">
        <v>5866</v>
      </c>
      <c r="AA709" s="59">
        <v>3</v>
      </c>
      <c r="AB709" s="59">
        <v>3</v>
      </c>
      <c r="AC709" s="67" t="s">
        <v>333</v>
      </c>
      <c r="AD709" s="61" t="s">
        <v>6193</v>
      </c>
      <c r="AE709" s="71"/>
      <c r="AF709" s="71"/>
      <c r="AG709" s="71"/>
      <c r="AH709" s="71"/>
      <c r="AI709" s="71"/>
      <c r="AJ709" s="71"/>
      <c r="AK709" s="71" t="s">
        <v>7553</v>
      </c>
      <c r="AL709">
        <f t="shared" si="10"/>
        <v>63300</v>
      </c>
    </row>
    <row r="710" spans="1:38">
      <c r="A710" s="62">
        <v>8</v>
      </c>
      <c r="B710" s="93">
        <v>702</v>
      </c>
      <c r="C710" s="68" t="s">
        <v>7475</v>
      </c>
      <c r="D710" s="59" t="s">
        <v>7782</v>
      </c>
      <c r="E710" s="72" t="s">
        <v>5862</v>
      </c>
      <c r="F710" s="73" t="s">
        <v>7783</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6754</v>
      </c>
      <c r="U710" s="63">
        <v>401</v>
      </c>
      <c r="V710" s="70">
        <v>9810</v>
      </c>
      <c r="W710" s="70">
        <v>10000</v>
      </c>
      <c r="X710" s="83" t="s">
        <v>6902</v>
      </c>
      <c r="Y710" s="70">
        <f>ROUND(J710,-2)</f>
        <v>1800</v>
      </c>
      <c r="Z710" s="63" t="s">
        <v>5866</v>
      </c>
      <c r="AA710" s="59">
        <v>3</v>
      </c>
      <c r="AB710" s="59">
        <v>3</v>
      </c>
      <c r="AC710" s="67" t="s">
        <v>333</v>
      </c>
      <c r="AD710" s="61" t="s">
        <v>181</v>
      </c>
      <c r="AE710" s="71"/>
      <c r="AF710" s="71"/>
      <c r="AG710" s="71"/>
      <c r="AH710" s="71"/>
      <c r="AI710" s="71"/>
      <c r="AJ710" s="71"/>
      <c r="AK710" s="71" t="s">
        <v>7784</v>
      </c>
      <c r="AL710">
        <f t="shared" si="10"/>
        <v>13200</v>
      </c>
    </row>
    <row r="711" spans="1:38">
      <c r="A711" s="62">
        <v>8</v>
      </c>
      <c r="B711" s="93">
        <v>703</v>
      </c>
      <c r="C711" s="68" t="s">
        <v>7475</v>
      </c>
      <c r="D711" s="59" t="s">
        <v>7003</v>
      </c>
      <c r="E711" s="72" t="s">
        <v>5862</v>
      </c>
      <c r="F711" s="73" t="s">
        <v>7785</v>
      </c>
      <c r="G711" s="82">
        <v>44.1</v>
      </c>
      <c r="H711" s="67">
        <v>9201</v>
      </c>
      <c r="I711" s="69">
        <v>0</v>
      </c>
      <c r="J711" s="70">
        <v>6000</v>
      </c>
      <c r="K711" s="75">
        <v>6.1475</v>
      </c>
      <c r="L711" s="74">
        <v>0.5</v>
      </c>
      <c r="M711" s="76">
        <v>8.133387555917039E-2</v>
      </c>
      <c r="N711" s="67">
        <v>1980</v>
      </c>
      <c r="O711" s="64">
        <v>702</v>
      </c>
      <c r="Q711" s="59">
        <v>14</v>
      </c>
      <c r="R711" s="59">
        <v>7</v>
      </c>
      <c r="S711" s="59">
        <v>1</v>
      </c>
      <c r="T711" s="63" t="s">
        <v>6754</v>
      </c>
      <c r="U711" s="63">
        <v>398</v>
      </c>
      <c r="V711" s="70">
        <v>19115</v>
      </c>
      <c r="W711" s="70">
        <v>19000</v>
      </c>
      <c r="X711" s="83" t="s">
        <v>5923</v>
      </c>
      <c r="Y711" s="70">
        <f>ROUND(J711,-3)</f>
        <v>6000</v>
      </c>
      <c r="Z711" s="63" t="s">
        <v>5866</v>
      </c>
      <c r="AA711" s="59">
        <v>3</v>
      </c>
      <c r="AB711" s="59">
        <v>3</v>
      </c>
      <c r="AC711" s="67" t="s">
        <v>333</v>
      </c>
      <c r="AD711" s="61" t="s">
        <v>181</v>
      </c>
      <c r="AE711" s="71"/>
      <c r="AF711" s="71"/>
      <c r="AG711" s="71"/>
      <c r="AH711" s="71"/>
      <c r="AI711" s="71"/>
      <c r="AJ711" s="71"/>
      <c r="AK711" s="71" t="s">
        <v>7486</v>
      </c>
      <c r="AL711">
        <f t="shared" si="10"/>
        <v>36885</v>
      </c>
    </row>
    <row r="712" spans="1:38">
      <c r="A712" s="62">
        <v>8</v>
      </c>
      <c r="B712" s="93">
        <v>704</v>
      </c>
      <c r="C712" s="68" t="s">
        <v>7475</v>
      </c>
      <c r="D712" s="59" t="s">
        <v>7786</v>
      </c>
      <c r="E712" s="72" t="s">
        <v>5862</v>
      </c>
      <c r="F712" s="73" t="s">
        <v>7787</v>
      </c>
      <c r="G712" s="82">
        <v>44.2</v>
      </c>
      <c r="H712" s="67">
        <v>9208</v>
      </c>
      <c r="I712" s="69">
        <v>0</v>
      </c>
      <c r="J712" s="70">
        <v>35940</v>
      </c>
      <c r="K712" s="75">
        <v>4.674457429048414</v>
      </c>
      <c r="L712" s="74">
        <v>0</v>
      </c>
      <c r="M712" s="76">
        <v>1.8369047619047622E-2</v>
      </c>
      <c r="N712" s="67">
        <v>1975</v>
      </c>
      <c r="O712" s="64">
        <f>4481+2571</f>
        <v>7052</v>
      </c>
      <c r="S712" s="59">
        <v>1</v>
      </c>
      <c r="T712" s="63" t="s">
        <v>6757</v>
      </c>
      <c r="U712" s="63">
        <v>398</v>
      </c>
      <c r="V712" s="70">
        <v>97490</v>
      </c>
      <c r="W712" s="70">
        <v>100000</v>
      </c>
      <c r="X712" s="83" t="s">
        <v>5985</v>
      </c>
      <c r="Y712" s="70">
        <f>ROUND(J712,-3)</f>
        <v>36000</v>
      </c>
      <c r="Z712" s="63" t="s">
        <v>5866</v>
      </c>
      <c r="AA712" s="59">
        <v>3</v>
      </c>
      <c r="AB712" s="59">
        <v>3</v>
      </c>
      <c r="AC712" s="67" t="s">
        <v>333</v>
      </c>
      <c r="AD712" s="61" t="s">
        <v>181</v>
      </c>
      <c r="AE712" s="71"/>
      <c r="AF712" s="71"/>
      <c r="AG712" s="71"/>
      <c r="AH712" s="71"/>
      <c r="AI712" s="71"/>
      <c r="AJ712" s="71"/>
      <c r="AK712" s="71" t="s">
        <v>7788</v>
      </c>
      <c r="AL712">
        <f t="shared" si="10"/>
        <v>168000</v>
      </c>
    </row>
    <row r="713" spans="1:38">
      <c r="A713" s="62">
        <v>8</v>
      </c>
      <c r="B713" s="93">
        <v>705</v>
      </c>
      <c r="C713" s="68" t="s">
        <v>7475</v>
      </c>
      <c r="D713" s="59" t="s">
        <v>7789</v>
      </c>
      <c r="E713" s="72" t="s">
        <v>5862</v>
      </c>
      <c r="F713" s="73" t="s">
        <v>7790</v>
      </c>
      <c r="G713" s="82">
        <v>44.2</v>
      </c>
      <c r="H713" s="67">
        <v>9208</v>
      </c>
      <c r="I713" s="69">
        <v>0</v>
      </c>
      <c r="J713" s="70">
        <v>25864</v>
      </c>
      <c r="K713" s="75">
        <v>10.4045777915249</v>
      </c>
      <c r="L713" s="74">
        <v>0</v>
      </c>
      <c r="M713" s="76">
        <v>5.7449907842321193E-2</v>
      </c>
      <c r="N713" s="67">
        <v>2005</v>
      </c>
      <c r="O713" s="64">
        <f>6421+2871</f>
        <v>9292</v>
      </c>
      <c r="S713" s="59">
        <v>4</v>
      </c>
      <c r="T713" s="63" t="s">
        <v>6757</v>
      </c>
      <c r="U713" s="63">
        <v>398</v>
      </c>
      <c r="V713" s="70">
        <v>87400</v>
      </c>
      <c r="W713" s="70">
        <v>90000</v>
      </c>
      <c r="X713" s="83" t="s">
        <v>6293</v>
      </c>
      <c r="Y713" s="70">
        <f>ROUND(J713,-3)</f>
        <v>26000</v>
      </c>
      <c r="Z713" s="63" t="s">
        <v>5866</v>
      </c>
      <c r="AA713" s="59">
        <v>3</v>
      </c>
      <c r="AB713" s="59">
        <v>3</v>
      </c>
      <c r="AC713" s="67" t="s">
        <v>333</v>
      </c>
      <c r="AD713" s="61" t="s">
        <v>7791</v>
      </c>
      <c r="AE713" s="71"/>
      <c r="AF713" s="71"/>
      <c r="AG713" s="71"/>
      <c r="AH713" s="71"/>
      <c r="AI713" s="71"/>
      <c r="AJ713" s="71"/>
      <c r="AK713" s="71" t="s">
        <v>7792</v>
      </c>
      <c r="AL713">
        <f t="shared" si="10"/>
        <v>67276</v>
      </c>
    </row>
    <row r="714" spans="1:38">
      <c r="A714" s="62">
        <v>8</v>
      </c>
      <c r="B714" s="93">
        <v>706</v>
      </c>
      <c r="C714" s="68" t="s">
        <v>7475</v>
      </c>
      <c r="D714" s="59" t="s">
        <v>7793</v>
      </c>
      <c r="E714" s="72" t="s">
        <v>5862</v>
      </c>
      <c r="F714" s="73" t="s">
        <v>7794</v>
      </c>
      <c r="G714" s="82" t="s">
        <v>6239</v>
      </c>
      <c r="H714" s="67">
        <v>9208</v>
      </c>
      <c r="I714" s="69">
        <v>0</v>
      </c>
      <c r="J714" s="70">
        <v>5029</v>
      </c>
      <c r="K714" s="75">
        <v>7.158480811294492</v>
      </c>
      <c r="L714" s="74">
        <v>0.21</v>
      </c>
      <c r="M714" s="76">
        <v>0.2489166666666667</v>
      </c>
      <c r="N714" s="67">
        <v>1936</v>
      </c>
      <c r="O714" s="64" t="s">
        <v>181</v>
      </c>
      <c r="P714" s="64">
        <v>515</v>
      </c>
      <c r="Q714" s="59">
        <v>12</v>
      </c>
      <c r="R714" s="59">
        <v>1</v>
      </c>
      <c r="S714" s="59">
        <v>1</v>
      </c>
      <c r="T714" s="63" t="s">
        <v>7110</v>
      </c>
      <c r="U714" s="63">
        <v>398</v>
      </c>
      <c r="V714" s="70">
        <v>12500</v>
      </c>
      <c r="W714" s="70">
        <v>13000</v>
      </c>
      <c r="X714" s="83" t="s">
        <v>6205</v>
      </c>
      <c r="Y714" s="70">
        <f>ROUND(J714,-3)</f>
        <v>5000</v>
      </c>
      <c r="Z714" s="63" t="s">
        <v>5866</v>
      </c>
      <c r="AA714" s="59">
        <v>3</v>
      </c>
      <c r="AB714" s="59">
        <v>3</v>
      </c>
      <c r="AC714" s="67" t="s">
        <v>333</v>
      </c>
      <c r="AD714" s="61" t="s">
        <v>7795</v>
      </c>
      <c r="AE714" s="71"/>
      <c r="AF714" s="71"/>
      <c r="AG714" s="71"/>
      <c r="AH714" s="71"/>
      <c r="AI714" s="71"/>
      <c r="AJ714" s="71"/>
      <c r="AK714" s="71" t="s">
        <v>7796</v>
      </c>
      <c r="AL714">
        <f t="shared" si="10"/>
        <v>36000</v>
      </c>
    </row>
    <row r="715" spans="1:38">
      <c r="A715" s="62">
        <v>8</v>
      </c>
      <c r="B715" s="93">
        <v>707</v>
      </c>
      <c r="C715" s="68" t="s">
        <v>7475</v>
      </c>
      <c r="D715" s="59" t="s">
        <v>7797</v>
      </c>
      <c r="E715" s="72" t="s">
        <v>5862</v>
      </c>
      <c r="F715" s="73" t="s">
        <v>7798</v>
      </c>
      <c r="G715" s="82">
        <v>44.8</v>
      </c>
      <c r="H715" s="67">
        <v>9208</v>
      </c>
      <c r="I715" s="69">
        <v>0</v>
      </c>
      <c r="J715" s="70">
        <v>1449</v>
      </c>
      <c r="K715" s="75">
        <v>7.4534161490683228</v>
      </c>
      <c r="L715" s="74">
        <v>0</v>
      </c>
      <c r="M715" s="76">
        <v>0</v>
      </c>
      <c r="N715" s="67">
        <v>2005</v>
      </c>
      <c r="Q715" s="59">
        <v>9</v>
      </c>
      <c r="R715" s="59">
        <v>1</v>
      </c>
      <c r="S715" s="59">
        <v>1</v>
      </c>
      <c r="T715" s="63" t="s">
        <v>6757</v>
      </c>
      <c r="U715" s="63">
        <v>356</v>
      </c>
      <c r="V715" s="70">
        <v>3521</v>
      </c>
      <c r="W715" s="70">
        <v>4000</v>
      </c>
      <c r="X715" s="83" t="s">
        <v>5878</v>
      </c>
      <c r="Y715" s="70">
        <f>ROUND(J715,-2)</f>
        <v>1400</v>
      </c>
      <c r="Z715" s="63" t="s">
        <v>5866</v>
      </c>
      <c r="AA715" s="59">
        <v>3</v>
      </c>
      <c r="AB715" s="59">
        <v>3</v>
      </c>
      <c r="AC715" s="67" t="s">
        <v>333</v>
      </c>
      <c r="AD715" s="61" t="s">
        <v>7799</v>
      </c>
      <c r="AE715" s="71"/>
      <c r="AF715" s="71"/>
      <c r="AG715" s="71"/>
      <c r="AH715" s="71"/>
      <c r="AI715" s="71"/>
      <c r="AJ715" s="71"/>
      <c r="AK715" s="71" t="s">
        <v>7800</v>
      </c>
      <c r="AL715">
        <f t="shared" si="10"/>
        <v>10800</v>
      </c>
    </row>
    <row r="716" spans="1:38">
      <c r="A716" s="62">
        <v>8</v>
      </c>
      <c r="B716" s="93">
        <v>708</v>
      </c>
      <c r="C716" s="68" t="s">
        <v>7475</v>
      </c>
      <c r="D716" s="59" t="s">
        <v>7801</v>
      </c>
      <c r="E716" s="72" t="s">
        <v>5862</v>
      </c>
      <c r="F716" s="73" t="s">
        <v>7802</v>
      </c>
      <c r="G716" s="82">
        <v>47.1</v>
      </c>
      <c r="H716" s="67">
        <v>9208</v>
      </c>
      <c r="I716" s="69">
        <v>0</v>
      </c>
      <c r="J716" s="70">
        <v>12000</v>
      </c>
      <c r="K716" s="75">
        <v>10</v>
      </c>
      <c r="L716" s="74">
        <v>0</v>
      </c>
      <c r="M716" s="76">
        <v>7.563333333333333E-2</v>
      </c>
      <c r="N716" s="67">
        <v>1971</v>
      </c>
      <c r="P716" s="64">
        <v>2470</v>
      </c>
      <c r="Q716" s="59">
        <v>16</v>
      </c>
      <c r="R716" s="59">
        <v>1</v>
      </c>
      <c r="S716" s="59">
        <v>1</v>
      </c>
      <c r="T716" s="63" t="s">
        <v>6754</v>
      </c>
      <c r="U716" s="63">
        <v>401</v>
      </c>
      <c r="V716" s="70">
        <v>42630</v>
      </c>
      <c r="W716" s="70">
        <v>43000</v>
      </c>
      <c r="X716" s="83" t="s">
        <v>6240</v>
      </c>
      <c r="Y716" s="70">
        <f t="shared" ref="Y716:Y724" si="11">ROUND(J716,-3)</f>
        <v>12000</v>
      </c>
      <c r="Z716" s="63" t="s">
        <v>5866</v>
      </c>
      <c r="AA716" s="59">
        <v>3</v>
      </c>
      <c r="AB716" s="59">
        <v>3</v>
      </c>
      <c r="AC716" s="67" t="s">
        <v>333</v>
      </c>
      <c r="AD716" s="61" t="s">
        <v>181</v>
      </c>
      <c r="AE716" s="71"/>
      <c r="AF716" s="71"/>
      <c r="AG716" s="71"/>
      <c r="AH716" s="71"/>
      <c r="AI716" s="71"/>
      <c r="AJ716" s="71"/>
      <c r="AK716" s="71" t="s">
        <v>7704</v>
      </c>
      <c r="AL716">
        <f t="shared" si="10"/>
        <v>120000</v>
      </c>
    </row>
    <row r="717" spans="1:38">
      <c r="A717" s="62">
        <v>8</v>
      </c>
      <c r="B717" s="93">
        <v>709</v>
      </c>
      <c r="C717" s="68" t="s">
        <v>7475</v>
      </c>
      <c r="D717" s="59" t="s">
        <v>6207</v>
      </c>
      <c r="E717" s="72" t="s">
        <v>5862</v>
      </c>
      <c r="F717" s="73" t="s">
        <v>6208</v>
      </c>
      <c r="G717" s="82">
        <v>44.1</v>
      </c>
      <c r="H717" s="67">
        <v>9208</v>
      </c>
      <c r="I717" s="69">
        <v>0</v>
      </c>
      <c r="J717" s="70">
        <v>4008</v>
      </c>
      <c r="K717" s="75">
        <v>6.7365269461077846</v>
      </c>
      <c r="L717" s="74">
        <v>0.42</v>
      </c>
      <c r="M717" s="76">
        <v>0</v>
      </c>
      <c r="N717" s="67">
        <v>1980</v>
      </c>
      <c r="O717" s="64">
        <v>484</v>
      </c>
      <c r="Q717" s="59">
        <v>17</v>
      </c>
      <c r="R717" s="59">
        <v>3</v>
      </c>
      <c r="S717" s="59">
        <v>1</v>
      </c>
      <c r="T717" s="63" t="s">
        <v>6754</v>
      </c>
      <c r="U717" s="63">
        <v>398</v>
      </c>
      <c r="V717" s="70">
        <v>6625</v>
      </c>
      <c r="W717" s="70">
        <v>7000</v>
      </c>
      <c r="X717" s="83" t="s">
        <v>6182</v>
      </c>
      <c r="Y717" s="70">
        <f t="shared" si="11"/>
        <v>4000</v>
      </c>
      <c r="Z717" s="63" t="s">
        <v>5866</v>
      </c>
      <c r="AA717" s="59">
        <v>3</v>
      </c>
      <c r="AB717" s="59">
        <v>3</v>
      </c>
      <c r="AC717" s="67" t="s">
        <v>333</v>
      </c>
      <c r="AD717" s="61" t="s">
        <v>6209</v>
      </c>
      <c r="AE717" s="71"/>
      <c r="AF717" s="71"/>
      <c r="AG717" s="71"/>
      <c r="AH717" s="71"/>
      <c r="AI717" s="71"/>
      <c r="AJ717" s="71"/>
      <c r="AK717" s="71" t="s">
        <v>7803</v>
      </c>
      <c r="AL717">
        <f t="shared" si="10"/>
        <v>27000</v>
      </c>
    </row>
    <row r="718" spans="1:38">
      <c r="A718" s="62">
        <v>8</v>
      </c>
      <c r="B718" s="93">
        <v>710</v>
      </c>
      <c r="C718" s="68" t="s">
        <v>7475</v>
      </c>
      <c r="D718" s="59" t="s">
        <v>7804</v>
      </c>
      <c r="E718" s="72" t="s">
        <v>5862</v>
      </c>
      <c r="F718" s="73" t="s">
        <v>7805</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6754</v>
      </c>
      <c r="U718" s="63">
        <v>398</v>
      </c>
      <c r="V718" s="70">
        <v>42100</v>
      </c>
      <c r="W718" s="70">
        <v>42000</v>
      </c>
      <c r="X718" s="83" t="s">
        <v>5985</v>
      </c>
      <c r="Y718" s="70">
        <f t="shared" si="11"/>
        <v>15000</v>
      </c>
      <c r="Z718" s="63" t="s">
        <v>5866</v>
      </c>
      <c r="AA718" s="59">
        <v>3</v>
      </c>
      <c r="AB718" s="59">
        <v>3</v>
      </c>
      <c r="AC718" s="67" t="s">
        <v>333</v>
      </c>
      <c r="AD718" s="61" t="s">
        <v>7806</v>
      </c>
      <c r="AE718" s="71"/>
      <c r="AF718" s="71"/>
      <c r="AG718" s="71"/>
      <c r="AH718" s="71"/>
      <c r="AI718" s="71"/>
      <c r="AJ718" s="71"/>
      <c r="AK718" s="71" t="s">
        <v>7542</v>
      </c>
      <c r="AL718">
        <f t="shared" si="10"/>
        <v>48000.000000000007</v>
      </c>
    </row>
    <row r="719" spans="1:38">
      <c r="A719" s="62">
        <v>8</v>
      </c>
      <c r="B719" s="93">
        <v>711</v>
      </c>
      <c r="C719" s="68" t="s">
        <v>7475</v>
      </c>
      <c r="D719" s="59" t="s">
        <v>7807</v>
      </c>
      <c r="E719" s="72" t="s">
        <v>5862</v>
      </c>
      <c r="F719" s="73" t="s">
        <v>7808</v>
      </c>
      <c r="G719" s="82">
        <v>44.1</v>
      </c>
      <c r="H719" s="67">
        <v>9208</v>
      </c>
      <c r="I719" s="69">
        <v>0</v>
      </c>
      <c r="J719" s="70">
        <v>10000</v>
      </c>
      <c r="K719" s="75">
        <v>5.1715999999999998</v>
      </c>
      <c r="L719" s="74">
        <v>0</v>
      </c>
      <c r="M719" s="76">
        <v>0</v>
      </c>
      <c r="N719" s="67">
        <v>1980</v>
      </c>
      <c r="O719" s="64">
        <f>926*2</f>
        <v>1852</v>
      </c>
      <c r="Q719" s="59">
        <v>34</v>
      </c>
      <c r="R719" s="59">
        <v>1</v>
      </c>
      <c r="S719" s="59">
        <v>2</v>
      </c>
      <c r="T719" s="63" t="s">
        <v>6754</v>
      </c>
      <c r="U719" s="63">
        <v>398</v>
      </c>
      <c r="V719" s="70">
        <v>128774</v>
      </c>
      <c r="W719" s="70">
        <v>130000</v>
      </c>
      <c r="X719" s="83" t="s">
        <v>5892</v>
      </c>
      <c r="Y719" s="70">
        <f t="shared" si="11"/>
        <v>10000</v>
      </c>
      <c r="Z719" s="63" t="s">
        <v>5866</v>
      </c>
      <c r="AA719" s="59">
        <v>3</v>
      </c>
      <c r="AB719" s="59">
        <v>3</v>
      </c>
      <c r="AC719" s="67" t="s">
        <v>333</v>
      </c>
      <c r="AD719" s="61" t="s">
        <v>7809</v>
      </c>
      <c r="AE719" s="71"/>
      <c r="AF719" s="71"/>
      <c r="AG719" s="71"/>
      <c r="AH719" s="71"/>
      <c r="AI719" s="71"/>
      <c r="AJ719" s="71"/>
      <c r="AK719" s="71" t="s">
        <v>7810</v>
      </c>
      <c r="AL719">
        <f t="shared" si="10"/>
        <v>25858</v>
      </c>
    </row>
    <row r="720" spans="1:38">
      <c r="A720" s="62">
        <v>8</v>
      </c>
      <c r="B720" s="93">
        <v>712</v>
      </c>
      <c r="C720" s="68" t="s">
        <v>7475</v>
      </c>
      <c r="D720" s="59" t="s">
        <v>7024</v>
      </c>
      <c r="E720" s="72" t="s">
        <v>5862</v>
      </c>
      <c r="F720" s="73" t="s">
        <v>7811</v>
      </c>
      <c r="G720" s="82">
        <v>44.1</v>
      </c>
      <c r="H720" s="67">
        <v>9208</v>
      </c>
      <c r="I720" s="69">
        <v>0</v>
      </c>
      <c r="J720" s="70">
        <v>4130</v>
      </c>
      <c r="K720" s="75">
        <v>11.622276029055691</v>
      </c>
      <c r="L720" s="74">
        <v>0</v>
      </c>
      <c r="M720" s="76">
        <v>0</v>
      </c>
      <c r="N720" s="67">
        <v>1973</v>
      </c>
      <c r="O720" s="64">
        <f>590+885</f>
        <v>1475</v>
      </c>
      <c r="Q720" s="59">
        <v>14</v>
      </c>
      <c r="R720" s="59">
        <v>3</v>
      </c>
      <c r="S720" s="59">
        <v>1</v>
      </c>
      <c r="T720" s="63" t="s">
        <v>6754</v>
      </c>
      <c r="U720" s="63">
        <v>401</v>
      </c>
      <c r="V720" s="70">
        <v>6250</v>
      </c>
      <c r="W720" s="70">
        <v>6000</v>
      </c>
      <c r="X720" s="83" t="s">
        <v>6065</v>
      </c>
      <c r="Y720" s="70">
        <f t="shared" si="11"/>
        <v>4000</v>
      </c>
      <c r="Z720" s="63" t="s">
        <v>5866</v>
      </c>
      <c r="AA720" s="59">
        <v>3</v>
      </c>
      <c r="AB720" s="59">
        <v>3</v>
      </c>
      <c r="AC720" s="67" t="s">
        <v>333</v>
      </c>
      <c r="AD720" s="61" t="s">
        <v>5904</v>
      </c>
      <c r="AE720" s="71"/>
      <c r="AF720" s="71"/>
      <c r="AG720" s="71"/>
      <c r="AH720" s="71"/>
      <c r="AI720" s="71"/>
      <c r="AJ720" s="71"/>
      <c r="AK720" s="71" t="s">
        <v>7486</v>
      </c>
      <c r="AL720">
        <f t="shared" si="10"/>
        <v>48000</v>
      </c>
    </row>
    <row r="721" spans="1:38">
      <c r="A721" s="62">
        <v>8</v>
      </c>
      <c r="B721" s="93">
        <v>713</v>
      </c>
      <c r="C721" s="68" t="s">
        <v>7475</v>
      </c>
      <c r="D721" s="59" t="s">
        <v>7029</v>
      </c>
      <c r="E721" s="72" t="s">
        <v>5862</v>
      </c>
      <c r="F721" s="73" t="s">
        <v>7812</v>
      </c>
      <c r="G721" s="82">
        <v>44.1</v>
      </c>
      <c r="H721" s="67">
        <v>9208</v>
      </c>
      <c r="I721" s="69">
        <v>0</v>
      </c>
      <c r="J721" s="70">
        <v>2320</v>
      </c>
      <c r="K721" s="75">
        <v>7.7586206896551726</v>
      </c>
      <c r="L721" s="74">
        <v>0</v>
      </c>
      <c r="M721" s="76">
        <v>0</v>
      </c>
      <c r="N721" s="67">
        <v>1935</v>
      </c>
      <c r="O721" s="64">
        <v>1021</v>
      </c>
      <c r="Q721" s="59">
        <v>17</v>
      </c>
      <c r="R721" s="59">
        <v>1</v>
      </c>
      <c r="S721" s="59">
        <v>1</v>
      </c>
      <c r="T721" s="63" t="s">
        <v>6754</v>
      </c>
      <c r="U721" s="63">
        <v>398</v>
      </c>
      <c r="V721" s="70">
        <v>12500</v>
      </c>
      <c r="W721" s="70">
        <v>13000</v>
      </c>
      <c r="X721" s="83" t="s">
        <v>5899</v>
      </c>
      <c r="Y721" s="70">
        <f t="shared" si="11"/>
        <v>2000</v>
      </c>
      <c r="Z721" s="63" t="s">
        <v>5866</v>
      </c>
      <c r="AA721" s="59">
        <v>3</v>
      </c>
      <c r="AB721" s="59">
        <v>3</v>
      </c>
      <c r="AC721" s="67" t="s">
        <v>333</v>
      </c>
      <c r="AD721" s="61" t="s">
        <v>7031</v>
      </c>
      <c r="AE721" s="71"/>
      <c r="AF721" s="71"/>
      <c r="AG721" s="71"/>
      <c r="AH721" s="71"/>
      <c r="AI721" s="71"/>
      <c r="AJ721" s="71"/>
      <c r="AK721" s="71" t="s">
        <v>7648</v>
      </c>
      <c r="AL721">
        <f t="shared" si="10"/>
        <v>18000</v>
      </c>
    </row>
    <row r="722" spans="1:38">
      <c r="A722" s="62">
        <v>8</v>
      </c>
      <c r="B722" s="93">
        <v>714</v>
      </c>
      <c r="C722" s="68" t="s">
        <v>7475</v>
      </c>
      <c r="D722" s="59" t="s">
        <v>6219</v>
      </c>
      <c r="E722" s="72" t="s">
        <v>5862</v>
      </c>
      <c r="F722" s="73" t="s">
        <v>6220</v>
      </c>
      <c r="G722" s="82">
        <v>44.1</v>
      </c>
      <c r="H722" s="67">
        <v>9208</v>
      </c>
      <c r="I722" s="69">
        <v>9</v>
      </c>
      <c r="J722" s="70">
        <v>6599</v>
      </c>
      <c r="K722" s="75">
        <v>7.3117138960448553</v>
      </c>
      <c r="L722" s="74">
        <v>0</v>
      </c>
      <c r="M722" s="76">
        <v>7.050777202072539E-2</v>
      </c>
      <c r="N722" s="67">
        <v>1952</v>
      </c>
      <c r="Q722" s="59">
        <v>12</v>
      </c>
      <c r="R722" s="59">
        <v>3</v>
      </c>
      <c r="S722" s="59">
        <v>1</v>
      </c>
      <c r="T722" s="63" t="s">
        <v>7028</v>
      </c>
      <c r="U722" s="63">
        <v>401</v>
      </c>
      <c r="V722" s="70">
        <v>9440</v>
      </c>
      <c r="W722" s="70">
        <v>9000</v>
      </c>
      <c r="X722" s="83" t="s">
        <v>5938</v>
      </c>
      <c r="Y722" s="70">
        <f t="shared" si="11"/>
        <v>7000</v>
      </c>
      <c r="Z722" s="63" t="s">
        <v>5866</v>
      </c>
      <c r="AA722" s="59">
        <v>3</v>
      </c>
      <c r="AB722" s="59">
        <v>3</v>
      </c>
      <c r="AC722" s="67" t="s">
        <v>333</v>
      </c>
      <c r="AD722" s="61" t="s">
        <v>181</v>
      </c>
      <c r="AE722" s="71"/>
      <c r="AF722" s="71"/>
      <c r="AG722" s="71"/>
      <c r="AH722" s="71"/>
      <c r="AI722" s="71"/>
      <c r="AJ722" s="71"/>
      <c r="AK722" s="71" t="s">
        <v>7813</v>
      </c>
      <c r="AL722">
        <f t="shared" si="10"/>
        <v>48250</v>
      </c>
    </row>
    <row r="723" spans="1:38">
      <c r="A723" s="62">
        <v>8</v>
      </c>
      <c r="B723" s="93">
        <v>715</v>
      </c>
      <c r="C723" s="68" t="s">
        <v>7475</v>
      </c>
      <c r="D723" s="59" t="s">
        <v>7032</v>
      </c>
      <c r="E723" s="72" t="s">
        <v>5862</v>
      </c>
      <c r="F723" s="73" t="s">
        <v>7814</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7018</v>
      </c>
      <c r="U723" s="63">
        <v>398</v>
      </c>
      <c r="V723" s="70">
        <v>12535</v>
      </c>
      <c r="W723" s="70">
        <v>13000</v>
      </c>
      <c r="X723" s="83" t="s">
        <v>5982</v>
      </c>
      <c r="Y723" s="70">
        <f t="shared" si="11"/>
        <v>6000</v>
      </c>
      <c r="Z723" s="63" t="s">
        <v>5866</v>
      </c>
      <c r="AA723" s="59">
        <v>3</v>
      </c>
      <c r="AB723" s="59">
        <v>3</v>
      </c>
      <c r="AC723" s="67" t="s">
        <v>333</v>
      </c>
      <c r="AD723" s="61" t="s">
        <v>181</v>
      </c>
      <c r="AE723" s="71"/>
      <c r="AF723" s="71"/>
      <c r="AG723" s="71"/>
      <c r="AH723" s="71"/>
      <c r="AI723" s="71"/>
      <c r="AJ723" s="71"/>
      <c r="AK723" s="71" t="s">
        <v>7815</v>
      </c>
      <c r="AL723">
        <f t="shared" si="10"/>
        <v>52000</v>
      </c>
    </row>
    <row r="724" spans="1:38">
      <c r="A724" s="62">
        <v>8</v>
      </c>
      <c r="B724" s="93">
        <v>716</v>
      </c>
      <c r="C724" s="68" t="s">
        <v>7475</v>
      </c>
      <c r="D724" s="59" t="s">
        <v>7816</v>
      </c>
      <c r="E724" s="72" t="s">
        <v>5862</v>
      </c>
      <c r="F724" s="73" t="s">
        <v>7817</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6757</v>
      </c>
      <c r="U724" s="63">
        <v>398</v>
      </c>
      <c r="V724" s="70">
        <v>18750</v>
      </c>
      <c r="W724" s="70">
        <v>19000</v>
      </c>
      <c r="X724" s="83" t="s">
        <v>5920</v>
      </c>
      <c r="Y724" s="70">
        <f t="shared" si="11"/>
        <v>7000</v>
      </c>
      <c r="Z724" s="63" t="s">
        <v>5866</v>
      </c>
      <c r="AA724" s="59">
        <v>3</v>
      </c>
      <c r="AB724" s="59">
        <v>3</v>
      </c>
      <c r="AC724" s="67" t="s">
        <v>333</v>
      </c>
      <c r="AD724" s="61" t="s">
        <v>181</v>
      </c>
      <c r="AE724" s="71"/>
      <c r="AF724" s="71"/>
      <c r="AG724" s="71"/>
      <c r="AH724" s="71"/>
      <c r="AI724" s="71"/>
      <c r="AJ724" s="71"/>
      <c r="AK724" s="71" t="s">
        <v>7818</v>
      </c>
      <c r="AL724">
        <f t="shared" si="10"/>
        <v>39000</v>
      </c>
    </row>
    <row r="725" spans="1:38">
      <c r="A725" s="62">
        <v>8</v>
      </c>
      <c r="B725" s="93">
        <v>717</v>
      </c>
      <c r="C725" s="68" t="s">
        <v>7475</v>
      </c>
      <c r="D725" s="59" t="s">
        <v>7819</v>
      </c>
      <c r="E725" s="72" t="s">
        <v>5862</v>
      </c>
      <c r="F725" s="73" t="s">
        <v>7820</v>
      </c>
      <c r="G725" s="82">
        <v>44.1</v>
      </c>
      <c r="H725" s="67">
        <v>9201</v>
      </c>
      <c r="I725" s="69">
        <v>0</v>
      </c>
      <c r="J725" s="70">
        <v>1497</v>
      </c>
      <c r="K725" s="75">
        <v>24.048096192384769</v>
      </c>
      <c r="L725" s="74">
        <v>0</v>
      </c>
      <c r="M725" s="76">
        <v>0</v>
      </c>
      <c r="N725" s="67">
        <v>1886</v>
      </c>
      <c r="O725" s="64">
        <v>600</v>
      </c>
      <c r="Q725" s="59">
        <v>12</v>
      </c>
      <c r="R725" s="59">
        <v>7</v>
      </c>
      <c r="S725" s="59">
        <v>1</v>
      </c>
      <c r="T725" s="63" t="s">
        <v>6754</v>
      </c>
      <c r="U725" s="63">
        <v>398</v>
      </c>
      <c r="V725" s="70">
        <v>6834</v>
      </c>
      <c r="W725" s="70">
        <v>7000</v>
      </c>
      <c r="X725" s="83" t="s">
        <v>7036</v>
      </c>
      <c r="Y725" s="70">
        <f>ROUND(J725,-2)</f>
        <v>1500</v>
      </c>
      <c r="Z725" s="63" t="s">
        <v>5866</v>
      </c>
      <c r="AA725" s="59">
        <v>3</v>
      </c>
      <c r="AB725" s="59">
        <v>3</v>
      </c>
      <c r="AC725" s="67" t="s">
        <v>333</v>
      </c>
      <c r="AD725" s="61" t="s">
        <v>7821</v>
      </c>
      <c r="AE725" s="71"/>
      <c r="AF725" s="71"/>
      <c r="AG725" s="71"/>
      <c r="AH725" s="71"/>
      <c r="AI725" s="71"/>
      <c r="AJ725" s="71"/>
      <c r="AK725" s="71" t="s">
        <v>7486</v>
      </c>
      <c r="AL725">
        <f t="shared" si="10"/>
        <v>36000</v>
      </c>
    </row>
    <row r="726" spans="1:38">
      <c r="A726" s="62">
        <v>8</v>
      </c>
      <c r="B726" s="93">
        <v>718</v>
      </c>
      <c r="C726" s="68" t="s">
        <v>7475</v>
      </c>
      <c r="D726" s="59" t="s">
        <v>7822</v>
      </c>
      <c r="E726" s="72" t="s">
        <v>5862</v>
      </c>
      <c r="F726" s="73" t="s">
        <v>7823</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6759</v>
      </c>
      <c r="U726" s="63">
        <v>398</v>
      </c>
      <c r="V726" s="70">
        <v>29006</v>
      </c>
      <c r="W726" s="70">
        <v>29000</v>
      </c>
      <c r="X726" s="83" t="s">
        <v>5982</v>
      </c>
      <c r="Y726" s="70">
        <f>ROUND(J726,-3)</f>
        <v>14000</v>
      </c>
      <c r="Z726" s="63" t="s">
        <v>5866</v>
      </c>
      <c r="AA726" s="59">
        <v>3</v>
      </c>
      <c r="AB726" s="59">
        <v>3</v>
      </c>
      <c r="AC726" s="67" t="s">
        <v>333</v>
      </c>
      <c r="AD726" s="61" t="s">
        <v>7824</v>
      </c>
      <c r="AE726" s="71"/>
      <c r="AF726" s="71"/>
      <c r="AG726" s="71"/>
      <c r="AH726" s="71"/>
      <c r="AI726" s="71"/>
      <c r="AJ726" s="71"/>
      <c r="AK726" s="71" t="s">
        <v>7537</v>
      </c>
      <c r="AL726">
        <f t="shared" si="10"/>
        <v>210000.00000000003</v>
      </c>
    </row>
    <row r="727" spans="1:38">
      <c r="A727" s="62">
        <v>8</v>
      </c>
      <c r="B727" s="93">
        <v>719</v>
      </c>
      <c r="C727" s="68" t="s">
        <v>7475</v>
      </c>
      <c r="D727" s="59" t="s">
        <v>7825</v>
      </c>
      <c r="E727" s="72" t="s">
        <v>5862</v>
      </c>
      <c r="F727" s="73" t="s">
        <v>7826</v>
      </c>
      <c r="G727" s="82">
        <v>44.2</v>
      </c>
      <c r="H727" s="67">
        <v>9208</v>
      </c>
      <c r="I727" s="69">
        <v>0</v>
      </c>
      <c r="J727" s="70">
        <v>11507</v>
      </c>
      <c r="K727" s="75">
        <v>9.4012340314591114</v>
      </c>
      <c r="L727" s="74">
        <v>0</v>
      </c>
      <c r="M727" s="76">
        <v>0</v>
      </c>
      <c r="N727" s="67">
        <v>1967</v>
      </c>
      <c r="O727" s="64">
        <v>4376</v>
      </c>
      <c r="Q727" s="59">
        <v>13</v>
      </c>
      <c r="R727" s="59">
        <v>3</v>
      </c>
      <c r="S727" s="59">
        <v>1</v>
      </c>
      <c r="T727" s="63" t="s">
        <v>6759</v>
      </c>
      <c r="U727" s="63">
        <v>398</v>
      </c>
      <c r="V727" s="70">
        <v>72660</v>
      </c>
      <c r="W727" s="70">
        <v>70000</v>
      </c>
      <c r="X727" s="83" t="s">
        <v>6716</v>
      </c>
      <c r="Y727" s="70">
        <f>ROUND(J727,-3)</f>
        <v>12000</v>
      </c>
      <c r="Z727" s="63" t="s">
        <v>5866</v>
      </c>
      <c r="AA727" s="59">
        <v>3</v>
      </c>
      <c r="AB727" s="59">
        <v>3</v>
      </c>
      <c r="AC727" s="67" t="s">
        <v>333</v>
      </c>
      <c r="AD727" s="61" t="s">
        <v>7827</v>
      </c>
      <c r="AE727" s="71"/>
      <c r="AF727" s="71"/>
      <c r="AG727" s="71"/>
      <c r="AH727" s="71"/>
      <c r="AI727" s="71"/>
      <c r="AJ727" s="71"/>
      <c r="AK727" s="71" t="s">
        <v>7486</v>
      </c>
      <c r="AL727">
        <f t="shared" si="10"/>
        <v>108180</v>
      </c>
    </row>
    <row r="728" spans="1:38">
      <c r="A728" s="62">
        <v>8</v>
      </c>
      <c r="B728" s="93">
        <v>720</v>
      </c>
      <c r="C728" s="68" t="s">
        <v>7475</v>
      </c>
      <c r="D728" s="59" t="s">
        <v>7828</v>
      </c>
      <c r="E728" s="72" t="s">
        <v>5862</v>
      </c>
      <c r="F728" s="73" t="s">
        <v>7829</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6754</v>
      </c>
      <c r="U728" s="63">
        <v>398</v>
      </c>
      <c r="V728" s="70">
        <v>7519</v>
      </c>
      <c r="W728" s="70">
        <v>8000</v>
      </c>
      <c r="X728" s="83" t="s">
        <v>5878</v>
      </c>
      <c r="Y728" s="70">
        <f>ROUND(J728,-2)</f>
        <v>1300</v>
      </c>
      <c r="Z728" s="63" t="s">
        <v>5866</v>
      </c>
      <c r="AA728" s="59">
        <v>3</v>
      </c>
      <c r="AB728" s="59">
        <v>3</v>
      </c>
      <c r="AC728" s="67" t="s">
        <v>333</v>
      </c>
      <c r="AD728" s="61" t="s">
        <v>5904</v>
      </c>
      <c r="AE728" s="71"/>
      <c r="AF728" s="71"/>
      <c r="AG728" s="71"/>
      <c r="AH728" s="71"/>
      <c r="AI728" s="71"/>
      <c r="AJ728" s="71"/>
      <c r="AK728" s="71" t="s">
        <v>7830</v>
      </c>
      <c r="AL728">
        <f t="shared" si="10"/>
        <v>7200.0000000000009</v>
      </c>
    </row>
    <row r="729" spans="1:38">
      <c r="A729" s="62">
        <v>8</v>
      </c>
      <c r="B729" s="93">
        <v>721</v>
      </c>
      <c r="C729" s="68" t="s">
        <v>7475</v>
      </c>
      <c r="D729" s="59" t="s">
        <v>6237</v>
      </c>
      <c r="E729" s="72" t="s">
        <v>5862</v>
      </c>
      <c r="F729" s="73" t="s">
        <v>6238</v>
      </c>
      <c r="G729" s="82" t="s">
        <v>6239</v>
      </c>
      <c r="H729" s="67">
        <v>9208</v>
      </c>
      <c r="I729" s="69">
        <v>0</v>
      </c>
      <c r="J729" s="70">
        <v>2000</v>
      </c>
      <c r="K729" s="75">
        <v>4.2</v>
      </c>
      <c r="L729" s="74">
        <v>1</v>
      </c>
      <c r="M729" s="76">
        <v>0.1045238095238095</v>
      </c>
      <c r="N729" s="67">
        <v>1978</v>
      </c>
      <c r="O729" s="64">
        <v>150</v>
      </c>
      <c r="Q729" s="59">
        <v>10</v>
      </c>
      <c r="R729" s="59">
        <v>7</v>
      </c>
      <c r="S729" s="59">
        <v>1</v>
      </c>
      <c r="T729" s="63" t="s">
        <v>6754</v>
      </c>
      <c r="U729" s="63">
        <v>398</v>
      </c>
      <c r="V729" s="70">
        <v>7175</v>
      </c>
      <c r="W729" s="70">
        <v>7000</v>
      </c>
      <c r="X729" s="83" t="s">
        <v>6240</v>
      </c>
      <c r="Y729" s="70">
        <f t="shared" ref="Y729:Y763" si="12">ROUND(J729,-3)</f>
        <v>2000</v>
      </c>
      <c r="Z729" s="63" t="s">
        <v>5866</v>
      </c>
      <c r="AA729" s="59">
        <v>3</v>
      </c>
      <c r="AB729" s="59">
        <v>3</v>
      </c>
      <c r="AC729" s="67" t="s">
        <v>333</v>
      </c>
      <c r="AD729" s="61" t="s">
        <v>6241</v>
      </c>
      <c r="AE729" s="71"/>
      <c r="AF729" s="71"/>
      <c r="AG729" s="71"/>
      <c r="AH729" s="71"/>
      <c r="AI729" s="71"/>
      <c r="AJ729" s="71"/>
      <c r="AK729" s="71" t="s">
        <v>7648</v>
      </c>
      <c r="AL729">
        <f t="shared" si="10"/>
        <v>8400</v>
      </c>
    </row>
    <row r="730" spans="1:38">
      <c r="A730" s="62">
        <v>8</v>
      </c>
      <c r="B730" s="93">
        <v>722</v>
      </c>
      <c r="C730" s="68" t="s">
        <v>7475</v>
      </c>
      <c r="D730" s="59" t="s">
        <v>6243</v>
      </c>
      <c r="E730" s="72" t="s">
        <v>5862</v>
      </c>
      <c r="F730" s="73" t="s">
        <v>6244</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6754</v>
      </c>
      <c r="U730" s="63">
        <v>398</v>
      </c>
      <c r="V730" s="70">
        <v>30805</v>
      </c>
      <c r="W730" s="70">
        <v>31000</v>
      </c>
      <c r="X730" s="83" t="s">
        <v>7042</v>
      </c>
      <c r="Y730" s="70">
        <f t="shared" si="12"/>
        <v>6000</v>
      </c>
      <c r="Z730" s="63" t="s">
        <v>5866</v>
      </c>
      <c r="AA730" s="59">
        <v>3</v>
      </c>
      <c r="AB730" s="59">
        <v>3</v>
      </c>
      <c r="AC730" s="67" t="s">
        <v>333</v>
      </c>
      <c r="AD730" s="61" t="s">
        <v>6246</v>
      </c>
      <c r="AE730" s="71"/>
      <c r="AF730" s="71"/>
      <c r="AG730" s="71"/>
      <c r="AH730" s="71"/>
      <c r="AI730" s="71"/>
      <c r="AJ730" s="71"/>
      <c r="AK730" s="71" t="s">
        <v>7553</v>
      </c>
      <c r="AL730">
        <f t="shared" si="10"/>
        <v>39500</v>
      </c>
    </row>
    <row r="731" spans="1:38">
      <c r="A731" s="62">
        <v>8</v>
      </c>
      <c r="B731" s="93">
        <v>723</v>
      </c>
      <c r="C731" s="68" t="s">
        <v>7475</v>
      </c>
      <c r="D731" s="59" t="s">
        <v>7831</v>
      </c>
      <c r="E731" s="72" t="s">
        <v>5862</v>
      </c>
      <c r="F731" s="73" t="s">
        <v>7832</v>
      </c>
      <c r="G731" s="82">
        <v>44.8</v>
      </c>
      <c r="H731" s="67">
        <v>9208</v>
      </c>
      <c r="I731" s="69">
        <v>0</v>
      </c>
      <c r="J731" s="70">
        <v>2406</v>
      </c>
      <c r="K731" s="75">
        <v>12.423940149625929</v>
      </c>
      <c r="L731" s="74">
        <v>0</v>
      </c>
      <c r="M731" s="76">
        <v>0</v>
      </c>
      <c r="N731" s="67">
        <v>1962</v>
      </c>
      <c r="O731" s="64">
        <v>2149</v>
      </c>
      <c r="Q731" s="59">
        <v>13</v>
      </c>
      <c r="R731" s="59">
        <v>1</v>
      </c>
      <c r="S731" s="59">
        <v>1</v>
      </c>
      <c r="T731" s="63" t="s">
        <v>6754</v>
      </c>
      <c r="U731" s="63">
        <v>398</v>
      </c>
      <c r="V731" s="70">
        <v>4537</v>
      </c>
      <c r="W731" s="70">
        <v>5000</v>
      </c>
      <c r="X731" s="83" t="s">
        <v>5903</v>
      </c>
      <c r="Y731" s="70">
        <f t="shared" si="12"/>
        <v>2000</v>
      </c>
      <c r="Z731" s="63" t="s">
        <v>5866</v>
      </c>
      <c r="AA731" s="59">
        <v>3</v>
      </c>
      <c r="AB731" s="59">
        <v>3</v>
      </c>
      <c r="AC731" s="67" t="s">
        <v>333</v>
      </c>
      <c r="AD731" s="61" t="s">
        <v>7833</v>
      </c>
      <c r="AE731" s="71"/>
      <c r="AF731" s="71"/>
      <c r="AG731" s="71"/>
      <c r="AH731" s="71"/>
      <c r="AI731" s="71"/>
      <c r="AJ731" s="71"/>
      <c r="AK731" s="71" t="s">
        <v>7834</v>
      </c>
      <c r="AL731">
        <f t="shared" si="10"/>
        <v>29891.999999999985</v>
      </c>
    </row>
    <row r="732" spans="1:38">
      <c r="A732" s="62">
        <v>8</v>
      </c>
      <c r="B732" s="93">
        <v>724</v>
      </c>
      <c r="C732" s="68" t="s">
        <v>7475</v>
      </c>
      <c r="D732" s="59" t="s">
        <v>7835</v>
      </c>
      <c r="E732" s="72" t="s">
        <v>5862</v>
      </c>
      <c r="F732" s="73" t="s">
        <v>7836</v>
      </c>
      <c r="G732" s="82">
        <v>44.1</v>
      </c>
      <c r="H732" s="67">
        <v>9208</v>
      </c>
      <c r="I732" s="69">
        <v>0</v>
      </c>
      <c r="J732" s="70">
        <v>4608</v>
      </c>
      <c r="K732" s="75">
        <v>9.1145833333333339</v>
      </c>
      <c r="L732" s="74">
        <v>0</v>
      </c>
      <c r="M732" s="76">
        <v>0</v>
      </c>
      <c r="N732" s="67">
        <v>1973</v>
      </c>
      <c r="O732" s="64">
        <v>960</v>
      </c>
      <c r="Q732" s="59">
        <v>14</v>
      </c>
      <c r="R732" s="59">
        <v>14</v>
      </c>
      <c r="S732" s="59">
        <v>1</v>
      </c>
      <c r="T732" s="63" t="s">
        <v>6754</v>
      </c>
      <c r="U732" s="63">
        <v>398</v>
      </c>
      <c r="V732" s="70">
        <v>6250</v>
      </c>
      <c r="W732" s="70">
        <v>6000</v>
      </c>
      <c r="X732" s="83" t="s">
        <v>5938</v>
      </c>
      <c r="Y732" s="70">
        <f t="shared" si="12"/>
        <v>5000</v>
      </c>
      <c r="Z732" s="63" t="s">
        <v>5866</v>
      </c>
      <c r="AA732" s="59">
        <v>3</v>
      </c>
      <c r="AB732" s="59">
        <v>3</v>
      </c>
      <c r="AC732" s="67" t="s">
        <v>333</v>
      </c>
      <c r="AD732" s="61" t="s">
        <v>7837</v>
      </c>
      <c r="AE732" s="71"/>
      <c r="AF732" s="71"/>
      <c r="AG732" s="71"/>
      <c r="AH732" s="71"/>
      <c r="AI732" s="71"/>
      <c r="AJ732" s="71"/>
      <c r="AK732" s="71" t="s">
        <v>7838</v>
      </c>
      <c r="AL732">
        <f t="shared" si="10"/>
        <v>42000</v>
      </c>
    </row>
    <row r="733" spans="1:38">
      <c r="A733" s="62">
        <v>8</v>
      </c>
      <c r="B733" s="93">
        <v>725</v>
      </c>
      <c r="C733" s="68" t="s">
        <v>7475</v>
      </c>
      <c r="D733" s="59" t="s">
        <v>7839</v>
      </c>
      <c r="E733" s="72" t="s">
        <v>5862</v>
      </c>
      <c r="F733" s="73" t="s">
        <v>7840</v>
      </c>
      <c r="G733" s="82">
        <v>44.1</v>
      </c>
      <c r="H733" s="67">
        <v>9201</v>
      </c>
      <c r="I733" s="69">
        <v>0</v>
      </c>
      <c r="J733" s="70">
        <v>10464</v>
      </c>
      <c r="K733" s="75">
        <v>5.8970756880733948</v>
      </c>
      <c r="L733" s="74">
        <v>0</v>
      </c>
      <c r="M733" s="76">
        <v>0</v>
      </c>
      <c r="N733" s="67">
        <v>1983</v>
      </c>
      <c r="Q733" s="59">
        <v>20</v>
      </c>
      <c r="R733" s="59">
        <v>3</v>
      </c>
      <c r="S733" s="59">
        <v>1</v>
      </c>
      <c r="T733" s="63" t="s">
        <v>6754</v>
      </c>
      <c r="U733" s="63">
        <v>398</v>
      </c>
      <c r="V733" s="70">
        <v>12750</v>
      </c>
      <c r="W733" s="70">
        <v>13000</v>
      </c>
      <c r="X733" s="83" t="s">
        <v>6128</v>
      </c>
      <c r="Y733" s="70">
        <f t="shared" si="12"/>
        <v>10000</v>
      </c>
      <c r="Z733" s="63" t="s">
        <v>5866</v>
      </c>
      <c r="AA733" s="59">
        <v>3</v>
      </c>
      <c r="AB733" s="59">
        <v>3</v>
      </c>
      <c r="AC733" s="67" t="s">
        <v>333</v>
      </c>
      <c r="AD733" s="61" t="s">
        <v>7841</v>
      </c>
      <c r="AE733" s="71"/>
      <c r="AF733" s="71"/>
      <c r="AG733" s="71"/>
      <c r="AH733" s="71"/>
      <c r="AI733" s="71"/>
      <c r="AJ733" s="71"/>
      <c r="AK733" s="71" t="s">
        <v>181</v>
      </c>
      <c r="AL733">
        <f t="shared" si="10"/>
        <v>61707</v>
      </c>
    </row>
    <row r="734" spans="1:38">
      <c r="A734" s="62">
        <v>8</v>
      </c>
      <c r="B734" s="93">
        <v>726</v>
      </c>
      <c r="C734" s="68" t="s">
        <v>7475</v>
      </c>
      <c r="D734" s="59" t="s">
        <v>7842</v>
      </c>
      <c r="E734" s="72" t="s">
        <v>5862</v>
      </c>
      <c r="F734" s="73" t="s">
        <v>7843</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6754</v>
      </c>
      <c r="U734" s="63">
        <v>398</v>
      </c>
      <c r="V734" s="70">
        <v>25628</v>
      </c>
      <c r="W734" s="70">
        <v>26000</v>
      </c>
      <c r="X734" s="83" t="s">
        <v>5952</v>
      </c>
      <c r="Y734" s="70">
        <f t="shared" si="12"/>
        <v>10000</v>
      </c>
      <c r="Z734" s="63" t="s">
        <v>5866</v>
      </c>
      <c r="AA734" s="59">
        <v>3</v>
      </c>
      <c r="AB734" s="59">
        <v>3</v>
      </c>
      <c r="AC734" s="67" t="s">
        <v>333</v>
      </c>
      <c r="AD734" s="61" t="s">
        <v>7844</v>
      </c>
      <c r="AE734" s="71"/>
      <c r="AF734" s="71"/>
      <c r="AG734" s="71"/>
      <c r="AH734" s="71"/>
      <c r="AI734" s="71"/>
      <c r="AJ734" s="71"/>
      <c r="AK734" s="71" t="s">
        <v>7845</v>
      </c>
      <c r="AL734">
        <f t="shared" si="10"/>
        <v>76300.000000000015</v>
      </c>
    </row>
    <row r="735" spans="1:38">
      <c r="A735" s="62">
        <v>8</v>
      </c>
      <c r="B735" s="93">
        <v>727</v>
      </c>
      <c r="C735" s="68" t="s">
        <v>7475</v>
      </c>
      <c r="D735" s="59" t="s">
        <v>7846</v>
      </c>
      <c r="E735" s="72" t="s">
        <v>5862</v>
      </c>
      <c r="F735" s="73" t="s">
        <v>7847</v>
      </c>
      <c r="G735" s="82">
        <v>44.1</v>
      </c>
      <c r="H735" s="67">
        <v>9201</v>
      </c>
      <c r="I735" s="69">
        <v>0</v>
      </c>
      <c r="J735" s="70">
        <v>3500</v>
      </c>
      <c r="K735" s="75">
        <v>12</v>
      </c>
      <c r="L735" s="74">
        <v>0</v>
      </c>
      <c r="M735" s="76">
        <v>3.7809523809523807E-2</v>
      </c>
      <c r="N735" s="67">
        <v>1953</v>
      </c>
      <c r="O735" s="64">
        <v>469</v>
      </c>
      <c r="Q735" s="59">
        <v>14</v>
      </c>
      <c r="R735" s="59">
        <v>1</v>
      </c>
      <c r="S735" s="59">
        <v>1</v>
      </c>
      <c r="T735" s="63" t="s">
        <v>6754</v>
      </c>
      <c r="U735" s="63">
        <v>398</v>
      </c>
      <c r="V735" s="70">
        <v>7192</v>
      </c>
      <c r="W735" s="70">
        <v>7000</v>
      </c>
      <c r="X735" s="83" t="s">
        <v>5982</v>
      </c>
      <c r="Y735" s="70">
        <f t="shared" si="12"/>
        <v>4000</v>
      </c>
      <c r="Z735" s="63" t="s">
        <v>5866</v>
      </c>
      <c r="AA735" s="59">
        <v>3</v>
      </c>
      <c r="AB735" s="59">
        <v>3</v>
      </c>
      <c r="AC735" s="67" t="s">
        <v>333</v>
      </c>
      <c r="AD735" s="61" t="s">
        <v>7848</v>
      </c>
      <c r="AE735" s="71"/>
      <c r="AF735" s="71"/>
      <c r="AG735" s="71"/>
      <c r="AH735" s="71"/>
      <c r="AI735" s="71"/>
      <c r="AJ735" s="71"/>
      <c r="AK735" s="71" t="s">
        <v>7849</v>
      </c>
      <c r="AL735">
        <f t="shared" si="10"/>
        <v>42000</v>
      </c>
    </row>
    <row r="736" spans="1:38">
      <c r="A736" s="62">
        <v>8</v>
      </c>
      <c r="B736" s="93">
        <v>728</v>
      </c>
      <c r="C736" s="68" t="s">
        <v>7475</v>
      </c>
      <c r="D736" s="59" t="s">
        <v>7850</v>
      </c>
      <c r="E736" s="72" t="s">
        <v>5862</v>
      </c>
      <c r="F736" s="73" t="s">
        <v>7851</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6754</v>
      </c>
      <c r="U736" s="63">
        <v>398</v>
      </c>
      <c r="V736" s="70">
        <v>208740</v>
      </c>
      <c r="W736" s="70">
        <v>210000</v>
      </c>
      <c r="X736" s="83" t="s">
        <v>5938</v>
      </c>
      <c r="Y736" s="70">
        <f t="shared" si="12"/>
        <v>6000</v>
      </c>
      <c r="Z736" s="63" t="s">
        <v>5866</v>
      </c>
      <c r="AA736" s="59">
        <v>3</v>
      </c>
      <c r="AB736" s="59">
        <v>3</v>
      </c>
      <c r="AC736" s="67" t="s">
        <v>333</v>
      </c>
      <c r="AD736" s="61" t="s">
        <v>7852</v>
      </c>
      <c r="AE736" s="71"/>
      <c r="AF736" s="71"/>
      <c r="AG736" s="71"/>
      <c r="AH736" s="71"/>
      <c r="AI736" s="71"/>
      <c r="AJ736" s="71"/>
      <c r="AK736" s="71" t="s">
        <v>7853</v>
      </c>
      <c r="AL736">
        <f t="shared" si="10"/>
        <v>39142</v>
      </c>
    </row>
    <row r="737" spans="1:38">
      <c r="A737" s="62">
        <v>8</v>
      </c>
      <c r="B737" s="93">
        <v>729</v>
      </c>
      <c r="C737" s="68" t="s">
        <v>7475</v>
      </c>
      <c r="D737" s="59" t="s">
        <v>7854</v>
      </c>
      <c r="E737" s="72" t="s">
        <v>5862</v>
      </c>
      <c r="F737" s="73" t="s">
        <v>7855</v>
      </c>
      <c r="G737" s="82">
        <v>44.1</v>
      </c>
      <c r="H737" s="67">
        <v>9201</v>
      </c>
      <c r="I737" s="69">
        <v>0</v>
      </c>
      <c r="J737" s="70">
        <v>34608</v>
      </c>
      <c r="K737" s="75">
        <v>4.308252427184466</v>
      </c>
      <c r="L737" s="74">
        <v>0</v>
      </c>
      <c r="M737" s="76">
        <v>0</v>
      </c>
      <c r="N737" s="67">
        <v>1955</v>
      </c>
      <c r="P737" s="64">
        <v>3270</v>
      </c>
      <c r="Q737" s="59">
        <v>16</v>
      </c>
      <c r="R737" s="59">
        <v>3</v>
      </c>
      <c r="S737" s="59">
        <v>1</v>
      </c>
      <c r="T737" s="63" t="s">
        <v>6754</v>
      </c>
      <c r="U737" s="63">
        <v>398</v>
      </c>
      <c r="V737" s="70">
        <v>44471</v>
      </c>
      <c r="W737" s="70">
        <v>44000</v>
      </c>
      <c r="X737" s="83" t="s">
        <v>6331</v>
      </c>
      <c r="Y737" s="70">
        <f t="shared" si="12"/>
        <v>35000</v>
      </c>
      <c r="Z737" s="63" t="s">
        <v>5866</v>
      </c>
      <c r="AA737" s="59">
        <v>3</v>
      </c>
      <c r="AB737" s="59">
        <v>3</v>
      </c>
      <c r="AC737" s="67" t="s">
        <v>333</v>
      </c>
      <c r="AD737" s="61" t="s">
        <v>5904</v>
      </c>
      <c r="AE737" s="71"/>
      <c r="AF737" s="71"/>
      <c r="AG737" s="71"/>
      <c r="AH737" s="71"/>
      <c r="AI737" s="71"/>
      <c r="AJ737" s="71"/>
      <c r="AK737" s="71" t="s">
        <v>7856</v>
      </c>
      <c r="AL737">
        <f t="shared" ref="AL737:AL768" si="13">IF(AND(ISNUMBER($S737),$S737&gt;0,ISNUMBER($K737),ISNUMBER($J737)),($K737*$J737)/$S737,"")</f>
        <v>149100</v>
      </c>
    </row>
    <row r="738" spans="1:38">
      <c r="A738" s="62">
        <v>8</v>
      </c>
      <c r="B738" s="93">
        <v>730</v>
      </c>
      <c r="C738" s="68" t="s">
        <v>7475</v>
      </c>
      <c r="D738" s="59" t="s">
        <v>7857</v>
      </c>
      <c r="E738" s="72" t="s">
        <v>5862</v>
      </c>
      <c r="F738" s="73" t="s">
        <v>7858</v>
      </c>
      <c r="G738" s="82">
        <v>47.1</v>
      </c>
      <c r="H738" s="67">
        <v>9201</v>
      </c>
      <c r="I738" s="69">
        <v>0</v>
      </c>
      <c r="J738" s="70">
        <v>8754</v>
      </c>
      <c r="K738" s="75">
        <v>3.4270047978067169</v>
      </c>
      <c r="L738" s="74">
        <v>0</v>
      </c>
      <c r="M738" s="76">
        <v>0</v>
      </c>
      <c r="N738" s="67">
        <v>1986</v>
      </c>
      <c r="O738" s="64">
        <v>1400</v>
      </c>
      <c r="Q738" s="59">
        <v>18</v>
      </c>
      <c r="R738" s="59">
        <v>8</v>
      </c>
      <c r="S738" s="59">
        <v>1</v>
      </c>
      <c r="T738" s="63" t="s">
        <v>6759</v>
      </c>
      <c r="U738" s="63">
        <v>401</v>
      </c>
      <c r="V738" s="70">
        <v>14062</v>
      </c>
      <c r="W738" s="70">
        <v>14000</v>
      </c>
      <c r="X738" s="83" t="s">
        <v>5896</v>
      </c>
      <c r="Y738" s="70">
        <f t="shared" si="12"/>
        <v>9000</v>
      </c>
      <c r="Z738" s="63" t="s">
        <v>5866</v>
      </c>
      <c r="AA738" s="59">
        <v>3</v>
      </c>
      <c r="AB738" s="59">
        <v>3</v>
      </c>
      <c r="AC738" s="67" t="s">
        <v>333</v>
      </c>
      <c r="AD738" s="61" t="s">
        <v>181</v>
      </c>
      <c r="AE738" s="71"/>
      <c r="AF738" s="71"/>
      <c r="AG738" s="71"/>
      <c r="AH738" s="71"/>
      <c r="AI738" s="71"/>
      <c r="AJ738" s="71"/>
      <c r="AK738" s="71" t="s">
        <v>7859</v>
      </c>
      <c r="AL738">
        <f t="shared" si="13"/>
        <v>30000</v>
      </c>
    </row>
    <row r="739" spans="1:38">
      <c r="A739" s="62">
        <v>8</v>
      </c>
      <c r="B739" s="93">
        <v>731</v>
      </c>
      <c r="C739" s="68" t="s">
        <v>7475</v>
      </c>
      <c r="D739" s="59" t="s">
        <v>7860</v>
      </c>
      <c r="E739" s="72" t="s">
        <v>5862</v>
      </c>
      <c r="F739" s="73" t="s">
        <v>7861</v>
      </c>
      <c r="G739" s="82">
        <v>44.3</v>
      </c>
      <c r="H739" s="67">
        <v>9201</v>
      </c>
      <c r="I739" s="69">
        <v>0</v>
      </c>
      <c r="J739" s="70">
        <v>12000</v>
      </c>
      <c r="K739" s="75">
        <v>8.5</v>
      </c>
      <c r="L739" s="74">
        <v>0</v>
      </c>
      <c r="M739" s="76">
        <v>3.9970588235294119E-2</v>
      </c>
      <c r="N739" s="67">
        <v>1928</v>
      </c>
      <c r="P739" s="64">
        <v>3625</v>
      </c>
      <c r="Q739" s="59">
        <v>17</v>
      </c>
      <c r="R739" s="59">
        <v>3</v>
      </c>
      <c r="S739" s="59">
        <v>10</v>
      </c>
      <c r="T739" s="63" t="s">
        <v>6759</v>
      </c>
      <c r="U739" s="63">
        <v>398</v>
      </c>
      <c r="V739" s="70">
        <v>291789</v>
      </c>
      <c r="W739" s="70">
        <v>290000</v>
      </c>
      <c r="X739" s="83" t="s">
        <v>5938</v>
      </c>
      <c r="Y739" s="70">
        <f t="shared" si="12"/>
        <v>12000</v>
      </c>
      <c r="Z739" s="63" t="s">
        <v>5866</v>
      </c>
      <c r="AA739" s="59">
        <v>3</v>
      </c>
      <c r="AB739" s="59">
        <v>3</v>
      </c>
      <c r="AC739" s="67" t="s">
        <v>333</v>
      </c>
      <c r="AD739" s="61" t="s">
        <v>181</v>
      </c>
      <c r="AE739" s="71"/>
      <c r="AF739" s="71"/>
      <c r="AG739" s="71"/>
      <c r="AH739" s="71"/>
      <c r="AI739" s="71"/>
      <c r="AJ739" s="71"/>
      <c r="AK739" s="71" t="s">
        <v>7830</v>
      </c>
      <c r="AL739">
        <f t="shared" si="13"/>
        <v>10200</v>
      </c>
    </row>
    <row r="740" spans="1:38">
      <c r="A740" s="62">
        <v>8</v>
      </c>
      <c r="B740" s="93">
        <v>732</v>
      </c>
      <c r="C740" s="68" t="s">
        <v>7475</v>
      </c>
      <c r="D740" s="59" t="s">
        <v>7862</v>
      </c>
      <c r="E740" s="72" t="s">
        <v>5862</v>
      </c>
      <c r="F740" s="73" t="s">
        <v>7863</v>
      </c>
      <c r="G740" s="82">
        <v>44.2</v>
      </c>
      <c r="H740" s="67">
        <v>9201</v>
      </c>
      <c r="I740" s="69">
        <v>0</v>
      </c>
      <c r="J740" s="70">
        <v>3850</v>
      </c>
      <c r="K740" s="75">
        <v>6.3457142857142861</v>
      </c>
      <c r="L740" s="74">
        <v>0</v>
      </c>
      <c r="M740" s="76">
        <v>0</v>
      </c>
      <c r="N740" s="67">
        <v>1981</v>
      </c>
      <c r="P740" s="64">
        <v>486</v>
      </c>
      <c r="Q740" s="59">
        <v>16</v>
      </c>
      <c r="R740" s="59">
        <v>7</v>
      </c>
      <c r="S740" s="59">
        <v>1</v>
      </c>
      <c r="T740" s="63" t="s">
        <v>6759</v>
      </c>
      <c r="U740" s="63">
        <v>398</v>
      </c>
      <c r="V740" s="70">
        <v>26453</v>
      </c>
      <c r="W740" s="70">
        <v>26000</v>
      </c>
      <c r="X740" s="83" t="s">
        <v>7864</v>
      </c>
      <c r="Y740" s="70">
        <f t="shared" si="12"/>
        <v>4000</v>
      </c>
      <c r="Z740" s="63" t="s">
        <v>5866</v>
      </c>
      <c r="AA740" s="59">
        <v>3</v>
      </c>
      <c r="AB740" s="59">
        <v>3</v>
      </c>
      <c r="AC740" s="67" t="s">
        <v>333</v>
      </c>
      <c r="AD740" s="61" t="s">
        <v>5904</v>
      </c>
      <c r="AE740" s="71"/>
      <c r="AF740" s="71"/>
      <c r="AG740" s="71"/>
      <c r="AH740" s="71"/>
      <c r="AI740" s="71"/>
      <c r="AJ740" s="71"/>
      <c r="AK740" s="71" t="s">
        <v>7856</v>
      </c>
      <c r="AL740">
        <f t="shared" si="13"/>
        <v>24431</v>
      </c>
    </row>
    <row r="741" spans="1:38">
      <c r="A741" s="62">
        <v>8</v>
      </c>
      <c r="B741" s="93">
        <v>733</v>
      </c>
      <c r="C741" s="68" t="s">
        <v>7475</v>
      </c>
      <c r="D741" s="59" t="s">
        <v>7865</v>
      </c>
      <c r="E741" s="72" t="s">
        <v>5862</v>
      </c>
      <c r="F741" s="73" t="s">
        <v>7866</v>
      </c>
      <c r="G741" s="82">
        <v>44.1</v>
      </c>
      <c r="H741" s="67">
        <v>9201</v>
      </c>
      <c r="I741" s="69">
        <v>0</v>
      </c>
      <c r="J741" s="70">
        <v>18000</v>
      </c>
      <c r="K741" s="75">
        <v>5</v>
      </c>
      <c r="L741" s="74">
        <v>0</v>
      </c>
      <c r="M741" s="76">
        <v>0</v>
      </c>
      <c r="N741" s="67">
        <v>1969</v>
      </c>
      <c r="O741" s="64">
        <v>3944</v>
      </c>
      <c r="Q741" s="59">
        <v>15</v>
      </c>
      <c r="R741" s="59">
        <v>1</v>
      </c>
      <c r="S741" s="59">
        <v>1</v>
      </c>
      <c r="T741" s="63" t="s">
        <v>6754</v>
      </c>
      <c r="U741" s="63">
        <v>398</v>
      </c>
      <c r="V741" s="70">
        <v>29936</v>
      </c>
      <c r="W741" s="70">
        <v>30000</v>
      </c>
      <c r="X741" s="83" t="s">
        <v>5896</v>
      </c>
      <c r="Y741" s="70">
        <f t="shared" si="12"/>
        <v>18000</v>
      </c>
      <c r="Z741" s="63" t="s">
        <v>5866</v>
      </c>
      <c r="AA741" s="59">
        <v>3</v>
      </c>
      <c r="AB741" s="59">
        <v>3</v>
      </c>
      <c r="AC741" s="67" t="s">
        <v>333</v>
      </c>
      <c r="AD741" s="61" t="s">
        <v>181</v>
      </c>
      <c r="AE741" s="71"/>
      <c r="AF741" s="71"/>
      <c r="AG741" s="71"/>
      <c r="AH741" s="71"/>
      <c r="AI741" s="71"/>
      <c r="AJ741" s="71"/>
      <c r="AK741" s="71" t="s">
        <v>7867</v>
      </c>
      <c r="AL741">
        <f t="shared" si="13"/>
        <v>90000</v>
      </c>
    </row>
    <row r="742" spans="1:38">
      <c r="A742" s="62">
        <v>8</v>
      </c>
      <c r="B742" s="93">
        <v>734</v>
      </c>
      <c r="C742" s="68" t="s">
        <v>7475</v>
      </c>
      <c r="D742" s="59" t="s">
        <v>7868</v>
      </c>
      <c r="E742" s="72" t="s">
        <v>5862</v>
      </c>
      <c r="F742" s="73" t="s">
        <v>7869</v>
      </c>
      <c r="G742" s="82">
        <v>43.1</v>
      </c>
      <c r="H742" s="67">
        <v>9201</v>
      </c>
      <c r="I742" s="69">
        <v>0</v>
      </c>
      <c r="J742" s="70">
        <v>13201</v>
      </c>
      <c r="K742" s="75">
        <v>5.7722899780319672</v>
      </c>
      <c r="L742" s="74">
        <v>0</v>
      </c>
      <c r="M742" s="76">
        <v>0</v>
      </c>
      <c r="N742" s="67">
        <v>1954</v>
      </c>
      <c r="O742" s="64">
        <v>3100</v>
      </c>
      <c r="Q742" s="59">
        <v>13</v>
      </c>
      <c r="R742" s="59">
        <v>3</v>
      </c>
      <c r="S742" s="59">
        <v>1</v>
      </c>
      <c r="T742" s="63" t="s">
        <v>6754</v>
      </c>
      <c r="U742" s="63">
        <v>401</v>
      </c>
      <c r="V742" s="70">
        <v>20801</v>
      </c>
      <c r="W742" s="70">
        <v>21000</v>
      </c>
      <c r="X742" s="83" t="s">
        <v>5896</v>
      </c>
      <c r="Y742" s="70">
        <f t="shared" si="12"/>
        <v>13000</v>
      </c>
      <c r="Z742" s="63" t="s">
        <v>5866</v>
      </c>
      <c r="AA742" s="59">
        <v>3</v>
      </c>
      <c r="AB742" s="59">
        <v>3</v>
      </c>
      <c r="AC742" s="67" t="s">
        <v>333</v>
      </c>
      <c r="AD742" s="61" t="s">
        <v>7870</v>
      </c>
      <c r="AE742" s="71"/>
      <c r="AF742" s="71"/>
      <c r="AG742" s="71"/>
      <c r="AH742" s="71"/>
      <c r="AI742" s="71"/>
      <c r="AJ742" s="71"/>
      <c r="AK742" s="71" t="s">
        <v>7871</v>
      </c>
      <c r="AL742">
        <f t="shared" si="13"/>
        <v>76200</v>
      </c>
    </row>
    <row r="743" spans="1:38">
      <c r="A743" s="62">
        <v>8</v>
      </c>
      <c r="B743" s="93">
        <v>735</v>
      </c>
      <c r="C743" s="68" t="s">
        <v>7475</v>
      </c>
      <c r="D743" s="59" t="s">
        <v>6273</v>
      </c>
      <c r="E743" s="72" t="s">
        <v>5862</v>
      </c>
      <c r="F743" s="73" t="s">
        <v>6274</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6754</v>
      </c>
      <c r="U743" s="63">
        <v>398</v>
      </c>
      <c r="V743" s="70">
        <v>24533</v>
      </c>
      <c r="W743" s="70">
        <v>25000</v>
      </c>
      <c r="X743" s="83" t="s">
        <v>6091</v>
      </c>
      <c r="Y743" s="70">
        <f t="shared" si="12"/>
        <v>4000</v>
      </c>
      <c r="Z743" s="63" t="s">
        <v>5866</v>
      </c>
      <c r="AA743" s="59">
        <v>2</v>
      </c>
      <c r="AB743" s="59">
        <v>3</v>
      </c>
      <c r="AC743" s="67" t="s">
        <v>284</v>
      </c>
      <c r="AD743" s="61" t="s">
        <v>6275</v>
      </c>
      <c r="AE743" s="71"/>
      <c r="AF743" s="71"/>
      <c r="AG743" s="71"/>
      <c r="AH743" s="71"/>
      <c r="AI743" s="71"/>
      <c r="AJ743" s="71"/>
      <c r="AK743" s="71" t="s">
        <v>7872</v>
      </c>
      <c r="AL743">
        <f t="shared" si="13"/>
        <v>26400</v>
      </c>
    </row>
    <row r="744" spans="1:38">
      <c r="A744" s="62">
        <v>8</v>
      </c>
      <c r="B744" s="93">
        <v>736</v>
      </c>
      <c r="C744" s="68" t="s">
        <v>7475</v>
      </c>
      <c r="D744" s="59" t="s">
        <v>7062</v>
      </c>
      <c r="E744" s="72" t="s">
        <v>5862</v>
      </c>
      <c r="F744" s="73" t="s">
        <v>7873</v>
      </c>
      <c r="G744" s="82">
        <v>47.2</v>
      </c>
      <c r="H744" s="67">
        <v>9201</v>
      </c>
      <c r="I744" s="69">
        <v>0</v>
      </c>
      <c r="J744" s="70">
        <v>18566</v>
      </c>
      <c r="K744" s="75">
        <v>3.192933318970161</v>
      </c>
      <c r="L744" s="74">
        <v>0</v>
      </c>
      <c r="M744" s="76">
        <v>0</v>
      </c>
      <c r="N744" s="67">
        <v>1950</v>
      </c>
      <c r="O744" s="64">
        <v>1000</v>
      </c>
      <c r="Q744" s="59">
        <v>18</v>
      </c>
      <c r="R744" s="59">
        <v>10</v>
      </c>
      <c r="S744" s="59">
        <v>1</v>
      </c>
      <c r="T744" s="63" t="s">
        <v>6754</v>
      </c>
      <c r="U744" s="63">
        <v>401</v>
      </c>
      <c r="V744" s="70">
        <v>32937</v>
      </c>
      <c r="W744" s="70">
        <v>33000</v>
      </c>
      <c r="X744" s="83" t="s">
        <v>6091</v>
      </c>
      <c r="Y744" s="70">
        <f t="shared" si="12"/>
        <v>19000</v>
      </c>
      <c r="Z744" s="63" t="s">
        <v>5866</v>
      </c>
      <c r="AA744" s="59">
        <v>2</v>
      </c>
      <c r="AB744" s="59">
        <v>3</v>
      </c>
      <c r="AC744" s="67" t="s">
        <v>284</v>
      </c>
      <c r="AD744" s="61" t="s">
        <v>181</v>
      </c>
      <c r="AE744" s="71"/>
      <c r="AF744" s="71"/>
      <c r="AG744" s="71"/>
      <c r="AH744" s="71"/>
      <c r="AI744" s="71"/>
      <c r="AJ744" s="71"/>
      <c r="AK744" s="71" t="s">
        <v>7874</v>
      </c>
      <c r="AL744">
        <f t="shared" si="13"/>
        <v>59280.000000000007</v>
      </c>
    </row>
    <row r="745" spans="1:38">
      <c r="A745" s="62">
        <v>8</v>
      </c>
      <c r="B745" s="93">
        <v>737</v>
      </c>
      <c r="C745" s="68" t="s">
        <v>7475</v>
      </c>
      <c r="D745" s="59" t="s">
        <v>7875</v>
      </c>
      <c r="E745" s="72" t="s">
        <v>5862</v>
      </c>
      <c r="F745" s="73" t="s">
        <v>7876</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6754</v>
      </c>
      <c r="U745" s="63">
        <v>398</v>
      </c>
      <c r="V745" s="70">
        <v>9375</v>
      </c>
      <c r="W745" s="70">
        <v>9000</v>
      </c>
      <c r="X745" s="83" t="s">
        <v>6891</v>
      </c>
      <c r="Y745" s="70">
        <f t="shared" si="12"/>
        <v>10000</v>
      </c>
      <c r="Z745" s="63" t="s">
        <v>5866</v>
      </c>
      <c r="AA745" s="59">
        <v>3</v>
      </c>
      <c r="AB745" s="59">
        <v>1</v>
      </c>
      <c r="AC745" s="67" t="s">
        <v>323</v>
      </c>
      <c r="AD745" s="61" t="s">
        <v>7877</v>
      </c>
      <c r="AE745" s="71"/>
      <c r="AF745" s="71"/>
      <c r="AG745" s="71"/>
      <c r="AH745" s="71"/>
      <c r="AI745" s="71"/>
      <c r="AJ745" s="71"/>
      <c r="AK745" s="71" t="s">
        <v>7486</v>
      </c>
      <c r="AL745">
        <f t="shared" si="13"/>
        <v>65835.000000000015</v>
      </c>
    </row>
    <row r="746" spans="1:38">
      <c r="A746" s="62">
        <v>8</v>
      </c>
      <c r="B746" s="93">
        <v>738</v>
      </c>
      <c r="C746" s="68" t="s">
        <v>7475</v>
      </c>
      <c r="D746" s="59" t="s">
        <v>6299</v>
      </c>
      <c r="E746" s="72" t="s">
        <v>5862</v>
      </c>
      <c r="F746" s="73" t="s">
        <v>6300</v>
      </c>
      <c r="G746" s="82">
        <v>44.2</v>
      </c>
      <c r="H746" s="67">
        <v>9201</v>
      </c>
      <c r="I746" s="69">
        <v>0</v>
      </c>
      <c r="J746" s="70">
        <v>10591</v>
      </c>
      <c r="K746" s="75">
        <v>4.7021055613256539</v>
      </c>
      <c r="L746" s="74">
        <v>0</v>
      </c>
      <c r="M746" s="76">
        <v>0</v>
      </c>
      <c r="N746" s="67">
        <v>1970</v>
      </c>
      <c r="O746" s="64">
        <v>760</v>
      </c>
      <c r="Q746" s="59">
        <v>13</v>
      </c>
      <c r="R746" s="59">
        <v>3</v>
      </c>
      <c r="S746" s="59">
        <v>1</v>
      </c>
      <c r="T746" s="63" t="s">
        <v>6757</v>
      </c>
      <c r="U746" s="63">
        <v>398</v>
      </c>
      <c r="V746" s="70">
        <v>19013</v>
      </c>
      <c r="W746" s="70">
        <v>19000</v>
      </c>
      <c r="X746" s="83" t="s">
        <v>6091</v>
      </c>
      <c r="Y746" s="70">
        <f t="shared" si="12"/>
        <v>11000</v>
      </c>
      <c r="Z746" s="63" t="s">
        <v>5866</v>
      </c>
      <c r="AA746" s="59">
        <v>3</v>
      </c>
      <c r="AB746" s="59">
        <v>3</v>
      </c>
      <c r="AC746" s="67" t="s">
        <v>333</v>
      </c>
      <c r="AD746" s="61" t="s">
        <v>6301</v>
      </c>
      <c r="AE746" s="71"/>
      <c r="AF746" s="71"/>
      <c r="AG746" s="71"/>
      <c r="AH746" s="71"/>
      <c r="AI746" s="71"/>
      <c r="AJ746" s="71"/>
      <c r="AK746" s="71" t="s">
        <v>7486</v>
      </c>
      <c r="AL746">
        <f t="shared" si="13"/>
        <v>49800</v>
      </c>
    </row>
    <row r="747" spans="1:38">
      <c r="A747" s="62">
        <v>8</v>
      </c>
      <c r="B747" s="93">
        <v>739</v>
      </c>
      <c r="C747" s="68" t="s">
        <v>7475</v>
      </c>
      <c r="D747" s="59" t="s">
        <v>7878</v>
      </c>
      <c r="E747" s="72" t="s">
        <v>5862</v>
      </c>
      <c r="F747" s="73" t="s">
        <v>7879</v>
      </c>
      <c r="G747" s="82">
        <v>44.2</v>
      </c>
      <c r="H747" s="67">
        <v>9201</v>
      </c>
      <c r="I747" s="69">
        <v>0</v>
      </c>
      <c r="J747" s="70">
        <v>11135</v>
      </c>
      <c r="K747" s="75">
        <v>11.813560844185</v>
      </c>
      <c r="L747" s="74">
        <v>0</v>
      </c>
      <c r="M747" s="76">
        <v>0</v>
      </c>
      <c r="N747" s="67">
        <v>1977</v>
      </c>
      <c r="O747" s="64">
        <v>2178</v>
      </c>
      <c r="Q747" s="59">
        <v>14</v>
      </c>
      <c r="R747" s="59">
        <v>3</v>
      </c>
      <c r="S747" s="59">
        <v>1</v>
      </c>
      <c r="T747" s="63" t="s">
        <v>6754</v>
      </c>
      <c r="U747" s="63">
        <v>398</v>
      </c>
      <c r="V747" s="70">
        <v>26090</v>
      </c>
      <c r="W747" s="70">
        <v>26000</v>
      </c>
      <c r="X747" s="83" t="s">
        <v>5985</v>
      </c>
      <c r="Y747" s="70">
        <f t="shared" si="12"/>
        <v>11000</v>
      </c>
      <c r="Z747" s="63" t="s">
        <v>5866</v>
      </c>
      <c r="AA747" s="59">
        <v>3</v>
      </c>
      <c r="AB747" s="59">
        <v>3</v>
      </c>
      <c r="AC747" s="67" t="s">
        <v>333</v>
      </c>
      <c r="AD747" s="61" t="s">
        <v>7880</v>
      </c>
      <c r="AE747" s="71"/>
      <c r="AF747" s="71"/>
      <c r="AG747" s="71"/>
      <c r="AH747" s="71"/>
      <c r="AI747" s="71"/>
      <c r="AJ747" s="71"/>
      <c r="AK747" s="71" t="s">
        <v>7517</v>
      </c>
      <c r="AL747">
        <f t="shared" si="13"/>
        <v>131543.99999999997</v>
      </c>
    </row>
    <row r="748" spans="1:38">
      <c r="A748" s="62">
        <v>8</v>
      </c>
      <c r="B748" s="93">
        <v>740</v>
      </c>
      <c r="C748" s="68" t="s">
        <v>7475</v>
      </c>
      <c r="D748" s="59" t="s">
        <v>7881</v>
      </c>
      <c r="E748" s="72" t="s">
        <v>5862</v>
      </c>
      <c r="F748" s="73" t="s">
        <v>7882</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6754</v>
      </c>
      <c r="U748" s="63">
        <v>398</v>
      </c>
      <c r="V748" s="70">
        <v>32800</v>
      </c>
      <c r="W748" s="70">
        <v>33000</v>
      </c>
      <c r="X748" s="83" t="s">
        <v>6293</v>
      </c>
      <c r="Y748" s="70">
        <f t="shared" si="12"/>
        <v>10000</v>
      </c>
      <c r="Z748" s="63" t="s">
        <v>5866</v>
      </c>
      <c r="AA748" s="59">
        <v>3</v>
      </c>
      <c r="AB748" s="59">
        <v>3</v>
      </c>
      <c r="AC748" s="67" t="s">
        <v>333</v>
      </c>
      <c r="AD748" s="61" t="s">
        <v>7883</v>
      </c>
      <c r="AE748" s="71"/>
      <c r="AF748" s="71"/>
      <c r="AG748" s="71"/>
      <c r="AH748" s="71"/>
      <c r="AI748" s="71"/>
      <c r="AJ748" s="71"/>
      <c r="AK748" s="71" t="s">
        <v>7884</v>
      </c>
      <c r="AL748">
        <f t="shared" si="13"/>
        <v>71605</v>
      </c>
    </row>
    <row r="749" spans="1:38">
      <c r="A749" s="62">
        <v>8</v>
      </c>
      <c r="B749" s="93">
        <v>741</v>
      </c>
      <c r="C749" s="68" t="s">
        <v>7475</v>
      </c>
      <c r="D749" s="59" t="s">
        <v>7885</v>
      </c>
      <c r="E749" s="72" t="s">
        <v>5862</v>
      </c>
      <c r="F749" s="73" t="s">
        <v>7886</v>
      </c>
      <c r="G749" s="82">
        <v>44.2</v>
      </c>
      <c r="H749" s="67">
        <v>9201</v>
      </c>
      <c r="I749" s="69">
        <v>0</v>
      </c>
      <c r="J749" s="70">
        <v>9594</v>
      </c>
      <c r="K749" s="75">
        <v>9.0282468209297484</v>
      </c>
      <c r="L749" s="74">
        <v>0</v>
      </c>
      <c r="M749" s="76">
        <v>0</v>
      </c>
      <c r="N749" s="67">
        <v>1977</v>
      </c>
      <c r="O749" s="64">
        <v>4239</v>
      </c>
      <c r="Q749" s="59">
        <v>21</v>
      </c>
      <c r="R749" s="59">
        <v>14</v>
      </c>
      <c r="S749" s="59">
        <v>1</v>
      </c>
      <c r="T749" s="63" t="s">
        <v>6754</v>
      </c>
      <c r="U749" s="63">
        <v>398</v>
      </c>
      <c r="V749" s="70">
        <v>24615</v>
      </c>
      <c r="W749" s="70">
        <v>25000</v>
      </c>
      <c r="X749" s="83" t="s">
        <v>5952</v>
      </c>
      <c r="Y749" s="70">
        <f t="shared" si="12"/>
        <v>10000</v>
      </c>
      <c r="Z749" s="63" t="s">
        <v>5866</v>
      </c>
      <c r="AA749" s="59">
        <v>3</v>
      </c>
      <c r="AB749" s="59">
        <v>3</v>
      </c>
      <c r="AC749" s="67" t="s">
        <v>333</v>
      </c>
      <c r="AD749" s="61" t="s">
        <v>181</v>
      </c>
      <c r="AE749" s="71"/>
      <c r="AF749" s="71"/>
      <c r="AG749" s="71"/>
      <c r="AH749" s="71"/>
      <c r="AI749" s="71"/>
      <c r="AJ749" s="71"/>
      <c r="AK749" s="71" t="s">
        <v>7704</v>
      </c>
      <c r="AL749">
        <f t="shared" si="13"/>
        <v>86617</v>
      </c>
    </row>
    <row r="750" spans="1:38">
      <c r="A750" s="62">
        <v>8</v>
      </c>
      <c r="B750" s="93">
        <v>742</v>
      </c>
      <c r="C750" s="68" t="s">
        <v>7475</v>
      </c>
      <c r="D750" s="59" t="s">
        <v>6311</v>
      </c>
      <c r="E750" s="72" t="s">
        <v>5862</v>
      </c>
      <c r="F750" s="73" t="s">
        <v>6312</v>
      </c>
      <c r="G750" s="82">
        <v>44.1</v>
      </c>
      <c r="H750" s="67">
        <v>9210</v>
      </c>
      <c r="I750" s="69">
        <v>0</v>
      </c>
      <c r="J750" s="70">
        <v>8312</v>
      </c>
      <c r="K750" s="75">
        <v>4.3310875842155916</v>
      </c>
      <c r="L750" s="74">
        <v>0</v>
      </c>
      <c r="M750" s="76">
        <v>0</v>
      </c>
      <c r="N750" s="67">
        <v>1958</v>
      </c>
      <c r="O750" s="64">
        <v>1137</v>
      </c>
      <c r="Q750" s="59">
        <v>14</v>
      </c>
      <c r="R750" s="59">
        <v>3</v>
      </c>
      <c r="S750" s="59">
        <v>1</v>
      </c>
      <c r="T750" s="63" t="s">
        <v>6754</v>
      </c>
      <c r="U750" s="63">
        <v>398</v>
      </c>
      <c r="V750" s="70">
        <v>12488</v>
      </c>
      <c r="W750" s="70">
        <v>12000</v>
      </c>
      <c r="X750" s="83" t="s">
        <v>6065</v>
      </c>
      <c r="Y750" s="70">
        <f t="shared" si="12"/>
        <v>8000</v>
      </c>
      <c r="Z750" s="63" t="s">
        <v>5866</v>
      </c>
      <c r="AA750" s="59">
        <v>2</v>
      </c>
      <c r="AB750" s="59">
        <v>2</v>
      </c>
      <c r="AC750" s="67" t="s">
        <v>280</v>
      </c>
      <c r="AD750" s="61" t="s">
        <v>6313</v>
      </c>
      <c r="AE750" s="71"/>
      <c r="AF750" s="71"/>
      <c r="AG750" s="71"/>
      <c r="AH750" s="71"/>
      <c r="AI750" s="71"/>
      <c r="AJ750" s="71"/>
      <c r="AK750" s="71" t="s">
        <v>7486</v>
      </c>
      <c r="AL750">
        <f t="shared" si="13"/>
        <v>36000</v>
      </c>
    </row>
    <row r="751" spans="1:38">
      <c r="A751" s="62">
        <v>8</v>
      </c>
      <c r="B751" s="93">
        <v>743</v>
      </c>
      <c r="C751" s="68" t="s">
        <v>7475</v>
      </c>
      <c r="D751" s="59" t="s">
        <v>6314</v>
      </c>
      <c r="E751" s="72" t="s">
        <v>5862</v>
      </c>
      <c r="F751" s="73" t="s">
        <v>6315</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6759</v>
      </c>
      <c r="U751" s="63">
        <v>398</v>
      </c>
      <c r="V751" s="70">
        <v>18830</v>
      </c>
      <c r="W751" s="70">
        <v>19000</v>
      </c>
      <c r="X751" s="83" t="s">
        <v>5920</v>
      </c>
      <c r="Y751" s="70">
        <f t="shared" si="12"/>
        <v>8000</v>
      </c>
      <c r="Z751" s="63" t="s">
        <v>5866</v>
      </c>
      <c r="AA751" s="59">
        <v>3</v>
      </c>
      <c r="AB751" s="59">
        <v>3</v>
      </c>
      <c r="AC751" s="67" t="s">
        <v>333</v>
      </c>
      <c r="AD751" s="61" t="s">
        <v>6317</v>
      </c>
      <c r="AE751" s="71"/>
      <c r="AF751" s="71"/>
      <c r="AG751" s="71"/>
      <c r="AH751" s="71"/>
      <c r="AI751" s="71"/>
      <c r="AJ751" s="71"/>
      <c r="AK751" s="71" t="s">
        <v>7887</v>
      </c>
      <c r="AL751">
        <f t="shared" si="13"/>
        <v>45600</v>
      </c>
    </row>
    <row r="752" spans="1:38">
      <c r="A752" s="62">
        <v>8</v>
      </c>
      <c r="B752" s="93">
        <v>744</v>
      </c>
      <c r="C752" s="68" t="s">
        <v>7475</v>
      </c>
      <c r="D752" s="59" t="s">
        <v>7888</v>
      </c>
      <c r="E752" s="72" t="s">
        <v>5862</v>
      </c>
      <c r="F752" s="73" t="s">
        <v>7889</v>
      </c>
      <c r="G752" s="82">
        <v>44.1</v>
      </c>
      <c r="H752" s="67">
        <v>9210</v>
      </c>
      <c r="I752" s="69">
        <v>0</v>
      </c>
      <c r="J752" s="70">
        <v>7232</v>
      </c>
      <c r="K752" s="75">
        <v>6.0564159292035402</v>
      </c>
      <c r="L752" s="74">
        <v>0</v>
      </c>
      <c r="M752" s="76">
        <v>0</v>
      </c>
      <c r="N752" s="67">
        <v>1975</v>
      </c>
      <c r="O752" s="64" t="s">
        <v>181</v>
      </c>
      <c r="P752" s="64" t="s">
        <v>181</v>
      </c>
      <c r="Q752" s="59">
        <v>13</v>
      </c>
      <c r="R752" s="59">
        <v>3</v>
      </c>
      <c r="S752" s="59">
        <v>1</v>
      </c>
      <c r="T752" s="63" t="s">
        <v>6754</v>
      </c>
      <c r="U752" s="63">
        <v>398</v>
      </c>
      <c r="V752" s="70">
        <v>9375</v>
      </c>
      <c r="W752" s="70">
        <v>9000</v>
      </c>
      <c r="X752" s="83" t="s">
        <v>6331</v>
      </c>
      <c r="Y752" s="70">
        <f t="shared" si="12"/>
        <v>7000</v>
      </c>
      <c r="Z752" s="63" t="s">
        <v>5866</v>
      </c>
      <c r="AA752" s="59">
        <v>3</v>
      </c>
      <c r="AB752" s="59">
        <v>3</v>
      </c>
      <c r="AC752" s="67" t="s">
        <v>333</v>
      </c>
      <c r="AD752" s="61" t="s">
        <v>7890</v>
      </c>
      <c r="AE752" s="71"/>
      <c r="AF752" s="71"/>
      <c r="AG752" s="71"/>
      <c r="AH752" s="71"/>
      <c r="AI752" s="71"/>
      <c r="AJ752" s="71"/>
      <c r="AK752" s="71" t="s">
        <v>7486</v>
      </c>
      <c r="AL752">
        <f t="shared" si="13"/>
        <v>43800</v>
      </c>
    </row>
    <row r="753" spans="1:38">
      <c r="A753" s="62">
        <v>8</v>
      </c>
      <c r="B753" s="93">
        <v>745</v>
      </c>
      <c r="C753" s="68" t="s">
        <v>7475</v>
      </c>
      <c r="D753" s="59" t="s">
        <v>7891</v>
      </c>
      <c r="E753" s="72" t="s">
        <v>5862</v>
      </c>
      <c r="F753" s="73" t="s">
        <v>7892</v>
      </c>
      <c r="G753" s="82">
        <v>47.1</v>
      </c>
      <c r="H753" s="67">
        <v>9210</v>
      </c>
      <c r="I753" s="69">
        <v>0</v>
      </c>
      <c r="J753" s="70">
        <v>7331</v>
      </c>
      <c r="K753" s="75">
        <v>4.9924976128768241</v>
      </c>
      <c r="L753" s="74">
        <v>0</v>
      </c>
      <c r="M753" s="76">
        <v>0</v>
      </c>
      <c r="N753" s="67">
        <v>1954</v>
      </c>
      <c r="O753" s="64">
        <v>672</v>
      </c>
      <c r="Q753" s="59">
        <v>20</v>
      </c>
      <c r="R753" s="59">
        <v>3</v>
      </c>
      <c r="S753" s="59">
        <v>1</v>
      </c>
      <c r="T753" s="63" t="s">
        <v>6754</v>
      </c>
      <c r="U753" s="63">
        <v>401</v>
      </c>
      <c r="V753" s="70">
        <v>21875</v>
      </c>
      <c r="W753" s="70">
        <v>22000</v>
      </c>
      <c r="X753" s="83" t="s">
        <v>6791</v>
      </c>
      <c r="Y753" s="70">
        <f t="shared" si="12"/>
        <v>7000</v>
      </c>
      <c r="Z753" s="63" t="s">
        <v>7893</v>
      </c>
      <c r="AA753" s="59">
        <v>3</v>
      </c>
      <c r="AB753" s="59">
        <v>3</v>
      </c>
      <c r="AC753" s="67" t="s">
        <v>333</v>
      </c>
      <c r="AD753" s="61" t="s">
        <v>181</v>
      </c>
      <c r="AE753" s="71"/>
      <c r="AF753" s="71"/>
      <c r="AG753" s="71"/>
      <c r="AH753" s="71"/>
      <c r="AI753" s="71"/>
      <c r="AJ753" s="71"/>
      <c r="AK753" s="71" t="s">
        <v>7894</v>
      </c>
      <c r="AL753">
        <f t="shared" si="13"/>
        <v>36600</v>
      </c>
    </row>
    <row r="754" spans="1:38">
      <c r="A754" s="62">
        <v>8</v>
      </c>
      <c r="B754" s="93">
        <v>746</v>
      </c>
      <c r="C754" s="68" t="s">
        <v>7475</v>
      </c>
      <c r="D754" s="59" t="s">
        <v>7895</v>
      </c>
      <c r="E754" s="72" t="s">
        <v>5862</v>
      </c>
      <c r="F754" s="73" t="s">
        <v>7896</v>
      </c>
      <c r="G754" s="82">
        <v>44.1</v>
      </c>
      <c r="H754" s="67">
        <v>9210</v>
      </c>
      <c r="I754" s="69">
        <v>0</v>
      </c>
      <c r="J754" s="70">
        <v>7200</v>
      </c>
      <c r="K754" s="75">
        <v>7</v>
      </c>
      <c r="L754" s="74">
        <v>0</v>
      </c>
      <c r="M754" s="76">
        <v>0</v>
      </c>
      <c r="N754" s="67">
        <v>1972</v>
      </c>
      <c r="O754" s="64">
        <v>1037</v>
      </c>
      <c r="Q754" s="59">
        <v>16</v>
      </c>
      <c r="R754" s="59">
        <v>7</v>
      </c>
      <c r="S754" s="59">
        <v>1</v>
      </c>
      <c r="T754" s="63" t="s">
        <v>6754</v>
      </c>
      <c r="U754" s="63">
        <v>398</v>
      </c>
      <c r="V754" s="70">
        <v>18750</v>
      </c>
      <c r="W754" s="70">
        <v>19000</v>
      </c>
      <c r="X754" s="83" t="s">
        <v>5952</v>
      </c>
      <c r="Y754" s="70">
        <f t="shared" si="12"/>
        <v>7000</v>
      </c>
      <c r="Z754" s="63" t="s">
        <v>5866</v>
      </c>
      <c r="AA754" s="59">
        <v>3</v>
      </c>
      <c r="AB754" s="59">
        <v>3</v>
      </c>
      <c r="AC754" s="67" t="s">
        <v>333</v>
      </c>
      <c r="AD754" s="61" t="s">
        <v>7897</v>
      </c>
      <c r="AE754" s="71"/>
      <c r="AF754" s="71"/>
      <c r="AG754" s="71"/>
      <c r="AH754" s="71"/>
      <c r="AI754" s="71"/>
      <c r="AJ754" s="71"/>
      <c r="AK754" s="71" t="s">
        <v>7898</v>
      </c>
      <c r="AL754">
        <f t="shared" si="13"/>
        <v>50400</v>
      </c>
    </row>
    <row r="755" spans="1:38">
      <c r="A755" s="62">
        <v>8</v>
      </c>
      <c r="B755" s="93">
        <v>747</v>
      </c>
      <c r="C755" s="68" t="s">
        <v>7475</v>
      </c>
      <c r="D755" s="59" t="s">
        <v>6318</v>
      </c>
      <c r="E755" s="72" t="s">
        <v>5862</v>
      </c>
      <c r="F755" s="73" t="s">
        <v>6319</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6754</v>
      </c>
      <c r="U755" s="63">
        <v>398</v>
      </c>
      <c r="V755" s="70">
        <v>17625</v>
      </c>
      <c r="W755" s="70">
        <v>18000</v>
      </c>
      <c r="X755" s="83" t="s">
        <v>6816</v>
      </c>
      <c r="Y755" s="70">
        <f t="shared" si="12"/>
        <v>4000</v>
      </c>
      <c r="Z755" s="63" t="s">
        <v>5866</v>
      </c>
      <c r="AA755" s="59">
        <v>3</v>
      </c>
      <c r="AB755" s="59">
        <v>3</v>
      </c>
      <c r="AC755" s="67" t="s">
        <v>333</v>
      </c>
      <c r="AD755" s="61" t="s">
        <v>6320</v>
      </c>
      <c r="AE755" s="71"/>
      <c r="AF755" s="71"/>
      <c r="AG755" s="71"/>
      <c r="AH755" s="71"/>
      <c r="AI755" s="71"/>
      <c r="AJ755" s="71"/>
      <c r="AK755" s="71" t="s">
        <v>7486</v>
      </c>
      <c r="AL755">
        <f t="shared" si="13"/>
        <v>20400</v>
      </c>
    </row>
    <row r="756" spans="1:38">
      <c r="A756" s="62">
        <v>8</v>
      </c>
      <c r="B756" s="93">
        <v>748</v>
      </c>
      <c r="C756" s="68" t="s">
        <v>7475</v>
      </c>
      <c r="D756" s="59" t="s">
        <v>7899</v>
      </c>
      <c r="E756" s="72" t="s">
        <v>5862</v>
      </c>
      <c r="F756" s="73" t="s">
        <v>7900</v>
      </c>
      <c r="G756" s="82">
        <v>44.1</v>
      </c>
      <c r="H756" s="67">
        <v>9210</v>
      </c>
      <c r="I756" s="69">
        <v>0</v>
      </c>
      <c r="J756" s="70">
        <v>8500</v>
      </c>
      <c r="K756" s="75">
        <v>7.0588235294117636</v>
      </c>
      <c r="L756" s="74">
        <v>0</v>
      </c>
      <c r="M756" s="76">
        <v>0</v>
      </c>
      <c r="N756" s="67">
        <v>1976</v>
      </c>
      <c r="O756" s="64">
        <v>1200</v>
      </c>
      <c r="Q756" s="59">
        <v>13</v>
      </c>
      <c r="R756" s="59">
        <v>3</v>
      </c>
      <c r="S756" s="59">
        <v>1</v>
      </c>
      <c r="T756" s="63" t="s">
        <v>6754</v>
      </c>
      <c r="U756" s="63">
        <v>398</v>
      </c>
      <c r="V756" s="70">
        <v>9375</v>
      </c>
      <c r="W756" s="70">
        <v>9000</v>
      </c>
      <c r="X756" s="83" t="s">
        <v>5896</v>
      </c>
      <c r="Y756" s="70">
        <f t="shared" si="12"/>
        <v>9000</v>
      </c>
      <c r="Z756" s="63" t="s">
        <v>5866</v>
      </c>
      <c r="AA756" s="59">
        <v>3</v>
      </c>
      <c r="AB756" s="59">
        <v>3</v>
      </c>
      <c r="AC756" s="67" t="s">
        <v>333</v>
      </c>
      <c r="AD756" s="61" t="s">
        <v>7901</v>
      </c>
      <c r="AE756" s="71"/>
      <c r="AF756" s="71"/>
      <c r="AG756" s="71"/>
      <c r="AH756" s="71"/>
      <c r="AI756" s="71"/>
      <c r="AJ756" s="71"/>
      <c r="AK756" s="71" t="s">
        <v>7571</v>
      </c>
      <c r="AL756">
        <f t="shared" si="13"/>
        <v>59999.999999999993</v>
      </c>
    </row>
    <row r="757" spans="1:38">
      <c r="A757" s="62">
        <v>8</v>
      </c>
      <c r="B757" s="93">
        <v>749</v>
      </c>
      <c r="C757" s="68" t="s">
        <v>7475</v>
      </c>
      <c r="D757" s="59" t="s">
        <v>6321</v>
      </c>
      <c r="E757" s="72" t="s">
        <v>5862</v>
      </c>
      <c r="F757" s="73" t="s">
        <v>6322</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6754</v>
      </c>
      <c r="U757" s="63">
        <v>398</v>
      </c>
      <c r="V757" s="70">
        <v>6250</v>
      </c>
      <c r="W757" s="70">
        <v>6000</v>
      </c>
      <c r="X757" s="83" t="s">
        <v>6128</v>
      </c>
      <c r="Y757" s="70">
        <f t="shared" si="12"/>
        <v>5000</v>
      </c>
      <c r="Z757" s="63" t="s">
        <v>5866</v>
      </c>
      <c r="AA757" s="59">
        <v>2</v>
      </c>
      <c r="AB757" s="59">
        <v>1</v>
      </c>
      <c r="AC757" s="67" t="s">
        <v>276</v>
      </c>
      <c r="AD757" s="61" t="s">
        <v>181</v>
      </c>
      <c r="AE757" s="71"/>
      <c r="AF757" s="71"/>
      <c r="AG757" s="71"/>
      <c r="AH757" s="71"/>
      <c r="AI757" s="71"/>
      <c r="AJ757" s="71"/>
      <c r="AK757" s="71" t="s">
        <v>7537</v>
      </c>
      <c r="AL757">
        <f t="shared" si="13"/>
        <v>26399.999999999996</v>
      </c>
    </row>
    <row r="758" spans="1:38">
      <c r="A758" s="62">
        <v>8</v>
      </c>
      <c r="B758" s="93">
        <v>750</v>
      </c>
      <c r="C758" s="68" t="s">
        <v>7475</v>
      </c>
      <c r="D758" s="59" t="s">
        <v>7902</v>
      </c>
      <c r="E758" s="72" t="s">
        <v>5862</v>
      </c>
      <c r="F758" s="73" t="s">
        <v>7903</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6754</v>
      </c>
      <c r="U758" s="63">
        <v>391</v>
      </c>
      <c r="V758" s="70">
        <v>8560</v>
      </c>
      <c r="W758" s="70">
        <v>9000</v>
      </c>
      <c r="X758" s="83" t="s">
        <v>6091</v>
      </c>
      <c r="Y758" s="70">
        <f t="shared" si="12"/>
        <v>5000</v>
      </c>
      <c r="Z758" s="63" t="s">
        <v>5866</v>
      </c>
      <c r="AA758" s="59">
        <v>3</v>
      </c>
      <c r="AB758" s="59">
        <v>3</v>
      </c>
      <c r="AC758" s="67" t="s">
        <v>333</v>
      </c>
      <c r="AD758" s="61" t="s">
        <v>181</v>
      </c>
      <c r="AE758" s="71"/>
      <c r="AF758" s="71"/>
      <c r="AG758" s="71"/>
      <c r="AH758" s="71"/>
      <c r="AI758" s="71"/>
      <c r="AJ758" s="71"/>
      <c r="AK758" s="71" t="s">
        <v>7904</v>
      </c>
      <c r="AL758">
        <f t="shared" si="13"/>
        <v>36000</v>
      </c>
    </row>
    <row r="759" spans="1:38">
      <c r="A759" s="62">
        <v>8</v>
      </c>
      <c r="B759" s="93">
        <v>751</v>
      </c>
      <c r="C759" s="68" t="s">
        <v>7475</v>
      </c>
      <c r="D759" s="59" t="s">
        <v>6328</v>
      </c>
      <c r="E759" s="72" t="s">
        <v>5862</v>
      </c>
      <c r="F759" s="73" t="s">
        <v>6329</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6754</v>
      </c>
      <c r="U759" s="63">
        <v>398</v>
      </c>
      <c r="V759" s="70">
        <v>12500</v>
      </c>
      <c r="W759" s="70">
        <v>13000</v>
      </c>
      <c r="X759" s="83" t="s">
        <v>6331</v>
      </c>
      <c r="Y759" s="70">
        <f t="shared" si="12"/>
        <v>9000</v>
      </c>
      <c r="Z759" s="63" t="s">
        <v>5866</v>
      </c>
      <c r="AA759" s="59">
        <v>3</v>
      </c>
      <c r="AB759" s="59">
        <v>3</v>
      </c>
      <c r="AC759" s="67" t="s">
        <v>333</v>
      </c>
      <c r="AD759" s="61" t="s">
        <v>181</v>
      </c>
      <c r="AE759" s="71"/>
      <c r="AF759" s="71"/>
      <c r="AG759" s="71"/>
      <c r="AH759" s="71"/>
      <c r="AI759" s="71"/>
      <c r="AJ759" s="71"/>
      <c r="AK759" s="71" t="s">
        <v>7905</v>
      </c>
      <c r="AL759">
        <f t="shared" si="13"/>
        <v>98000</v>
      </c>
    </row>
    <row r="760" spans="1:38">
      <c r="A760" s="62">
        <v>8</v>
      </c>
      <c r="B760" s="93">
        <v>752</v>
      </c>
      <c r="C760" s="68" t="s">
        <v>7475</v>
      </c>
      <c r="D760" s="59" t="s">
        <v>7906</v>
      </c>
      <c r="E760" s="72" t="s">
        <v>5862</v>
      </c>
      <c r="F760" s="73" t="s">
        <v>7907</v>
      </c>
      <c r="G760" s="82">
        <v>44.1</v>
      </c>
      <c r="H760" s="67">
        <v>9210</v>
      </c>
      <c r="I760" s="69">
        <v>0</v>
      </c>
      <c r="J760" s="70">
        <v>3999</v>
      </c>
      <c r="K760" s="75">
        <v>6.301575393848462</v>
      </c>
      <c r="L760" s="74">
        <v>0</v>
      </c>
      <c r="M760" s="76">
        <v>0.13194444444444439</v>
      </c>
      <c r="N760" s="67">
        <v>1920</v>
      </c>
      <c r="O760" s="64">
        <v>1215</v>
      </c>
      <c r="P760" s="64" t="s">
        <v>181</v>
      </c>
      <c r="Q760" s="59">
        <v>14</v>
      </c>
      <c r="R760" s="59">
        <v>1</v>
      </c>
      <c r="S760" s="59">
        <v>1</v>
      </c>
      <c r="T760" s="63" t="s">
        <v>6754</v>
      </c>
      <c r="U760" s="63">
        <v>398</v>
      </c>
      <c r="V760" s="70">
        <v>18750</v>
      </c>
      <c r="W760" s="70">
        <v>19000</v>
      </c>
      <c r="X760" s="83" t="s">
        <v>7908</v>
      </c>
      <c r="Y760" s="70">
        <f t="shared" si="12"/>
        <v>4000</v>
      </c>
      <c r="Z760" s="63" t="s">
        <v>5866</v>
      </c>
      <c r="AA760" s="59">
        <v>3</v>
      </c>
      <c r="AB760" s="59">
        <v>3</v>
      </c>
      <c r="AC760" s="67" t="s">
        <v>333</v>
      </c>
      <c r="AD760" s="61" t="s">
        <v>7909</v>
      </c>
      <c r="AE760" s="71"/>
      <c r="AF760" s="71"/>
      <c r="AG760" s="71"/>
      <c r="AH760" s="71"/>
      <c r="AI760" s="71"/>
      <c r="AJ760" s="71"/>
      <c r="AK760" s="71" t="s">
        <v>7486</v>
      </c>
      <c r="AL760">
        <f t="shared" si="13"/>
        <v>25200</v>
      </c>
    </row>
    <row r="761" spans="1:38">
      <c r="A761" s="62">
        <v>8</v>
      </c>
      <c r="B761" s="93">
        <v>753</v>
      </c>
      <c r="C761" s="68" t="s">
        <v>7475</v>
      </c>
      <c r="D761" s="59" t="s">
        <v>6333</v>
      </c>
      <c r="E761" s="72" t="s">
        <v>5862</v>
      </c>
      <c r="F761" s="73" t="s">
        <v>6334</v>
      </c>
      <c r="G761" s="82">
        <v>44.5</v>
      </c>
      <c r="H761" s="67">
        <v>9210</v>
      </c>
      <c r="I761" s="69">
        <v>0</v>
      </c>
      <c r="J761" s="70">
        <v>22640</v>
      </c>
      <c r="K761" s="75">
        <v>7.7419169611307419</v>
      </c>
      <c r="L761" s="74">
        <v>0.06</v>
      </c>
      <c r="M761" s="76">
        <v>0.24077317617257249</v>
      </c>
      <c r="N761" s="67">
        <v>1950</v>
      </c>
      <c r="O761" s="64" t="s">
        <v>181</v>
      </c>
      <c r="Q761" s="59">
        <v>11</v>
      </c>
      <c r="R761" s="59">
        <v>1</v>
      </c>
      <c r="S761" s="59">
        <v>85</v>
      </c>
      <c r="T761" s="63" t="s">
        <v>6759</v>
      </c>
      <c r="U761" s="63">
        <v>396</v>
      </c>
      <c r="V761" s="70">
        <v>31250</v>
      </c>
      <c r="W761" s="70">
        <v>31000</v>
      </c>
      <c r="X761" s="83" t="s">
        <v>5938</v>
      </c>
      <c r="Y761" s="70">
        <f t="shared" si="12"/>
        <v>23000</v>
      </c>
      <c r="Z761" s="63" t="s">
        <v>5866</v>
      </c>
      <c r="AA761" s="59">
        <v>3</v>
      </c>
      <c r="AB761" s="59">
        <v>3</v>
      </c>
      <c r="AC761" s="67" t="s">
        <v>333</v>
      </c>
      <c r="AD761" s="61" t="s">
        <v>6335</v>
      </c>
      <c r="AE761" s="71"/>
      <c r="AF761" s="71"/>
      <c r="AG761" s="71"/>
      <c r="AH761" s="71"/>
      <c r="AI761" s="71"/>
      <c r="AJ761" s="71"/>
      <c r="AK761" s="71" t="s">
        <v>7910</v>
      </c>
      <c r="AL761">
        <f t="shared" si="13"/>
        <v>2062.0823529411764</v>
      </c>
    </row>
    <row r="762" spans="1:38">
      <c r="A762" s="62">
        <v>8</v>
      </c>
      <c r="B762" s="93">
        <v>754</v>
      </c>
      <c r="C762" s="68" t="s">
        <v>7475</v>
      </c>
      <c r="D762" s="59" t="s">
        <v>7911</v>
      </c>
      <c r="E762" s="72" t="s">
        <v>5862</v>
      </c>
      <c r="F762" s="73" t="s">
        <v>7912</v>
      </c>
      <c r="G762" s="82">
        <v>47.1</v>
      </c>
      <c r="H762" s="67">
        <v>9210</v>
      </c>
      <c r="I762" s="69">
        <v>0</v>
      </c>
      <c r="J762" s="70">
        <v>14065</v>
      </c>
      <c r="K762" s="75">
        <v>10.0551724137931</v>
      </c>
      <c r="L762" s="74">
        <v>0</v>
      </c>
      <c r="M762" s="76">
        <v>0</v>
      </c>
      <c r="N762" s="67">
        <v>2000</v>
      </c>
      <c r="O762" s="64">
        <v>2410</v>
      </c>
      <c r="Q762" s="59">
        <v>16</v>
      </c>
      <c r="R762" s="59">
        <v>3</v>
      </c>
      <c r="S762" s="59">
        <v>1</v>
      </c>
      <c r="T762" s="63" t="s">
        <v>6759</v>
      </c>
      <c r="U762" s="63">
        <v>401</v>
      </c>
      <c r="V762" s="70">
        <v>6875</v>
      </c>
      <c r="W762" s="70">
        <v>7000</v>
      </c>
      <c r="X762" s="83" t="s">
        <v>6398</v>
      </c>
      <c r="Y762" s="70">
        <f t="shared" si="12"/>
        <v>14000</v>
      </c>
      <c r="Z762" s="63" t="s">
        <v>5866</v>
      </c>
      <c r="AA762" s="59">
        <v>3</v>
      </c>
      <c r="AB762" s="59">
        <v>3</v>
      </c>
      <c r="AC762" s="67" t="s">
        <v>333</v>
      </c>
      <c r="AD762" s="61" t="s">
        <v>7913</v>
      </c>
      <c r="AE762" s="71"/>
      <c r="AF762" s="71"/>
      <c r="AG762" s="71"/>
      <c r="AH762" s="71"/>
      <c r="AI762" s="71"/>
      <c r="AJ762" s="71"/>
      <c r="AK762" s="71" t="s">
        <v>7914</v>
      </c>
      <c r="AL762">
        <f t="shared" si="13"/>
        <v>141425.99999999994</v>
      </c>
    </row>
    <row r="763" spans="1:38">
      <c r="A763" s="62">
        <v>8</v>
      </c>
      <c r="B763" s="93">
        <v>755</v>
      </c>
      <c r="C763" s="68" t="s">
        <v>7475</v>
      </c>
      <c r="D763" s="59" t="s">
        <v>6341</v>
      </c>
      <c r="E763" s="72" t="s">
        <v>5862</v>
      </c>
      <c r="F763" s="73" t="s">
        <v>6342</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6759</v>
      </c>
      <c r="U763" s="63">
        <v>398</v>
      </c>
      <c r="V763" s="70">
        <v>12500</v>
      </c>
      <c r="W763" s="70">
        <v>13000</v>
      </c>
      <c r="X763" s="83" t="s">
        <v>6182</v>
      </c>
      <c r="Y763" s="70">
        <f t="shared" si="12"/>
        <v>7000</v>
      </c>
      <c r="Z763" s="63" t="s">
        <v>5866</v>
      </c>
      <c r="AA763" s="59">
        <v>1</v>
      </c>
      <c r="AB763" s="59">
        <v>3</v>
      </c>
      <c r="AC763" s="67" t="s">
        <v>244</v>
      </c>
      <c r="AD763" s="61" t="s">
        <v>6344</v>
      </c>
      <c r="AE763" s="71"/>
      <c r="AF763" s="71"/>
      <c r="AG763" s="71"/>
      <c r="AH763" s="71"/>
      <c r="AI763" s="71"/>
      <c r="AJ763" s="71"/>
      <c r="AK763" s="71" t="s">
        <v>7486</v>
      </c>
      <c r="AL763">
        <f t="shared" si="13"/>
        <v>36000</v>
      </c>
    </row>
    <row r="764" spans="1:38">
      <c r="A764" s="62">
        <v>8</v>
      </c>
      <c r="B764" s="93">
        <v>756</v>
      </c>
      <c r="C764" s="68" t="s">
        <v>7475</v>
      </c>
      <c r="D764" s="59" t="s">
        <v>7915</v>
      </c>
      <c r="E764" s="72" t="s">
        <v>5862</v>
      </c>
      <c r="F764" s="73" t="s">
        <v>7916</v>
      </c>
      <c r="G764" s="82">
        <v>44.2</v>
      </c>
      <c r="H764" s="67">
        <v>9210</v>
      </c>
      <c r="I764" s="69">
        <v>0</v>
      </c>
      <c r="J764" s="70">
        <v>600</v>
      </c>
      <c r="K764" s="75">
        <v>13.2</v>
      </c>
      <c r="L764" s="74">
        <v>0</v>
      </c>
      <c r="M764" s="76">
        <v>0</v>
      </c>
      <c r="N764" s="67">
        <v>1942</v>
      </c>
      <c r="P764" s="64">
        <f>2531+246</f>
        <v>2777</v>
      </c>
      <c r="Q764" s="59">
        <v>16</v>
      </c>
      <c r="R764" s="59">
        <v>1</v>
      </c>
      <c r="S764" s="59">
        <v>1</v>
      </c>
      <c r="T764" s="63" t="s">
        <v>6759</v>
      </c>
      <c r="U764" s="63">
        <v>398</v>
      </c>
      <c r="V764" s="70">
        <v>12402</v>
      </c>
      <c r="W764" s="70">
        <v>12000</v>
      </c>
      <c r="X764" s="83" t="s">
        <v>5874</v>
      </c>
      <c r="Y764" s="70">
        <f>ROUND(J764,-2)</f>
        <v>600</v>
      </c>
      <c r="Z764" s="63" t="s">
        <v>5866</v>
      </c>
      <c r="AA764" s="59">
        <v>3</v>
      </c>
      <c r="AB764" s="59">
        <v>1</v>
      </c>
      <c r="AC764" s="67" t="s">
        <v>323</v>
      </c>
      <c r="AD764" s="61" t="s">
        <v>5879</v>
      </c>
      <c r="AE764" s="71"/>
      <c r="AF764" s="71"/>
      <c r="AG764" s="71"/>
      <c r="AH764" s="71"/>
      <c r="AI764" s="71"/>
      <c r="AJ764" s="71"/>
      <c r="AK764" s="71" t="s">
        <v>7917</v>
      </c>
      <c r="AL764">
        <f t="shared" si="13"/>
        <v>7920</v>
      </c>
    </row>
    <row r="765" spans="1:38">
      <c r="A765" s="62">
        <v>8</v>
      </c>
      <c r="B765" s="93">
        <v>757</v>
      </c>
      <c r="C765" s="68" t="s">
        <v>7475</v>
      </c>
      <c r="D765" s="59" t="s">
        <v>6346</v>
      </c>
      <c r="E765" s="72" t="s">
        <v>5862</v>
      </c>
      <c r="F765" s="73" t="s">
        <v>6347</v>
      </c>
      <c r="G765" s="82">
        <v>47.1</v>
      </c>
      <c r="H765" s="67">
        <v>9210</v>
      </c>
      <c r="I765" s="69">
        <v>0</v>
      </c>
      <c r="J765" s="70">
        <v>6832</v>
      </c>
      <c r="K765" s="75">
        <v>5.6206088992974239</v>
      </c>
      <c r="L765" s="74">
        <v>0</v>
      </c>
      <c r="M765" s="76">
        <v>0.17552083333333329</v>
      </c>
      <c r="N765" s="67">
        <v>1957</v>
      </c>
      <c r="Q765" s="59">
        <v>22</v>
      </c>
      <c r="R765" s="59">
        <v>3</v>
      </c>
      <c r="S765" s="59">
        <v>1</v>
      </c>
      <c r="T765" s="63" t="s">
        <v>6759</v>
      </c>
      <c r="U765" s="63">
        <v>401</v>
      </c>
      <c r="V765" s="70">
        <v>27680</v>
      </c>
      <c r="W765" s="70">
        <v>28000</v>
      </c>
      <c r="X765" s="83" t="s">
        <v>5887</v>
      </c>
      <c r="Y765" s="70">
        <f>ROUND(J765,-3)</f>
        <v>7000</v>
      </c>
      <c r="Z765" s="63" t="s">
        <v>5866</v>
      </c>
      <c r="AA765" s="59">
        <v>1</v>
      </c>
      <c r="AB765" s="59">
        <v>3</v>
      </c>
      <c r="AC765" s="67" t="s">
        <v>244</v>
      </c>
      <c r="AD765" s="61" t="s">
        <v>6348</v>
      </c>
      <c r="AE765" s="71"/>
      <c r="AF765" s="71"/>
      <c r="AG765" s="71"/>
      <c r="AH765" s="71"/>
      <c r="AI765" s="71"/>
      <c r="AJ765" s="71"/>
      <c r="AK765" s="71" t="s">
        <v>7918</v>
      </c>
      <c r="AL765">
        <f t="shared" si="13"/>
        <v>38400</v>
      </c>
    </row>
    <row r="766" spans="1:38">
      <c r="A766" s="62">
        <v>8</v>
      </c>
      <c r="B766" s="93">
        <v>758</v>
      </c>
      <c r="C766" s="68" t="s">
        <v>7475</v>
      </c>
      <c r="D766" s="59" t="s">
        <v>7919</v>
      </c>
      <c r="E766" s="72" t="s">
        <v>5862</v>
      </c>
      <c r="F766" s="73" t="s">
        <v>7920</v>
      </c>
      <c r="G766" s="82">
        <v>44.1</v>
      </c>
      <c r="H766" s="67">
        <v>9210</v>
      </c>
      <c r="I766" s="69">
        <v>0</v>
      </c>
      <c r="J766" s="70">
        <v>9530</v>
      </c>
      <c r="K766" s="75">
        <v>12.59181532004197</v>
      </c>
      <c r="L766" s="74">
        <v>0</v>
      </c>
      <c r="M766" s="76">
        <v>0</v>
      </c>
      <c r="N766" s="67">
        <v>1941</v>
      </c>
      <c r="P766" s="64">
        <v>1758</v>
      </c>
      <c r="Q766" s="59">
        <v>20</v>
      </c>
      <c r="R766" s="59">
        <v>1</v>
      </c>
      <c r="S766" s="59">
        <v>1</v>
      </c>
      <c r="T766" s="63" t="s">
        <v>6759</v>
      </c>
      <c r="U766" s="63">
        <v>398</v>
      </c>
      <c r="V766" s="70">
        <v>190539</v>
      </c>
      <c r="W766" s="70">
        <v>190000</v>
      </c>
      <c r="X766" s="83" t="s">
        <v>7921</v>
      </c>
      <c r="Y766" s="70">
        <f>ROUND(J766,-3)</f>
        <v>10000</v>
      </c>
      <c r="Z766" s="63" t="s">
        <v>5866</v>
      </c>
      <c r="AA766" s="59">
        <v>3</v>
      </c>
      <c r="AB766" s="59">
        <v>3</v>
      </c>
      <c r="AC766" s="67" t="s">
        <v>333</v>
      </c>
      <c r="AD766" s="61" t="s">
        <v>7922</v>
      </c>
      <c r="AE766" s="71"/>
      <c r="AF766" s="71"/>
      <c r="AG766" s="71"/>
      <c r="AH766" s="71"/>
      <c r="AI766" s="71"/>
      <c r="AJ766" s="71"/>
      <c r="AK766" s="71" t="s">
        <v>7923</v>
      </c>
      <c r="AL766">
        <f t="shared" si="13"/>
        <v>119999.99999999997</v>
      </c>
    </row>
    <row r="767" spans="1:38">
      <c r="A767" s="62">
        <v>8</v>
      </c>
      <c r="B767" s="93">
        <v>759</v>
      </c>
      <c r="C767" s="68" t="s">
        <v>7475</v>
      </c>
      <c r="D767" s="59" t="s">
        <v>7924</v>
      </c>
      <c r="E767" s="72" t="s">
        <v>5862</v>
      </c>
      <c r="F767" s="73" t="s">
        <v>7925</v>
      </c>
      <c r="G767" s="82">
        <v>44.1</v>
      </c>
      <c r="H767" s="67">
        <v>9210</v>
      </c>
      <c r="I767" s="69">
        <v>0</v>
      </c>
      <c r="J767" s="70">
        <v>7000</v>
      </c>
      <c r="K767" s="75">
        <v>2.9142857142857141</v>
      </c>
      <c r="L767" s="74">
        <v>0</v>
      </c>
      <c r="M767" s="76">
        <v>0</v>
      </c>
      <c r="N767" s="67">
        <v>1973</v>
      </c>
      <c r="O767" s="64">
        <v>312</v>
      </c>
      <c r="Q767" s="59">
        <v>15</v>
      </c>
      <c r="R767" s="59">
        <v>3</v>
      </c>
      <c r="S767" s="59">
        <v>1</v>
      </c>
      <c r="T767" s="63" t="s">
        <v>6754</v>
      </c>
      <c r="U767" s="63">
        <v>398</v>
      </c>
      <c r="V767" s="70">
        <v>12500</v>
      </c>
      <c r="W767" s="70">
        <v>13000</v>
      </c>
      <c r="X767" s="83" t="s">
        <v>6331</v>
      </c>
      <c r="Y767" s="70">
        <f>ROUND(J767,-3)</f>
        <v>7000</v>
      </c>
      <c r="Z767" s="63" t="s">
        <v>5866</v>
      </c>
      <c r="AA767" s="59">
        <v>3</v>
      </c>
      <c r="AB767" s="59">
        <v>3</v>
      </c>
      <c r="AC767" s="67" t="s">
        <v>333</v>
      </c>
      <c r="AD767" s="61" t="s">
        <v>181</v>
      </c>
      <c r="AE767" s="71"/>
      <c r="AF767" s="71"/>
      <c r="AG767" s="71"/>
      <c r="AH767" s="71"/>
      <c r="AI767" s="71"/>
      <c r="AJ767" s="71"/>
      <c r="AK767" s="71" t="s">
        <v>7803</v>
      </c>
      <c r="AL767">
        <f t="shared" si="13"/>
        <v>20400</v>
      </c>
    </row>
    <row r="768" spans="1:38">
      <c r="A768" s="62">
        <v>8</v>
      </c>
      <c r="B768" s="93">
        <v>760</v>
      </c>
      <c r="C768" s="68" t="s">
        <v>7475</v>
      </c>
      <c r="D768" s="59" t="s">
        <v>7926</v>
      </c>
      <c r="E768" s="72" t="s">
        <v>5862</v>
      </c>
      <c r="F768" s="73" t="s">
        <v>7927</v>
      </c>
      <c r="G768" s="82">
        <v>44.1</v>
      </c>
      <c r="H768" s="67">
        <v>9210</v>
      </c>
      <c r="I768" s="69">
        <v>0</v>
      </c>
      <c r="J768" s="70">
        <v>68924</v>
      </c>
      <c r="K768" s="75">
        <v>6.6856247460971501</v>
      </c>
      <c r="L768" s="74">
        <v>0</v>
      </c>
      <c r="M768" s="76">
        <v>0</v>
      </c>
      <c r="N768" s="67">
        <v>1994</v>
      </c>
      <c r="P768" s="64">
        <v>7548</v>
      </c>
      <c r="Q768" s="59">
        <v>24</v>
      </c>
      <c r="R768" s="59">
        <v>9</v>
      </c>
      <c r="S768" s="59">
        <v>1</v>
      </c>
      <c r="T768" s="63" t="s">
        <v>6754</v>
      </c>
      <c r="U768" s="63">
        <v>398</v>
      </c>
      <c r="V768" s="70">
        <v>162548</v>
      </c>
      <c r="W768" s="70">
        <v>160000</v>
      </c>
      <c r="X768" s="83" t="s">
        <v>5878</v>
      </c>
      <c r="Y768" s="70">
        <f>ROUND(J768,-4)</f>
        <v>70000</v>
      </c>
      <c r="Z768" s="63" t="s">
        <v>5866</v>
      </c>
      <c r="AA768" s="59">
        <v>3</v>
      </c>
      <c r="AB768" s="59">
        <v>3</v>
      </c>
      <c r="AC768" s="67" t="s">
        <v>333</v>
      </c>
      <c r="AD768" s="61" t="s">
        <v>7928</v>
      </c>
      <c r="AE768" s="71"/>
      <c r="AF768" s="71"/>
      <c r="AG768" s="71"/>
      <c r="AH768" s="71"/>
      <c r="AI768" s="71"/>
      <c r="AJ768" s="71"/>
      <c r="AK768" s="71" t="s">
        <v>7929</v>
      </c>
      <c r="AL768">
        <f t="shared" si="13"/>
        <v>460800</v>
      </c>
    </row>
    <row r="769" spans="1:38">
      <c r="A769" s="62">
        <v>8</v>
      </c>
      <c r="B769" s="93">
        <v>761</v>
      </c>
      <c r="C769" s="68" t="s">
        <v>7475</v>
      </c>
      <c r="D769" s="59" t="s">
        <v>7083</v>
      </c>
      <c r="E769" s="72" t="s">
        <v>5862</v>
      </c>
      <c r="F769" s="73" t="s">
        <v>7930</v>
      </c>
      <c r="G769" s="82">
        <v>44.2</v>
      </c>
      <c r="H769" s="67">
        <v>9210</v>
      </c>
      <c r="I769" s="69">
        <v>0</v>
      </c>
      <c r="J769" s="70">
        <v>7500</v>
      </c>
      <c r="K769" s="75">
        <v>4.8</v>
      </c>
      <c r="L769" s="74">
        <v>0</v>
      </c>
      <c r="M769" s="76">
        <v>0.17241666666666669</v>
      </c>
      <c r="N769" s="67">
        <v>1968</v>
      </c>
      <c r="O769" s="64">
        <v>2908</v>
      </c>
      <c r="Q769" s="59">
        <v>15</v>
      </c>
      <c r="R769" s="59">
        <v>1</v>
      </c>
      <c r="S769" s="59">
        <v>1</v>
      </c>
      <c r="T769" s="63" t="s">
        <v>6759</v>
      </c>
      <c r="U769" s="63">
        <v>398</v>
      </c>
      <c r="V769" s="70">
        <v>21452</v>
      </c>
      <c r="W769" s="70">
        <v>21000</v>
      </c>
      <c r="X769" s="83" t="s">
        <v>6516</v>
      </c>
      <c r="Y769" s="70">
        <f>ROUND(J769,-3)</f>
        <v>8000</v>
      </c>
      <c r="Z769" s="63" t="s">
        <v>5866</v>
      </c>
      <c r="AA769" s="59">
        <v>3</v>
      </c>
      <c r="AB769" s="59">
        <v>3</v>
      </c>
      <c r="AC769" s="67" t="s">
        <v>333</v>
      </c>
      <c r="AD769" s="61" t="s">
        <v>7085</v>
      </c>
      <c r="AE769" s="71"/>
      <c r="AF769" s="71"/>
      <c r="AG769" s="71"/>
      <c r="AH769" s="71"/>
      <c r="AI769" s="71"/>
      <c r="AJ769" s="71"/>
      <c r="AK769" s="71" t="s">
        <v>7931</v>
      </c>
      <c r="AL769">
        <f t="shared" ref="AL769:AL800" si="14">IF(AND(ISNUMBER($S769),$S769&gt;0,ISNUMBER($K769),ISNUMBER($J769)),($K769*$J769)/$S769,"")</f>
        <v>36000</v>
      </c>
    </row>
    <row r="770" spans="1:38">
      <c r="A770" s="62">
        <v>8</v>
      </c>
      <c r="B770" s="93">
        <v>762</v>
      </c>
      <c r="C770" s="68" t="s">
        <v>7475</v>
      </c>
      <c r="D770" s="59" t="s">
        <v>7932</v>
      </c>
      <c r="E770" s="72" t="s">
        <v>5862</v>
      </c>
      <c r="F770" s="73" t="s">
        <v>7933</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6759</v>
      </c>
      <c r="U770" s="63">
        <v>401</v>
      </c>
      <c r="V770" s="70">
        <v>77000</v>
      </c>
      <c r="W770" s="70">
        <v>80000</v>
      </c>
      <c r="X770" s="83" t="s">
        <v>5878</v>
      </c>
      <c r="Y770" s="70">
        <f>ROUND(J770,-3)</f>
        <v>32000</v>
      </c>
      <c r="Z770" s="63" t="s">
        <v>5866</v>
      </c>
      <c r="AA770" s="59">
        <v>3</v>
      </c>
      <c r="AB770" s="59">
        <v>3</v>
      </c>
      <c r="AC770" s="67" t="s">
        <v>333</v>
      </c>
      <c r="AD770" s="61" t="s">
        <v>7934</v>
      </c>
      <c r="AE770" s="71"/>
      <c r="AF770" s="71"/>
      <c r="AG770" s="71"/>
      <c r="AH770" s="71"/>
      <c r="AI770" s="71"/>
      <c r="AJ770" s="71"/>
      <c r="AK770" s="71" t="s">
        <v>7935</v>
      </c>
      <c r="AL770">
        <f t="shared" si="14"/>
        <v>81600.000000000015</v>
      </c>
    </row>
    <row r="771" spans="1:38">
      <c r="A771" s="62">
        <v>8</v>
      </c>
      <c r="B771" s="93">
        <v>763</v>
      </c>
      <c r="C771" s="68" t="s">
        <v>7475</v>
      </c>
      <c r="D771" s="59" t="s">
        <v>7936</v>
      </c>
      <c r="E771" s="72" t="s">
        <v>5862</v>
      </c>
      <c r="F771" s="73" t="s">
        <v>7937</v>
      </c>
      <c r="G771" s="82">
        <v>44.1</v>
      </c>
      <c r="H771" s="67">
        <v>9210</v>
      </c>
      <c r="I771" s="69">
        <v>0</v>
      </c>
      <c r="J771" s="70">
        <v>42845</v>
      </c>
      <c r="K771" s="75">
        <v>3.8277511961722488</v>
      </c>
      <c r="L771" s="74">
        <v>0</v>
      </c>
      <c r="M771" s="76">
        <v>0</v>
      </c>
      <c r="N771" s="67">
        <v>1956</v>
      </c>
      <c r="O771" s="64">
        <v>2042</v>
      </c>
      <c r="Q771" s="59">
        <v>18</v>
      </c>
      <c r="R771" s="59">
        <v>5</v>
      </c>
      <c r="S771" s="59">
        <v>1</v>
      </c>
      <c r="T771" s="63" t="s">
        <v>6759</v>
      </c>
      <c r="U771" s="63">
        <v>398</v>
      </c>
      <c r="V771" s="70">
        <v>61325</v>
      </c>
      <c r="W771" s="70">
        <v>60000</v>
      </c>
      <c r="X771" s="83" t="s">
        <v>5938</v>
      </c>
      <c r="Y771" s="70">
        <f>ROUND(J771,-3)</f>
        <v>43000</v>
      </c>
      <c r="Z771" s="63" t="s">
        <v>5866</v>
      </c>
      <c r="AA771" s="59">
        <v>3</v>
      </c>
      <c r="AB771" s="59">
        <v>3</v>
      </c>
      <c r="AC771" s="67" t="s">
        <v>333</v>
      </c>
      <c r="AD771" s="61" t="s">
        <v>181</v>
      </c>
      <c r="AE771" s="71"/>
      <c r="AF771" s="71"/>
      <c r="AG771" s="71"/>
      <c r="AH771" s="71"/>
      <c r="AI771" s="71"/>
      <c r="AJ771" s="71"/>
      <c r="AK771" s="71" t="s">
        <v>7537</v>
      </c>
      <c r="AL771">
        <f t="shared" si="14"/>
        <v>164000</v>
      </c>
    </row>
    <row r="772" spans="1:38">
      <c r="A772" s="62">
        <v>8</v>
      </c>
      <c r="B772" s="93">
        <v>764</v>
      </c>
      <c r="C772" s="68" t="s">
        <v>7475</v>
      </c>
      <c r="D772" s="59" t="s">
        <v>7938</v>
      </c>
      <c r="E772" s="72" t="s">
        <v>5862</v>
      </c>
      <c r="F772" s="73" t="s">
        <v>7939</v>
      </c>
      <c r="G772" s="82">
        <v>47.1</v>
      </c>
      <c r="H772" s="67">
        <v>9210</v>
      </c>
      <c r="I772" s="69">
        <v>0</v>
      </c>
      <c r="J772" s="70">
        <v>1400</v>
      </c>
      <c r="K772" s="75">
        <v>12.857142857142859</v>
      </c>
      <c r="L772" s="74">
        <v>0</v>
      </c>
      <c r="M772" s="76">
        <v>0.26322222222222219</v>
      </c>
      <c r="N772" s="67">
        <v>1942</v>
      </c>
      <c r="Q772" s="59">
        <v>23</v>
      </c>
      <c r="R772" s="59">
        <v>6</v>
      </c>
      <c r="S772" s="59">
        <v>1</v>
      </c>
      <c r="T772" s="63" t="s">
        <v>6759</v>
      </c>
      <c r="U772" s="63">
        <v>401</v>
      </c>
      <c r="V772" s="70">
        <v>23990</v>
      </c>
      <c r="W772" s="70">
        <v>24000</v>
      </c>
      <c r="X772" s="83" t="s">
        <v>5933</v>
      </c>
      <c r="Y772" s="70">
        <f>ROUND(J772,-2)</f>
        <v>1400</v>
      </c>
      <c r="Z772" s="63" t="s">
        <v>5866</v>
      </c>
      <c r="AA772" s="59">
        <v>1</v>
      </c>
      <c r="AB772" s="59">
        <v>2</v>
      </c>
      <c r="AC772" s="67" t="s">
        <v>337</v>
      </c>
      <c r="AD772" s="61" t="s">
        <v>181</v>
      </c>
      <c r="AE772" s="71"/>
      <c r="AF772" s="71"/>
      <c r="AG772" s="71"/>
      <c r="AH772" s="71"/>
      <c r="AI772" s="71"/>
      <c r="AJ772" s="71"/>
      <c r="AK772" s="71" t="s">
        <v>7940</v>
      </c>
      <c r="AL772">
        <f t="shared" si="14"/>
        <v>18000.000000000004</v>
      </c>
    </row>
    <row r="773" spans="1:38">
      <c r="A773" s="62">
        <v>8</v>
      </c>
      <c r="B773" s="93">
        <v>765</v>
      </c>
      <c r="C773" s="68" t="s">
        <v>7475</v>
      </c>
      <c r="D773" s="59" t="s">
        <v>7941</v>
      </c>
      <c r="E773" s="72" t="s">
        <v>5862</v>
      </c>
      <c r="F773" s="73" t="s">
        <v>7942</v>
      </c>
      <c r="G773" s="82">
        <v>44.1</v>
      </c>
      <c r="H773" s="67">
        <v>9210</v>
      </c>
      <c r="I773" s="69">
        <v>0</v>
      </c>
      <c r="J773" s="70">
        <v>8806</v>
      </c>
      <c r="K773" s="75">
        <v>8.1762434703611166</v>
      </c>
      <c r="L773" s="74">
        <v>0</v>
      </c>
      <c r="M773" s="76">
        <v>0.18712500000000001</v>
      </c>
      <c r="N773" s="67">
        <v>1952</v>
      </c>
      <c r="Q773" s="59">
        <v>23</v>
      </c>
      <c r="R773" s="59">
        <v>7</v>
      </c>
      <c r="S773" s="59">
        <v>1</v>
      </c>
      <c r="T773" s="63" t="s">
        <v>6759</v>
      </c>
      <c r="U773" s="63">
        <v>398</v>
      </c>
      <c r="V773" s="70">
        <v>23626</v>
      </c>
      <c r="W773" s="70">
        <v>24000</v>
      </c>
      <c r="X773" s="83" t="s">
        <v>5985</v>
      </c>
      <c r="Y773" s="70">
        <f t="shared" ref="Y773:Y781" si="15">ROUND(J773,-3)</f>
        <v>9000</v>
      </c>
      <c r="Z773" s="63" t="s">
        <v>5866</v>
      </c>
      <c r="AA773" s="59">
        <v>1</v>
      </c>
      <c r="AB773" s="59">
        <v>3</v>
      </c>
      <c r="AC773" s="67" t="s">
        <v>244</v>
      </c>
      <c r="AD773" s="61" t="s">
        <v>181</v>
      </c>
      <c r="AE773" s="71"/>
      <c r="AF773" s="71"/>
      <c r="AG773" s="71"/>
      <c r="AH773" s="71"/>
      <c r="AI773" s="71"/>
      <c r="AJ773" s="71"/>
      <c r="AK773" s="71" t="s">
        <v>7943</v>
      </c>
      <c r="AL773">
        <f t="shared" si="14"/>
        <v>72000</v>
      </c>
    </row>
    <row r="774" spans="1:38">
      <c r="A774" s="62">
        <v>8</v>
      </c>
      <c r="B774" s="93">
        <v>766</v>
      </c>
      <c r="C774" s="68" t="s">
        <v>7475</v>
      </c>
      <c r="D774" s="59" t="s">
        <v>7944</v>
      </c>
      <c r="E774" s="72" t="s">
        <v>5862</v>
      </c>
      <c r="F774" s="73" t="s">
        <v>7945</v>
      </c>
      <c r="G774" s="82">
        <v>47.1</v>
      </c>
      <c r="H774" s="67">
        <v>9210</v>
      </c>
      <c r="I774" s="69">
        <v>0</v>
      </c>
      <c r="J774" s="70">
        <v>10463</v>
      </c>
      <c r="K774" s="75">
        <v>6.6112969511612354</v>
      </c>
      <c r="L774" s="74">
        <v>0</v>
      </c>
      <c r="M774" s="76">
        <v>0</v>
      </c>
      <c r="N774" s="67">
        <v>1940</v>
      </c>
      <c r="O774" s="64">
        <v>1901</v>
      </c>
      <c r="Q774" s="59">
        <v>13</v>
      </c>
      <c r="R774" s="59">
        <v>1</v>
      </c>
      <c r="S774" s="59">
        <v>1</v>
      </c>
      <c r="T774" s="63" t="s">
        <v>6759</v>
      </c>
      <c r="U774" s="63">
        <v>401</v>
      </c>
      <c r="V774" s="70">
        <v>12530</v>
      </c>
      <c r="W774" s="70">
        <v>13000</v>
      </c>
      <c r="X774" s="83" t="s">
        <v>6128</v>
      </c>
      <c r="Y774" s="70">
        <f t="shared" si="15"/>
        <v>10000</v>
      </c>
      <c r="Z774" s="63" t="s">
        <v>5866</v>
      </c>
      <c r="AA774" s="59">
        <v>3</v>
      </c>
      <c r="AB774" s="59">
        <v>3</v>
      </c>
      <c r="AC774" s="67" t="s">
        <v>333</v>
      </c>
      <c r="AD774" s="61" t="s">
        <v>7946</v>
      </c>
      <c r="AE774" s="71"/>
      <c r="AF774" s="71"/>
      <c r="AG774" s="71"/>
      <c r="AH774" s="71"/>
      <c r="AI774" s="71"/>
      <c r="AJ774" s="71"/>
      <c r="AK774" s="71" t="s">
        <v>7709</v>
      </c>
      <c r="AL774">
        <f t="shared" si="14"/>
        <v>69174</v>
      </c>
    </row>
    <row r="775" spans="1:38">
      <c r="A775" s="62">
        <v>8</v>
      </c>
      <c r="B775" s="93">
        <v>767</v>
      </c>
      <c r="C775" s="68" t="s">
        <v>7475</v>
      </c>
      <c r="D775" s="59" t="s">
        <v>7947</v>
      </c>
      <c r="E775" s="72" t="s">
        <v>5862</v>
      </c>
      <c r="F775" s="73" t="s">
        <v>7948</v>
      </c>
      <c r="G775" s="82">
        <v>44.1</v>
      </c>
      <c r="H775" s="67">
        <v>9210</v>
      </c>
      <c r="I775" s="69">
        <v>0</v>
      </c>
      <c r="J775" s="70">
        <v>6250</v>
      </c>
      <c r="K775" s="75">
        <v>7.6512000000000002</v>
      </c>
      <c r="L775" s="74">
        <v>0</v>
      </c>
      <c r="M775" s="76">
        <v>0</v>
      </c>
      <c r="N775" s="67">
        <v>1945</v>
      </c>
      <c r="O775" s="64">
        <v>1350</v>
      </c>
      <c r="Q775" s="59">
        <v>14</v>
      </c>
      <c r="R775" s="59">
        <v>3</v>
      </c>
      <c r="S775" s="59">
        <v>1</v>
      </c>
      <c r="T775" s="63" t="s">
        <v>6759</v>
      </c>
      <c r="U775" s="63">
        <v>398</v>
      </c>
      <c r="V775" s="70">
        <v>6265</v>
      </c>
      <c r="W775" s="70">
        <v>6000</v>
      </c>
      <c r="X775" s="83" t="s">
        <v>7374</v>
      </c>
      <c r="Y775" s="70">
        <f t="shared" si="15"/>
        <v>6000</v>
      </c>
      <c r="Z775" s="63" t="s">
        <v>5866</v>
      </c>
      <c r="AA775" s="59">
        <v>3</v>
      </c>
      <c r="AB775" s="59">
        <v>3</v>
      </c>
      <c r="AC775" s="67" t="s">
        <v>333</v>
      </c>
      <c r="AD775" s="61" t="s">
        <v>5904</v>
      </c>
      <c r="AE775" s="71"/>
      <c r="AF775" s="71"/>
      <c r="AG775" s="71"/>
      <c r="AH775" s="71"/>
      <c r="AI775" s="71"/>
      <c r="AJ775" s="71"/>
      <c r="AK775" s="71" t="s">
        <v>7949</v>
      </c>
      <c r="AL775">
        <f t="shared" si="14"/>
        <v>47820</v>
      </c>
    </row>
    <row r="776" spans="1:38">
      <c r="A776" s="62">
        <v>8</v>
      </c>
      <c r="B776" s="93">
        <v>768</v>
      </c>
      <c r="C776" s="68" t="s">
        <v>7475</v>
      </c>
      <c r="D776" s="59" t="s">
        <v>7101</v>
      </c>
      <c r="E776" s="72" t="s">
        <v>5862</v>
      </c>
      <c r="F776" s="73" t="s">
        <v>7950</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6759</v>
      </c>
      <c r="U776" s="63">
        <v>398</v>
      </c>
      <c r="V776" s="70">
        <v>42092</v>
      </c>
      <c r="W776" s="70">
        <v>42000</v>
      </c>
      <c r="X776" s="83" t="s">
        <v>6065</v>
      </c>
      <c r="Y776" s="70">
        <f t="shared" si="15"/>
        <v>29000</v>
      </c>
      <c r="Z776" s="63" t="s">
        <v>5866</v>
      </c>
      <c r="AA776" s="59">
        <v>3</v>
      </c>
      <c r="AB776" s="59">
        <v>3</v>
      </c>
      <c r="AC776" s="67" t="s">
        <v>333</v>
      </c>
      <c r="AD776" s="61" t="s">
        <v>7103</v>
      </c>
      <c r="AE776" s="71"/>
      <c r="AF776" s="71"/>
      <c r="AG776" s="71"/>
      <c r="AH776" s="71"/>
      <c r="AI776" s="71"/>
      <c r="AJ776" s="71"/>
      <c r="AK776" s="71" t="s">
        <v>7940</v>
      </c>
      <c r="AL776">
        <f t="shared" si="14"/>
        <v>415900</v>
      </c>
    </row>
    <row r="777" spans="1:38">
      <c r="A777" s="62">
        <v>8</v>
      </c>
      <c r="B777" s="93">
        <v>769</v>
      </c>
      <c r="C777" s="68" t="s">
        <v>7475</v>
      </c>
      <c r="D777" s="59" t="s">
        <v>7951</v>
      </c>
      <c r="E777" s="72" t="s">
        <v>5862</v>
      </c>
      <c r="F777" s="73" t="s">
        <v>7952</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6759</v>
      </c>
      <c r="U777" s="63">
        <v>401</v>
      </c>
      <c r="V777" s="70">
        <v>71334</v>
      </c>
      <c r="W777" s="70">
        <v>70000</v>
      </c>
      <c r="X777" s="83" t="s">
        <v>6182</v>
      </c>
      <c r="Y777" s="70">
        <f t="shared" si="15"/>
        <v>42000</v>
      </c>
      <c r="Z777" s="63" t="s">
        <v>5866</v>
      </c>
      <c r="AA777" s="59">
        <v>2</v>
      </c>
      <c r="AB777" s="59">
        <v>3</v>
      </c>
      <c r="AC777" s="67" t="s">
        <v>284</v>
      </c>
      <c r="AD777" s="61" t="s">
        <v>7953</v>
      </c>
      <c r="AE777" s="71"/>
      <c r="AF777" s="71"/>
      <c r="AG777" s="71"/>
      <c r="AH777" s="71"/>
      <c r="AI777" s="71"/>
      <c r="AJ777" s="71"/>
      <c r="AK777" s="71" t="s">
        <v>7641</v>
      </c>
      <c r="AL777">
        <f t="shared" si="14"/>
        <v>219600</v>
      </c>
    </row>
    <row r="778" spans="1:38">
      <c r="A778" s="62">
        <v>8</v>
      </c>
      <c r="B778" s="93">
        <v>770</v>
      </c>
      <c r="C778" s="68" t="s">
        <v>7475</v>
      </c>
      <c r="D778" s="59" t="s">
        <v>7954</v>
      </c>
      <c r="E778" s="72" t="s">
        <v>5862</v>
      </c>
      <c r="F778" s="73" t="s">
        <v>7955</v>
      </c>
      <c r="G778" s="82">
        <v>44.1</v>
      </c>
      <c r="H778" s="67">
        <v>9210</v>
      </c>
      <c r="I778" s="69">
        <v>0</v>
      </c>
      <c r="J778" s="70">
        <v>11780</v>
      </c>
      <c r="K778" s="75">
        <v>4.074702886247878</v>
      </c>
      <c r="L778" s="74">
        <v>0</v>
      </c>
      <c r="M778" s="76">
        <v>0</v>
      </c>
      <c r="N778" s="67">
        <v>1936</v>
      </c>
      <c r="O778" s="64">
        <v>240</v>
      </c>
      <c r="Q778" s="59">
        <v>13</v>
      </c>
      <c r="R778" s="59">
        <v>1</v>
      </c>
      <c r="S778" s="59">
        <v>1</v>
      </c>
      <c r="T778" s="63" t="s">
        <v>6759</v>
      </c>
      <c r="U778" s="63">
        <v>398</v>
      </c>
      <c r="V778" s="70">
        <v>12515</v>
      </c>
      <c r="W778" s="70">
        <v>13000</v>
      </c>
      <c r="X778" s="83" t="s">
        <v>6271</v>
      </c>
      <c r="Y778" s="70">
        <f t="shared" si="15"/>
        <v>12000</v>
      </c>
      <c r="Z778" s="63" t="s">
        <v>5866</v>
      </c>
      <c r="AA778" s="59">
        <v>3</v>
      </c>
      <c r="AB778" s="59">
        <v>3</v>
      </c>
      <c r="AC778" s="67" t="s">
        <v>333</v>
      </c>
      <c r="AD778" s="61" t="s">
        <v>7956</v>
      </c>
      <c r="AE778" s="71"/>
      <c r="AF778" s="71"/>
      <c r="AG778" s="71"/>
      <c r="AH778" s="71"/>
      <c r="AI778" s="71"/>
      <c r="AJ778" s="71"/>
      <c r="AK778" s="71" t="s">
        <v>7486</v>
      </c>
      <c r="AL778">
        <f t="shared" si="14"/>
        <v>48000</v>
      </c>
    </row>
    <row r="779" spans="1:38">
      <c r="A779" s="62">
        <v>8</v>
      </c>
      <c r="B779" s="93">
        <v>771</v>
      </c>
      <c r="C779" s="68" t="s">
        <v>7475</v>
      </c>
      <c r="D779" s="59" t="s">
        <v>6362</v>
      </c>
      <c r="E779" s="72" t="s">
        <v>5862</v>
      </c>
      <c r="F779" s="73" t="s">
        <v>6363</v>
      </c>
      <c r="G779" s="82">
        <v>44.2</v>
      </c>
      <c r="H779" s="67">
        <v>9210</v>
      </c>
      <c r="I779" s="69">
        <v>0</v>
      </c>
      <c r="J779" s="70">
        <v>12500</v>
      </c>
      <c r="K779" s="75">
        <v>5.6</v>
      </c>
      <c r="L779" s="74">
        <v>0</v>
      </c>
      <c r="M779" s="76">
        <v>0.1088285714285714</v>
      </c>
      <c r="N779" s="67">
        <v>1926</v>
      </c>
      <c r="O779" s="64">
        <v>1512</v>
      </c>
      <c r="Q779" s="59">
        <v>16</v>
      </c>
      <c r="R779" s="59">
        <v>1</v>
      </c>
      <c r="S779" s="59">
        <v>3</v>
      </c>
      <c r="T779" s="63" t="s">
        <v>6759</v>
      </c>
      <c r="U779" s="63">
        <v>398</v>
      </c>
      <c r="V779" s="70">
        <v>12525</v>
      </c>
      <c r="W779" s="70">
        <v>13000</v>
      </c>
      <c r="X779" s="83" t="s">
        <v>7374</v>
      </c>
      <c r="Y779" s="70">
        <f t="shared" si="15"/>
        <v>13000</v>
      </c>
      <c r="Z779" s="63" t="s">
        <v>5866</v>
      </c>
      <c r="AA779" s="59">
        <v>3</v>
      </c>
      <c r="AB779" s="59">
        <v>3</v>
      </c>
      <c r="AC779" s="67" t="s">
        <v>333</v>
      </c>
      <c r="AD779" s="61" t="s">
        <v>6364</v>
      </c>
      <c r="AE779" s="71"/>
      <c r="AF779" s="71"/>
      <c r="AG779" s="71"/>
      <c r="AH779" s="71"/>
      <c r="AI779" s="71"/>
      <c r="AJ779" s="71"/>
      <c r="AK779" s="71" t="s">
        <v>7571</v>
      </c>
      <c r="AL779">
        <f t="shared" si="14"/>
        <v>23333.333333333332</v>
      </c>
    </row>
    <row r="780" spans="1:38">
      <c r="A780" s="62">
        <v>8</v>
      </c>
      <c r="B780" s="93">
        <v>772</v>
      </c>
      <c r="C780" s="68" t="s">
        <v>7475</v>
      </c>
      <c r="D780" s="59" t="s">
        <v>7957</v>
      </c>
      <c r="E780" s="72" t="s">
        <v>5862</v>
      </c>
      <c r="F780" s="73" t="s">
        <v>7958</v>
      </c>
      <c r="G780" s="82">
        <v>44.1</v>
      </c>
      <c r="H780" s="67">
        <v>9210</v>
      </c>
      <c r="I780" s="69">
        <v>0</v>
      </c>
      <c r="J780" s="70">
        <v>9300</v>
      </c>
      <c r="K780" s="75">
        <v>6.510752688172043</v>
      </c>
      <c r="L780" s="74">
        <v>0</v>
      </c>
      <c r="M780" s="76">
        <v>0</v>
      </c>
      <c r="N780" s="67">
        <v>1937</v>
      </c>
      <c r="Q780" s="59">
        <v>14</v>
      </c>
      <c r="R780" s="59">
        <v>1</v>
      </c>
      <c r="S780" s="59">
        <v>1</v>
      </c>
      <c r="T780" s="63" t="s">
        <v>6759</v>
      </c>
      <c r="U780" s="63">
        <v>398</v>
      </c>
      <c r="V780" s="70">
        <v>9390</v>
      </c>
      <c r="W780" s="70">
        <v>9000</v>
      </c>
      <c r="X780" s="83" t="s">
        <v>7374</v>
      </c>
      <c r="Y780" s="70">
        <f t="shared" si="15"/>
        <v>9000</v>
      </c>
      <c r="Z780" s="63" t="s">
        <v>5866</v>
      </c>
      <c r="AA780" s="59">
        <v>2</v>
      </c>
      <c r="AB780" s="59">
        <v>3</v>
      </c>
      <c r="AC780" s="67" t="s">
        <v>284</v>
      </c>
      <c r="AD780" s="61" t="s">
        <v>7959</v>
      </c>
      <c r="AE780" s="71"/>
      <c r="AF780" s="71"/>
      <c r="AG780" s="71"/>
      <c r="AH780" s="71"/>
      <c r="AI780" s="71"/>
      <c r="AJ780" s="71"/>
      <c r="AK780" s="71" t="s">
        <v>7486</v>
      </c>
      <c r="AL780">
        <f t="shared" si="14"/>
        <v>60550</v>
      </c>
    </row>
    <row r="781" spans="1:38">
      <c r="A781" s="62">
        <v>8</v>
      </c>
      <c r="B781" s="93">
        <v>773</v>
      </c>
      <c r="C781" s="68" t="s">
        <v>7475</v>
      </c>
      <c r="D781" s="59" t="s">
        <v>7960</v>
      </c>
      <c r="E781" s="72" t="s">
        <v>5862</v>
      </c>
      <c r="F781" s="73" t="s">
        <v>7961</v>
      </c>
      <c r="G781" s="82">
        <v>44.1</v>
      </c>
      <c r="H781" s="67">
        <v>9209</v>
      </c>
      <c r="I781" s="69">
        <v>0</v>
      </c>
      <c r="J781" s="70">
        <v>9550</v>
      </c>
      <c r="K781" s="75">
        <v>8.167539267015707</v>
      </c>
      <c r="L781" s="74">
        <v>0</v>
      </c>
      <c r="M781" s="76">
        <v>4.3974358974358972E-3</v>
      </c>
      <c r="N781" s="67">
        <v>1945</v>
      </c>
      <c r="Q781" s="59">
        <v>20</v>
      </c>
      <c r="R781" s="59">
        <v>3</v>
      </c>
      <c r="S781" s="59">
        <v>1</v>
      </c>
      <c r="T781" s="63" t="s">
        <v>7113</v>
      </c>
      <c r="U781" s="63">
        <v>398</v>
      </c>
      <c r="V781" s="70">
        <v>25186</v>
      </c>
      <c r="W781" s="70">
        <v>25000</v>
      </c>
      <c r="X781" s="83" t="s">
        <v>5952</v>
      </c>
      <c r="Y781" s="70">
        <f t="shared" si="15"/>
        <v>10000</v>
      </c>
      <c r="Z781" s="63" t="s">
        <v>5866</v>
      </c>
      <c r="AA781" s="59">
        <v>3</v>
      </c>
      <c r="AB781" s="59">
        <v>3</v>
      </c>
      <c r="AC781" s="67" t="s">
        <v>333</v>
      </c>
      <c r="AD781" s="61" t="s">
        <v>7962</v>
      </c>
      <c r="AE781" s="71"/>
      <c r="AF781" s="71"/>
      <c r="AG781" s="71"/>
      <c r="AH781" s="71"/>
      <c r="AI781" s="71"/>
      <c r="AJ781" s="71"/>
      <c r="AK781" s="71" t="s">
        <v>7486</v>
      </c>
      <c r="AL781">
        <f t="shared" si="14"/>
        <v>78000</v>
      </c>
    </row>
    <row r="782" spans="1:38">
      <c r="A782" s="62">
        <v>8</v>
      </c>
      <c r="B782" s="93">
        <v>774</v>
      </c>
      <c r="C782" s="68" t="s">
        <v>7475</v>
      </c>
      <c r="D782" s="59" t="s">
        <v>7963</v>
      </c>
      <c r="E782" s="72" t="s">
        <v>5862</v>
      </c>
      <c r="F782" s="73" t="s">
        <v>7964</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7113</v>
      </c>
      <c r="U782" s="63">
        <v>398</v>
      </c>
      <c r="V782" s="70">
        <v>500067</v>
      </c>
      <c r="W782" s="70">
        <v>500000</v>
      </c>
      <c r="X782" s="83" t="s">
        <v>6774</v>
      </c>
      <c r="Y782" s="70">
        <f>ROUND(J782,-4)</f>
        <v>250000</v>
      </c>
      <c r="Z782" s="63" t="s">
        <v>5866</v>
      </c>
      <c r="AA782" s="59">
        <v>3</v>
      </c>
      <c r="AB782" s="59">
        <v>3</v>
      </c>
      <c r="AC782" s="67" t="s">
        <v>333</v>
      </c>
      <c r="AD782" s="61" t="s">
        <v>7965</v>
      </c>
      <c r="AE782" s="71"/>
      <c r="AF782" s="71"/>
      <c r="AG782" s="71"/>
      <c r="AH782" s="71"/>
      <c r="AI782" s="71"/>
      <c r="AJ782" s="71"/>
      <c r="AK782" s="71" t="s">
        <v>7648</v>
      </c>
      <c r="AL782">
        <f t="shared" si="14"/>
        <v>825000</v>
      </c>
    </row>
    <row r="783" spans="1:38">
      <c r="A783" s="62">
        <v>8</v>
      </c>
      <c r="B783" s="93">
        <v>775</v>
      </c>
      <c r="C783" s="68" t="s">
        <v>7475</v>
      </c>
      <c r="D783" s="59" t="s">
        <v>7966</v>
      </c>
      <c r="E783" s="72" t="s">
        <v>5862</v>
      </c>
      <c r="F783" s="73" t="s">
        <v>7967</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7018</v>
      </c>
      <c r="U783" s="63">
        <v>401</v>
      </c>
      <c r="V783" s="70">
        <v>12500</v>
      </c>
      <c r="W783" s="70">
        <v>13000</v>
      </c>
      <c r="X783" s="83" t="s">
        <v>5887</v>
      </c>
      <c r="Y783" s="70">
        <f>ROUND(J783,-3)</f>
        <v>3000</v>
      </c>
      <c r="Z783" s="63" t="s">
        <v>5866</v>
      </c>
      <c r="AA783" s="59">
        <v>3</v>
      </c>
      <c r="AB783" s="59">
        <v>3</v>
      </c>
      <c r="AC783" s="67" t="s">
        <v>333</v>
      </c>
      <c r="AD783" s="61" t="s">
        <v>7968</v>
      </c>
      <c r="AE783" s="71"/>
      <c r="AF783" s="71"/>
      <c r="AG783" s="71"/>
      <c r="AH783" s="71"/>
      <c r="AI783" s="71"/>
      <c r="AJ783" s="71"/>
      <c r="AK783" s="71" t="s">
        <v>7969</v>
      </c>
      <c r="AL783">
        <f t="shared" si="14"/>
        <v>9600</v>
      </c>
    </row>
    <row r="784" spans="1:38">
      <c r="A784" s="62">
        <v>8</v>
      </c>
      <c r="B784" s="93">
        <v>776</v>
      </c>
      <c r="C784" s="68" t="s">
        <v>7475</v>
      </c>
      <c r="D784" s="59" t="s">
        <v>7970</v>
      </c>
      <c r="E784" s="72" t="s">
        <v>5862</v>
      </c>
      <c r="F784" s="73" t="s">
        <v>7971</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7113</v>
      </c>
      <c r="U784" s="63">
        <v>398</v>
      </c>
      <c r="V784" s="70">
        <v>21875</v>
      </c>
      <c r="W784" s="70">
        <v>22000</v>
      </c>
      <c r="X784" s="83" t="s">
        <v>5874</v>
      </c>
      <c r="Y784" s="70">
        <f>ROUND(J784,-3)</f>
        <v>9000</v>
      </c>
      <c r="Z784" s="63" t="s">
        <v>5866</v>
      </c>
      <c r="AA784" s="59">
        <v>3</v>
      </c>
      <c r="AB784" s="59">
        <v>3</v>
      </c>
      <c r="AC784" s="67" t="s">
        <v>333</v>
      </c>
      <c r="AD784" s="61" t="s">
        <v>7972</v>
      </c>
      <c r="AE784" s="71"/>
      <c r="AF784" s="71"/>
      <c r="AG784" s="71"/>
      <c r="AH784" s="71"/>
      <c r="AI784" s="71"/>
      <c r="AJ784" s="71"/>
      <c r="AK784" s="71" t="s">
        <v>7648</v>
      </c>
      <c r="AL784">
        <f t="shared" si="14"/>
        <v>42000</v>
      </c>
    </row>
    <row r="785" spans="1:38">
      <c r="A785" s="62">
        <v>8</v>
      </c>
      <c r="B785" s="93">
        <v>777</v>
      </c>
      <c r="C785" s="68" t="s">
        <v>7475</v>
      </c>
      <c r="D785" s="59" t="s">
        <v>7973</v>
      </c>
      <c r="E785" s="72" t="s">
        <v>5862</v>
      </c>
      <c r="F785" s="73" t="s">
        <v>7974</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7113</v>
      </c>
      <c r="U785" s="63">
        <v>398</v>
      </c>
      <c r="V785" s="70">
        <v>9375</v>
      </c>
      <c r="W785" s="70">
        <v>9000</v>
      </c>
      <c r="X785" s="83" t="s">
        <v>6271</v>
      </c>
      <c r="Y785" s="70">
        <f>ROUND(J785,-3)</f>
        <v>9000</v>
      </c>
      <c r="Z785" s="63" t="s">
        <v>5866</v>
      </c>
      <c r="AA785" s="59">
        <v>3</v>
      </c>
      <c r="AB785" s="59">
        <v>3</v>
      </c>
      <c r="AC785" s="67" t="s">
        <v>333</v>
      </c>
      <c r="AD785" s="61" t="s">
        <v>7975</v>
      </c>
      <c r="AE785" s="71"/>
      <c r="AF785" s="71"/>
      <c r="AG785" s="71"/>
      <c r="AH785" s="71"/>
      <c r="AI785" s="71"/>
      <c r="AJ785" s="71"/>
      <c r="AK785" s="71" t="s">
        <v>7648</v>
      </c>
      <c r="AL785">
        <f t="shared" si="14"/>
        <v>85000</v>
      </c>
    </row>
    <row r="786" spans="1:38">
      <c r="A786" s="62">
        <v>8</v>
      </c>
      <c r="B786" s="93">
        <v>778</v>
      </c>
      <c r="C786" s="68" t="s">
        <v>7475</v>
      </c>
      <c r="D786" s="59" t="s">
        <v>7976</v>
      </c>
      <c r="E786" s="72" t="s">
        <v>5862</v>
      </c>
      <c r="F786" s="73" t="s">
        <v>7977</v>
      </c>
      <c r="G786" s="82">
        <v>44.1</v>
      </c>
      <c r="H786" s="67">
        <v>9208</v>
      </c>
      <c r="I786" s="69">
        <v>0</v>
      </c>
      <c r="J786" s="70">
        <v>5775</v>
      </c>
      <c r="K786" s="75">
        <v>7.6883116883116882</v>
      </c>
      <c r="L786" s="74">
        <v>0</v>
      </c>
      <c r="M786" s="76">
        <v>6.0810810810810807E-2</v>
      </c>
      <c r="N786" s="67">
        <v>1973</v>
      </c>
      <c r="Q786" s="59">
        <v>14</v>
      </c>
      <c r="R786" s="59">
        <v>3</v>
      </c>
      <c r="S786" s="59">
        <v>1</v>
      </c>
      <c r="T786" s="63" t="s">
        <v>7113</v>
      </c>
      <c r="U786" s="63">
        <v>398</v>
      </c>
      <c r="V786" s="70">
        <v>9142</v>
      </c>
      <c r="W786" s="70">
        <v>9000</v>
      </c>
      <c r="X786" s="83" t="s">
        <v>5896</v>
      </c>
      <c r="Y786" s="70">
        <f>ROUND(J786,-3)</f>
        <v>6000</v>
      </c>
      <c r="Z786" s="63" t="s">
        <v>5866</v>
      </c>
      <c r="AA786" s="59">
        <v>3</v>
      </c>
      <c r="AB786" s="59">
        <v>3</v>
      </c>
      <c r="AC786" s="67" t="s">
        <v>333</v>
      </c>
      <c r="AD786" s="61" t="s">
        <v>181</v>
      </c>
      <c r="AE786" s="71"/>
      <c r="AF786" s="71"/>
      <c r="AG786" s="71"/>
      <c r="AH786" s="71"/>
      <c r="AI786" s="71"/>
      <c r="AJ786" s="71"/>
      <c r="AK786" s="71" t="s">
        <v>7486</v>
      </c>
      <c r="AL786">
        <f t="shared" si="14"/>
        <v>44400</v>
      </c>
    </row>
    <row r="787" spans="1:38">
      <c r="A787" s="62">
        <v>8</v>
      </c>
      <c r="B787" s="93">
        <v>779</v>
      </c>
      <c r="C787" s="68" t="s">
        <v>7475</v>
      </c>
      <c r="D787" s="59" t="s">
        <v>7978</v>
      </c>
      <c r="E787" s="72" t="s">
        <v>5862</v>
      </c>
      <c r="F787" s="73" t="s">
        <v>7979</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7018</v>
      </c>
      <c r="U787" s="63">
        <v>398</v>
      </c>
      <c r="V787" s="70">
        <v>35708</v>
      </c>
      <c r="W787" s="70">
        <v>36000</v>
      </c>
      <c r="X787" s="83" t="s">
        <v>7374</v>
      </c>
      <c r="Y787" s="70">
        <f>ROUND(J787,-3)</f>
        <v>36000</v>
      </c>
      <c r="Z787" s="63" t="s">
        <v>5866</v>
      </c>
      <c r="AA787" s="59">
        <v>3</v>
      </c>
      <c r="AB787" s="59">
        <v>3</v>
      </c>
      <c r="AC787" s="67" t="s">
        <v>333</v>
      </c>
      <c r="AD787" s="61" t="s">
        <v>181</v>
      </c>
      <c r="AE787" s="71"/>
      <c r="AF787" s="71"/>
      <c r="AG787" s="71"/>
      <c r="AH787" s="71"/>
      <c r="AI787" s="71"/>
      <c r="AJ787" s="71"/>
      <c r="AK787" s="71" t="s">
        <v>7980</v>
      </c>
      <c r="AL787">
        <f t="shared" si="14"/>
        <v>83758.5</v>
      </c>
    </row>
    <row r="788" spans="1:38">
      <c r="A788" s="62">
        <v>8</v>
      </c>
      <c r="B788" s="93">
        <v>780</v>
      </c>
      <c r="C788" s="68" t="s">
        <v>7475</v>
      </c>
      <c r="D788" s="59" t="s">
        <v>7981</v>
      </c>
      <c r="E788" s="72" t="s">
        <v>5862</v>
      </c>
      <c r="F788" s="73" t="s">
        <v>7982</v>
      </c>
      <c r="G788" s="82">
        <v>44.1</v>
      </c>
      <c r="H788" s="67">
        <v>9208</v>
      </c>
      <c r="I788" s="69">
        <v>0</v>
      </c>
      <c r="J788" s="70">
        <v>1950</v>
      </c>
      <c r="K788" s="75">
        <v>6.1046153846153848</v>
      </c>
      <c r="L788" s="74">
        <v>0</v>
      </c>
      <c r="M788" s="76">
        <v>0</v>
      </c>
      <c r="N788" s="67">
        <v>1954</v>
      </c>
      <c r="O788" s="64">
        <v>120</v>
      </c>
      <c r="Q788" s="59">
        <v>13</v>
      </c>
      <c r="R788" s="59">
        <v>3</v>
      </c>
      <c r="S788" s="59">
        <v>1</v>
      </c>
      <c r="T788" s="63" t="s">
        <v>7113</v>
      </c>
      <c r="U788" s="63">
        <v>398</v>
      </c>
      <c r="V788" s="70">
        <v>2250</v>
      </c>
      <c r="W788" s="70">
        <v>2000</v>
      </c>
      <c r="X788" s="83" t="s">
        <v>6128</v>
      </c>
      <c r="Y788" s="70">
        <f>ROUND(J788,-2)</f>
        <v>2000</v>
      </c>
      <c r="Z788" s="63" t="s">
        <v>5866</v>
      </c>
      <c r="AA788" s="59">
        <v>3</v>
      </c>
      <c r="AB788" s="59">
        <v>3</v>
      </c>
      <c r="AC788" s="67" t="s">
        <v>333</v>
      </c>
      <c r="AD788" s="61" t="s">
        <v>7983</v>
      </c>
      <c r="AE788" s="71"/>
      <c r="AF788" s="71"/>
      <c r="AG788" s="71"/>
      <c r="AH788" s="71"/>
      <c r="AI788" s="71"/>
      <c r="AJ788" s="71"/>
      <c r="AK788" s="71" t="s">
        <v>7537</v>
      </c>
      <c r="AL788">
        <f t="shared" si="14"/>
        <v>11904</v>
      </c>
    </row>
    <row r="789" spans="1:38">
      <c r="A789" s="62">
        <v>8</v>
      </c>
      <c r="B789" s="93">
        <v>781</v>
      </c>
      <c r="C789" s="68" t="s">
        <v>7475</v>
      </c>
      <c r="D789" s="59" t="s">
        <v>7984</v>
      </c>
      <c r="E789" s="72" t="s">
        <v>5862</v>
      </c>
      <c r="F789" s="73" t="s">
        <v>7985</v>
      </c>
      <c r="G789" s="82">
        <v>44.1</v>
      </c>
      <c r="H789" s="67">
        <v>9208</v>
      </c>
      <c r="I789" s="69">
        <v>0</v>
      </c>
      <c r="J789" s="70">
        <v>1608</v>
      </c>
      <c r="K789" s="75">
        <v>6.3432835820895521</v>
      </c>
      <c r="L789" s="74">
        <v>0.42</v>
      </c>
      <c r="M789" s="76">
        <v>0</v>
      </c>
      <c r="N789" s="67">
        <v>1977</v>
      </c>
      <c r="Q789" s="59">
        <v>11</v>
      </c>
      <c r="R789" s="59">
        <v>7</v>
      </c>
      <c r="S789" s="59">
        <v>1</v>
      </c>
      <c r="T789" s="63" t="s">
        <v>7018</v>
      </c>
      <c r="U789" s="63">
        <v>398</v>
      </c>
      <c r="V789" s="70">
        <v>2868</v>
      </c>
      <c r="W789" s="70">
        <v>3000</v>
      </c>
      <c r="X789" s="83" t="s">
        <v>6091</v>
      </c>
      <c r="Y789" s="70">
        <f>ROUND(J789,-2)</f>
        <v>1600</v>
      </c>
      <c r="Z789" s="63" t="s">
        <v>5866</v>
      </c>
      <c r="AA789" s="59">
        <v>3</v>
      </c>
      <c r="AB789" s="59">
        <v>2</v>
      </c>
      <c r="AC789" s="67" t="s">
        <v>329</v>
      </c>
      <c r="AD789" s="61" t="s">
        <v>5904</v>
      </c>
      <c r="AE789" s="71"/>
      <c r="AF789" s="71"/>
      <c r="AG789" s="71"/>
      <c r="AH789" s="71"/>
      <c r="AI789" s="71"/>
      <c r="AJ789" s="71"/>
      <c r="AK789" s="71" t="s">
        <v>7986</v>
      </c>
      <c r="AL789">
        <f t="shared" si="14"/>
        <v>10200</v>
      </c>
    </row>
    <row r="790" spans="1:38">
      <c r="A790" s="62">
        <v>8</v>
      </c>
      <c r="B790" s="93">
        <v>782</v>
      </c>
      <c r="C790" s="68" t="s">
        <v>7475</v>
      </c>
      <c r="D790" s="59" t="s">
        <v>7987</v>
      </c>
      <c r="E790" s="72" t="s">
        <v>5862</v>
      </c>
      <c r="F790" s="73" t="s">
        <v>7988</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7113</v>
      </c>
      <c r="U790" s="63">
        <v>401</v>
      </c>
      <c r="V790" s="70">
        <v>41850</v>
      </c>
      <c r="W790" s="70">
        <v>42000</v>
      </c>
      <c r="X790" s="83" t="s">
        <v>6774</v>
      </c>
      <c r="Y790" s="70">
        <f>ROUND(J790,-3)</f>
        <v>21000</v>
      </c>
      <c r="Z790" s="63" t="s">
        <v>5866</v>
      </c>
      <c r="AA790" s="59">
        <v>3</v>
      </c>
      <c r="AB790" s="59">
        <v>3</v>
      </c>
      <c r="AC790" s="67" t="s">
        <v>333</v>
      </c>
      <c r="AD790" s="61" t="s">
        <v>181</v>
      </c>
      <c r="AE790" s="71"/>
      <c r="AF790" s="71"/>
      <c r="AG790" s="71"/>
      <c r="AH790" s="71"/>
      <c r="AI790" s="71"/>
      <c r="AJ790" s="71"/>
      <c r="AK790" s="71" t="s">
        <v>7486</v>
      </c>
      <c r="AL790">
        <f t="shared" si="14"/>
        <v>72000</v>
      </c>
    </row>
    <row r="791" spans="1:38">
      <c r="A791" s="62">
        <v>8</v>
      </c>
      <c r="B791" s="93">
        <v>783</v>
      </c>
      <c r="C791" s="68" t="s">
        <v>7475</v>
      </c>
      <c r="D791" s="59" t="s">
        <v>7989</v>
      </c>
      <c r="E791" s="72" t="s">
        <v>5862</v>
      </c>
      <c r="F791" s="73" t="s">
        <v>7990</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7113</v>
      </c>
      <c r="U791" s="63">
        <v>398</v>
      </c>
      <c r="V791" s="70">
        <v>37190</v>
      </c>
      <c r="W791" s="70">
        <v>37000</v>
      </c>
      <c r="X791" s="83" t="s">
        <v>5878</v>
      </c>
      <c r="Y791" s="70">
        <f>ROUND(J791,-3)</f>
        <v>16000</v>
      </c>
      <c r="Z791" s="63" t="s">
        <v>5866</v>
      </c>
      <c r="AA791" s="59">
        <v>3</v>
      </c>
      <c r="AB791" s="59">
        <v>3</v>
      </c>
      <c r="AC791" s="67" t="s">
        <v>333</v>
      </c>
      <c r="AD791" s="61" t="s">
        <v>181</v>
      </c>
      <c r="AE791" s="71"/>
      <c r="AF791" s="71"/>
      <c r="AG791" s="71"/>
      <c r="AH791" s="71"/>
      <c r="AI791" s="71"/>
      <c r="AJ791" s="71"/>
      <c r="AK791" s="71" t="s">
        <v>7553</v>
      </c>
      <c r="AL791">
        <f t="shared" si="14"/>
        <v>55156.000000000007</v>
      </c>
    </row>
    <row r="792" spans="1:38">
      <c r="A792" s="62">
        <v>8</v>
      </c>
      <c r="B792" s="93">
        <v>784</v>
      </c>
      <c r="C792" s="68" t="s">
        <v>7475</v>
      </c>
      <c r="D792" s="59" t="s">
        <v>7991</v>
      </c>
      <c r="E792" s="72" t="s">
        <v>5862</v>
      </c>
      <c r="F792" s="73" t="s">
        <v>7992</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7110</v>
      </c>
      <c r="U792" s="63">
        <v>398</v>
      </c>
      <c r="V792" s="70">
        <v>6950</v>
      </c>
      <c r="W792" s="70">
        <v>7000</v>
      </c>
      <c r="X792" s="83" t="s">
        <v>6516</v>
      </c>
      <c r="Y792" s="70">
        <f>ROUND(J792,-2)</f>
        <v>700</v>
      </c>
      <c r="Z792" s="63" t="s">
        <v>5866</v>
      </c>
      <c r="AA792" s="59">
        <v>3</v>
      </c>
      <c r="AB792" s="59">
        <v>3</v>
      </c>
      <c r="AC792" s="67" t="s">
        <v>333</v>
      </c>
      <c r="AD792" s="61" t="s">
        <v>5904</v>
      </c>
      <c r="AE792" s="71"/>
      <c r="AF792" s="71"/>
      <c r="AG792" s="71"/>
      <c r="AH792" s="71"/>
      <c r="AI792" s="71"/>
      <c r="AJ792" s="71"/>
      <c r="AK792" s="71" t="s">
        <v>7993</v>
      </c>
      <c r="AL792">
        <f t="shared" si="14"/>
        <v>5167</v>
      </c>
    </row>
    <row r="793" spans="1:38">
      <c r="A793" s="62">
        <v>8</v>
      </c>
      <c r="B793" s="93">
        <v>785</v>
      </c>
      <c r="C793" s="68" t="s">
        <v>7475</v>
      </c>
      <c r="D793" s="59" t="s">
        <v>6382</v>
      </c>
      <c r="E793" s="72" t="s">
        <v>5862</v>
      </c>
      <c r="F793" s="73" t="s">
        <v>6383</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7018</v>
      </c>
      <c r="U793" s="63">
        <v>398</v>
      </c>
      <c r="V793" s="70">
        <v>14360</v>
      </c>
      <c r="W793" s="70">
        <v>14000</v>
      </c>
      <c r="X793" s="83" t="s">
        <v>5874</v>
      </c>
      <c r="Y793" s="70">
        <f>ROUND(J793,-3)</f>
        <v>6000</v>
      </c>
      <c r="Z793" s="63" t="s">
        <v>5866</v>
      </c>
      <c r="AA793" s="59">
        <v>3</v>
      </c>
      <c r="AB793" s="59">
        <v>3</v>
      </c>
      <c r="AC793" s="67" t="s">
        <v>333</v>
      </c>
      <c r="AD793" s="61" t="s">
        <v>6384</v>
      </c>
      <c r="AE793" s="71"/>
      <c r="AF793" s="71"/>
      <c r="AG793" s="71"/>
      <c r="AH793" s="71"/>
      <c r="AI793" s="71"/>
      <c r="AJ793" s="71"/>
      <c r="AK793" s="71" t="s">
        <v>7994</v>
      </c>
      <c r="AL793">
        <f t="shared" si="14"/>
        <v>10350</v>
      </c>
    </row>
    <row r="794" spans="1:38">
      <c r="A794" s="62">
        <v>8</v>
      </c>
      <c r="B794" s="93">
        <v>786</v>
      </c>
      <c r="C794" s="68" t="s">
        <v>7475</v>
      </c>
      <c r="D794" s="59" t="s">
        <v>7995</v>
      </c>
      <c r="E794" s="72" t="s">
        <v>5862</v>
      </c>
      <c r="F794" s="73" t="s">
        <v>7996</v>
      </c>
      <c r="G794" s="82">
        <v>44.1</v>
      </c>
      <c r="H794" s="67">
        <v>9202</v>
      </c>
      <c r="I794" s="69">
        <v>4</v>
      </c>
      <c r="J794" s="70">
        <v>1865</v>
      </c>
      <c r="K794" s="75">
        <v>12.8686327077748</v>
      </c>
      <c r="L794" s="74">
        <v>0.25</v>
      </c>
      <c r="M794" s="76">
        <v>0</v>
      </c>
      <c r="N794" s="67">
        <v>1942</v>
      </c>
      <c r="O794" s="64">
        <f>390+130</f>
        <v>520</v>
      </c>
      <c r="Q794" s="59">
        <v>14</v>
      </c>
      <c r="R794" s="59">
        <v>3</v>
      </c>
      <c r="S794" s="59">
        <v>1</v>
      </c>
      <c r="T794" s="63" t="s">
        <v>7124</v>
      </c>
      <c r="U794" s="63">
        <v>398</v>
      </c>
      <c r="V794" s="70">
        <v>6278</v>
      </c>
      <c r="W794" s="70">
        <v>6000</v>
      </c>
      <c r="X794" s="83" t="s">
        <v>6293</v>
      </c>
      <c r="Y794" s="70">
        <f>ROUND(J794,-2)</f>
        <v>1900</v>
      </c>
      <c r="Z794" s="63" t="s">
        <v>5866</v>
      </c>
      <c r="AA794" s="59">
        <v>3</v>
      </c>
      <c r="AB794" s="59">
        <v>3</v>
      </c>
      <c r="AC794" s="67" t="s">
        <v>333</v>
      </c>
      <c r="AD794" s="61" t="s">
        <v>7997</v>
      </c>
      <c r="AE794" s="71"/>
      <c r="AF794" s="71"/>
      <c r="AG794" s="71"/>
      <c r="AH794" s="71"/>
      <c r="AI794" s="71"/>
      <c r="AJ794" s="71"/>
      <c r="AK794" s="71" t="s">
        <v>7998</v>
      </c>
      <c r="AL794">
        <f t="shared" si="14"/>
        <v>24000.000000000004</v>
      </c>
    </row>
    <row r="795" spans="1:38">
      <c r="A795" s="62">
        <v>8</v>
      </c>
      <c r="B795" s="93">
        <v>787</v>
      </c>
      <c r="C795" s="68" t="s">
        <v>7475</v>
      </c>
      <c r="D795" s="59" t="s">
        <v>7999</v>
      </c>
      <c r="E795" s="72" t="s">
        <v>5862</v>
      </c>
      <c r="F795" s="73" t="s">
        <v>8000</v>
      </c>
      <c r="G795" s="82">
        <v>44.5</v>
      </c>
      <c r="H795" s="67">
        <v>9202</v>
      </c>
      <c r="I795" s="69">
        <v>1</v>
      </c>
      <c r="J795" s="70">
        <v>12556</v>
      </c>
      <c r="K795" s="75">
        <v>7.1822236381013056</v>
      </c>
      <c r="L795" s="74">
        <v>0</v>
      </c>
      <c r="M795" s="76">
        <v>0.13629407850964739</v>
      </c>
      <c r="N795" s="67">
        <v>1977</v>
      </c>
      <c r="Q795" s="59">
        <v>22</v>
      </c>
      <c r="R795" s="59">
        <v>3</v>
      </c>
      <c r="S795" s="59">
        <v>103</v>
      </c>
      <c r="T795" s="63" t="s">
        <v>7124</v>
      </c>
      <c r="U795" s="63">
        <v>396</v>
      </c>
      <c r="V795" s="70">
        <v>12639</v>
      </c>
      <c r="W795" s="70">
        <v>13000</v>
      </c>
      <c r="X795" s="83" t="s">
        <v>7374</v>
      </c>
      <c r="Y795" s="70">
        <f>ROUND(J795,-3)</f>
        <v>13000</v>
      </c>
      <c r="Z795" s="63" t="s">
        <v>5866</v>
      </c>
      <c r="AA795" s="59">
        <v>3</v>
      </c>
      <c r="AB795" s="59">
        <v>3</v>
      </c>
      <c r="AC795" s="67" t="s">
        <v>333</v>
      </c>
      <c r="AD795" s="61" t="s">
        <v>8001</v>
      </c>
      <c r="AE795" s="71"/>
      <c r="AF795" s="71"/>
      <c r="AG795" s="71"/>
      <c r="AH795" s="71"/>
      <c r="AI795" s="71"/>
      <c r="AJ795" s="71"/>
      <c r="AK795" s="71" t="s">
        <v>8002</v>
      </c>
      <c r="AL795">
        <f t="shared" si="14"/>
        <v>875.53398058252424</v>
      </c>
    </row>
    <row r="796" spans="1:38">
      <c r="A796" s="62">
        <v>8</v>
      </c>
      <c r="B796" s="93">
        <v>788</v>
      </c>
      <c r="C796" s="68" t="s">
        <v>7475</v>
      </c>
      <c r="D796" s="59" t="s">
        <v>8003</v>
      </c>
      <c r="E796" s="72" t="s">
        <v>5862</v>
      </c>
      <c r="F796" s="73" t="s">
        <v>8004</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7124</v>
      </c>
      <c r="U796" s="63">
        <v>398</v>
      </c>
      <c r="V796" s="70">
        <v>5028</v>
      </c>
      <c r="W796" s="70">
        <v>5000</v>
      </c>
      <c r="X796" s="83" t="s">
        <v>6271</v>
      </c>
      <c r="Y796" s="70">
        <f>ROUND(J796,-3)</f>
        <v>4000</v>
      </c>
      <c r="Z796" s="63" t="s">
        <v>5866</v>
      </c>
      <c r="AA796" s="59">
        <v>3</v>
      </c>
      <c r="AB796" s="59">
        <v>3</v>
      </c>
      <c r="AC796" s="67" t="s">
        <v>333</v>
      </c>
      <c r="AD796" s="61" t="s">
        <v>5904</v>
      </c>
      <c r="AE796" s="71"/>
      <c r="AF796" s="71"/>
      <c r="AG796" s="71"/>
      <c r="AH796" s="71"/>
      <c r="AI796" s="71"/>
      <c r="AJ796" s="71"/>
      <c r="AK796" s="71" t="s">
        <v>8005</v>
      </c>
      <c r="AL796">
        <f t="shared" si="14"/>
        <v>36000</v>
      </c>
    </row>
    <row r="797" spans="1:38">
      <c r="A797" s="62">
        <v>8</v>
      </c>
      <c r="B797" s="93">
        <v>789</v>
      </c>
      <c r="C797" s="68" t="s">
        <v>7475</v>
      </c>
      <c r="D797" s="59" t="s">
        <v>8006</v>
      </c>
      <c r="E797" s="72" t="s">
        <v>5862</v>
      </c>
      <c r="F797" s="73" t="s">
        <v>8007</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7124</v>
      </c>
      <c r="U797" s="63">
        <v>398</v>
      </c>
      <c r="V797" s="70">
        <v>9396</v>
      </c>
      <c r="W797" s="70">
        <v>9000</v>
      </c>
      <c r="X797" s="83" t="s">
        <v>6271</v>
      </c>
      <c r="Y797" s="70">
        <f>ROUND(J797,-3)</f>
        <v>9000</v>
      </c>
      <c r="Z797" s="63" t="s">
        <v>5866</v>
      </c>
      <c r="AA797" s="59">
        <v>3</v>
      </c>
      <c r="AB797" s="59">
        <v>3</v>
      </c>
      <c r="AC797" s="67" t="s">
        <v>333</v>
      </c>
      <c r="AD797" s="61" t="s">
        <v>181</v>
      </c>
      <c r="AE797" s="71"/>
      <c r="AF797" s="71"/>
      <c r="AG797" s="71"/>
      <c r="AH797" s="71"/>
      <c r="AI797" s="71"/>
      <c r="AJ797" s="71"/>
      <c r="AK797" s="71" t="s">
        <v>7635</v>
      </c>
      <c r="AL797">
        <f t="shared" si="14"/>
        <v>66000</v>
      </c>
    </row>
    <row r="798" spans="1:38">
      <c r="A798" s="62">
        <v>8</v>
      </c>
      <c r="B798" s="93">
        <v>790</v>
      </c>
      <c r="C798" s="68" t="s">
        <v>7475</v>
      </c>
      <c r="D798" s="59" t="s">
        <v>8008</v>
      </c>
      <c r="E798" s="72" t="s">
        <v>5862</v>
      </c>
      <c r="F798" s="73" t="s">
        <v>8009</v>
      </c>
      <c r="G798" s="82">
        <v>44.1</v>
      </c>
      <c r="H798" s="67">
        <v>9502</v>
      </c>
      <c r="I798" s="69">
        <v>0</v>
      </c>
      <c r="J798" s="70">
        <v>1300</v>
      </c>
      <c r="K798" s="75">
        <v>9.2307692307692299</v>
      </c>
      <c r="L798" s="74">
        <v>0.63</v>
      </c>
      <c r="M798" s="76">
        <v>7.5749999999999998E-2</v>
      </c>
      <c r="N798" s="67">
        <v>1901</v>
      </c>
      <c r="Q798" s="59">
        <v>11</v>
      </c>
      <c r="R798" s="59">
        <v>1</v>
      </c>
      <c r="S798" s="59">
        <v>1</v>
      </c>
      <c r="T798" s="63" t="s">
        <v>8010</v>
      </c>
      <c r="U798" s="63">
        <v>398</v>
      </c>
      <c r="V798" s="70">
        <v>3527</v>
      </c>
      <c r="W798" s="70">
        <v>4000</v>
      </c>
      <c r="X798" s="83" t="s">
        <v>5938</v>
      </c>
      <c r="Y798" s="70">
        <f>ROUND(J798,-2)</f>
        <v>1300</v>
      </c>
      <c r="Z798" s="63" t="s">
        <v>5866</v>
      </c>
      <c r="AA798" s="59">
        <v>3</v>
      </c>
      <c r="AB798" s="59">
        <v>3</v>
      </c>
      <c r="AC798" s="67" t="s">
        <v>333</v>
      </c>
      <c r="AD798" s="61" t="s">
        <v>5904</v>
      </c>
      <c r="AE798" s="71"/>
      <c r="AF798" s="71"/>
      <c r="AG798" s="71"/>
      <c r="AH798" s="71"/>
      <c r="AI798" s="71"/>
      <c r="AJ798" s="71"/>
      <c r="AK798" s="71" t="s">
        <v>8011</v>
      </c>
      <c r="AL798">
        <f t="shared" si="14"/>
        <v>11999.999999999998</v>
      </c>
    </row>
    <row r="799" spans="1:38">
      <c r="A799" s="62">
        <v>8</v>
      </c>
      <c r="B799" s="93">
        <v>791</v>
      </c>
      <c r="C799" s="68" t="s">
        <v>7475</v>
      </c>
      <c r="D799" s="59" t="s">
        <v>8012</v>
      </c>
      <c r="E799" s="72" t="s">
        <v>5862</v>
      </c>
      <c r="F799" s="73" t="s">
        <v>8013</v>
      </c>
      <c r="G799" s="82">
        <v>44.1</v>
      </c>
      <c r="H799" s="67">
        <v>9505</v>
      </c>
      <c r="I799" s="69">
        <v>0</v>
      </c>
      <c r="J799" s="70">
        <v>10866</v>
      </c>
      <c r="K799" s="75">
        <v>7.8409718387631147</v>
      </c>
      <c r="L799" s="74">
        <v>0</v>
      </c>
      <c r="M799" s="76">
        <v>0</v>
      </c>
      <c r="N799" s="67">
        <v>1964</v>
      </c>
      <c r="O799" s="64">
        <v>5985</v>
      </c>
      <c r="Q799" s="59">
        <v>12</v>
      </c>
      <c r="R799" s="59">
        <v>3</v>
      </c>
      <c r="S799" s="59">
        <v>1</v>
      </c>
      <c r="T799" s="63" t="s">
        <v>7018</v>
      </c>
      <c r="U799" s="63">
        <v>398</v>
      </c>
      <c r="V799" s="70">
        <v>14800</v>
      </c>
      <c r="W799" s="70">
        <v>15000</v>
      </c>
      <c r="X799" s="83" t="s">
        <v>5938</v>
      </c>
      <c r="Y799" s="70">
        <f t="shared" ref="Y799:Y816" si="16">ROUND(J799,-3)</f>
        <v>11000</v>
      </c>
      <c r="Z799" s="63" t="s">
        <v>5866</v>
      </c>
      <c r="AA799" s="59">
        <v>3</v>
      </c>
      <c r="AB799" s="59">
        <v>3</v>
      </c>
      <c r="AC799" s="67" t="s">
        <v>333</v>
      </c>
      <c r="AD799" s="61" t="s">
        <v>8014</v>
      </c>
      <c r="AE799" s="71"/>
      <c r="AF799" s="71"/>
      <c r="AG799" s="71"/>
      <c r="AH799" s="71"/>
      <c r="AI799" s="71"/>
      <c r="AJ799" s="71"/>
      <c r="AK799" s="71" t="s">
        <v>8015</v>
      </c>
      <c r="AL799">
        <f t="shared" si="14"/>
        <v>85200</v>
      </c>
    </row>
    <row r="800" spans="1:38">
      <c r="A800" s="62">
        <v>8</v>
      </c>
      <c r="B800" s="93">
        <v>792</v>
      </c>
      <c r="C800" s="68" t="s">
        <v>7475</v>
      </c>
      <c r="D800" s="59" t="s">
        <v>8016</v>
      </c>
      <c r="E800" s="72" t="s">
        <v>5862</v>
      </c>
      <c r="F800" s="73" t="s">
        <v>8017</v>
      </c>
      <c r="G800" s="82">
        <v>47.2</v>
      </c>
      <c r="H800" s="67">
        <v>9505</v>
      </c>
      <c r="I800" s="69">
        <v>3</v>
      </c>
      <c r="J800" s="70">
        <v>2000</v>
      </c>
      <c r="K800" s="75">
        <v>7.8</v>
      </c>
      <c r="L800" s="74">
        <v>0</v>
      </c>
      <c r="M800" s="76">
        <v>6.7243589743589738E-2</v>
      </c>
      <c r="N800" s="67">
        <v>1938</v>
      </c>
      <c r="Q800" s="59">
        <v>14</v>
      </c>
      <c r="R800" s="59">
        <v>3</v>
      </c>
      <c r="S800" s="59">
        <v>1</v>
      </c>
      <c r="T800" s="63" t="s">
        <v>7018</v>
      </c>
      <c r="U800" s="63">
        <v>401</v>
      </c>
      <c r="V800" s="70">
        <v>2625</v>
      </c>
      <c r="W800" s="70">
        <v>3000</v>
      </c>
      <c r="X800" s="83" t="s">
        <v>6331</v>
      </c>
      <c r="Y800" s="70">
        <f t="shared" si="16"/>
        <v>2000</v>
      </c>
      <c r="Z800" s="63" t="s">
        <v>5866</v>
      </c>
      <c r="AA800" s="59">
        <v>3</v>
      </c>
      <c r="AB800" s="59">
        <v>3</v>
      </c>
      <c r="AC800" s="67" t="s">
        <v>333</v>
      </c>
      <c r="AD800" s="61" t="s">
        <v>8018</v>
      </c>
      <c r="AE800" s="71"/>
      <c r="AF800" s="71"/>
      <c r="AG800" s="71"/>
      <c r="AH800" s="71"/>
      <c r="AI800" s="71"/>
      <c r="AJ800" s="71"/>
      <c r="AK800" s="71" t="s">
        <v>7803</v>
      </c>
      <c r="AL800">
        <f t="shared" si="14"/>
        <v>15600</v>
      </c>
    </row>
    <row r="801" spans="1:38">
      <c r="A801" s="62">
        <v>8</v>
      </c>
      <c r="B801" s="93">
        <v>793</v>
      </c>
      <c r="C801" s="68" t="s">
        <v>7475</v>
      </c>
      <c r="D801" s="59" t="s">
        <v>8019</v>
      </c>
      <c r="E801" s="72" t="s">
        <v>5862</v>
      </c>
      <c r="F801" s="73" t="s">
        <v>8020</v>
      </c>
      <c r="G801" s="82">
        <v>43.1</v>
      </c>
      <c r="H801" s="67">
        <v>9503</v>
      </c>
      <c r="I801" s="69">
        <v>0</v>
      </c>
      <c r="J801" s="70">
        <v>5288</v>
      </c>
      <c r="K801" s="75">
        <v>9.8335854765506809</v>
      </c>
      <c r="L801" s="74">
        <v>0</v>
      </c>
      <c r="M801" s="76">
        <v>0</v>
      </c>
      <c r="N801" s="67">
        <v>1927</v>
      </c>
      <c r="O801" s="64">
        <v>3284</v>
      </c>
      <c r="Q801" s="59">
        <v>13</v>
      </c>
      <c r="R801" s="59">
        <v>1</v>
      </c>
      <c r="S801" s="59">
        <v>1</v>
      </c>
      <c r="T801" s="63" t="s">
        <v>7130</v>
      </c>
      <c r="U801" s="63">
        <v>401</v>
      </c>
      <c r="V801" s="70">
        <v>9370</v>
      </c>
      <c r="W801" s="70">
        <v>9000</v>
      </c>
      <c r="X801" s="83" t="s">
        <v>6091</v>
      </c>
      <c r="Y801" s="70">
        <f t="shared" si="16"/>
        <v>5000</v>
      </c>
      <c r="Z801" s="63" t="s">
        <v>5866</v>
      </c>
      <c r="AA801" s="59">
        <v>3</v>
      </c>
      <c r="AB801" s="59">
        <v>3</v>
      </c>
      <c r="AC801" s="67" t="s">
        <v>333</v>
      </c>
      <c r="AD801" s="61" t="s">
        <v>181</v>
      </c>
      <c r="AE801" s="71"/>
      <c r="AF801" s="71"/>
      <c r="AG801" s="71"/>
      <c r="AH801" s="71"/>
      <c r="AI801" s="71"/>
      <c r="AJ801" s="71"/>
      <c r="AK801" s="71" t="s">
        <v>8021</v>
      </c>
      <c r="AL801">
        <f t="shared" ref="AL801:AL826" si="17">IF(AND(ISNUMBER($S801),$S801&gt;0,ISNUMBER($K801),ISNUMBER($J801)),($K801*$J801)/$S801,"")</f>
        <v>52000</v>
      </c>
    </row>
    <row r="802" spans="1:38">
      <c r="A802" s="62">
        <v>8</v>
      </c>
      <c r="B802" s="93">
        <v>794</v>
      </c>
      <c r="C802" s="68" t="s">
        <v>7475</v>
      </c>
      <c r="D802" s="59" t="s">
        <v>6406</v>
      </c>
      <c r="E802" s="72" t="s">
        <v>5862</v>
      </c>
      <c r="F802" s="73" t="s">
        <v>6407</v>
      </c>
      <c r="G802" s="82">
        <v>44.1</v>
      </c>
      <c r="H802" s="67">
        <v>9505</v>
      </c>
      <c r="I802" s="69">
        <v>0</v>
      </c>
      <c r="J802" s="70">
        <v>10600</v>
      </c>
      <c r="K802" s="75">
        <v>7.1415094339622636</v>
      </c>
      <c r="L802" s="74">
        <v>0</v>
      </c>
      <c r="M802" s="76">
        <v>0</v>
      </c>
      <c r="N802" s="67">
        <v>1966</v>
      </c>
      <c r="O802" s="64">
        <v>3480</v>
      </c>
      <c r="Q802" s="59">
        <v>13</v>
      </c>
      <c r="R802" s="59">
        <v>8</v>
      </c>
      <c r="S802" s="59">
        <v>1</v>
      </c>
      <c r="T802" s="63" t="s">
        <v>6754</v>
      </c>
      <c r="U802" s="63">
        <v>397</v>
      </c>
      <c r="V802" s="70">
        <v>25019</v>
      </c>
      <c r="W802" s="70">
        <v>25000</v>
      </c>
      <c r="X802" s="83" t="s">
        <v>5878</v>
      </c>
      <c r="Y802" s="70">
        <f t="shared" si="16"/>
        <v>11000</v>
      </c>
      <c r="Z802" s="63" t="s">
        <v>5866</v>
      </c>
      <c r="AA802" s="59">
        <v>3</v>
      </c>
      <c r="AB802" s="59">
        <v>3</v>
      </c>
      <c r="AC802" s="67" t="s">
        <v>333</v>
      </c>
      <c r="AD802" s="61" t="s">
        <v>6409</v>
      </c>
      <c r="AE802" s="71"/>
      <c r="AF802" s="71"/>
      <c r="AG802" s="71"/>
      <c r="AH802" s="71"/>
      <c r="AI802" s="71"/>
      <c r="AJ802" s="71"/>
      <c r="AK802" s="71" t="s">
        <v>7486</v>
      </c>
      <c r="AL802">
        <f t="shared" si="17"/>
        <v>75700</v>
      </c>
    </row>
    <row r="803" spans="1:38">
      <c r="A803" s="62">
        <v>8</v>
      </c>
      <c r="B803" s="93">
        <v>795</v>
      </c>
      <c r="C803" s="68" t="s">
        <v>7475</v>
      </c>
      <c r="D803" s="59" t="s">
        <v>8022</v>
      </c>
      <c r="E803" s="72" t="s">
        <v>5862</v>
      </c>
      <c r="F803" s="73" t="s">
        <v>8023</v>
      </c>
      <c r="G803" s="82">
        <v>44.6</v>
      </c>
      <c r="H803" s="67">
        <v>9505</v>
      </c>
      <c r="I803" s="69">
        <v>0</v>
      </c>
      <c r="J803" s="70">
        <v>39999</v>
      </c>
      <c r="K803" s="75">
        <v>7.7101927548188707</v>
      </c>
      <c r="L803" s="74">
        <v>0</v>
      </c>
      <c r="M803" s="76">
        <v>0</v>
      </c>
      <c r="N803" s="67">
        <v>1963</v>
      </c>
      <c r="O803" s="64">
        <v>1344</v>
      </c>
      <c r="Q803" s="59">
        <v>20</v>
      </c>
      <c r="R803" s="59">
        <v>10</v>
      </c>
      <c r="S803" s="59">
        <v>1</v>
      </c>
      <c r="T803" s="63" t="s">
        <v>6759</v>
      </c>
      <c r="U803" s="63">
        <v>398</v>
      </c>
      <c r="V803" s="70">
        <v>73800</v>
      </c>
      <c r="W803" s="70">
        <v>70000</v>
      </c>
      <c r="X803" s="83" t="s">
        <v>6091</v>
      </c>
      <c r="Y803" s="70">
        <f t="shared" si="16"/>
        <v>40000</v>
      </c>
      <c r="Z803" s="63" t="s">
        <v>5866</v>
      </c>
      <c r="AA803" s="59">
        <v>3</v>
      </c>
      <c r="AB803" s="59">
        <v>3</v>
      </c>
      <c r="AC803" s="67" t="s">
        <v>333</v>
      </c>
      <c r="AD803" s="61" t="s">
        <v>181</v>
      </c>
      <c r="AE803" s="71"/>
      <c r="AF803" s="71"/>
      <c r="AG803" s="71"/>
      <c r="AH803" s="71"/>
      <c r="AI803" s="71"/>
      <c r="AJ803" s="71"/>
      <c r="AK803" s="71" t="s">
        <v>8024</v>
      </c>
      <c r="AL803">
        <f t="shared" si="17"/>
        <v>308400</v>
      </c>
    </row>
    <row r="804" spans="1:38">
      <c r="A804" s="62">
        <v>8</v>
      </c>
      <c r="B804" s="93">
        <v>796</v>
      </c>
      <c r="C804" s="68" t="s">
        <v>7475</v>
      </c>
      <c r="D804" s="59" t="s">
        <v>6410</v>
      </c>
      <c r="E804" s="72" t="s">
        <v>5862</v>
      </c>
      <c r="F804" s="73" t="s">
        <v>6411</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6759</v>
      </c>
      <c r="U804" s="63">
        <v>398</v>
      </c>
      <c r="V804" s="70">
        <v>25929</v>
      </c>
      <c r="W804" s="70">
        <v>26000</v>
      </c>
      <c r="X804" s="83" t="s">
        <v>6412</v>
      </c>
      <c r="Y804" s="70">
        <f t="shared" si="16"/>
        <v>5000</v>
      </c>
      <c r="Z804" s="63" t="s">
        <v>5866</v>
      </c>
      <c r="AA804" s="59">
        <v>1</v>
      </c>
      <c r="AB804" s="59">
        <v>2</v>
      </c>
      <c r="AC804" s="67" t="s">
        <v>337</v>
      </c>
      <c r="AD804" s="61" t="s">
        <v>181</v>
      </c>
      <c r="AE804" s="71"/>
      <c r="AF804" s="71"/>
      <c r="AG804" s="71"/>
      <c r="AH804" s="71"/>
      <c r="AI804" s="71"/>
      <c r="AJ804" s="71"/>
      <c r="AK804" s="71" t="s">
        <v>7486</v>
      </c>
      <c r="AL804">
        <f t="shared" si="17"/>
        <v>18000</v>
      </c>
    </row>
    <row r="805" spans="1:38">
      <c r="A805" s="62">
        <v>8</v>
      </c>
      <c r="B805" s="93">
        <v>797</v>
      </c>
      <c r="C805" s="68" t="s">
        <v>7475</v>
      </c>
      <c r="D805" s="59" t="s">
        <v>6413</v>
      </c>
      <c r="E805" s="72" t="s">
        <v>5862</v>
      </c>
      <c r="F805" s="73" t="s">
        <v>6414</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6759</v>
      </c>
      <c r="U805" s="63">
        <v>398</v>
      </c>
      <c r="V805" s="70">
        <v>13115</v>
      </c>
      <c r="W805" s="70">
        <v>13000</v>
      </c>
      <c r="X805" s="83" t="s">
        <v>5928</v>
      </c>
      <c r="Y805" s="70">
        <f t="shared" si="16"/>
        <v>6000</v>
      </c>
      <c r="Z805" s="63" t="s">
        <v>5866</v>
      </c>
      <c r="AA805" s="59">
        <v>3</v>
      </c>
      <c r="AB805" s="59">
        <v>3</v>
      </c>
      <c r="AC805" s="67" t="s">
        <v>333</v>
      </c>
      <c r="AD805" s="61" t="s">
        <v>181</v>
      </c>
      <c r="AE805" s="71"/>
      <c r="AF805" s="71"/>
      <c r="AG805" s="71"/>
      <c r="AH805" s="71"/>
      <c r="AI805" s="71"/>
      <c r="AJ805" s="71"/>
      <c r="AK805" s="71" t="s">
        <v>7486</v>
      </c>
      <c r="AL805">
        <f t="shared" si="17"/>
        <v>36000</v>
      </c>
    </row>
    <row r="806" spans="1:38">
      <c r="A806" s="62">
        <v>8</v>
      </c>
      <c r="B806" s="93">
        <v>798</v>
      </c>
      <c r="C806" s="68" t="s">
        <v>7475</v>
      </c>
      <c r="D806" s="59" t="s">
        <v>8025</v>
      </c>
      <c r="E806" s="72" t="s">
        <v>5862</v>
      </c>
      <c r="F806" s="73" t="s">
        <v>8026</v>
      </c>
      <c r="G806" s="82">
        <v>44.5</v>
      </c>
      <c r="H806" s="67">
        <v>9505</v>
      </c>
      <c r="I806" s="69">
        <v>0</v>
      </c>
      <c r="J806" s="70">
        <v>38952</v>
      </c>
      <c r="K806" s="75">
        <v>5.2956202505647978</v>
      </c>
      <c r="L806" s="74">
        <v>0</v>
      </c>
      <c r="M806" s="76">
        <v>0</v>
      </c>
      <c r="N806" s="67">
        <v>1928</v>
      </c>
      <c r="O806" s="64">
        <v>1833</v>
      </c>
      <c r="Q806" s="59">
        <v>15</v>
      </c>
      <c r="R806" s="59">
        <v>1</v>
      </c>
      <c r="S806" s="59">
        <v>1</v>
      </c>
      <c r="T806" s="63" t="s">
        <v>7113</v>
      </c>
      <c r="U806" s="63">
        <v>396</v>
      </c>
      <c r="V806" s="70">
        <v>18750</v>
      </c>
      <c r="W806" s="70">
        <v>19000</v>
      </c>
      <c r="X806" s="83" t="s">
        <v>6398</v>
      </c>
      <c r="Y806" s="70">
        <f t="shared" si="16"/>
        <v>39000</v>
      </c>
      <c r="Z806" s="63" t="s">
        <v>5924</v>
      </c>
      <c r="AA806" s="59">
        <v>3</v>
      </c>
      <c r="AB806" s="59">
        <v>2</v>
      </c>
      <c r="AC806" s="67" t="s">
        <v>329</v>
      </c>
      <c r="AD806" s="61" t="s">
        <v>8027</v>
      </c>
      <c r="AE806" s="71"/>
      <c r="AF806" s="71"/>
      <c r="AG806" s="71"/>
      <c r="AH806" s="71"/>
      <c r="AI806" s="71"/>
      <c r="AJ806" s="71"/>
      <c r="AK806" s="71" t="s">
        <v>181</v>
      </c>
      <c r="AL806">
        <f t="shared" si="17"/>
        <v>206275</v>
      </c>
    </row>
    <row r="807" spans="1:38">
      <c r="A807" s="62">
        <v>8</v>
      </c>
      <c r="B807" s="93">
        <v>799</v>
      </c>
      <c r="C807" s="68" t="s">
        <v>7475</v>
      </c>
      <c r="D807" s="59" t="s">
        <v>8028</v>
      </c>
      <c r="E807" s="72" t="s">
        <v>5862</v>
      </c>
      <c r="F807" s="73" t="s">
        <v>8029</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7113</v>
      </c>
      <c r="U807" s="63">
        <v>398</v>
      </c>
      <c r="V807" s="70">
        <v>19240</v>
      </c>
      <c r="W807" s="70">
        <v>19000</v>
      </c>
      <c r="X807" s="83" t="s">
        <v>5920</v>
      </c>
      <c r="Y807" s="70">
        <f t="shared" si="16"/>
        <v>8000</v>
      </c>
      <c r="Z807" s="63" t="s">
        <v>5866</v>
      </c>
      <c r="AA807" s="59">
        <v>3</v>
      </c>
      <c r="AB807" s="59">
        <v>3</v>
      </c>
      <c r="AC807" s="67" t="s">
        <v>333</v>
      </c>
      <c r="AD807" s="61" t="s">
        <v>181</v>
      </c>
      <c r="AE807" s="71"/>
      <c r="AF807" s="71"/>
      <c r="AG807" s="71"/>
      <c r="AH807" s="71"/>
      <c r="AI807" s="71"/>
      <c r="AJ807" s="71"/>
      <c r="AK807" s="71" t="s">
        <v>8030</v>
      </c>
      <c r="AL807">
        <f t="shared" si="17"/>
        <v>67200</v>
      </c>
    </row>
    <row r="808" spans="1:38">
      <c r="A808" s="62">
        <v>8</v>
      </c>
      <c r="B808" s="93">
        <v>800</v>
      </c>
      <c r="C808" s="68" t="s">
        <v>7475</v>
      </c>
      <c r="D808" s="59" t="s">
        <v>8031</v>
      </c>
      <c r="E808" s="72" t="s">
        <v>5862</v>
      </c>
      <c r="F808" s="73" t="s">
        <v>8032</v>
      </c>
      <c r="G808" s="82">
        <v>44.1</v>
      </c>
      <c r="H808" s="67">
        <v>9505</v>
      </c>
      <c r="I808" s="69">
        <v>0</v>
      </c>
      <c r="J808" s="70">
        <v>5057</v>
      </c>
      <c r="K808" s="75">
        <v>10.333399248566341</v>
      </c>
      <c r="L808" s="74">
        <v>0</v>
      </c>
      <c r="M808" s="76">
        <v>0.2169511635027557</v>
      </c>
      <c r="N808" s="67">
        <v>1910</v>
      </c>
      <c r="Q808" s="59">
        <v>15</v>
      </c>
      <c r="R808" s="59">
        <v>3</v>
      </c>
      <c r="S808" s="59">
        <v>1</v>
      </c>
      <c r="T808" s="63" t="s">
        <v>6759</v>
      </c>
      <c r="U808" s="63">
        <v>398</v>
      </c>
      <c r="V808" s="70">
        <v>36943</v>
      </c>
      <c r="W808" s="70">
        <v>37000</v>
      </c>
      <c r="X808" s="83" t="s">
        <v>6134</v>
      </c>
      <c r="Y808" s="70">
        <f t="shared" si="16"/>
        <v>5000</v>
      </c>
      <c r="Z808" s="63" t="s">
        <v>5866</v>
      </c>
      <c r="AA808" s="59">
        <v>3</v>
      </c>
      <c r="AB808" s="59">
        <v>3</v>
      </c>
      <c r="AC808" s="67" t="s">
        <v>333</v>
      </c>
      <c r="AD808" s="61" t="s">
        <v>8033</v>
      </c>
      <c r="AE808" s="71"/>
      <c r="AF808" s="71"/>
      <c r="AG808" s="71"/>
      <c r="AH808" s="71"/>
      <c r="AI808" s="71"/>
      <c r="AJ808" s="71"/>
      <c r="AK808" s="71" t="s">
        <v>7553</v>
      </c>
      <c r="AL808">
        <f t="shared" si="17"/>
        <v>52255.999999999985</v>
      </c>
    </row>
    <row r="809" spans="1:38">
      <c r="A809" s="62">
        <v>8</v>
      </c>
      <c r="B809" s="93">
        <v>801</v>
      </c>
      <c r="C809" s="68" t="s">
        <v>7475</v>
      </c>
      <c r="D809" s="59" t="s">
        <v>7142</v>
      </c>
      <c r="E809" s="72" t="s">
        <v>5862</v>
      </c>
      <c r="F809" s="73" t="s">
        <v>8034</v>
      </c>
      <c r="G809" s="82">
        <v>47.1</v>
      </c>
      <c r="H809" s="67">
        <v>9505</v>
      </c>
      <c r="I809" s="69">
        <v>0</v>
      </c>
      <c r="J809" s="70">
        <v>4848</v>
      </c>
      <c r="K809" s="75">
        <v>9.9009900990099009</v>
      </c>
      <c r="L809" s="74">
        <v>0</v>
      </c>
      <c r="M809" s="76">
        <v>0</v>
      </c>
      <c r="N809" s="67">
        <v>1960</v>
      </c>
      <c r="O809" s="64">
        <f>798+798</f>
        <v>1596</v>
      </c>
      <c r="Q809" s="59">
        <v>15</v>
      </c>
      <c r="R809" s="59">
        <v>3</v>
      </c>
      <c r="S809" s="59">
        <v>1</v>
      </c>
      <c r="T809" s="63" t="s">
        <v>7113</v>
      </c>
      <c r="U809" s="63">
        <v>401</v>
      </c>
      <c r="V809" s="70">
        <v>9940</v>
      </c>
      <c r="W809" s="70">
        <v>10000</v>
      </c>
      <c r="X809" s="83" t="s">
        <v>5982</v>
      </c>
      <c r="Y809" s="70">
        <f t="shared" si="16"/>
        <v>5000</v>
      </c>
      <c r="Z809" s="63" t="s">
        <v>5866</v>
      </c>
      <c r="AA809" s="59">
        <v>3</v>
      </c>
      <c r="AB809" s="59">
        <v>3</v>
      </c>
      <c r="AC809" s="67" t="s">
        <v>333</v>
      </c>
      <c r="AD809" s="61" t="s">
        <v>7144</v>
      </c>
      <c r="AE809" s="71"/>
      <c r="AF809" s="71"/>
      <c r="AG809" s="71"/>
      <c r="AH809" s="71"/>
      <c r="AI809" s="71"/>
      <c r="AJ809" s="71"/>
      <c r="AK809" s="71" t="s">
        <v>7486</v>
      </c>
      <c r="AL809">
        <f t="shared" si="17"/>
        <v>48000</v>
      </c>
    </row>
    <row r="810" spans="1:38">
      <c r="A810" s="62">
        <v>8</v>
      </c>
      <c r="B810" s="93">
        <v>802</v>
      </c>
      <c r="C810" s="68" t="s">
        <v>7475</v>
      </c>
      <c r="D810" s="59" t="s">
        <v>8035</v>
      </c>
      <c r="E810" s="72" t="s">
        <v>5862</v>
      </c>
      <c r="F810" s="73" t="s">
        <v>8036</v>
      </c>
      <c r="G810" s="82">
        <v>44.1</v>
      </c>
      <c r="H810" s="67">
        <v>9505</v>
      </c>
      <c r="I810" s="69">
        <v>0</v>
      </c>
      <c r="J810" s="70">
        <v>9920</v>
      </c>
      <c r="K810" s="75">
        <v>9.07258064516129</v>
      </c>
      <c r="L810" s="74">
        <v>0</v>
      </c>
      <c r="M810" s="76">
        <v>0</v>
      </c>
      <c r="N810" s="67">
        <v>1972</v>
      </c>
      <c r="O810" s="64">
        <f>3960+960</f>
        <v>4920</v>
      </c>
      <c r="Q810" s="59">
        <v>18</v>
      </c>
      <c r="R810" s="59">
        <v>10</v>
      </c>
      <c r="S810" s="59">
        <v>1</v>
      </c>
      <c r="T810" s="63" t="s">
        <v>6759</v>
      </c>
      <c r="U810" s="63">
        <v>398</v>
      </c>
      <c r="V810" s="70">
        <v>45472</v>
      </c>
      <c r="W810" s="70">
        <v>45000</v>
      </c>
      <c r="X810" s="83" t="s">
        <v>7036</v>
      </c>
      <c r="Y810" s="70">
        <f t="shared" si="16"/>
        <v>10000</v>
      </c>
      <c r="Z810" s="63" t="s">
        <v>5866</v>
      </c>
      <c r="AA810" s="59">
        <v>3</v>
      </c>
      <c r="AB810" s="59">
        <v>3</v>
      </c>
      <c r="AC810" s="67" t="s">
        <v>333</v>
      </c>
      <c r="AD810" s="61" t="s">
        <v>6523</v>
      </c>
      <c r="AE810" s="71"/>
      <c r="AF810" s="71"/>
      <c r="AG810" s="71"/>
      <c r="AH810" s="71"/>
      <c r="AI810" s="71"/>
      <c r="AJ810" s="71"/>
      <c r="AK810" s="71" t="s">
        <v>7486</v>
      </c>
      <c r="AL810">
        <f t="shared" si="17"/>
        <v>90000</v>
      </c>
    </row>
    <row r="811" spans="1:38">
      <c r="A811" s="62">
        <v>8</v>
      </c>
      <c r="B811" s="93">
        <v>803</v>
      </c>
      <c r="C811" s="68" t="s">
        <v>7475</v>
      </c>
      <c r="D811" s="59" t="s">
        <v>8037</v>
      </c>
      <c r="E811" s="72" t="s">
        <v>5862</v>
      </c>
      <c r="F811" s="73" t="s">
        <v>8038</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6759</v>
      </c>
      <c r="U811" s="63">
        <v>398</v>
      </c>
      <c r="V811" s="70">
        <v>15062</v>
      </c>
      <c r="W811" s="70">
        <v>15000</v>
      </c>
      <c r="X811" s="83" t="s">
        <v>6182</v>
      </c>
      <c r="Y811" s="70">
        <f t="shared" si="16"/>
        <v>9000</v>
      </c>
      <c r="Z811" s="63" t="s">
        <v>5866</v>
      </c>
      <c r="AA811" s="59">
        <v>3</v>
      </c>
      <c r="AB811" s="59">
        <v>3</v>
      </c>
      <c r="AC811" s="67" t="s">
        <v>333</v>
      </c>
      <c r="AD811" s="61" t="s">
        <v>181</v>
      </c>
      <c r="AE811" s="71"/>
      <c r="AF811" s="71"/>
      <c r="AG811" s="71"/>
      <c r="AH811" s="71"/>
      <c r="AI811" s="71"/>
      <c r="AJ811" s="71"/>
      <c r="AK811" s="71" t="s">
        <v>7553</v>
      </c>
      <c r="AL811">
        <f t="shared" si="17"/>
        <v>68000</v>
      </c>
    </row>
    <row r="812" spans="1:38">
      <c r="A812" s="62">
        <v>8</v>
      </c>
      <c r="B812" s="93">
        <v>804</v>
      </c>
      <c r="C812" s="68" t="s">
        <v>7475</v>
      </c>
      <c r="D812" s="59" t="s">
        <v>8039</v>
      </c>
      <c r="E812" s="72" t="s">
        <v>5862</v>
      </c>
      <c r="F812" s="73" t="s">
        <v>8040</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6759</v>
      </c>
      <c r="U812" s="63">
        <v>401</v>
      </c>
      <c r="V812" s="70">
        <v>28900</v>
      </c>
      <c r="W812" s="70">
        <v>29000</v>
      </c>
      <c r="X812" s="83" t="s">
        <v>8041</v>
      </c>
      <c r="Y812" s="70">
        <f t="shared" si="16"/>
        <v>4000</v>
      </c>
      <c r="Z812" s="63" t="s">
        <v>5866</v>
      </c>
      <c r="AA812" s="59">
        <v>2</v>
      </c>
      <c r="AB812" s="59">
        <v>2</v>
      </c>
      <c r="AC812" s="67" t="s">
        <v>280</v>
      </c>
      <c r="AD812" s="61" t="s">
        <v>8042</v>
      </c>
      <c r="AE812" s="71"/>
      <c r="AF812" s="71"/>
      <c r="AG812" s="71"/>
      <c r="AH812" s="71"/>
      <c r="AI812" s="71"/>
      <c r="AJ812" s="71"/>
      <c r="AK812" s="71" t="s">
        <v>8043</v>
      </c>
      <c r="AL812">
        <f t="shared" si="17"/>
        <v>30000</v>
      </c>
    </row>
    <row r="813" spans="1:38">
      <c r="A813" s="62">
        <v>8</v>
      </c>
      <c r="B813" s="93">
        <v>805</v>
      </c>
      <c r="C813" s="68" t="s">
        <v>7475</v>
      </c>
      <c r="D813" s="59" t="s">
        <v>8044</v>
      </c>
      <c r="E813" s="72" t="s">
        <v>5862</v>
      </c>
      <c r="F813" s="73" t="s">
        <v>8045</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6759</v>
      </c>
      <c r="U813" s="63">
        <v>398</v>
      </c>
      <c r="V813" s="70">
        <v>122458</v>
      </c>
      <c r="W813" s="70">
        <v>120000</v>
      </c>
      <c r="X813" s="83" t="s">
        <v>6419</v>
      </c>
      <c r="Y813" s="70">
        <f t="shared" si="16"/>
        <v>21000</v>
      </c>
      <c r="Z813" s="63" t="s">
        <v>5866</v>
      </c>
      <c r="AA813" s="59">
        <v>3</v>
      </c>
      <c r="AB813" s="59">
        <v>3</v>
      </c>
      <c r="AC813" s="67" t="s">
        <v>333</v>
      </c>
      <c r="AD813" s="61" t="s">
        <v>8046</v>
      </c>
      <c r="AE813" s="71"/>
      <c r="AF813" s="71"/>
      <c r="AG813" s="71"/>
      <c r="AH813" s="71"/>
      <c r="AI813" s="71"/>
      <c r="AJ813" s="71"/>
      <c r="AK813" s="71" t="s">
        <v>7486</v>
      </c>
      <c r="AL813">
        <f t="shared" si="17"/>
        <v>123960</v>
      </c>
    </row>
    <row r="814" spans="1:38">
      <c r="A814" s="62">
        <v>8</v>
      </c>
      <c r="B814" s="93">
        <v>806</v>
      </c>
      <c r="C814" s="68" t="s">
        <v>7475</v>
      </c>
      <c r="D814" s="59" t="s">
        <v>8047</v>
      </c>
      <c r="E814" s="72" t="s">
        <v>5862</v>
      </c>
      <c r="F814" s="73" t="s">
        <v>8048</v>
      </c>
      <c r="G814" s="82">
        <v>44.2</v>
      </c>
      <c r="H814" s="67">
        <v>9505</v>
      </c>
      <c r="I814" s="69">
        <v>0</v>
      </c>
      <c r="J814" s="70">
        <v>6000</v>
      </c>
      <c r="K814" s="75">
        <v>10</v>
      </c>
      <c r="L814" s="74">
        <v>0</v>
      </c>
      <c r="M814" s="76">
        <v>0</v>
      </c>
      <c r="N814" s="67">
        <v>1965</v>
      </c>
      <c r="P814" s="64">
        <v>2000</v>
      </c>
      <c r="Q814" s="59">
        <v>13</v>
      </c>
      <c r="R814" s="59">
        <v>3</v>
      </c>
      <c r="S814" s="59">
        <v>1</v>
      </c>
      <c r="T814" s="63" t="s">
        <v>6759</v>
      </c>
      <c r="U814" s="63">
        <v>398</v>
      </c>
      <c r="V814" s="70">
        <v>25117</v>
      </c>
      <c r="W814" s="70">
        <v>25000</v>
      </c>
      <c r="X814" s="83" t="s">
        <v>6882</v>
      </c>
      <c r="Y814" s="70">
        <f t="shared" si="16"/>
        <v>6000</v>
      </c>
      <c r="Z814" s="63" t="s">
        <v>5866</v>
      </c>
      <c r="AA814" s="59">
        <v>3</v>
      </c>
      <c r="AB814" s="59">
        <v>3</v>
      </c>
      <c r="AC814" s="67" t="s">
        <v>333</v>
      </c>
      <c r="AD814" s="61" t="s">
        <v>181</v>
      </c>
      <c r="AE814" s="71"/>
      <c r="AF814" s="71"/>
      <c r="AG814" s="71"/>
      <c r="AH814" s="71"/>
      <c r="AI814" s="71"/>
      <c r="AJ814" s="71"/>
      <c r="AK814" s="71" t="s">
        <v>8049</v>
      </c>
      <c r="AL814">
        <f t="shared" si="17"/>
        <v>60000</v>
      </c>
    </row>
    <row r="815" spans="1:38">
      <c r="A815" s="62">
        <v>8</v>
      </c>
      <c r="B815" s="93">
        <v>807</v>
      </c>
      <c r="C815" s="68" t="s">
        <v>7475</v>
      </c>
      <c r="D815" s="59" t="s">
        <v>8050</v>
      </c>
      <c r="E815" s="72" t="s">
        <v>5862</v>
      </c>
      <c r="F815" s="73" t="s">
        <v>8051</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7018</v>
      </c>
      <c r="U815" s="63">
        <v>398</v>
      </c>
      <c r="V815" s="70">
        <v>18330</v>
      </c>
      <c r="W815" s="70">
        <v>18000</v>
      </c>
      <c r="X815" s="83" t="s">
        <v>6182</v>
      </c>
      <c r="Y815" s="70">
        <f t="shared" si="16"/>
        <v>11000</v>
      </c>
      <c r="Z815" s="63" t="s">
        <v>5866</v>
      </c>
      <c r="AA815" s="59">
        <v>3</v>
      </c>
      <c r="AB815" s="59">
        <v>3</v>
      </c>
      <c r="AC815" s="67" t="s">
        <v>333</v>
      </c>
      <c r="AD815" s="61" t="s">
        <v>8052</v>
      </c>
      <c r="AE815" s="71"/>
      <c r="AF815" s="71"/>
      <c r="AG815" s="71"/>
      <c r="AH815" s="71"/>
      <c r="AI815" s="71"/>
      <c r="AJ815" s="71"/>
      <c r="AK815" s="71" t="s">
        <v>7803</v>
      </c>
      <c r="AL815">
        <f t="shared" si="17"/>
        <v>82400</v>
      </c>
    </row>
    <row r="816" spans="1:38">
      <c r="A816" s="62">
        <v>8</v>
      </c>
      <c r="B816" s="93">
        <v>808</v>
      </c>
      <c r="C816" s="68" t="s">
        <v>7475</v>
      </c>
      <c r="D816" s="59" t="s">
        <v>8053</v>
      </c>
      <c r="E816" s="72" t="s">
        <v>5862</v>
      </c>
      <c r="F816" s="73" t="s">
        <v>8054</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6754</v>
      </c>
      <c r="U816" s="63">
        <v>397</v>
      </c>
      <c r="V816" s="70">
        <v>3126</v>
      </c>
      <c r="W816" s="70">
        <v>3000</v>
      </c>
      <c r="X816" s="83" t="s">
        <v>7374</v>
      </c>
      <c r="Y816" s="70">
        <f t="shared" si="16"/>
        <v>3000</v>
      </c>
      <c r="Z816" s="63" t="s">
        <v>5866</v>
      </c>
      <c r="AA816" s="59">
        <v>3</v>
      </c>
      <c r="AB816" s="59">
        <v>3</v>
      </c>
      <c r="AC816" s="67" t="s">
        <v>333</v>
      </c>
      <c r="AD816" s="61" t="s">
        <v>8055</v>
      </c>
      <c r="AE816" s="71"/>
      <c r="AF816" s="71"/>
      <c r="AG816" s="71"/>
      <c r="AH816" s="71"/>
      <c r="AI816" s="71"/>
      <c r="AJ816" s="71"/>
      <c r="AK816" s="71" t="s">
        <v>8056</v>
      </c>
      <c r="AL816">
        <f t="shared" si="17"/>
        <v>37259.999999999993</v>
      </c>
    </row>
    <row r="817" spans="1:42">
      <c r="A817" s="62">
        <v>8</v>
      </c>
      <c r="B817" s="93">
        <v>809</v>
      </c>
      <c r="C817" s="68" t="s">
        <v>7475</v>
      </c>
      <c r="D817" s="59" t="s">
        <v>8057</v>
      </c>
      <c r="E817" s="72" t="s">
        <v>5862</v>
      </c>
      <c r="F817" s="73" t="s">
        <v>8058</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6754</v>
      </c>
      <c r="U817" s="63">
        <v>397</v>
      </c>
      <c r="V817" s="70">
        <v>3183</v>
      </c>
      <c r="W817" s="70">
        <v>3000</v>
      </c>
      <c r="X817" s="83" t="s">
        <v>7374</v>
      </c>
      <c r="Y817" s="70">
        <f>ROUND(J817,-2)</f>
        <v>1300</v>
      </c>
      <c r="Z817" s="63" t="s">
        <v>5866</v>
      </c>
      <c r="AA817" s="59">
        <v>3</v>
      </c>
      <c r="AB817" s="59">
        <v>3</v>
      </c>
      <c r="AC817" s="67" t="s">
        <v>333</v>
      </c>
      <c r="AD817" s="61" t="s">
        <v>8059</v>
      </c>
      <c r="AE817" s="71"/>
      <c r="AF817" s="71"/>
      <c r="AG817" s="71"/>
      <c r="AH817" s="71"/>
      <c r="AI817" s="71"/>
      <c r="AJ817" s="71"/>
      <c r="AK817" s="71" t="s">
        <v>8060</v>
      </c>
      <c r="AL817">
        <f t="shared" si="17"/>
        <v>12000</v>
      </c>
    </row>
    <row r="818" spans="1:42">
      <c r="A818" s="62">
        <v>8</v>
      </c>
      <c r="B818" s="93">
        <v>810</v>
      </c>
      <c r="C818" s="68" t="s">
        <v>7475</v>
      </c>
      <c r="D818" s="59" t="s">
        <v>8061</v>
      </c>
      <c r="E818" s="72" t="s">
        <v>5862</v>
      </c>
      <c r="F818" s="73" t="s">
        <v>8062</v>
      </c>
      <c r="G818" s="82">
        <v>44.1</v>
      </c>
      <c r="H818" s="67">
        <v>9505</v>
      </c>
      <c r="I818" s="69">
        <v>0</v>
      </c>
      <c r="J818" s="70">
        <v>3240</v>
      </c>
      <c r="K818" s="75">
        <v>6.75</v>
      </c>
      <c r="L818" s="74">
        <v>0</v>
      </c>
      <c r="M818" s="76">
        <v>0.28943758573388201</v>
      </c>
      <c r="N818" s="67">
        <v>2000</v>
      </c>
      <c r="O818" s="64">
        <v>743</v>
      </c>
      <c r="Q818" s="59">
        <v>17</v>
      </c>
      <c r="R818" s="59">
        <v>14</v>
      </c>
      <c r="S818" s="59">
        <v>1</v>
      </c>
      <c r="T818" s="63" t="s">
        <v>6754</v>
      </c>
      <c r="U818" s="63">
        <v>398</v>
      </c>
      <c r="V818" s="70">
        <v>18754</v>
      </c>
      <c r="W818" s="70">
        <v>19000</v>
      </c>
      <c r="X818" s="83" t="s">
        <v>5982</v>
      </c>
      <c r="Y818" s="70">
        <f>ROUND(J818,-3)</f>
        <v>3000</v>
      </c>
      <c r="Z818" s="63" t="s">
        <v>5866</v>
      </c>
      <c r="AA818" s="59">
        <v>3</v>
      </c>
      <c r="AB818" s="59">
        <v>3</v>
      </c>
      <c r="AC818" s="67" t="s">
        <v>333</v>
      </c>
      <c r="AD818" s="61" t="s">
        <v>181</v>
      </c>
      <c r="AE818" s="71"/>
      <c r="AF818" s="71"/>
      <c r="AG818" s="71"/>
      <c r="AH818" s="71"/>
      <c r="AI818" s="71"/>
      <c r="AJ818" s="71"/>
      <c r="AK818" s="71" t="s">
        <v>8063</v>
      </c>
      <c r="AL818">
        <f t="shared" si="17"/>
        <v>21870</v>
      </c>
    </row>
    <row r="819" spans="1:42">
      <c r="A819" s="62">
        <v>8</v>
      </c>
      <c r="B819" s="93">
        <v>811</v>
      </c>
      <c r="C819" s="68" t="s">
        <v>7475</v>
      </c>
      <c r="D819" s="59" t="s">
        <v>8064</v>
      </c>
      <c r="E819" s="72" t="s">
        <v>5862</v>
      </c>
      <c r="F819" s="73" t="s">
        <v>8065</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6754</v>
      </c>
      <c r="U819" s="63">
        <v>398</v>
      </c>
      <c r="V819" s="70">
        <v>31900</v>
      </c>
      <c r="W819" s="70">
        <v>32000</v>
      </c>
      <c r="X819" s="83" t="s">
        <v>5982</v>
      </c>
      <c r="Y819" s="70">
        <f>ROUND(J819,-3)</f>
        <v>15000</v>
      </c>
      <c r="Z819" s="63" t="s">
        <v>5866</v>
      </c>
      <c r="AA819" s="59">
        <v>3</v>
      </c>
      <c r="AB819" s="59">
        <v>3</v>
      </c>
      <c r="AC819" s="67" t="s">
        <v>333</v>
      </c>
      <c r="AD819" s="61" t="s">
        <v>8066</v>
      </c>
      <c r="AE819" s="71"/>
      <c r="AF819" s="71"/>
      <c r="AG819" s="71"/>
      <c r="AH819" s="71"/>
      <c r="AI819" s="71"/>
      <c r="AJ819" s="71"/>
      <c r="AK819" s="71" t="s">
        <v>7532</v>
      </c>
      <c r="AL819">
        <f t="shared" si="17"/>
        <v>111828</v>
      </c>
    </row>
    <row r="820" spans="1:42">
      <c r="A820" s="62">
        <v>8</v>
      </c>
      <c r="B820" s="93">
        <v>812</v>
      </c>
      <c r="C820" s="68" t="s">
        <v>7475</v>
      </c>
      <c r="D820" s="59" t="s">
        <v>8067</v>
      </c>
      <c r="E820" s="72" t="s">
        <v>5862</v>
      </c>
      <c r="F820" s="73" t="s">
        <v>8068</v>
      </c>
      <c r="G820" s="82">
        <v>44.1</v>
      </c>
      <c r="H820" s="67">
        <v>9508</v>
      </c>
      <c r="I820" s="69">
        <v>6</v>
      </c>
      <c r="J820" s="70">
        <v>7983</v>
      </c>
      <c r="K820" s="75">
        <v>9.0191657271702361</v>
      </c>
      <c r="L820" s="74">
        <v>0</v>
      </c>
      <c r="M820" s="76">
        <v>0.1190972222222222</v>
      </c>
      <c r="N820" s="67">
        <v>1962</v>
      </c>
      <c r="Q820" s="59">
        <v>13</v>
      </c>
      <c r="R820" s="59">
        <v>3</v>
      </c>
      <c r="S820" s="59">
        <v>1</v>
      </c>
      <c r="T820" s="63" t="s">
        <v>7018</v>
      </c>
      <c r="U820" s="63">
        <v>398</v>
      </c>
      <c r="V820" s="70">
        <v>17187</v>
      </c>
      <c r="W820" s="70">
        <v>17000</v>
      </c>
      <c r="X820" s="83" t="s">
        <v>5928</v>
      </c>
      <c r="Y820" s="70">
        <f>ROUND(J820,-3)</f>
        <v>8000</v>
      </c>
      <c r="Z820" s="63" t="s">
        <v>5866</v>
      </c>
      <c r="AA820" s="59">
        <v>2</v>
      </c>
      <c r="AB820" s="59">
        <v>3</v>
      </c>
      <c r="AC820" s="67" t="s">
        <v>284</v>
      </c>
      <c r="AD820" s="61" t="s">
        <v>6016</v>
      </c>
      <c r="AE820" s="71"/>
      <c r="AF820" s="71"/>
      <c r="AG820" s="71"/>
      <c r="AH820" s="71"/>
      <c r="AI820" s="71"/>
      <c r="AJ820" s="71"/>
      <c r="AK820" s="71" t="s">
        <v>8069</v>
      </c>
      <c r="AL820">
        <f t="shared" si="17"/>
        <v>72000</v>
      </c>
    </row>
    <row r="821" spans="1:42">
      <c r="A821" s="62">
        <v>8</v>
      </c>
      <c r="B821" s="93">
        <v>813</v>
      </c>
      <c r="C821" s="68" t="s">
        <v>7475</v>
      </c>
      <c r="D821" s="59" t="s">
        <v>8070</v>
      </c>
      <c r="E821" s="72" t="s">
        <v>5862</v>
      </c>
      <c r="F821" s="73" t="s">
        <v>8071</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6754</v>
      </c>
      <c r="U821" s="63">
        <v>398</v>
      </c>
      <c r="V821" s="70">
        <v>4690</v>
      </c>
      <c r="W821" s="70">
        <v>5000</v>
      </c>
      <c r="X821" s="83" t="s">
        <v>5865</v>
      </c>
      <c r="Y821" s="70">
        <f>ROUND(J821,-2)</f>
        <v>1200</v>
      </c>
      <c r="Z821" s="63" t="s">
        <v>5866</v>
      </c>
      <c r="AA821" s="59">
        <v>3</v>
      </c>
      <c r="AB821" s="59">
        <v>3</v>
      </c>
      <c r="AC821" s="67" t="s">
        <v>333</v>
      </c>
      <c r="AD821" s="61" t="s">
        <v>181</v>
      </c>
      <c r="AE821" s="71"/>
      <c r="AF821" s="71"/>
      <c r="AG821" s="71"/>
      <c r="AH821" s="71"/>
      <c r="AI821" s="71"/>
      <c r="AJ821" s="71"/>
      <c r="AK821" s="71" t="s">
        <v>7486</v>
      </c>
      <c r="AL821">
        <f t="shared" si="17"/>
        <v>12000</v>
      </c>
    </row>
    <row r="822" spans="1:42">
      <c r="A822" s="62">
        <v>8</v>
      </c>
      <c r="B822" s="93">
        <v>814</v>
      </c>
      <c r="C822" s="68" t="s">
        <v>7475</v>
      </c>
      <c r="D822" s="59" t="s">
        <v>8072</v>
      </c>
      <c r="E822" s="72" t="s">
        <v>5862</v>
      </c>
      <c r="F822" s="73" t="s">
        <v>8073</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6754</v>
      </c>
      <c r="U822" s="63">
        <v>398</v>
      </c>
      <c r="V822" s="70">
        <v>28235</v>
      </c>
      <c r="W822" s="70">
        <v>28000</v>
      </c>
      <c r="X822" s="83" t="s">
        <v>5938</v>
      </c>
      <c r="Y822" s="70">
        <f>ROUND(J822,-3)</f>
        <v>20000</v>
      </c>
      <c r="Z822" s="63" t="s">
        <v>5866</v>
      </c>
      <c r="AA822" s="59">
        <v>3</v>
      </c>
      <c r="AB822" s="59">
        <v>3</v>
      </c>
      <c r="AC822" s="67" t="s">
        <v>333</v>
      </c>
      <c r="AD822" s="61" t="s">
        <v>181</v>
      </c>
      <c r="AE822" s="71"/>
      <c r="AF822" s="71"/>
      <c r="AG822" s="71"/>
      <c r="AH822" s="71"/>
      <c r="AI822" s="71"/>
      <c r="AJ822" s="71"/>
      <c r="AK822" s="71" t="s">
        <v>8074</v>
      </c>
      <c r="AL822">
        <f t="shared" si="17"/>
        <v>104424</v>
      </c>
    </row>
    <row r="823" spans="1:42">
      <c r="A823" s="62">
        <v>8</v>
      </c>
      <c r="B823" s="93">
        <v>815</v>
      </c>
      <c r="C823" s="68" t="s">
        <v>7475</v>
      </c>
      <c r="D823" s="59" t="s">
        <v>8075</v>
      </c>
      <c r="E823" s="72" t="s">
        <v>5862</v>
      </c>
      <c r="F823" s="73" t="s">
        <v>8076</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6757</v>
      </c>
      <c r="U823" s="63">
        <v>401</v>
      </c>
      <c r="V823" s="70">
        <v>22050</v>
      </c>
      <c r="W823" s="70">
        <v>22000</v>
      </c>
      <c r="X823" s="83" t="s">
        <v>5952</v>
      </c>
      <c r="Y823" s="70">
        <f>ROUND(J823,-3)</f>
        <v>8000</v>
      </c>
      <c r="Z823" s="63" t="s">
        <v>5866</v>
      </c>
      <c r="AA823" s="59">
        <v>1</v>
      </c>
      <c r="AB823" s="59">
        <v>2</v>
      </c>
      <c r="AC823" s="67" t="s">
        <v>337</v>
      </c>
      <c r="AD823" s="61" t="s">
        <v>181</v>
      </c>
      <c r="AE823" s="71"/>
      <c r="AF823" s="71"/>
      <c r="AG823" s="71"/>
      <c r="AH823" s="71"/>
      <c r="AI823" s="71"/>
      <c r="AJ823" s="71"/>
      <c r="AK823" s="71" t="s">
        <v>8077</v>
      </c>
      <c r="AL823">
        <f t="shared" si="17"/>
        <v>37934.000000000007</v>
      </c>
    </row>
    <row r="824" spans="1:42">
      <c r="A824" s="62">
        <v>8</v>
      </c>
      <c r="B824" s="93">
        <v>816</v>
      </c>
      <c r="C824" s="68" t="s">
        <v>7475</v>
      </c>
      <c r="D824" s="59" t="s">
        <v>8078</v>
      </c>
      <c r="E824" s="72" t="s">
        <v>5862</v>
      </c>
      <c r="F824" s="73" t="s">
        <v>8079</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6754</v>
      </c>
      <c r="U824" s="63">
        <v>397</v>
      </c>
      <c r="V824" s="70">
        <v>14000</v>
      </c>
      <c r="W824" s="70">
        <v>14000</v>
      </c>
      <c r="X824" s="83" t="s">
        <v>6091</v>
      </c>
      <c r="Y824" s="70">
        <f>ROUND(J824,-3)</f>
        <v>8000</v>
      </c>
      <c r="Z824" s="63" t="s">
        <v>5866</v>
      </c>
      <c r="AA824" s="59">
        <v>3</v>
      </c>
      <c r="AB824" s="59">
        <v>3</v>
      </c>
      <c r="AC824" s="67" t="s">
        <v>333</v>
      </c>
      <c r="AD824" s="61" t="s">
        <v>8080</v>
      </c>
      <c r="AE824" s="71"/>
      <c r="AF824" s="71"/>
      <c r="AG824" s="71"/>
      <c r="AH824" s="71"/>
      <c r="AI824" s="71"/>
      <c r="AJ824" s="71"/>
      <c r="AK824" s="71" t="s">
        <v>7537</v>
      </c>
      <c r="AL824">
        <f t="shared" si="17"/>
        <v>56250</v>
      </c>
    </row>
    <row r="825" spans="1:42">
      <c r="A825" s="62">
        <v>8</v>
      </c>
      <c r="B825" s="93">
        <v>817</v>
      </c>
      <c r="C825" s="68" t="s">
        <v>7475</v>
      </c>
      <c r="D825" s="59" t="s">
        <v>7172</v>
      </c>
      <c r="E825" s="72" t="s">
        <v>5862</v>
      </c>
      <c r="F825" s="73" t="s">
        <v>8081</v>
      </c>
      <c r="G825" s="82">
        <v>44.1</v>
      </c>
      <c r="H825" s="67">
        <v>9508</v>
      </c>
      <c r="I825" s="69">
        <v>0</v>
      </c>
      <c r="J825" s="70">
        <v>13500</v>
      </c>
      <c r="K825" s="75">
        <v>18.518518518518519</v>
      </c>
      <c r="L825" s="74">
        <v>1</v>
      </c>
      <c r="M825" s="76">
        <v>0</v>
      </c>
      <c r="N825" s="67">
        <v>1973</v>
      </c>
      <c r="O825" s="64">
        <v>6657</v>
      </c>
      <c r="Q825" s="59">
        <v>21</v>
      </c>
      <c r="R825" s="59">
        <v>14</v>
      </c>
      <c r="S825" s="59">
        <v>1</v>
      </c>
      <c r="T825" s="63" t="s">
        <v>6754</v>
      </c>
      <c r="U825" s="63">
        <v>398</v>
      </c>
      <c r="V825" s="70">
        <v>21000</v>
      </c>
      <c r="W825" s="70">
        <v>21000</v>
      </c>
      <c r="X825" s="83" t="s">
        <v>5896</v>
      </c>
      <c r="Y825" s="70">
        <f>ROUND(J825,-3)</f>
        <v>14000</v>
      </c>
      <c r="Z825" s="63" t="s">
        <v>5866</v>
      </c>
      <c r="AA825" s="59">
        <v>3</v>
      </c>
      <c r="AB825" s="59">
        <v>3</v>
      </c>
      <c r="AC825" s="67" t="s">
        <v>333</v>
      </c>
      <c r="AD825" s="61" t="s">
        <v>7174</v>
      </c>
      <c r="AE825" s="71"/>
      <c r="AF825" s="71"/>
      <c r="AG825" s="71"/>
      <c r="AH825" s="71"/>
      <c r="AI825" s="71"/>
      <c r="AJ825" s="71"/>
      <c r="AK825" s="71" t="s">
        <v>8082</v>
      </c>
      <c r="AL825">
        <f t="shared" si="17"/>
        <v>250000</v>
      </c>
    </row>
    <row r="826" spans="1:42">
      <c r="A826" s="62">
        <v>8</v>
      </c>
      <c r="B826" s="93">
        <v>818</v>
      </c>
      <c r="C826" s="68" t="s">
        <v>7475</v>
      </c>
      <c r="D826" s="59" t="s">
        <v>8083</v>
      </c>
      <c r="E826" s="72" t="s">
        <v>5862</v>
      </c>
      <c r="F826" s="73" t="s">
        <v>8084</v>
      </c>
      <c r="G826" s="82">
        <v>44.1</v>
      </c>
      <c r="H826" s="67">
        <v>9508</v>
      </c>
      <c r="I826" s="69">
        <v>0</v>
      </c>
      <c r="J826" s="70">
        <v>5450</v>
      </c>
      <c r="K826" s="75">
        <v>5.0642201834862384</v>
      </c>
      <c r="L826" s="74">
        <v>1</v>
      </c>
      <c r="M826" s="76">
        <v>0</v>
      </c>
      <c r="N826" s="67">
        <v>1987</v>
      </c>
      <c r="O826" s="64">
        <v>296</v>
      </c>
      <c r="Q826" s="59">
        <v>115</v>
      </c>
      <c r="R826" s="59">
        <v>3</v>
      </c>
      <c r="S826" s="59">
        <v>1</v>
      </c>
      <c r="T826" s="63" t="s">
        <v>6754</v>
      </c>
      <c r="U826" s="63">
        <v>398</v>
      </c>
      <c r="V826" s="70">
        <v>7000</v>
      </c>
      <c r="W826" s="70">
        <v>7000</v>
      </c>
      <c r="X826" s="83" t="s">
        <v>6331</v>
      </c>
      <c r="Y826" s="70">
        <f>ROUND(J826,-3)</f>
        <v>5000</v>
      </c>
      <c r="Z826" s="63" t="s">
        <v>5866</v>
      </c>
      <c r="AA826" s="59">
        <v>3</v>
      </c>
      <c r="AB826" s="59">
        <v>3</v>
      </c>
      <c r="AC826" s="67" t="s">
        <v>333</v>
      </c>
      <c r="AD826" s="61" t="s">
        <v>8085</v>
      </c>
      <c r="AE826" s="71"/>
      <c r="AF826" s="71"/>
      <c r="AG826" s="71"/>
      <c r="AH826" s="71"/>
      <c r="AI826" s="71"/>
      <c r="AJ826" s="71"/>
      <c r="AK826" s="71" t="s">
        <v>8086</v>
      </c>
      <c r="AL826">
        <f t="shared" si="17"/>
        <v>27600</v>
      </c>
    </row>
    <row r="827" spans="1:42">
      <c r="A827" s="62">
        <v>8</v>
      </c>
      <c r="B827" s="93">
        <v>819</v>
      </c>
      <c r="C827" s="68" t="s">
        <v>7495</v>
      </c>
      <c r="D827" s="59" t="s">
        <v>8087</v>
      </c>
      <c r="E827" s="63" t="s">
        <v>5862</v>
      </c>
      <c r="F827" s="59" t="s">
        <v>8088</v>
      </c>
      <c r="G827" s="82">
        <v>44.5</v>
      </c>
      <c r="H827" s="59">
        <v>9506</v>
      </c>
      <c r="I827" s="63">
        <v>8</v>
      </c>
      <c r="J827" s="64">
        <v>103200</v>
      </c>
      <c r="K827" s="87">
        <v>10.07</v>
      </c>
      <c r="L827" s="88">
        <v>0</v>
      </c>
      <c r="M827" s="88">
        <v>0.33</v>
      </c>
      <c r="N827" s="59">
        <v>1978</v>
      </c>
      <c r="O827" s="70">
        <v>0</v>
      </c>
      <c r="P827" s="70">
        <v>0</v>
      </c>
      <c r="Q827" s="59">
        <v>11</v>
      </c>
      <c r="R827" s="59">
        <v>1</v>
      </c>
      <c r="S827" s="59">
        <v>1</v>
      </c>
      <c r="T827" s="63" t="s">
        <v>7099</v>
      </c>
      <c r="U827" s="59">
        <v>396</v>
      </c>
      <c r="V827" s="64">
        <v>306575</v>
      </c>
      <c r="W827" s="64">
        <v>300000</v>
      </c>
      <c r="X827" s="67" t="s">
        <v>6791</v>
      </c>
      <c r="Y827" s="64">
        <v>100000</v>
      </c>
      <c r="Z827" s="63" t="s">
        <v>209</v>
      </c>
      <c r="AA827" s="59">
        <v>3</v>
      </c>
      <c r="AB827" s="59">
        <v>3</v>
      </c>
      <c r="AC827" s="59">
        <v>33</v>
      </c>
      <c r="AD827" s="59" t="s">
        <v>8089</v>
      </c>
      <c r="AE827" s="89">
        <v>10.07</v>
      </c>
      <c r="AF827" s="90">
        <v>10.07</v>
      </c>
      <c r="AG827" s="90">
        <v>6.9</v>
      </c>
      <c r="AH827" s="90">
        <v>3.17</v>
      </c>
      <c r="AI827" s="90" t="s">
        <v>1057</v>
      </c>
      <c r="AJ827" s="89" t="s">
        <v>1057</v>
      </c>
      <c r="AN827" s="71"/>
      <c r="AO827" s="71"/>
      <c r="AP827" s="71"/>
    </row>
    <row r="828" spans="1:42">
      <c r="A828" s="62">
        <v>8</v>
      </c>
      <c r="B828" s="93">
        <v>820</v>
      </c>
      <c r="C828" s="68" t="s">
        <v>7475</v>
      </c>
      <c r="D828" s="59" t="s">
        <v>8090</v>
      </c>
      <c r="E828" s="72" t="s">
        <v>5862</v>
      </c>
      <c r="F828" s="73" t="s">
        <v>8091</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6754</v>
      </c>
      <c r="U828" s="63">
        <v>398</v>
      </c>
      <c r="V828" s="70">
        <v>6250</v>
      </c>
      <c r="W828" s="70">
        <v>6000</v>
      </c>
      <c r="X828" s="83" t="s">
        <v>5896</v>
      </c>
      <c r="Y828" s="70">
        <f t="shared" ref="Y828:Y841" si="18">ROUND(J828,-3)</f>
        <v>4000</v>
      </c>
      <c r="Z828" s="63" t="s">
        <v>5866</v>
      </c>
      <c r="AA828" s="59">
        <v>3</v>
      </c>
      <c r="AB828" s="59">
        <v>3</v>
      </c>
      <c r="AC828" s="67" t="s">
        <v>333</v>
      </c>
      <c r="AD828" s="61" t="s">
        <v>8092</v>
      </c>
      <c r="AE828" s="71"/>
      <c r="AF828" s="71"/>
      <c r="AG828" s="71"/>
      <c r="AH828" s="71"/>
      <c r="AI828" s="71"/>
      <c r="AJ828" s="71"/>
      <c r="AK828" s="71" t="s">
        <v>7486</v>
      </c>
      <c r="AL828">
        <f t="shared" ref="AL828:AL859" si="19">IF(AND(ISNUMBER($S828),$S828&gt;0,ISNUMBER($K828),ISNUMBER($J828)),($K828*$J828)/$S828,"")</f>
        <v>24000</v>
      </c>
    </row>
    <row r="829" spans="1:42">
      <c r="A829" s="62">
        <v>8</v>
      </c>
      <c r="B829" s="93">
        <v>821</v>
      </c>
      <c r="C829" s="68" t="s">
        <v>7475</v>
      </c>
      <c r="D829" s="59" t="s">
        <v>6444</v>
      </c>
      <c r="E829" s="72" t="s">
        <v>5862</v>
      </c>
      <c r="F829" s="73" t="s">
        <v>6445</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6754</v>
      </c>
      <c r="U829" s="63">
        <v>398</v>
      </c>
      <c r="V829" s="70">
        <v>34375</v>
      </c>
      <c r="W829" s="70">
        <v>34000</v>
      </c>
      <c r="X829" s="83" t="s">
        <v>5903</v>
      </c>
      <c r="Y829" s="70">
        <f t="shared" si="18"/>
        <v>18000</v>
      </c>
      <c r="Z829" s="63" t="s">
        <v>5866</v>
      </c>
      <c r="AA829" s="59">
        <v>3</v>
      </c>
      <c r="AB829" s="59">
        <v>3</v>
      </c>
      <c r="AC829" s="67" t="s">
        <v>333</v>
      </c>
      <c r="AD829" s="61" t="s">
        <v>6446</v>
      </c>
      <c r="AE829" s="71"/>
      <c r="AF829" s="71"/>
      <c r="AG829" s="71"/>
      <c r="AH829" s="71"/>
      <c r="AI829" s="71"/>
      <c r="AJ829" s="71"/>
      <c r="AK829" s="71" t="s">
        <v>8024</v>
      </c>
      <c r="AL829">
        <f t="shared" si="19"/>
        <v>54104</v>
      </c>
    </row>
    <row r="830" spans="1:42">
      <c r="A830" s="62">
        <v>8</v>
      </c>
      <c r="B830" s="93">
        <v>822</v>
      </c>
      <c r="C830" s="68" t="s">
        <v>7475</v>
      </c>
      <c r="D830" s="59" t="s">
        <v>6447</v>
      </c>
      <c r="E830" s="72" t="s">
        <v>5862</v>
      </c>
      <c r="F830" s="73" t="s">
        <v>6448</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6754</v>
      </c>
      <c r="U830" s="63">
        <v>398</v>
      </c>
      <c r="V830" s="70">
        <v>6000</v>
      </c>
      <c r="W830" s="70">
        <v>6000</v>
      </c>
      <c r="X830" s="83" t="s">
        <v>5896</v>
      </c>
      <c r="Y830" s="70">
        <f t="shared" si="18"/>
        <v>4000</v>
      </c>
      <c r="Z830" s="63" t="s">
        <v>5866</v>
      </c>
      <c r="AA830" s="59">
        <v>3</v>
      </c>
      <c r="AB830" s="59">
        <v>3</v>
      </c>
      <c r="AC830" s="67" t="s">
        <v>333</v>
      </c>
      <c r="AD830" s="61" t="s">
        <v>6449</v>
      </c>
      <c r="AE830" s="71"/>
      <c r="AF830" s="71"/>
      <c r="AG830" s="71"/>
      <c r="AH830" s="71"/>
      <c r="AI830" s="71"/>
      <c r="AJ830" s="71"/>
      <c r="AK830" s="71" t="s">
        <v>7648</v>
      </c>
      <c r="AL830">
        <f t="shared" si="19"/>
        <v>21600</v>
      </c>
    </row>
    <row r="831" spans="1:42">
      <c r="A831" s="62">
        <v>8</v>
      </c>
      <c r="B831" s="93">
        <v>823</v>
      </c>
      <c r="C831" s="68" t="s">
        <v>7475</v>
      </c>
      <c r="D831" s="59" t="s">
        <v>8093</v>
      </c>
      <c r="E831" s="72" t="s">
        <v>5862</v>
      </c>
      <c r="F831" s="73" t="s">
        <v>8094</v>
      </c>
      <c r="G831" s="82">
        <v>44.2</v>
      </c>
      <c r="H831" s="67">
        <v>9508</v>
      </c>
      <c r="I831" s="69">
        <v>0</v>
      </c>
      <c r="J831" s="70">
        <v>30000</v>
      </c>
      <c r="K831" s="75">
        <v>4</v>
      </c>
      <c r="L831" s="74">
        <v>0</v>
      </c>
      <c r="M831" s="76">
        <v>0</v>
      </c>
      <c r="N831" s="67">
        <v>1965</v>
      </c>
      <c r="O831" s="64">
        <f>20258+12347</f>
        <v>32605</v>
      </c>
      <c r="Q831" s="59">
        <v>13</v>
      </c>
      <c r="R831" s="59">
        <v>3</v>
      </c>
      <c r="S831" s="59">
        <v>1</v>
      </c>
      <c r="T831" s="63" t="s">
        <v>6754</v>
      </c>
      <c r="U831" s="63">
        <v>398</v>
      </c>
      <c r="V831" s="70">
        <v>93000</v>
      </c>
      <c r="W831" s="70">
        <v>90000</v>
      </c>
      <c r="X831" s="83" t="s">
        <v>5938</v>
      </c>
      <c r="Y831" s="70">
        <f t="shared" si="18"/>
        <v>30000</v>
      </c>
      <c r="Z831" s="63" t="s">
        <v>5866</v>
      </c>
      <c r="AA831" s="59">
        <v>3</v>
      </c>
      <c r="AB831" s="59">
        <v>3</v>
      </c>
      <c r="AC831" s="67" t="s">
        <v>333</v>
      </c>
      <c r="AD831" s="61" t="s">
        <v>8095</v>
      </c>
      <c r="AE831" s="71"/>
      <c r="AF831" s="71"/>
      <c r="AG831" s="71"/>
      <c r="AH831" s="71"/>
      <c r="AI831" s="71"/>
      <c r="AJ831" s="71"/>
      <c r="AK831" s="71" t="s">
        <v>8096</v>
      </c>
      <c r="AL831">
        <f t="shared" si="19"/>
        <v>120000</v>
      </c>
    </row>
    <row r="832" spans="1:42">
      <c r="A832" s="62">
        <v>8</v>
      </c>
      <c r="B832" s="93">
        <v>824</v>
      </c>
      <c r="C832" s="68" t="s">
        <v>7475</v>
      </c>
      <c r="D832" s="59" t="s">
        <v>6450</v>
      </c>
      <c r="E832" s="72" t="s">
        <v>5862</v>
      </c>
      <c r="F832" s="73" t="s">
        <v>6451</v>
      </c>
      <c r="G832" s="82">
        <v>44.1</v>
      </c>
      <c r="H832" s="67">
        <v>9508</v>
      </c>
      <c r="I832" s="69">
        <v>0</v>
      </c>
      <c r="J832" s="70">
        <v>16096</v>
      </c>
      <c r="K832" s="75">
        <v>5.9396123260437372</v>
      </c>
      <c r="L832" s="74">
        <v>0</v>
      </c>
      <c r="M832" s="76">
        <v>0</v>
      </c>
      <c r="N832" s="67">
        <v>1960</v>
      </c>
      <c r="O832" s="64">
        <v>4848</v>
      </c>
      <c r="Q832" s="59">
        <v>15</v>
      </c>
      <c r="R832" s="59">
        <v>3</v>
      </c>
      <c r="S832" s="59">
        <v>1</v>
      </c>
      <c r="T832" s="63" t="s">
        <v>6754</v>
      </c>
      <c r="U832" s="63">
        <v>398</v>
      </c>
      <c r="V832" s="70">
        <v>30000</v>
      </c>
      <c r="W832" s="70">
        <v>30000</v>
      </c>
      <c r="X832" s="83" t="s">
        <v>5903</v>
      </c>
      <c r="Y832" s="70">
        <f t="shared" si="18"/>
        <v>16000</v>
      </c>
      <c r="Z832" s="63" t="s">
        <v>5866</v>
      </c>
      <c r="AA832" s="59">
        <v>3</v>
      </c>
      <c r="AB832" s="59">
        <v>3</v>
      </c>
      <c r="AC832" s="67" t="s">
        <v>333</v>
      </c>
      <c r="AD832" s="61" t="s">
        <v>6452</v>
      </c>
      <c r="AE832" s="71"/>
      <c r="AF832" s="71"/>
      <c r="AG832" s="71"/>
      <c r="AH832" s="71"/>
      <c r="AI832" s="71"/>
      <c r="AJ832" s="71"/>
      <c r="AK832" s="71" t="s">
        <v>7803</v>
      </c>
      <c r="AL832">
        <f t="shared" si="19"/>
        <v>95604</v>
      </c>
    </row>
    <row r="833" spans="1:38">
      <c r="A833" s="62">
        <v>8</v>
      </c>
      <c r="B833" s="93">
        <v>825</v>
      </c>
      <c r="C833" s="68" t="s">
        <v>7475</v>
      </c>
      <c r="D833" s="59" t="s">
        <v>6454</v>
      </c>
      <c r="E833" s="72" t="s">
        <v>5862</v>
      </c>
      <c r="F833" s="73" t="s">
        <v>6455</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6757</v>
      </c>
      <c r="U833" s="63">
        <v>398</v>
      </c>
      <c r="V833" s="70">
        <v>27787</v>
      </c>
      <c r="W833" s="70">
        <v>28000</v>
      </c>
      <c r="X833" s="83" t="s">
        <v>6774</v>
      </c>
      <c r="Y833" s="70">
        <f t="shared" si="18"/>
        <v>14000</v>
      </c>
      <c r="Z833" s="63" t="s">
        <v>5866</v>
      </c>
      <c r="AA833" s="59">
        <v>3</v>
      </c>
      <c r="AB833" s="59">
        <v>3</v>
      </c>
      <c r="AC833" s="67" t="s">
        <v>333</v>
      </c>
      <c r="AD833" s="61" t="s">
        <v>6456</v>
      </c>
      <c r="AE833" s="71"/>
      <c r="AF833" s="71"/>
      <c r="AG833" s="71"/>
      <c r="AH833" s="71"/>
      <c r="AI833" s="71"/>
      <c r="AJ833" s="71"/>
      <c r="AK833" s="71" t="s">
        <v>7553</v>
      </c>
      <c r="AL833">
        <f t="shared" si="19"/>
        <v>120000</v>
      </c>
    </row>
    <row r="834" spans="1:38">
      <c r="A834" s="62">
        <v>8</v>
      </c>
      <c r="B834" s="93">
        <v>826</v>
      </c>
      <c r="C834" s="68" t="s">
        <v>7475</v>
      </c>
      <c r="D834" s="59" t="s">
        <v>8097</v>
      </c>
      <c r="E834" s="72" t="s">
        <v>5862</v>
      </c>
      <c r="F834" s="73" t="s">
        <v>8098</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7018</v>
      </c>
      <c r="U834" s="63">
        <v>398</v>
      </c>
      <c r="V834" s="70">
        <v>6250</v>
      </c>
      <c r="W834" s="70">
        <v>6000</v>
      </c>
      <c r="X834" s="83" t="s">
        <v>5896</v>
      </c>
      <c r="Y834" s="70">
        <f t="shared" si="18"/>
        <v>4000</v>
      </c>
      <c r="Z834" s="63" t="s">
        <v>5866</v>
      </c>
      <c r="AA834" s="59">
        <v>3</v>
      </c>
      <c r="AB834" s="59">
        <v>3</v>
      </c>
      <c r="AC834" s="67" t="s">
        <v>333</v>
      </c>
      <c r="AD834" s="61" t="s">
        <v>8099</v>
      </c>
      <c r="AE834" s="71"/>
      <c r="AF834" s="71"/>
      <c r="AG834" s="71"/>
      <c r="AH834" s="71"/>
      <c r="AI834" s="71"/>
      <c r="AJ834" s="71"/>
      <c r="AK834" s="71" t="s">
        <v>7537</v>
      </c>
      <c r="AL834">
        <f t="shared" si="19"/>
        <v>36000</v>
      </c>
    </row>
    <row r="835" spans="1:38">
      <c r="A835" s="62">
        <v>8</v>
      </c>
      <c r="B835" s="93">
        <v>827</v>
      </c>
      <c r="C835" s="68" t="s">
        <v>7475</v>
      </c>
      <c r="D835" s="59" t="s">
        <v>8100</v>
      </c>
      <c r="E835" s="72" t="s">
        <v>5862</v>
      </c>
      <c r="F835" s="73" t="s">
        <v>8101</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6754</v>
      </c>
      <c r="U835" s="63">
        <v>398</v>
      </c>
      <c r="V835" s="70">
        <v>38742</v>
      </c>
      <c r="W835" s="70">
        <v>39000</v>
      </c>
      <c r="X835" s="83" t="s">
        <v>5874</v>
      </c>
      <c r="Y835" s="70">
        <f t="shared" si="18"/>
        <v>17000</v>
      </c>
      <c r="Z835" s="63" t="s">
        <v>5866</v>
      </c>
      <c r="AA835" s="59">
        <v>3</v>
      </c>
      <c r="AB835" s="59">
        <v>3</v>
      </c>
      <c r="AC835" s="67" t="s">
        <v>333</v>
      </c>
      <c r="AD835" s="61" t="s">
        <v>8102</v>
      </c>
      <c r="AE835" s="71"/>
      <c r="AF835" s="71"/>
      <c r="AG835" s="71"/>
      <c r="AH835" s="71"/>
      <c r="AI835" s="71"/>
      <c r="AJ835" s="71"/>
      <c r="AK835" s="71" t="s">
        <v>7648</v>
      </c>
      <c r="AL835">
        <f t="shared" si="19"/>
        <v>121236</v>
      </c>
    </row>
    <row r="836" spans="1:38">
      <c r="A836" s="62">
        <v>8</v>
      </c>
      <c r="B836" s="93">
        <v>828</v>
      </c>
      <c r="C836" s="68" t="s">
        <v>7475</v>
      </c>
      <c r="D836" s="59" t="s">
        <v>8103</v>
      </c>
      <c r="E836" s="72" t="s">
        <v>5862</v>
      </c>
      <c r="F836" s="73" t="s">
        <v>8104</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6754</v>
      </c>
      <c r="U836" s="63">
        <v>398</v>
      </c>
      <c r="V836" s="70">
        <v>60428</v>
      </c>
      <c r="W836" s="70">
        <v>60000</v>
      </c>
      <c r="X836" s="83" t="s">
        <v>5896</v>
      </c>
      <c r="Y836" s="70">
        <f t="shared" si="18"/>
        <v>35000</v>
      </c>
      <c r="Z836" s="63" t="s">
        <v>5866</v>
      </c>
      <c r="AA836" s="59">
        <v>3</v>
      </c>
      <c r="AB836" s="59">
        <v>3</v>
      </c>
      <c r="AC836" s="67" t="s">
        <v>333</v>
      </c>
      <c r="AD836" s="61" t="s">
        <v>8105</v>
      </c>
      <c r="AE836" s="71"/>
      <c r="AF836" s="71"/>
      <c r="AG836" s="71"/>
      <c r="AH836" s="71"/>
      <c r="AI836" s="71"/>
      <c r="AJ836" s="71"/>
      <c r="AK836" s="71" t="s">
        <v>8106</v>
      </c>
      <c r="AL836">
        <f t="shared" si="19"/>
        <v>291550</v>
      </c>
    </row>
    <row r="837" spans="1:38">
      <c r="A837" s="62">
        <v>8</v>
      </c>
      <c r="B837" s="93">
        <v>829</v>
      </c>
      <c r="C837" s="68" t="s">
        <v>7475</v>
      </c>
      <c r="D837" s="59" t="s">
        <v>8107</v>
      </c>
      <c r="E837" s="72" t="s">
        <v>5862</v>
      </c>
      <c r="F837" s="73" t="s">
        <v>8108</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6754</v>
      </c>
      <c r="U837" s="63">
        <v>398</v>
      </c>
      <c r="V837" s="70">
        <v>15330</v>
      </c>
      <c r="W837" s="70">
        <v>15000</v>
      </c>
      <c r="X837" s="83" t="s">
        <v>5923</v>
      </c>
      <c r="Y837" s="70">
        <f t="shared" si="18"/>
        <v>5000</v>
      </c>
      <c r="Z837" s="63" t="s">
        <v>5866</v>
      </c>
      <c r="AA837" s="59">
        <v>3</v>
      </c>
      <c r="AB837" s="59">
        <v>3</v>
      </c>
      <c r="AC837" s="67" t="s">
        <v>333</v>
      </c>
      <c r="AD837" s="61" t="s">
        <v>5904</v>
      </c>
      <c r="AE837" s="71"/>
      <c r="AF837" s="71"/>
      <c r="AG837" s="71"/>
      <c r="AH837" s="71"/>
      <c r="AI837" s="71"/>
      <c r="AJ837" s="71"/>
      <c r="AK837" s="71" t="s">
        <v>7486</v>
      </c>
      <c r="AL837">
        <f t="shared" si="19"/>
        <v>36000</v>
      </c>
    </row>
    <row r="838" spans="1:38">
      <c r="A838" s="62">
        <v>8</v>
      </c>
      <c r="B838" s="93">
        <v>830</v>
      </c>
      <c r="C838" s="68" t="s">
        <v>7475</v>
      </c>
      <c r="D838" s="59" t="s">
        <v>8109</v>
      </c>
      <c r="E838" s="72" t="s">
        <v>5862</v>
      </c>
      <c r="F838" s="73" t="s">
        <v>8110</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6757</v>
      </c>
      <c r="U838" s="63">
        <v>398</v>
      </c>
      <c r="V838" s="70">
        <v>18722</v>
      </c>
      <c r="W838" s="70">
        <v>19000</v>
      </c>
      <c r="X838" s="83" t="s">
        <v>5903</v>
      </c>
      <c r="Y838" s="70">
        <f t="shared" si="18"/>
        <v>10000</v>
      </c>
      <c r="Z838" s="63" t="s">
        <v>5866</v>
      </c>
      <c r="AA838" s="59">
        <v>3</v>
      </c>
      <c r="AB838" s="59">
        <v>3</v>
      </c>
      <c r="AC838" s="67" t="s">
        <v>333</v>
      </c>
      <c r="AD838" s="61" t="s">
        <v>181</v>
      </c>
      <c r="AE838" s="71"/>
      <c r="AF838" s="71"/>
      <c r="AG838" s="71"/>
      <c r="AH838" s="71"/>
      <c r="AI838" s="71"/>
      <c r="AJ838" s="71"/>
      <c r="AK838" s="71" t="s">
        <v>7519</v>
      </c>
      <c r="AL838">
        <f t="shared" si="19"/>
        <v>82062.000000000015</v>
      </c>
    </row>
    <row r="839" spans="1:38">
      <c r="A839" s="62">
        <v>8</v>
      </c>
      <c r="B839" s="93">
        <v>831</v>
      </c>
      <c r="C839" s="68" t="s">
        <v>7475</v>
      </c>
      <c r="D839" s="59" t="s">
        <v>6459</v>
      </c>
      <c r="E839" s="72" t="s">
        <v>5862</v>
      </c>
      <c r="F839" s="73" t="s">
        <v>6460</v>
      </c>
      <c r="G839" s="82">
        <v>44.1</v>
      </c>
      <c r="H839" s="67">
        <v>9508</v>
      </c>
      <c r="I839" s="69">
        <v>0</v>
      </c>
      <c r="J839" s="70">
        <v>7692</v>
      </c>
      <c r="K839" s="75">
        <v>15.600624024961</v>
      </c>
      <c r="L839" s="74">
        <v>0</v>
      </c>
      <c r="M839" s="76">
        <v>0</v>
      </c>
      <c r="N839" s="67">
        <v>1974</v>
      </c>
      <c r="P839" s="64">
        <v>3161</v>
      </c>
      <c r="Q839" s="59">
        <v>18</v>
      </c>
      <c r="R839" s="59">
        <v>14</v>
      </c>
      <c r="S839" s="59">
        <v>1</v>
      </c>
      <c r="T839" s="63" t="s">
        <v>6757</v>
      </c>
      <c r="U839" s="63">
        <v>398</v>
      </c>
      <c r="V839" s="70">
        <v>16250</v>
      </c>
      <c r="W839" s="70">
        <v>16000</v>
      </c>
      <c r="X839" s="83" t="s">
        <v>5982</v>
      </c>
      <c r="Y839" s="70">
        <f t="shared" si="18"/>
        <v>8000</v>
      </c>
      <c r="Z839" s="63" t="s">
        <v>5866</v>
      </c>
      <c r="AA839" s="59">
        <v>3</v>
      </c>
      <c r="AB839" s="59">
        <v>3</v>
      </c>
      <c r="AC839" s="67" t="s">
        <v>333</v>
      </c>
      <c r="AD839" s="61" t="s">
        <v>181</v>
      </c>
      <c r="AE839" s="71"/>
      <c r="AF839" s="71"/>
      <c r="AG839" s="71"/>
      <c r="AH839" s="71"/>
      <c r="AI839" s="71"/>
      <c r="AJ839" s="71"/>
      <c r="AK839" s="71" t="s">
        <v>7553</v>
      </c>
      <c r="AL839">
        <f t="shared" si="19"/>
        <v>120000.00000000001</v>
      </c>
    </row>
    <row r="840" spans="1:38">
      <c r="A840" s="62">
        <v>8</v>
      </c>
      <c r="B840" s="93">
        <v>832</v>
      </c>
      <c r="C840" s="68" t="s">
        <v>7475</v>
      </c>
      <c r="D840" s="59" t="s">
        <v>8111</v>
      </c>
      <c r="E840" s="72" t="s">
        <v>5862</v>
      </c>
      <c r="F840" s="73" t="s">
        <v>8112</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6757</v>
      </c>
      <c r="U840" s="63">
        <v>398</v>
      </c>
      <c r="V840" s="70">
        <v>17875</v>
      </c>
      <c r="W840" s="70">
        <v>18000</v>
      </c>
      <c r="X840" s="83" t="s">
        <v>5892</v>
      </c>
      <c r="Y840" s="70">
        <f t="shared" si="18"/>
        <v>6000</v>
      </c>
      <c r="Z840" s="63" t="s">
        <v>5866</v>
      </c>
      <c r="AA840" s="59">
        <v>3</v>
      </c>
      <c r="AB840" s="59">
        <v>3</v>
      </c>
      <c r="AC840" s="67" t="s">
        <v>333</v>
      </c>
      <c r="AD840" s="61" t="s">
        <v>181</v>
      </c>
      <c r="AE840" s="71"/>
      <c r="AF840" s="71"/>
      <c r="AG840" s="71"/>
      <c r="AH840" s="71"/>
      <c r="AI840" s="71"/>
      <c r="AJ840" s="71"/>
      <c r="AK840" s="71" t="s">
        <v>7537</v>
      </c>
      <c r="AL840">
        <f t="shared" si="19"/>
        <v>45855</v>
      </c>
    </row>
    <row r="841" spans="1:38">
      <c r="A841" s="62">
        <v>8</v>
      </c>
      <c r="B841" s="93">
        <v>833</v>
      </c>
      <c r="C841" s="68" t="s">
        <v>7475</v>
      </c>
      <c r="D841" s="59" t="s">
        <v>8113</v>
      </c>
      <c r="E841" s="72" t="s">
        <v>5862</v>
      </c>
      <c r="F841" s="73" t="s">
        <v>6463</v>
      </c>
      <c r="G841" s="82">
        <v>44.8</v>
      </c>
      <c r="H841" s="67">
        <v>9508</v>
      </c>
      <c r="I841" s="69">
        <v>0</v>
      </c>
      <c r="J841" s="70">
        <v>8586</v>
      </c>
      <c r="K841" s="75">
        <v>10.482180293501051</v>
      </c>
      <c r="L841" s="74">
        <v>0</v>
      </c>
      <c r="M841" s="76">
        <v>0</v>
      </c>
      <c r="N841" s="67">
        <v>1968</v>
      </c>
      <c r="Q841" s="59">
        <v>20</v>
      </c>
      <c r="R841" s="59">
        <v>14</v>
      </c>
      <c r="S841" s="59">
        <v>1</v>
      </c>
      <c r="T841" s="63" t="s">
        <v>6754</v>
      </c>
      <c r="U841" s="63">
        <v>398</v>
      </c>
      <c r="V841" s="70">
        <v>17648</v>
      </c>
      <c r="W841" s="70">
        <v>18000</v>
      </c>
      <c r="X841" s="83" t="s">
        <v>5982</v>
      </c>
      <c r="Y841" s="70">
        <f t="shared" si="18"/>
        <v>9000</v>
      </c>
      <c r="Z841" s="63" t="s">
        <v>5866</v>
      </c>
      <c r="AA841" s="59">
        <v>3</v>
      </c>
      <c r="AB841" s="59">
        <v>3</v>
      </c>
      <c r="AC841" s="67" t="s">
        <v>333</v>
      </c>
      <c r="AD841" s="61" t="s">
        <v>8114</v>
      </c>
      <c r="AE841" s="71"/>
      <c r="AF841" s="71"/>
      <c r="AG841" s="71"/>
      <c r="AH841" s="71"/>
      <c r="AI841" s="71"/>
      <c r="AJ841" s="71"/>
      <c r="AK841" s="71" t="s">
        <v>8115</v>
      </c>
      <c r="AL841">
        <f t="shared" si="19"/>
        <v>90000.000000000015</v>
      </c>
    </row>
    <row r="842" spans="1:38">
      <c r="A842" s="62">
        <v>8</v>
      </c>
      <c r="B842" s="93">
        <v>834</v>
      </c>
      <c r="C842" s="68" t="s">
        <v>7475</v>
      </c>
      <c r="D842" s="59" t="s">
        <v>8116</v>
      </c>
      <c r="E842" s="72" t="s">
        <v>5862</v>
      </c>
      <c r="F842" s="73" t="s">
        <v>8117</v>
      </c>
      <c r="G842" s="82">
        <v>44.2</v>
      </c>
      <c r="H842" s="67">
        <v>9505</v>
      </c>
      <c r="I842" s="69">
        <v>0</v>
      </c>
      <c r="J842" s="70">
        <v>51985</v>
      </c>
      <c r="K842" s="75">
        <v>5.4</v>
      </c>
      <c r="L842" s="74">
        <v>0</v>
      </c>
      <c r="M842" s="76">
        <v>0</v>
      </c>
      <c r="N842" s="67">
        <v>1973</v>
      </c>
      <c r="O842" s="64">
        <v>2478</v>
      </c>
      <c r="Q842" s="59">
        <v>22</v>
      </c>
      <c r="R842" s="59">
        <v>14</v>
      </c>
      <c r="S842" s="59">
        <v>1</v>
      </c>
      <c r="T842" s="63" t="s">
        <v>6754</v>
      </c>
      <c r="U842" s="63">
        <v>398</v>
      </c>
      <c r="V842" s="70">
        <v>54671</v>
      </c>
      <c r="W842" s="70">
        <v>50000</v>
      </c>
      <c r="X842" s="83" t="s">
        <v>6271</v>
      </c>
      <c r="Y842" s="70">
        <f>ROUND(J842,-4)</f>
        <v>50000</v>
      </c>
      <c r="Z842" s="63" t="s">
        <v>5866</v>
      </c>
      <c r="AA842" s="59">
        <v>2</v>
      </c>
      <c r="AB842" s="59">
        <v>1</v>
      </c>
      <c r="AC842" s="67" t="s">
        <v>276</v>
      </c>
      <c r="AD842" s="61" t="s">
        <v>181</v>
      </c>
      <c r="AE842" s="71"/>
      <c r="AF842" s="71"/>
      <c r="AG842" s="71"/>
      <c r="AH842" s="71"/>
      <c r="AI842" s="71"/>
      <c r="AJ842" s="71"/>
      <c r="AK842" s="71" t="s">
        <v>7486</v>
      </c>
      <c r="AL842">
        <f t="shared" si="19"/>
        <v>280719</v>
      </c>
    </row>
    <row r="843" spans="1:38">
      <c r="A843" s="62">
        <v>8</v>
      </c>
      <c r="B843" s="93">
        <v>835</v>
      </c>
      <c r="C843" s="68" t="s">
        <v>7475</v>
      </c>
      <c r="D843" s="59" t="s">
        <v>6469</v>
      </c>
      <c r="E843" s="72" t="s">
        <v>5862</v>
      </c>
      <c r="F843" s="73" t="s">
        <v>6470</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6754</v>
      </c>
      <c r="U843" s="63">
        <v>398</v>
      </c>
      <c r="V843" s="70">
        <v>20500</v>
      </c>
      <c r="W843" s="70">
        <v>21000</v>
      </c>
      <c r="X843" s="83" t="s">
        <v>5896</v>
      </c>
      <c r="Y843" s="70">
        <f>ROUND(J843,-3)</f>
        <v>13000</v>
      </c>
      <c r="Z843" s="63" t="s">
        <v>5866</v>
      </c>
      <c r="AA843" s="59">
        <v>3</v>
      </c>
      <c r="AB843" s="59">
        <v>3</v>
      </c>
      <c r="AC843" s="67" t="s">
        <v>333</v>
      </c>
      <c r="AD843" s="61" t="s">
        <v>6471</v>
      </c>
      <c r="AE843" s="71"/>
      <c r="AF843" s="71"/>
      <c r="AG843" s="71"/>
      <c r="AH843" s="71"/>
      <c r="AI843" s="71"/>
      <c r="AJ843" s="71"/>
      <c r="AK843" s="71" t="s">
        <v>7553</v>
      </c>
      <c r="AL843">
        <f t="shared" si="19"/>
        <v>92351.999999999985</v>
      </c>
    </row>
    <row r="844" spans="1:38">
      <c r="A844" s="62">
        <v>8</v>
      </c>
      <c r="B844" s="93">
        <v>836</v>
      </c>
      <c r="C844" s="68" t="s">
        <v>7475</v>
      </c>
      <c r="D844" s="59" t="s">
        <v>6473</v>
      </c>
      <c r="E844" s="72" t="s">
        <v>5862</v>
      </c>
      <c r="F844" s="73" t="s">
        <v>6474</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6754</v>
      </c>
      <c r="U844" s="63">
        <v>398</v>
      </c>
      <c r="V844" s="70">
        <v>12400</v>
      </c>
      <c r="W844" s="70">
        <v>12000</v>
      </c>
      <c r="X844" s="83" t="s">
        <v>6065</v>
      </c>
      <c r="Y844" s="70">
        <f>ROUND(J844,-3)</f>
        <v>9000</v>
      </c>
      <c r="Z844" s="63" t="s">
        <v>5866</v>
      </c>
      <c r="AA844" s="59">
        <v>3</v>
      </c>
      <c r="AB844" s="59">
        <v>3</v>
      </c>
      <c r="AC844" s="67" t="s">
        <v>333</v>
      </c>
      <c r="AD844" s="61" t="s">
        <v>181</v>
      </c>
      <c r="AE844" s="71"/>
      <c r="AF844" s="71"/>
      <c r="AG844" s="71"/>
      <c r="AH844" s="71"/>
      <c r="AI844" s="71"/>
      <c r="AJ844" s="71"/>
      <c r="AK844" s="71" t="s">
        <v>7553</v>
      </c>
      <c r="AL844">
        <f t="shared" si="19"/>
        <v>62400</v>
      </c>
    </row>
    <row r="845" spans="1:38">
      <c r="A845" s="62">
        <v>8</v>
      </c>
      <c r="B845" s="93">
        <v>837</v>
      </c>
      <c r="C845" s="68" t="s">
        <v>7475</v>
      </c>
      <c r="D845" s="59" t="s">
        <v>7193</v>
      </c>
      <c r="E845" s="72" t="s">
        <v>5862</v>
      </c>
      <c r="F845" s="73" t="s">
        <v>8118</v>
      </c>
      <c r="G845" s="82">
        <v>44.1</v>
      </c>
      <c r="H845" s="67">
        <v>9505</v>
      </c>
      <c r="I845" s="69">
        <v>0</v>
      </c>
      <c r="J845" s="70">
        <v>7200</v>
      </c>
      <c r="K845" s="75">
        <v>6.666666666666667</v>
      </c>
      <c r="L845" s="74">
        <v>0</v>
      </c>
      <c r="M845" s="76">
        <v>0</v>
      </c>
      <c r="N845" s="67">
        <v>1966</v>
      </c>
      <c r="O845" s="64">
        <v>4200</v>
      </c>
      <c r="Q845" s="59">
        <v>14</v>
      </c>
      <c r="R845" s="59">
        <v>3</v>
      </c>
      <c r="S845" s="59">
        <v>1</v>
      </c>
      <c r="T845" s="63" t="s">
        <v>6754</v>
      </c>
      <c r="U845" s="63">
        <v>398</v>
      </c>
      <c r="V845" s="70">
        <v>11917</v>
      </c>
      <c r="W845" s="70">
        <v>12000</v>
      </c>
      <c r="X845" s="83" t="s">
        <v>6182</v>
      </c>
      <c r="Y845" s="70">
        <f>ROUND(J845,-3)</f>
        <v>7000</v>
      </c>
      <c r="Z845" s="63" t="s">
        <v>5866</v>
      </c>
      <c r="AA845" s="59">
        <v>3</v>
      </c>
      <c r="AB845" s="59">
        <v>3</v>
      </c>
      <c r="AC845" s="67" t="s">
        <v>333</v>
      </c>
      <c r="AD845" s="61" t="s">
        <v>181</v>
      </c>
      <c r="AE845" s="71"/>
      <c r="AF845" s="71"/>
      <c r="AG845" s="71"/>
      <c r="AH845" s="71"/>
      <c r="AI845" s="71"/>
      <c r="AJ845" s="71"/>
      <c r="AK845" s="71" t="s">
        <v>7532</v>
      </c>
      <c r="AL845">
        <f t="shared" si="19"/>
        <v>48000</v>
      </c>
    </row>
    <row r="846" spans="1:38">
      <c r="A846" s="62">
        <v>8</v>
      </c>
      <c r="B846" s="93">
        <v>838</v>
      </c>
      <c r="C846" s="68" t="s">
        <v>7475</v>
      </c>
      <c r="D846" s="59" t="s">
        <v>8119</v>
      </c>
      <c r="E846" s="72" t="s">
        <v>5862</v>
      </c>
      <c r="F846" s="73" t="s">
        <v>8120</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6754</v>
      </c>
      <c r="U846" s="63">
        <v>398</v>
      </c>
      <c r="V846" s="70">
        <v>43372</v>
      </c>
      <c r="W846" s="70">
        <v>43000</v>
      </c>
      <c r="X846" s="83" t="s">
        <v>5928</v>
      </c>
      <c r="Y846" s="70">
        <f>ROUND(J846,-3)</f>
        <v>20000</v>
      </c>
      <c r="Z846" s="63" t="s">
        <v>5866</v>
      </c>
      <c r="AA846" s="59">
        <v>3</v>
      </c>
      <c r="AB846" s="59">
        <v>3</v>
      </c>
      <c r="AC846" s="67" t="s">
        <v>333</v>
      </c>
      <c r="AD846" s="61" t="s">
        <v>8121</v>
      </c>
      <c r="AE846" s="71"/>
      <c r="AF846" s="71"/>
      <c r="AG846" s="71"/>
      <c r="AH846" s="71"/>
      <c r="AI846" s="71"/>
      <c r="AJ846" s="71"/>
      <c r="AK846" s="71" t="s">
        <v>7648</v>
      </c>
      <c r="AL846">
        <f t="shared" si="19"/>
        <v>120000</v>
      </c>
    </row>
    <row r="847" spans="1:38">
      <c r="A847" s="62">
        <v>8</v>
      </c>
      <c r="B847" s="93">
        <v>839</v>
      </c>
      <c r="C847" s="68" t="s">
        <v>7475</v>
      </c>
      <c r="D847" s="59" t="s">
        <v>8122</v>
      </c>
      <c r="E847" s="72" t="s">
        <v>5862</v>
      </c>
      <c r="F847" s="73" t="s">
        <v>8123</v>
      </c>
      <c r="G847" s="82">
        <v>44.1</v>
      </c>
      <c r="H847" s="67">
        <v>9505</v>
      </c>
      <c r="I847" s="69">
        <v>0</v>
      </c>
      <c r="J847" s="70">
        <v>51633</v>
      </c>
      <c r="K847" s="75">
        <v>4.0699939960877733</v>
      </c>
      <c r="L847" s="74">
        <v>0</v>
      </c>
      <c r="M847" s="76">
        <v>0</v>
      </c>
      <c r="N847" s="67">
        <v>1957</v>
      </c>
      <c r="O847" s="64">
        <v>6565</v>
      </c>
      <c r="Q847" s="59">
        <v>14</v>
      </c>
      <c r="R847" s="59">
        <v>3</v>
      </c>
      <c r="S847" s="59">
        <v>1</v>
      </c>
      <c r="T847" s="63" t="s">
        <v>6754</v>
      </c>
      <c r="U847" s="63">
        <v>398</v>
      </c>
      <c r="V847" s="70">
        <v>74400</v>
      </c>
      <c r="W847" s="70">
        <v>70000</v>
      </c>
      <c r="X847" s="83" t="s">
        <v>5938</v>
      </c>
      <c r="Y847" s="70">
        <f>ROUND(J847,-4)</f>
        <v>50000</v>
      </c>
      <c r="Z847" s="63" t="s">
        <v>7893</v>
      </c>
      <c r="AA847" s="59">
        <v>3</v>
      </c>
      <c r="AB847" s="59">
        <v>3</v>
      </c>
      <c r="AC847" s="67" t="s">
        <v>333</v>
      </c>
      <c r="AD847" s="61" t="s">
        <v>8124</v>
      </c>
      <c r="AE847" s="71"/>
      <c r="AF847" s="71"/>
      <c r="AG847" s="71"/>
      <c r="AH847" s="71"/>
      <c r="AI847" s="71"/>
      <c r="AJ847" s="71"/>
      <c r="AK847" s="71" t="s">
        <v>7553</v>
      </c>
      <c r="AL847">
        <f t="shared" si="19"/>
        <v>210146</v>
      </c>
    </row>
    <row r="848" spans="1:38">
      <c r="A848" s="62">
        <v>8</v>
      </c>
      <c r="B848" s="93">
        <v>840</v>
      </c>
      <c r="C848" s="68" t="s">
        <v>7475</v>
      </c>
      <c r="D848" s="59" t="s">
        <v>8125</v>
      </c>
      <c r="E848" s="72" t="s">
        <v>5862</v>
      </c>
      <c r="F848" s="73" t="s">
        <v>8126</v>
      </c>
      <c r="G848" s="82">
        <v>44.2</v>
      </c>
      <c r="H848" s="67">
        <v>9505</v>
      </c>
      <c r="I848" s="69">
        <v>0</v>
      </c>
      <c r="J848" s="70">
        <v>37478</v>
      </c>
      <c r="K848" s="75">
        <v>5.9446075030684664</v>
      </c>
      <c r="L848" s="74">
        <v>0</v>
      </c>
      <c r="M848" s="76">
        <v>0</v>
      </c>
      <c r="N848" s="67">
        <v>1962</v>
      </c>
      <c r="Q848" s="59">
        <v>21</v>
      </c>
      <c r="R848" s="59">
        <v>3</v>
      </c>
      <c r="S848" s="59">
        <v>1</v>
      </c>
      <c r="T848" s="63" t="s">
        <v>6759</v>
      </c>
      <c r="U848" s="63">
        <v>398</v>
      </c>
      <c r="V848" s="70">
        <v>117467</v>
      </c>
      <c r="W848" s="70">
        <v>120000</v>
      </c>
      <c r="X848" s="83" t="s">
        <v>5979</v>
      </c>
      <c r="Y848" s="70">
        <f>ROUND(J848,-3)</f>
        <v>37000</v>
      </c>
      <c r="Z848" s="63" t="s">
        <v>5866</v>
      </c>
      <c r="AA848" s="59">
        <v>2</v>
      </c>
      <c r="AB848" s="59">
        <v>3</v>
      </c>
      <c r="AC848" s="67" t="s">
        <v>284</v>
      </c>
      <c r="AD848" s="61" t="s">
        <v>8127</v>
      </c>
      <c r="AE848" s="71"/>
      <c r="AF848" s="71"/>
      <c r="AG848" s="71"/>
      <c r="AH848" s="71"/>
      <c r="AI848" s="71"/>
      <c r="AJ848" s="71"/>
      <c r="AK848" s="71" t="s">
        <v>7486</v>
      </c>
      <c r="AL848">
        <f t="shared" si="19"/>
        <v>222791.99999999997</v>
      </c>
    </row>
    <row r="849" spans="1:38">
      <c r="A849" s="62">
        <v>8</v>
      </c>
      <c r="B849" s="93">
        <v>841</v>
      </c>
      <c r="C849" s="68" t="s">
        <v>7475</v>
      </c>
      <c r="D849" s="59" t="s">
        <v>8128</v>
      </c>
      <c r="E849" s="72" t="s">
        <v>5862</v>
      </c>
      <c r="F849" s="73" t="s">
        <v>8129</v>
      </c>
      <c r="G849" s="82">
        <v>44.1</v>
      </c>
      <c r="H849" s="67">
        <v>9505</v>
      </c>
      <c r="I849" s="69">
        <v>0</v>
      </c>
      <c r="J849" s="70">
        <v>13440</v>
      </c>
      <c r="K849" s="75">
        <v>4.0699404761904763</v>
      </c>
      <c r="L849" s="74">
        <v>0</v>
      </c>
      <c r="M849" s="76">
        <v>0</v>
      </c>
      <c r="N849" s="67">
        <v>1952</v>
      </c>
      <c r="O849" s="64">
        <v>2360</v>
      </c>
      <c r="Q849" s="59">
        <v>17</v>
      </c>
      <c r="R849" s="59">
        <v>1</v>
      </c>
      <c r="S849" s="59">
        <v>1</v>
      </c>
      <c r="T849" s="63" t="s">
        <v>6754</v>
      </c>
      <c r="U849" s="63">
        <v>398</v>
      </c>
      <c r="V849" s="70">
        <v>34439</v>
      </c>
      <c r="W849" s="70">
        <v>34000</v>
      </c>
      <c r="X849" s="83" t="s">
        <v>5952</v>
      </c>
      <c r="Y849" s="70">
        <f>ROUND(J849,-3)</f>
        <v>13000</v>
      </c>
      <c r="Z849" s="63" t="s">
        <v>5866</v>
      </c>
      <c r="AA849" s="59">
        <v>3</v>
      </c>
      <c r="AB849" s="59">
        <v>3</v>
      </c>
      <c r="AC849" s="67" t="s">
        <v>333</v>
      </c>
      <c r="AD849" s="61" t="s">
        <v>8130</v>
      </c>
      <c r="AE849" s="71"/>
      <c r="AF849" s="71"/>
      <c r="AG849" s="71"/>
      <c r="AH849" s="71"/>
      <c r="AI849" s="71"/>
      <c r="AJ849" s="71"/>
      <c r="AK849" s="71" t="s">
        <v>7553</v>
      </c>
      <c r="AL849">
        <f t="shared" si="19"/>
        <v>54700</v>
      </c>
    </row>
    <row r="850" spans="1:38">
      <c r="A850" s="62">
        <v>8</v>
      </c>
      <c r="B850" s="93">
        <v>842</v>
      </c>
      <c r="C850" s="68" t="s">
        <v>7475</v>
      </c>
      <c r="D850" s="59" t="s">
        <v>6475</v>
      </c>
      <c r="E850" s="72" t="s">
        <v>5862</v>
      </c>
      <c r="F850" s="73" t="s">
        <v>6476</v>
      </c>
      <c r="G850" s="82">
        <v>43.1</v>
      </c>
      <c r="H850" s="67">
        <v>9505</v>
      </c>
      <c r="I850" s="69">
        <v>3</v>
      </c>
      <c r="J850" s="70">
        <v>2380</v>
      </c>
      <c r="K850" s="75">
        <v>6.0504201680672267</v>
      </c>
      <c r="L850" s="74">
        <v>0.5</v>
      </c>
      <c r="M850" s="76">
        <v>0</v>
      </c>
      <c r="N850" s="67">
        <v>1942</v>
      </c>
      <c r="O850" s="64" t="s">
        <v>181</v>
      </c>
      <c r="Q850" s="59">
        <v>10</v>
      </c>
      <c r="R850" s="59">
        <v>3</v>
      </c>
      <c r="S850" s="59">
        <v>1</v>
      </c>
      <c r="T850" s="63" t="s">
        <v>7018</v>
      </c>
      <c r="U850" s="63">
        <v>401</v>
      </c>
      <c r="V850" s="70">
        <v>2624</v>
      </c>
      <c r="W850" s="70">
        <v>3000</v>
      </c>
      <c r="X850" s="83" t="s">
        <v>6271</v>
      </c>
      <c r="Y850" s="70">
        <f>ROUND(J850,-3)</f>
        <v>2000</v>
      </c>
      <c r="Z850" s="63" t="s">
        <v>5866</v>
      </c>
      <c r="AA850" s="59">
        <v>3</v>
      </c>
      <c r="AB850" s="59">
        <v>3</v>
      </c>
      <c r="AC850" s="67" t="s">
        <v>333</v>
      </c>
      <c r="AD850" s="61" t="s">
        <v>6477</v>
      </c>
      <c r="AE850" s="71"/>
      <c r="AF850" s="71"/>
      <c r="AG850" s="71"/>
      <c r="AH850" s="71"/>
      <c r="AI850" s="71"/>
      <c r="AJ850" s="71"/>
      <c r="AK850" s="71" t="s">
        <v>7486</v>
      </c>
      <c r="AL850">
        <f t="shared" si="19"/>
        <v>14400</v>
      </c>
    </row>
    <row r="851" spans="1:38">
      <c r="A851" s="62">
        <v>8</v>
      </c>
      <c r="B851" s="93">
        <v>843</v>
      </c>
      <c r="C851" s="68" t="s">
        <v>7475</v>
      </c>
      <c r="D851" s="59" t="s">
        <v>7195</v>
      </c>
      <c r="E851" s="72" t="s">
        <v>5862</v>
      </c>
      <c r="F851" s="73" t="s">
        <v>8131</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7018</v>
      </c>
      <c r="U851" s="63">
        <v>398</v>
      </c>
      <c r="V851" s="70">
        <v>26775</v>
      </c>
      <c r="W851" s="70">
        <v>27000</v>
      </c>
      <c r="X851" s="83" t="s">
        <v>6128</v>
      </c>
      <c r="Y851" s="70">
        <f>ROUND(J851,-3)</f>
        <v>22000</v>
      </c>
      <c r="Z851" s="63" t="s">
        <v>5866</v>
      </c>
      <c r="AA851" s="59">
        <v>3</v>
      </c>
      <c r="AB851" s="59">
        <v>3</v>
      </c>
      <c r="AC851" s="67" t="s">
        <v>333</v>
      </c>
      <c r="AD851" s="61" t="s">
        <v>7197</v>
      </c>
      <c r="AE851" s="71"/>
      <c r="AF851" s="71"/>
      <c r="AG851" s="71"/>
      <c r="AH851" s="71"/>
      <c r="AI851" s="71"/>
      <c r="AJ851" s="71"/>
      <c r="AK851" s="71" t="s">
        <v>8132</v>
      </c>
      <c r="AL851">
        <f t="shared" si="19"/>
        <v>51967.333333333336</v>
      </c>
    </row>
    <row r="852" spans="1:38">
      <c r="A852" s="62">
        <v>8</v>
      </c>
      <c r="B852" s="93">
        <v>844</v>
      </c>
      <c r="C852" s="68" t="s">
        <v>7475</v>
      </c>
      <c r="D852" s="59" t="s">
        <v>8133</v>
      </c>
      <c r="E852" s="72" t="s">
        <v>5862</v>
      </c>
      <c r="F852" s="73" t="s">
        <v>8134</v>
      </c>
      <c r="G852" s="82">
        <v>44.1</v>
      </c>
      <c r="H852" s="67">
        <v>9505</v>
      </c>
      <c r="I852" s="69">
        <v>3</v>
      </c>
      <c r="J852" s="70">
        <v>1995</v>
      </c>
      <c r="K852" s="75">
        <v>3.007518796992481</v>
      </c>
      <c r="L852" s="74">
        <v>0</v>
      </c>
      <c r="M852" s="76">
        <v>0</v>
      </c>
      <c r="N852" s="67">
        <v>1929</v>
      </c>
      <c r="Q852" s="59">
        <v>14</v>
      </c>
      <c r="R852" s="59">
        <v>1</v>
      </c>
      <c r="S852" s="59">
        <v>1</v>
      </c>
      <c r="T852" s="63" t="s">
        <v>7018</v>
      </c>
      <c r="U852" s="63">
        <v>398</v>
      </c>
      <c r="V852" s="70">
        <v>17850</v>
      </c>
      <c r="W852" s="70">
        <v>18000</v>
      </c>
      <c r="X852" s="83" t="s">
        <v>7201</v>
      </c>
      <c r="Y852" s="70">
        <f>ROUND(J852,-2)</f>
        <v>2000</v>
      </c>
      <c r="Z852" s="63" t="s">
        <v>5866</v>
      </c>
      <c r="AA852" s="59">
        <v>3</v>
      </c>
      <c r="AB852" s="59">
        <v>3</v>
      </c>
      <c r="AC852" s="67" t="s">
        <v>333</v>
      </c>
      <c r="AD852" s="61" t="s">
        <v>6523</v>
      </c>
      <c r="AE852" s="71"/>
      <c r="AF852" s="71"/>
      <c r="AG852" s="71"/>
      <c r="AH852" s="71"/>
      <c r="AI852" s="71"/>
      <c r="AJ852" s="71"/>
      <c r="AK852" s="71" t="s">
        <v>181</v>
      </c>
      <c r="AL852">
        <f t="shared" si="19"/>
        <v>6000</v>
      </c>
    </row>
    <row r="853" spans="1:38">
      <c r="A853" s="62">
        <v>8</v>
      </c>
      <c r="B853" s="93">
        <v>845</v>
      </c>
      <c r="C853" s="68" t="s">
        <v>7475</v>
      </c>
      <c r="D853" s="59" t="s">
        <v>7203</v>
      </c>
      <c r="E853" s="72" t="s">
        <v>5862</v>
      </c>
      <c r="F853" s="73" t="s">
        <v>8131</v>
      </c>
      <c r="G853" s="82">
        <v>44.1</v>
      </c>
      <c r="H853" s="67">
        <v>9505</v>
      </c>
      <c r="I853" s="69">
        <v>3</v>
      </c>
      <c r="J853" s="70">
        <v>7555</v>
      </c>
      <c r="K853" s="75">
        <v>11.567968232958309</v>
      </c>
      <c r="L853" s="74">
        <v>0</v>
      </c>
      <c r="M853" s="76">
        <v>0</v>
      </c>
      <c r="N853" s="67">
        <v>1975</v>
      </c>
      <c r="O853" s="64">
        <v>287</v>
      </c>
      <c r="Q853" s="59">
        <v>17</v>
      </c>
      <c r="R853" s="59">
        <v>3</v>
      </c>
      <c r="S853" s="59">
        <v>1</v>
      </c>
      <c r="T853" s="63" t="s">
        <v>7018</v>
      </c>
      <c r="U853" s="63">
        <v>398</v>
      </c>
      <c r="V853" s="70">
        <v>8925</v>
      </c>
      <c r="W853" s="70">
        <v>9000</v>
      </c>
      <c r="X853" s="83" t="s">
        <v>6128</v>
      </c>
      <c r="Y853" s="70">
        <f>ROUND(J853,-3)</f>
        <v>8000</v>
      </c>
      <c r="Z853" s="63" t="s">
        <v>5866</v>
      </c>
      <c r="AA853" s="59">
        <v>3</v>
      </c>
      <c r="AB853" s="59">
        <v>3</v>
      </c>
      <c r="AC853" s="67" t="s">
        <v>333</v>
      </c>
      <c r="AD853" s="61" t="s">
        <v>6523</v>
      </c>
      <c r="AE853" s="71"/>
      <c r="AF853" s="71"/>
      <c r="AG853" s="71"/>
      <c r="AH853" s="71"/>
      <c r="AI853" s="71"/>
      <c r="AJ853" s="71"/>
      <c r="AK853" s="71" t="s">
        <v>181</v>
      </c>
      <c r="AL853">
        <f t="shared" si="19"/>
        <v>87396.000000000029</v>
      </c>
    </row>
    <row r="854" spans="1:38">
      <c r="A854" s="62">
        <v>8</v>
      </c>
      <c r="B854" s="93">
        <v>846</v>
      </c>
      <c r="C854" s="68" t="s">
        <v>7475</v>
      </c>
      <c r="D854" s="59" t="s">
        <v>6478</v>
      </c>
      <c r="E854" s="72" t="s">
        <v>5862</v>
      </c>
      <c r="F854" s="73" t="s">
        <v>6479</v>
      </c>
      <c r="G854" s="82">
        <v>44.1</v>
      </c>
      <c r="H854" s="67">
        <v>9505</v>
      </c>
      <c r="I854" s="69">
        <v>0</v>
      </c>
      <c r="J854" s="70">
        <v>2500</v>
      </c>
      <c r="K854" s="75">
        <v>4.8</v>
      </c>
      <c r="L854" s="74">
        <v>0</v>
      </c>
      <c r="M854" s="76">
        <v>0.10025000000000001</v>
      </c>
      <c r="N854" s="67">
        <v>1973</v>
      </c>
      <c r="O854" s="64">
        <v>336</v>
      </c>
      <c r="Q854" s="59">
        <v>13</v>
      </c>
      <c r="R854" s="59">
        <v>3</v>
      </c>
      <c r="S854" s="59">
        <v>1</v>
      </c>
      <c r="T854" s="63" t="s">
        <v>6754</v>
      </c>
      <c r="U854" s="63">
        <v>398</v>
      </c>
      <c r="V854" s="70">
        <v>3900</v>
      </c>
      <c r="W854" s="70">
        <v>4000</v>
      </c>
      <c r="X854" s="83" t="s">
        <v>5896</v>
      </c>
      <c r="Y854" s="70">
        <f>ROUND(J854,-3)</f>
        <v>3000</v>
      </c>
      <c r="Z854" s="63" t="s">
        <v>5866</v>
      </c>
      <c r="AA854" s="59">
        <v>3</v>
      </c>
      <c r="AB854" s="59">
        <v>3</v>
      </c>
      <c r="AC854" s="67" t="s">
        <v>333</v>
      </c>
      <c r="AD854" s="61" t="s">
        <v>6480</v>
      </c>
      <c r="AE854" s="71"/>
      <c r="AF854" s="71"/>
      <c r="AG854" s="71"/>
      <c r="AH854" s="71"/>
      <c r="AI854" s="71"/>
      <c r="AJ854" s="71"/>
      <c r="AK854" s="71" t="s">
        <v>181</v>
      </c>
      <c r="AL854">
        <f t="shared" si="19"/>
        <v>12000</v>
      </c>
    </row>
    <row r="855" spans="1:38">
      <c r="A855" s="62">
        <v>8</v>
      </c>
      <c r="B855" s="93">
        <v>847</v>
      </c>
      <c r="C855" s="68" t="s">
        <v>7475</v>
      </c>
      <c r="D855" s="59" t="s">
        <v>8135</v>
      </c>
      <c r="E855" s="72" t="s">
        <v>5862</v>
      </c>
      <c r="F855" s="73" t="s">
        <v>8136</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6754</v>
      </c>
      <c r="U855" s="63">
        <v>398</v>
      </c>
      <c r="V855" s="70">
        <v>35625</v>
      </c>
      <c r="W855" s="70">
        <v>36000</v>
      </c>
      <c r="X855" s="83" t="s">
        <v>5928</v>
      </c>
      <c r="Y855" s="70">
        <f>ROUND(J855,-3)</f>
        <v>16000</v>
      </c>
      <c r="Z855" s="63" t="s">
        <v>5866</v>
      </c>
      <c r="AA855" s="59">
        <v>3</v>
      </c>
      <c r="AB855" s="59">
        <v>1</v>
      </c>
      <c r="AC855" s="67" t="s">
        <v>323</v>
      </c>
      <c r="AD855" s="61" t="s">
        <v>8137</v>
      </c>
      <c r="AE855" s="71"/>
      <c r="AF855" s="71"/>
      <c r="AG855" s="71"/>
      <c r="AH855" s="71"/>
      <c r="AI855" s="71"/>
      <c r="AJ855" s="71"/>
      <c r="AK855" s="71" t="s">
        <v>181</v>
      </c>
      <c r="AL855">
        <f t="shared" si="19"/>
        <v>106800</v>
      </c>
    </row>
    <row r="856" spans="1:38">
      <c r="A856" s="62">
        <v>8</v>
      </c>
      <c r="B856" s="93">
        <v>848</v>
      </c>
      <c r="C856" s="68" t="s">
        <v>7475</v>
      </c>
      <c r="D856" s="59" t="s">
        <v>8138</v>
      </c>
      <c r="E856" s="72" t="s">
        <v>5862</v>
      </c>
      <c r="F856" s="73" t="s">
        <v>8139</v>
      </c>
      <c r="G856" s="82">
        <v>44.2</v>
      </c>
      <c r="H856" s="67">
        <v>9505</v>
      </c>
      <c r="I856" s="69">
        <v>3</v>
      </c>
      <c r="J856" s="70">
        <v>8925</v>
      </c>
      <c r="K856" s="75">
        <v>5.3781512605042021</v>
      </c>
      <c r="L856" s="74">
        <v>0</v>
      </c>
      <c r="M856" s="76">
        <v>0</v>
      </c>
      <c r="N856" s="67">
        <v>1959</v>
      </c>
      <c r="O856" s="64">
        <v>2775</v>
      </c>
      <c r="Q856" s="59">
        <v>11</v>
      </c>
      <c r="R856" s="59">
        <v>1</v>
      </c>
      <c r="S856" s="59">
        <v>1</v>
      </c>
      <c r="T856" s="63" t="s">
        <v>7018</v>
      </c>
      <c r="U856" s="63">
        <v>398</v>
      </c>
      <c r="V856" s="70">
        <v>8925</v>
      </c>
      <c r="W856" s="70">
        <v>9000</v>
      </c>
      <c r="X856" s="83" t="s">
        <v>7374</v>
      </c>
      <c r="Y856" s="70">
        <f>ROUND(J856,-3)</f>
        <v>9000</v>
      </c>
      <c r="Z856" s="63" t="s">
        <v>5866</v>
      </c>
      <c r="AA856" s="59">
        <v>3</v>
      </c>
      <c r="AB856" s="59">
        <v>3</v>
      </c>
      <c r="AC856" s="67" t="s">
        <v>333</v>
      </c>
      <c r="AD856" s="61" t="s">
        <v>5904</v>
      </c>
      <c r="AE856" s="71"/>
      <c r="AF856" s="71"/>
      <c r="AG856" s="71"/>
      <c r="AH856" s="71"/>
      <c r="AI856" s="71"/>
      <c r="AJ856" s="71"/>
      <c r="AK856" s="71" t="s">
        <v>181</v>
      </c>
      <c r="AL856">
        <f t="shared" si="19"/>
        <v>48000.000000000007</v>
      </c>
    </row>
    <row r="857" spans="1:38">
      <c r="A857" s="62">
        <v>8</v>
      </c>
      <c r="B857" s="93">
        <v>849</v>
      </c>
      <c r="C857" s="68" t="s">
        <v>7475</v>
      </c>
      <c r="D857" s="59" t="s">
        <v>7206</v>
      </c>
      <c r="E857" s="72" t="s">
        <v>5862</v>
      </c>
      <c r="F857" s="73" t="s">
        <v>8140</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7018</v>
      </c>
      <c r="U857" s="63">
        <v>401</v>
      </c>
      <c r="V857" s="70">
        <v>5247</v>
      </c>
      <c r="W857" s="70">
        <v>5000</v>
      </c>
      <c r="X857" s="83" t="s">
        <v>6331</v>
      </c>
      <c r="Y857" s="70">
        <f>ROUND(J857,-3)</f>
        <v>4000</v>
      </c>
      <c r="Z857" s="63" t="s">
        <v>5866</v>
      </c>
      <c r="AA857" s="59">
        <v>3</v>
      </c>
      <c r="AB857" s="59">
        <v>3</v>
      </c>
      <c r="AC857" s="67" t="s">
        <v>333</v>
      </c>
      <c r="AD857" s="61" t="s">
        <v>5904</v>
      </c>
      <c r="AE857" s="71"/>
      <c r="AF857" s="71"/>
      <c r="AG857" s="71"/>
      <c r="AH857" s="71"/>
      <c r="AI857" s="71"/>
      <c r="AJ857" s="71"/>
      <c r="AK857" s="71" t="s">
        <v>181</v>
      </c>
      <c r="AL857">
        <f t="shared" si="19"/>
        <v>24000</v>
      </c>
    </row>
    <row r="858" spans="1:38">
      <c r="A858" s="62">
        <v>8</v>
      </c>
      <c r="B858" s="93">
        <v>850</v>
      </c>
      <c r="C858" s="68" t="s">
        <v>7475</v>
      </c>
      <c r="D858" s="59" t="s">
        <v>8141</v>
      </c>
      <c r="E858" s="72" t="s">
        <v>5862</v>
      </c>
      <c r="F858" s="73" t="s">
        <v>8142</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7018</v>
      </c>
      <c r="U858" s="63">
        <v>398</v>
      </c>
      <c r="V858" s="70">
        <v>2698</v>
      </c>
      <c r="W858" s="70">
        <v>3000</v>
      </c>
      <c r="X858" s="83" t="s">
        <v>6182</v>
      </c>
      <c r="Y858" s="70">
        <f>ROUND(J858,-2)</f>
        <v>1600</v>
      </c>
      <c r="Z858" s="63" t="s">
        <v>5866</v>
      </c>
      <c r="AA858" s="59">
        <v>3</v>
      </c>
      <c r="AB858" s="59">
        <v>3</v>
      </c>
      <c r="AC858" s="67" t="s">
        <v>333</v>
      </c>
      <c r="AD858" s="61" t="s">
        <v>8143</v>
      </c>
      <c r="AE858" s="71"/>
      <c r="AF858" s="71"/>
      <c r="AG858" s="71"/>
      <c r="AH858" s="71"/>
      <c r="AI858" s="71"/>
      <c r="AJ858" s="71"/>
      <c r="AK858" s="71" t="s">
        <v>181</v>
      </c>
      <c r="AL858">
        <f t="shared" si="19"/>
        <v>10200</v>
      </c>
    </row>
    <row r="859" spans="1:38">
      <c r="A859" s="62">
        <v>8</v>
      </c>
      <c r="B859" s="93">
        <v>851</v>
      </c>
      <c r="C859" s="68" t="s">
        <v>7475</v>
      </c>
      <c r="D859" s="59" t="s">
        <v>8144</v>
      </c>
      <c r="E859" s="72" t="s">
        <v>5862</v>
      </c>
      <c r="F859" s="73" t="s">
        <v>8145</v>
      </c>
      <c r="G859" s="82">
        <v>47.2</v>
      </c>
      <c r="H859" s="67">
        <v>9505</v>
      </c>
      <c r="I859" s="69">
        <v>3</v>
      </c>
      <c r="J859" s="70">
        <v>8271</v>
      </c>
      <c r="K859" s="75">
        <v>4.3525571273122958</v>
      </c>
      <c r="L859" s="74">
        <v>0</v>
      </c>
      <c r="M859" s="76">
        <v>0.05</v>
      </c>
      <c r="N859" s="67">
        <v>1957</v>
      </c>
      <c r="O859" s="64">
        <v>945</v>
      </c>
      <c r="Q859" s="59">
        <v>11</v>
      </c>
      <c r="R859" s="59">
        <v>3</v>
      </c>
      <c r="S859" s="59">
        <v>1</v>
      </c>
      <c r="T859" s="63" t="s">
        <v>7018</v>
      </c>
      <c r="U859" s="63">
        <v>401</v>
      </c>
      <c r="V859" s="70">
        <v>11591</v>
      </c>
      <c r="W859" s="70">
        <v>12000</v>
      </c>
      <c r="X859" s="83" t="s">
        <v>5938</v>
      </c>
      <c r="Y859" s="70">
        <f t="shared" ref="Y859:Y890" si="20">ROUND(J859,-3)</f>
        <v>8000</v>
      </c>
      <c r="Z859" s="63" t="s">
        <v>5866</v>
      </c>
      <c r="AA859" s="59">
        <v>3</v>
      </c>
      <c r="AB859" s="59">
        <v>2</v>
      </c>
      <c r="AC859" s="67" t="s">
        <v>329</v>
      </c>
      <c r="AD859" s="61" t="s">
        <v>181</v>
      </c>
      <c r="AE859" s="71"/>
      <c r="AF859" s="71"/>
      <c r="AG859" s="71"/>
      <c r="AH859" s="71"/>
      <c r="AI859" s="71"/>
      <c r="AJ859" s="71"/>
      <c r="AK859" s="71" t="s">
        <v>8146</v>
      </c>
      <c r="AL859">
        <f t="shared" si="19"/>
        <v>36000</v>
      </c>
    </row>
    <row r="860" spans="1:38">
      <c r="A860" s="62">
        <v>8</v>
      </c>
      <c r="B860" s="93">
        <v>852</v>
      </c>
      <c r="C860" s="68" t="s">
        <v>7475</v>
      </c>
      <c r="D860" s="59" t="s">
        <v>6481</v>
      </c>
      <c r="E860" s="72" t="s">
        <v>5862</v>
      </c>
      <c r="F860" s="73" t="s">
        <v>6482</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6754</v>
      </c>
      <c r="U860" s="63">
        <v>398</v>
      </c>
      <c r="V860" s="70">
        <v>36500</v>
      </c>
      <c r="W860" s="70">
        <v>37000</v>
      </c>
      <c r="X860" s="83" t="s">
        <v>5982</v>
      </c>
      <c r="Y860" s="70">
        <f t="shared" si="20"/>
        <v>17000</v>
      </c>
      <c r="Z860" s="63" t="s">
        <v>5866</v>
      </c>
      <c r="AA860" s="59">
        <v>3</v>
      </c>
      <c r="AB860" s="59">
        <v>3</v>
      </c>
      <c r="AC860" s="67" t="s">
        <v>333</v>
      </c>
      <c r="AD860" s="61" t="s">
        <v>6483</v>
      </c>
      <c r="AE860" s="71"/>
      <c r="AF860" s="71"/>
      <c r="AG860" s="71"/>
      <c r="AH860" s="71"/>
      <c r="AI860" s="71"/>
      <c r="AJ860" s="71"/>
      <c r="AK860" s="71" t="s">
        <v>8146</v>
      </c>
      <c r="AL860">
        <f t="shared" ref="AL860:AL891" si="21">IF(AND(ISNUMBER($S860),$S860&gt;0,ISNUMBER($K860),ISNUMBER($J860)),($K860*$J860)/$S860,"")</f>
        <v>58122.000000000007</v>
      </c>
    </row>
    <row r="861" spans="1:38">
      <c r="A861" s="62">
        <v>8</v>
      </c>
      <c r="B861" s="93">
        <v>853</v>
      </c>
      <c r="C861" s="68" t="s">
        <v>7475</v>
      </c>
      <c r="D861" s="59" t="s">
        <v>8147</v>
      </c>
      <c r="E861" s="72" t="s">
        <v>5862</v>
      </c>
      <c r="F861" s="73" t="s">
        <v>8148</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6754</v>
      </c>
      <c r="U861" s="63">
        <v>398</v>
      </c>
      <c r="V861" s="70">
        <v>34960</v>
      </c>
      <c r="W861" s="70">
        <v>35000</v>
      </c>
      <c r="X861" s="83" t="s">
        <v>5903</v>
      </c>
      <c r="Y861" s="70">
        <f t="shared" si="20"/>
        <v>18000</v>
      </c>
      <c r="Z861" s="63" t="s">
        <v>5866</v>
      </c>
      <c r="AA861" s="59">
        <v>3</v>
      </c>
      <c r="AB861" s="59">
        <v>3</v>
      </c>
      <c r="AC861" s="67" t="s">
        <v>333</v>
      </c>
      <c r="AD861" s="61" t="s">
        <v>8149</v>
      </c>
      <c r="AE861" s="71"/>
      <c r="AF861" s="71"/>
      <c r="AG861" s="71"/>
      <c r="AH861" s="71"/>
      <c r="AI861" s="71"/>
      <c r="AJ861" s="71"/>
      <c r="AK861" s="71" t="s">
        <v>8150</v>
      </c>
      <c r="AL861">
        <f t="shared" si="21"/>
        <v>80094</v>
      </c>
    </row>
    <row r="862" spans="1:38">
      <c r="A862" s="62">
        <v>8</v>
      </c>
      <c r="B862" s="93">
        <v>854</v>
      </c>
      <c r="C862" s="68" t="s">
        <v>7475</v>
      </c>
      <c r="D862" s="59" t="s">
        <v>6484</v>
      </c>
      <c r="E862" s="72" t="s">
        <v>5862</v>
      </c>
      <c r="F862" s="73" t="s">
        <v>6485</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6754</v>
      </c>
      <c r="U862" s="63">
        <v>398</v>
      </c>
      <c r="V862" s="70">
        <v>17625</v>
      </c>
      <c r="W862" s="70">
        <v>18000</v>
      </c>
      <c r="X862" s="83" t="s">
        <v>6065</v>
      </c>
      <c r="Y862" s="70">
        <f t="shared" si="20"/>
        <v>12000</v>
      </c>
      <c r="Z862" s="63" t="s">
        <v>5866</v>
      </c>
      <c r="AA862" s="59">
        <v>3</v>
      </c>
      <c r="AB862" s="59">
        <v>3</v>
      </c>
      <c r="AC862" s="67" t="s">
        <v>333</v>
      </c>
      <c r="AD862" s="61" t="s">
        <v>6486</v>
      </c>
      <c r="AE862" s="71"/>
      <c r="AF862" s="71"/>
      <c r="AG862" s="71"/>
      <c r="AH862" s="71"/>
      <c r="AI862" s="71"/>
      <c r="AJ862" s="71"/>
      <c r="AK862" s="71" t="s">
        <v>8151</v>
      </c>
      <c r="AL862">
        <f t="shared" si="21"/>
        <v>41520</v>
      </c>
    </row>
    <row r="863" spans="1:38">
      <c r="A863" s="62">
        <v>8</v>
      </c>
      <c r="B863" s="93">
        <v>855</v>
      </c>
      <c r="C863" s="68" t="s">
        <v>7475</v>
      </c>
      <c r="D863" s="59" t="s">
        <v>8152</v>
      </c>
      <c r="E863" s="72" t="s">
        <v>5862</v>
      </c>
      <c r="F863" s="73" t="s">
        <v>8153</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6754</v>
      </c>
      <c r="U863" s="63">
        <v>398</v>
      </c>
      <c r="V863" s="70">
        <v>50000</v>
      </c>
      <c r="W863" s="70">
        <v>50000</v>
      </c>
      <c r="X863" s="83" t="s">
        <v>5928</v>
      </c>
      <c r="Y863" s="70">
        <f t="shared" si="20"/>
        <v>23000</v>
      </c>
      <c r="Z863" s="63" t="s">
        <v>5866</v>
      </c>
      <c r="AA863" s="59">
        <v>3</v>
      </c>
      <c r="AB863" s="59">
        <v>3</v>
      </c>
      <c r="AC863" s="67" t="s">
        <v>333</v>
      </c>
      <c r="AD863" s="61" t="s">
        <v>181</v>
      </c>
      <c r="AE863" s="71"/>
      <c r="AF863" s="71"/>
      <c r="AG863" s="71"/>
      <c r="AH863" s="71"/>
      <c r="AI863" s="71"/>
      <c r="AJ863" s="71"/>
      <c r="AK863" s="71" t="s">
        <v>181</v>
      </c>
      <c r="AL863">
        <f t="shared" si="21"/>
        <v>140000</v>
      </c>
    </row>
    <row r="864" spans="1:38">
      <c r="A864" s="62">
        <v>8</v>
      </c>
      <c r="B864" s="93">
        <v>856</v>
      </c>
      <c r="C864" s="68" t="s">
        <v>7475</v>
      </c>
      <c r="D864" s="59" t="s">
        <v>6488</v>
      </c>
      <c r="E864" s="72" t="s">
        <v>5862</v>
      </c>
      <c r="F864" s="73" t="s">
        <v>6489</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6754</v>
      </c>
      <c r="U864" s="63">
        <v>398</v>
      </c>
      <c r="V864" s="70">
        <v>17908</v>
      </c>
      <c r="W864" s="70">
        <v>18000</v>
      </c>
      <c r="X864" s="83" t="s">
        <v>5903</v>
      </c>
      <c r="Y864" s="70">
        <f t="shared" si="20"/>
        <v>9000</v>
      </c>
      <c r="Z864" s="63" t="s">
        <v>5866</v>
      </c>
      <c r="AA864" s="59">
        <v>3</v>
      </c>
      <c r="AB864" s="59">
        <v>3</v>
      </c>
      <c r="AC864" s="67" t="s">
        <v>333</v>
      </c>
      <c r="AD864" s="61" t="s">
        <v>181</v>
      </c>
      <c r="AE864" s="71"/>
      <c r="AF864" s="71"/>
      <c r="AG864" s="71"/>
      <c r="AH864" s="71"/>
      <c r="AI864" s="71"/>
      <c r="AJ864" s="71"/>
      <c r="AK864" s="71" t="s">
        <v>181</v>
      </c>
      <c r="AL864">
        <f t="shared" si="21"/>
        <v>62747</v>
      </c>
    </row>
    <row r="865" spans="1:38">
      <c r="A865" s="62">
        <v>8</v>
      </c>
      <c r="B865" s="93">
        <v>857</v>
      </c>
      <c r="C865" s="68" t="s">
        <v>7475</v>
      </c>
      <c r="D865" s="59" t="s">
        <v>8154</v>
      </c>
      <c r="E865" s="72" t="s">
        <v>5862</v>
      </c>
      <c r="F865" s="73" t="s">
        <v>8155</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6754</v>
      </c>
      <c r="U865" s="63">
        <v>398</v>
      </c>
      <c r="V865" s="70">
        <v>28801</v>
      </c>
      <c r="W865" s="70">
        <v>29000</v>
      </c>
      <c r="X865" s="83" t="s">
        <v>5985</v>
      </c>
      <c r="Y865" s="70">
        <f t="shared" si="20"/>
        <v>11000</v>
      </c>
      <c r="Z865" s="63" t="s">
        <v>5866</v>
      </c>
      <c r="AA865" s="59">
        <v>3</v>
      </c>
      <c r="AB865" s="59">
        <v>3</v>
      </c>
      <c r="AC865" s="67" t="s">
        <v>333</v>
      </c>
      <c r="AD865" s="61" t="s">
        <v>8156</v>
      </c>
      <c r="AE865" s="71"/>
      <c r="AF865" s="71"/>
      <c r="AG865" s="71"/>
      <c r="AH865" s="71"/>
      <c r="AI865" s="71"/>
      <c r="AJ865" s="71"/>
      <c r="AK865" s="71" t="s">
        <v>8157</v>
      </c>
      <c r="AL865">
        <f t="shared" si="21"/>
        <v>60000</v>
      </c>
    </row>
    <row r="866" spans="1:38">
      <c r="A866" s="62">
        <v>8</v>
      </c>
      <c r="B866" s="93">
        <v>858</v>
      </c>
      <c r="C866" s="68" t="s">
        <v>7475</v>
      </c>
      <c r="D866" s="59" t="s">
        <v>8158</v>
      </c>
      <c r="E866" s="72" t="s">
        <v>5862</v>
      </c>
      <c r="F866" s="73" t="s">
        <v>8159</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6754</v>
      </c>
      <c r="U866" s="63">
        <v>401</v>
      </c>
      <c r="V866" s="70">
        <v>51701</v>
      </c>
      <c r="W866" s="70">
        <v>50000</v>
      </c>
      <c r="X866" s="83" t="s">
        <v>6816</v>
      </c>
      <c r="Y866" s="70">
        <f t="shared" si="20"/>
        <v>13000</v>
      </c>
      <c r="Z866" s="63" t="s">
        <v>5866</v>
      </c>
      <c r="AA866" s="59">
        <v>3</v>
      </c>
      <c r="AB866" s="59">
        <v>3</v>
      </c>
      <c r="AC866" s="67" t="s">
        <v>333</v>
      </c>
      <c r="AD866" s="61" t="s">
        <v>181</v>
      </c>
      <c r="AE866" s="71"/>
      <c r="AF866" s="71"/>
      <c r="AG866" s="71"/>
      <c r="AH866" s="71"/>
      <c r="AI866" s="71"/>
      <c r="AJ866" s="71"/>
      <c r="AK866" s="71" t="s">
        <v>8160</v>
      </c>
      <c r="AL866">
        <f t="shared" si="21"/>
        <v>91032</v>
      </c>
    </row>
    <row r="867" spans="1:38">
      <c r="A867" s="62">
        <v>8</v>
      </c>
      <c r="B867" s="93">
        <v>859</v>
      </c>
      <c r="C867" s="68" t="s">
        <v>7475</v>
      </c>
      <c r="D867" s="59" t="s">
        <v>7213</v>
      </c>
      <c r="E867" s="72" t="s">
        <v>5862</v>
      </c>
      <c r="F867" s="73" t="s">
        <v>8161</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6754</v>
      </c>
      <c r="U867" s="63">
        <v>398</v>
      </c>
      <c r="V867" s="70">
        <v>29950</v>
      </c>
      <c r="W867" s="70">
        <v>30000</v>
      </c>
      <c r="X867" s="83" t="s">
        <v>5896</v>
      </c>
      <c r="Y867" s="70">
        <f t="shared" si="20"/>
        <v>18000</v>
      </c>
      <c r="Z867" s="63" t="s">
        <v>5866</v>
      </c>
      <c r="AA867" s="59">
        <v>3</v>
      </c>
      <c r="AB867" s="59">
        <v>3</v>
      </c>
      <c r="AC867" s="67" t="s">
        <v>333</v>
      </c>
      <c r="AD867" s="61" t="s">
        <v>181</v>
      </c>
      <c r="AE867" s="71"/>
      <c r="AF867" s="71"/>
      <c r="AG867" s="71"/>
      <c r="AH867" s="71"/>
      <c r="AI867" s="71"/>
      <c r="AJ867" s="71"/>
      <c r="AK867" s="71" t="s">
        <v>181</v>
      </c>
      <c r="AL867">
        <f t="shared" si="21"/>
        <v>96637.000000000015</v>
      </c>
    </row>
    <row r="868" spans="1:38">
      <c r="A868" s="62">
        <v>8</v>
      </c>
      <c r="B868" s="93">
        <v>860</v>
      </c>
      <c r="C868" s="68" t="s">
        <v>7475</v>
      </c>
      <c r="D868" s="59" t="s">
        <v>8162</v>
      </c>
      <c r="E868" s="72" t="s">
        <v>5862</v>
      </c>
      <c r="F868" s="73" t="s">
        <v>8163</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6754</v>
      </c>
      <c r="U868" s="63">
        <v>401</v>
      </c>
      <c r="V868" s="70">
        <v>50950</v>
      </c>
      <c r="W868" s="70">
        <v>50000</v>
      </c>
      <c r="X868" s="83" t="s">
        <v>6774</v>
      </c>
      <c r="Y868" s="70">
        <f t="shared" si="20"/>
        <v>9000</v>
      </c>
      <c r="Z868" s="63" t="s">
        <v>5866</v>
      </c>
      <c r="AA868" s="59">
        <v>3</v>
      </c>
      <c r="AB868" s="59">
        <v>3</v>
      </c>
      <c r="AC868" s="67" t="s">
        <v>333</v>
      </c>
      <c r="AD868" s="61" t="s">
        <v>181</v>
      </c>
      <c r="AE868" s="71"/>
      <c r="AF868" s="71"/>
      <c r="AG868" s="71"/>
      <c r="AH868" s="71"/>
      <c r="AI868" s="71"/>
      <c r="AJ868" s="71"/>
      <c r="AK868" s="71" t="s">
        <v>8164</v>
      </c>
      <c r="AL868">
        <f t="shared" si="21"/>
        <v>36000</v>
      </c>
    </row>
    <row r="869" spans="1:38">
      <c r="A869" s="62">
        <v>8</v>
      </c>
      <c r="B869" s="93">
        <v>861</v>
      </c>
      <c r="C869" s="68" t="s">
        <v>7475</v>
      </c>
      <c r="D869" s="59" t="s">
        <v>6494</v>
      </c>
      <c r="E869" s="72" t="s">
        <v>5862</v>
      </c>
      <c r="F869" s="73" t="s">
        <v>6495</v>
      </c>
      <c r="G869" s="82">
        <v>44.1</v>
      </c>
      <c r="H869" s="67">
        <v>9505</v>
      </c>
      <c r="I869" s="69">
        <v>0</v>
      </c>
      <c r="J869" s="70">
        <v>2800</v>
      </c>
      <c r="K869" s="75">
        <v>8.2071428571428573</v>
      </c>
      <c r="L869" s="74">
        <v>0</v>
      </c>
      <c r="M869" s="76">
        <v>0</v>
      </c>
      <c r="N869" s="67">
        <v>1964</v>
      </c>
      <c r="O869" s="64">
        <v>198</v>
      </c>
      <c r="Q869" s="59">
        <v>14</v>
      </c>
      <c r="R869" s="59">
        <v>3</v>
      </c>
      <c r="S869" s="59">
        <v>1</v>
      </c>
      <c r="T869" s="63" t="s">
        <v>6754</v>
      </c>
      <c r="U869" s="63">
        <v>398</v>
      </c>
      <c r="V869" s="70">
        <v>6000</v>
      </c>
      <c r="W869" s="70">
        <v>6000</v>
      </c>
      <c r="X869" s="83" t="s">
        <v>5982</v>
      </c>
      <c r="Y869" s="70">
        <f t="shared" si="20"/>
        <v>3000</v>
      </c>
      <c r="Z869" s="63" t="s">
        <v>5866</v>
      </c>
      <c r="AA869" s="59">
        <v>3</v>
      </c>
      <c r="AB869" s="59">
        <v>3</v>
      </c>
      <c r="AC869" s="67" t="s">
        <v>333</v>
      </c>
      <c r="AD869" s="61" t="s">
        <v>6496</v>
      </c>
      <c r="AE869" s="71"/>
      <c r="AF869" s="71"/>
      <c r="AG869" s="71"/>
      <c r="AH869" s="71"/>
      <c r="AI869" s="71"/>
      <c r="AJ869" s="71"/>
      <c r="AK869" s="71" t="s">
        <v>8165</v>
      </c>
      <c r="AL869">
        <f t="shared" si="21"/>
        <v>22980</v>
      </c>
    </row>
    <row r="870" spans="1:38">
      <c r="A870" s="62">
        <v>8</v>
      </c>
      <c r="B870" s="93">
        <v>862</v>
      </c>
      <c r="C870" s="68" t="s">
        <v>7475</v>
      </c>
      <c r="D870" s="59" t="s">
        <v>6499</v>
      </c>
      <c r="E870" s="72" t="s">
        <v>5862</v>
      </c>
      <c r="F870" s="73" t="s">
        <v>6500</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6754</v>
      </c>
      <c r="U870" s="63">
        <v>398</v>
      </c>
      <c r="V870" s="70">
        <v>18000</v>
      </c>
      <c r="W870" s="70">
        <v>18000</v>
      </c>
      <c r="X870" s="83" t="s">
        <v>6065</v>
      </c>
      <c r="Y870" s="70">
        <f t="shared" si="20"/>
        <v>12000</v>
      </c>
      <c r="Z870" s="63" t="s">
        <v>5866</v>
      </c>
      <c r="AA870" s="59">
        <v>3</v>
      </c>
      <c r="AB870" s="59">
        <v>3</v>
      </c>
      <c r="AC870" s="67" t="s">
        <v>333</v>
      </c>
      <c r="AD870" s="61" t="s">
        <v>5879</v>
      </c>
      <c r="AE870" s="71"/>
      <c r="AF870" s="71"/>
      <c r="AG870" s="71"/>
      <c r="AH870" s="71"/>
      <c r="AI870" s="71"/>
      <c r="AJ870" s="71"/>
      <c r="AK870" s="71" t="s">
        <v>8146</v>
      </c>
      <c r="AL870">
        <f t="shared" si="21"/>
        <v>74539</v>
      </c>
    </row>
    <row r="871" spans="1:38">
      <c r="A871" s="62">
        <v>8</v>
      </c>
      <c r="B871" s="93">
        <v>863</v>
      </c>
      <c r="C871" s="68" t="s">
        <v>7475</v>
      </c>
      <c r="D871" s="59" t="s">
        <v>6501</v>
      </c>
      <c r="E871" s="72" t="s">
        <v>5862</v>
      </c>
      <c r="F871" s="73" t="s">
        <v>6502</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6754</v>
      </c>
      <c r="U871" s="63">
        <v>398</v>
      </c>
      <c r="V871" s="70">
        <v>14136</v>
      </c>
      <c r="W871" s="70">
        <v>14000</v>
      </c>
      <c r="X871" s="83" t="s">
        <v>6791</v>
      </c>
      <c r="Y871" s="70">
        <f t="shared" si="20"/>
        <v>5000</v>
      </c>
      <c r="Z871" s="63" t="s">
        <v>5866</v>
      </c>
      <c r="AA871" s="59">
        <v>3</v>
      </c>
      <c r="AB871" s="59">
        <v>3</v>
      </c>
      <c r="AC871" s="67" t="s">
        <v>333</v>
      </c>
      <c r="AD871" s="61" t="s">
        <v>6503</v>
      </c>
      <c r="AE871" s="71"/>
      <c r="AF871" s="71"/>
      <c r="AG871" s="71"/>
      <c r="AH871" s="71"/>
      <c r="AI871" s="71"/>
      <c r="AJ871" s="71"/>
      <c r="AK871" s="71" t="s">
        <v>8166</v>
      </c>
      <c r="AL871">
        <f t="shared" si="21"/>
        <v>45300</v>
      </c>
    </row>
    <row r="872" spans="1:38">
      <c r="A872" s="62">
        <v>8</v>
      </c>
      <c r="B872" s="93">
        <v>864</v>
      </c>
      <c r="C872" s="68" t="s">
        <v>7475</v>
      </c>
      <c r="D872" s="59" t="s">
        <v>8167</v>
      </c>
      <c r="E872" s="72" t="s">
        <v>5862</v>
      </c>
      <c r="F872" s="73" t="s">
        <v>8168</v>
      </c>
      <c r="G872" s="82">
        <v>47.1</v>
      </c>
      <c r="H872" s="67">
        <v>9508</v>
      </c>
      <c r="I872" s="69">
        <v>0</v>
      </c>
      <c r="J872" s="70">
        <v>7203</v>
      </c>
      <c r="K872" s="75">
        <v>3.665139525197834</v>
      </c>
      <c r="L872" s="74">
        <v>0</v>
      </c>
      <c r="M872" s="76">
        <v>0</v>
      </c>
      <c r="N872" s="67">
        <v>1965</v>
      </c>
      <c r="O872" s="64">
        <v>640</v>
      </c>
      <c r="Q872" s="59">
        <v>13</v>
      </c>
      <c r="R872" s="59">
        <v>3</v>
      </c>
      <c r="S872" s="59">
        <v>1</v>
      </c>
      <c r="T872" s="63" t="s">
        <v>6759</v>
      </c>
      <c r="U872" s="63">
        <v>401</v>
      </c>
      <c r="V872" s="70">
        <v>14230</v>
      </c>
      <c r="W872" s="70">
        <v>14000</v>
      </c>
      <c r="X872" s="83" t="s">
        <v>6774</v>
      </c>
      <c r="Y872" s="70">
        <f t="shared" si="20"/>
        <v>7000</v>
      </c>
      <c r="Z872" s="63" t="s">
        <v>5866</v>
      </c>
      <c r="AA872" s="59">
        <v>3</v>
      </c>
      <c r="AB872" s="59">
        <v>3</v>
      </c>
      <c r="AC872" s="67" t="s">
        <v>333</v>
      </c>
      <c r="AD872" s="61" t="s">
        <v>181</v>
      </c>
      <c r="AE872" s="71"/>
      <c r="AF872" s="71"/>
      <c r="AG872" s="71"/>
      <c r="AH872" s="71"/>
      <c r="AI872" s="71"/>
      <c r="AJ872" s="71"/>
      <c r="AK872" s="71" t="s">
        <v>8169</v>
      </c>
      <c r="AL872">
        <f t="shared" si="21"/>
        <v>26400</v>
      </c>
    </row>
    <row r="873" spans="1:38">
      <c r="A873" s="62">
        <v>8</v>
      </c>
      <c r="B873" s="93">
        <v>865</v>
      </c>
      <c r="C873" s="68" t="s">
        <v>7475</v>
      </c>
      <c r="D873" s="59" t="s">
        <v>8170</v>
      </c>
      <c r="E873" s="72" t="s">
        <v>5862</v>
      </c>
      <c r="F873" s="73" t="s">
        <v>8171</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6754</v>
      </c>
      <c r="U873" s="63">
        <v>391</v>
      </c>
      <c r="V873" s="70">
        <v>35054</v>
      </c>
      <c r="W873" s="70">
        <v>35000</v>
      </c>
      <c r="X873" s="83" t="s">
        <v>5928</v>
      </c>
      <c r="Y873" s="70">
        <f t="shared" si="20"/>
        <v>16000</v>
      </c>
      <c r="Z873" s="63" t="s">
        <v>5866</v>
      </c>
      <c r="AA873" s="59">
        <v>5</v>
      </c>
      <c r="AB873" s="59">
        <v>3</v>
      </c>
      <c r="AC873" s="67" t="s">
        <v>8172</v>
      </c>
      <c r="AD873" s="61" t="s">
        <v>8173</v>
      </c>
      <c r="AE873" s="71"/>
      <c r="AF873" s="71"/>
      <c r="AG873" s="71"/>
      <c r="AH873" s="71"/>
      <c r="AI873" s="71"/>
      <c r="AJ873" s="71"/>
      <c r="AK873" s="71" t="s">
        <v>181</v>
      </c>
      <c r="AL873">
        <f t="shared" si="21"/>
        <v>61461</v>
      </c>
    </row>
    <row r="874" spans="1:38">
      <c r="A874" s="62">
        <v>8</v>
      </c>
      <c r="B874" s="93">
        <v>866</v>
      </c>
      <c r="C874" s="68" t="s">
        <v>7475</v>
      </c>
      <c r="D874" s="59" t="s">
        <v>8174</v>
      </c>
      <c r="E874" s="72" t="s">
        <v>5862</v>
      </c>
      <c r="F874" s="73" t="s">
        <v>8175</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6754</v>
      </c>
      <c r="U874" s="63">
        <v>398</v>
      </c>
      <c r="V874" s="70">
        <v>17250</v>
      </c>
      <c r="W874" s="70">
        <v>17000</v>
      </c>
      <c r="X874" s="83" t="s">
        <v>5979</v>
      </c>
      <c r="Y874" s="70">
        <f t="shared" si="20"/>
        <v>6000</v>
      </c>
      <c r="Z874" s="63" t="s">
        <v>5866</v>
      </c>
      <c r="AA874" s="59">
        <v>3</v>
      </c>
      <c r="AB874" s="59">
        <v>3</v>
      </c>
      <c r="AC874" s="67" t="s">
        <v>333</v>
      </c>
      <c r="AD874" s="61" t="s">
        <v>8176</v>
      </c>
      <c r="AE874" s="71"/>
      <c r="AF874" s="71"/>
      <c r="AG874" s="71"/>
      <c r="AH874" s="71"/>
      <c r="AI874" s="71"/>
      <c r="AJ874" s="71"/>
      <c r="AK874" s="71" t="s">
        <v>181</v>
      </c>
      <c r="AL874">
        <f t="shared" si="21"/>
        <v>47435</v>
      </c>
    </row>
    <row r="875" spans="1:38">
      <c r="A875" s="62">
        <v>8</v>
      </c>
      <c r="B875" s="93">
        <v>867</v>
      </c>
      <c r="C875" s="68" t="s">
        <v>7475</v>
      </c>
      <c r="D875" s="59" t="s">
        <v>6505</v>
      </c>
      <c r="E875" s="72" t="s">
        <v>5862</v>
      </c>
      <c r="F875" s="73" t="s">
        <v>6506</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6754</v>
      </c>
      <c r="U875" s="63">
        <v>398</v>
      </c>
      <c r="V875" s="70">
        <v>18900</v>
      </c>
      <c r="W875" s="70">
        <v>19000</v>
      </c>
      <c r="X875" s="83" t="s">
        <v>5985</v>
      </c>
      <c r="Y875" s="70">
        <f t="shared" si="20"/>
        <v>7000</v>
      </c>
      <c r="Z875" s="63" t="s">
        <v>5866</v>
      </c>
      <c r="AA875" s="59">
        <v>3</v>
      </c>
      <c r="AB875" s="59">
        <v>3</v>
      </c>
      <c r="AC875" s="67" t="s">
        <v>333</v>
      </c>
      <c r="AD875" s="61" t="s">
        <v>181</v>
      </c>
      <c r="AE875" s="71"/>
      <c r="AF875" s="71"/>
      <c r="AG875" s="71"/>
      <c r="AH875" s="71"/>
      <c r="AI875" s="71"/>
      <c r="AJ875" s="71"/>
      <c r="AK875" s="71" t="s">
        <v>8177</v>
      </c>
      <c r="AL875">
        <f t="shared" si="21"/>
        <v>41370</v>
      </c>
    </row>
    <row r="876" spans="1:38">
      <c r="A876" s="62">
        <v>8</v>
      </c>
      <c r="B876" s="93">
        <v>868</v>
      </c>
      <c r="C876" s="68" t="s">
        <v>7475</v>
      </c>
      <c r="D876" s="59" t="s">
        <v>8178</v>
      </c>
      <c r="E876" s="72" t="s">
        <v>5862</v>
      </c>
      <c r="F876" s="73" t="s">
        <v>8179</v>
      </c>
      <c r="G876" s="82">
        <v>44.1</v>
      </c>
      <c r="H876" s="67">
        <v>9508</v>
      </c>
      <c r="I876" s="69">
        <v>0</v>
      </c>
      <c r="J876" s="70">
        <v>2400</v>
      </c>
      <c r="K876" s="75">
        <v>9</v>
      </c>
      <c r="L876" s="74">
        <v>0</v>
      </c>
      <c r="M876" s="76">
        <v>0.14361111111111111</v>
      </c>
      <c r="N876" s="67">
        <v>1982</v>
      </c>
      <c r="O876" s="64">
        <v>678</v>
      </c>
      <c r="Q876" s="59">
        <v>15</v>
      </c>
      <c r="R876" s="59">
        <v>7</v>
      </c>
      <c r="S876" s="59">
        <v>1</v>
      </c>
      <c r="T876" s="63" t="s">
        <v>6757</v>
      </c>
      <c r="U876" s="63">
        <v>398</v>
      </c>
      <c r="V876" s="70">
        <v>9375</v>
      </c>
      <c r="W876" s="70">
        <v>9000</v>
      </c>
      <c r="X876" s="83" t="s">
        <v>5865</v>
      </c>
      <c r="Y876" s="70">
        <f t="shared" si="20"/>
        <v>2000</v>
      </c>
      <c r="Z876" s="63" t="s">
        <v>5866</v>
      </c>
      <c r="AA876" s="59">
        <v>3</v>
      </c>
      <c r="AB876" s="59">
        <v>3</v>
      </c>
      <c r="AC876" s="67" t="s">
        <v>333</v>
      </c>
      <c r="AD876" s="61" t="s">
        <v>8180</v>
      </c>
      <c r="AE876" s="71"/>
      <c r="AF876" s="71"/>
      <c r="AG876" s="71"/>
      <c r="AH876" s="71"/>
      <c r="AI876" s="71"/>
      <c r="AJ876" s="71"/>
      <c r="AK876" s="71" t="s">
        <v>181</v>
      </c>
      <c r="AL876">
        <f t="shared" si="21"/>
        <v>21600</v>
      </c>
    </row>
    <row r="877" spans="1:38">
      <c r="A877" s="62">
        <v>8</v>
      </c>
      <c r="B877" s="93">
        <v>869</v>
      </c>
      <c r="C877" s="68" t="s">
        <v>7475</v>
      </c>
      <c r="D877" s="59" t="s">
        <v>8181</v>
      </c>
      <c r="E877" s="72" t="s">
        <v>5862</v>
      </c>
      <c r="F877" s="73" t="s">
        <v>8182</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6757</v>
      </c>
      <c r="U877" s="63">
        <v>398</v>
      </c>
      <c r="V877" s="70">
        <v>6875</v>
      </c>
      <c r="W877" s="70">
        <v>7000</v>
      </c>
      <c r="X877" s="83" t="s">
        <v>5903</v>
      </c>
      <c r="Y877" s="70">
        <f t="shared" si="20"/>
        <v>4000</v>
      </c>
      <c r="Z877" s="63" t="s">
        <v>5866</v>
      </c>
      <c r="AA877" s="59">
        <v>3</v>
      </c>
      <c r="AB877" s="59">
        <v>3</v>
      </c>
      <c r="AC877" s="67" t="s">
        <v>333</v>
      </c>
      <c r="AD877" s="61" t="s">
        <v>8183</v>
      </c>
      <c r="AE877" s="71"/>
      <c r="AF877" s="71"/>
      <c r="AG877" s="71"/>
      <c r="AH877" s="71"/>
      <c r="AI877" s="71"/>
      <c r="AJ877" s="71"/>
      <c r="AK877" s="71" t="s">
        <v>181</v>
      </c>
      <c r="AL877">
        <f t="shared" si="21"/>
        <v>40499.999999999993</v>
      </c>
    </row>
    <row r="878" spans="1:38">
      <c r="A878" s="62">
        <v>8</v>
      </c>
      <c r="B878" s="93">
        <v>870</v>
      </c>
      <c r="C878" s="68" t="s">
        <v>7475</v>
      </c>
      <c r="D878" s="59" t="s">
        <v>6507</v>
      </c>
      <c r="E878" s="72" t="s">
        <v>5862</v>
      </c>
      <c r="F878" s="73" t="s">
        <v>6508</v>
      </c>
      <c r="G878" s="82">
        <v>44.2</v>
      </c>
      <c r="H878" s="67">
        <v>9508</v>
      </c>
      <c r="I878" s="69">
        <v>0</v>
      </c>
      <c r="J878" s="70">
        <v>2550</v>
      </c>
      <c r="K878" s="75">
        <v>6.5882352941176467</v>
      </c>
      <c r="L878" s="74">
        <v>0</v>
      </c>
      <c r="M878" s="76">
        <v>0</v>
      </c>
      <c r="N878" s="67">
        <v>1977</v>
      </c>
      <c r="O878" s="64">
        <v>648</v>
      </c>
      <c r="Q878" s="59">
        <v>14</v>
      </c>
      <c r="R878" s="59">
        <v>1</v>
      </c>
      <c r="S878" s="59">
        <v>2</v>
      </c>
      <c r="T878" s="63" t="s">
        <v>6757</v>
      </c>
      <c r="U878" s="63">
        <v>398</v>
      </c>
      <c r="V878" s="70">
        <v>6250</v>
      </c>
      <c r="W878" s="70">
        <v>6000</v>
      </c>
      <c r="X878" s="83" t="s">
        <v>5920</v>
      </c>
      <c r="Y878" s="70">
        <f t="shared" si="20"/>
        <v>3000</v>
      </c>
      <c r="Z878" s="63" t="s">
        <v>5866</v>
      </c>
      <c r="AA878" s="59">
        <v>3</v>
      </c>
      <c r="AB878" s="59">
        <v>3</v>
      </c>
      <c r="AC878" s="67" t="s">
        <v>333</v>
      </c>
      <c r="AD878" s="61" t="s">
        <v>5879</v>
      </c>
      <c r="AE878" s="71"/>
      <c r="AF878" s="71"/>
      <c r="AG878" s="71"/>
      <c r="AH878" s="71"/>
      <c r="AI878" s="71"/>
      <c r="AJ878" s="71"/>
      <c r="AK878" s="71" t="s">
        <v>8184</v>
      </c>
      <c r="AL878">
        <f t="shared" si="21"/>
        <v>8400</v>
      </c>
    </row>
    <row r="879" spans="1:38">
      <c r="A879" s="62">
        <v>8</v>
      </c>
      <c r="B879" s="93">
        <v>871</v>
      </c>
      <c r="C879" s="68" t="s">
        <v>7475</v>
      </c>
      <c r="D879" s="59" t="s">
        <v>8185</v>
      </c>
      <c r="E879" s="72" t="s">
        <v>5862</v>
      </c>
      <c r="F879" s="73" t="s">
        <v>8186</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6757</v>
      </c>
      <c r="U879" s="63">
        <v>398</v>
      </c>
      <c r="V879" s="70">
        <v>12500</v>
      </c>
      <c r="W879" s="70">
        <v>13000</v>
      </c>
      <c r="X879" s="83" t="s">
        <v>6774</v>
      </c>
      <c r="Y879" s="70">
        <f t="shared" si="20"/>
        <v>6000</v>
      </c>
      <c r="Z879" s="63" t="s">
        <v>5866</v>
      </c>
      <c r="AA879" s="59">
        <v>3</v>
      </c>
      <c r="AB879" s="59">
        <v>3</v>
      </c>
      <c r="AC879" s="67" t="s">
        <v>333</v>
      </c>
      <c r="AD879" s="61" t="s">
        <v>181</v>
      </c>
      <c r="AE879" s="71"/>
      <c r="AF879" s="71"/>
      <c r="AG879" s="71"/>
      <c r="AH879" s="71"/>
      <c r="AI879" s="71"/>
      <c r="AJ879" s="71"/>
      <c r="AK879" s="71" t="s">
        <v>8187</v>
      </c>
      <c r="AL879">
        <f t="shared" si="21"/>
        <v>47000</v>
      </c>
    </row>
    <row r="880" spans="1:38">
      <c r="A880" s="62">
        <v>8</v>
      </c>
      <c r="B880" s="93">
        <v>872</v>
      </c>
      <c r="C880" s="68" t="s">
        <v>7475</v>
      </c>
      <c r="D880" s="59" t="s">
        <v>8188</v>
      </c>
      <c r="E880" s="72" t="s">
        <v>5862</v>
      </c>
      <c r="F880" s="73" t="s">
        <v>8189</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6757</v>
      </c>
      <c r="U880" s="63">
        <v>398</v>
      </c>
      <c r="V880" s="70">
        <v>25000</v>
      </c>
      <c r="W880" s="70">
        <v>25000</v>
      </c>
      <c r="X880" s="83" t="s">
        <v>6331</v>
      </c>
      <c r="Y880" s="70">
        <f t="shared" si="20"/>
        <v>19000</v>
      </c>
      <c r="Z880" s="63" t="s">
        <v>5866</v>
      </c>
      <c r="AA880" s="59">
        <v>3</v>
      </c>
      <c r="AB880" s="59">
        <v>3</v>
      </c>
      <c r="AC880" s="67" t="s">
        <v>333</v>
      </c>
      <c r="AD880" s="61" t="s">
        <v>8190</v>
      </c>
      <c r="AE880" s="71"/>
      <c r="AF880" s="71"/>
      <c r="AG880" s="71"/>
      <c r="AH880" s="71"/>
      <c r="AI880" s="71"/>
      <c r="AJ880" s="71"/>
      <c r="AK880" s="71" t="s">
        <v>8191</v>
      </c>
      <c r="AL880">
        <f t="shared" si="21"/>
        <v>112148</v>
      </c>
    </row>
    <row r="881" spans="1:38">
      <c r="A881" s="62">
        <v>8</v>
      </c>
      <c r="B881" s="93">
        <v>873</v>
      </c>
      <c r="C881" s="68" t="s">
        <v>7475</v>
      </c>
      <c r="D881" s="59" t="s">
        <v>8192</v>
      </c>
      <c r="E881" s="72" t="s">
        <v>5862</v>
      </c>
      <c r="F881" s="73" t="s">
        <v>8193</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6757</v>
      </c>
      <c r="U881" s="63">
        <v>398</v>
      </c>
      <c r="V881" s="70">
        <v>6870</v>
      </c>
      <c r="W881" s="70">
        <v>7000</v>
      </c>
      <c r="X881" s="83" t="s">
        <v>5982</v>
      </c>
      <c r="Y881" s="70">
        <f t="shared" si="20"/>
        <v>3000</v>
      </c>
      <c r="Z881" s="63" t="s">
        <v>5866</v>
      </c>
      <c r="AA881" s="59">
        <v>3</v>
      </c>
      <c r="AB881" s="59">
        <v>3</v>
      </c>
      <c r="AC881" s="67" t="s">
        <v>333</v>
      </c>
      <c r="AD881" s="61" t="s">
        <v>8194</v>
      </c>
      <c r="AE881" s="71"/>
      <c r="AF881" s="71"/>
      <c r="AG881" s="71"/>
      <c r="AH881" s="71"/>
      <c r="AI881" s="71"/>
      <c r="AJ881" s="71"/>
      <c r="AK881" s="71" t="s">
        <v>181</v>
      </c>
      <c r="AL881">
        <f t="shared" si="21"/>
        <v>37199.999999999993</v>
      </c>
    </row>
    <row r="882" spans="1:38">
      <c r="A882" s="62">
        <v>8</v>
      </c>
      <c r="B882" s="93">
        <v>874</v>
      </c>
      <c r="C882" s="68" t="s">
        <v>7475</v>
      </c>
      <c r="D882" s="59" t="s">
        <v>7227</v>
      </c>
      <c r="E882" s="72" t="s">
        <v>5862</v>
      </c>
      <c r="F882" s="73" t="s">
        <v>8195</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6759</v>
      </c>
      <c r="U882" s="63">
        <v>398</v>
      </c>
      <c r="V882" s="70">
        <v>21106</v>
      </c>
      <c r="W882" s="70">
        <v>21000</v>
      </c>
      <c r="X882" s="83" t="s">
        <v>7229</v>
      </c>
      <c r="Y882" s="70">
        <f t="shared" si="20"/>
        <v>3000</v>
      </c>
      <c r="Z882" s="63" t="s">
        <v>5866</v>
      </c>
      <c r="AA882" s="59">
        <v>3</v>
      </c>
      <c r="AB882" s="59">
        <v>3</v>
      </c>
      <c r="AC882" s="67" t="s">
        <v>333</v>
      </c>
      <c r="AD882" s="61" t="s">
        <v>7230</v>
      </c>
      <c r="AE882" s="71"/>
      <c r="AF882" s="71"/>
      <c r="AG882" s="71"/>
      <c r="AH882" s="71"/>
      <c r="AI882" s="71"/>
      <c r="AJ882" s="71"/>
      <c r="AK882" s="71" t="s">
        <v>181</v>
      </c>
      <c r="AL882">
        <f t="shared" si="21"/>
        <v>28800</v>
      </c>
    </row>
    <row r="883" spans="1:38">
      <c r="A883" s="62">
        <v>8</v>
      </c>
      <c r="B883" s="93">
        <v>875</v>
      </c>
      <c r="C883" s="68" t="s">
        <v>7475</v>
      </c>
      <c r="D883" s="59" t="s">
        <v>6521</v>
      </c>
      <c r="E883" s="72" t="s">
        <v>5862</v>
      </c>
      <c r="F883" s="73" t="s">
        <v>6522</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6757</v>
      </c>
      <c r="U883" s="63">
        <v>398</v>
      </c>
      <c r="V883" s="70">
        <v>19950</v>
      </c>
      <c r="W883" s="70">
        <v>20000</v>
      </c>
      <c r="X883" s="83" t="s">
        <v>6182</v>
      </c>
      <c r="Y883" s="70">
        <f t="shared" si="20"/>
        <v>5000</v>
      </c>
      <c r="Z883" s="63" t="s">
        <v>5866</v>
      </c>
      <c r="AA883" s="59">
        <v>3</v>
      </c>
      <c r="AB883" s="59">
        <v>3</v>
      </c>
      <c r="AC883" s="67" t="s">
        <v>333</v>
      </c>
      <c r="AD883" s="61" t="s">
        <v>6523</v>
      </c>
      <c r="AE883" s="71"/>
      <c r="AF883" s="71"/>
      <c r="AG883" s="71"/>
      <c r="AH883" s="71"/>
      <c r="AI883" s="71"/>
      <c r="AJ883" s="71"/>
      <c r="AK883" s="71" t="s">
        <v>8196</v>
      </c>
      <c r="AL883">
        <f t="shared" si="21"/>
        <v>10029.333333333334</v>
      </c>
    </row>
    <row r="884" spans="1:38">
      <c r="A884" s="62">
        <v>8</v>
      </c>
      <c r="B884" s="93">
        <v>876</v>
      </c>
      <c r="C884" s="68" t="s">
        <v>7475</v>
      </c>
      <c r="D884" s="59" t="s">
        <v>7231</v>
      </c>
      <c r="E884" s="72" t="s">
        <v>5862</v>
      </c>
      <c r="F884" s="73" t="s">
        <v>8197</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6759</v>
      </c>
      <c r="U884" s="63">
        <v>398</v>
      </c>
      <c r="V884" s="70">
        <v>33457</v>
      </c>
      <c r="W884" s="70">
        <v>33000</v>
      </c>
      <c r="X884" s="83" t="s">
        <v>6065</v>
      </c>
      <c r="Y884" s="70">
        <f t="shared" si="20"/>
        <v>21000</v>
      </c>
      <c r="Z884" s="63" t="s">
        <v>5866</v>
      </c>
      <c r="AA884" s="59">
        <v>3</v>
      </c>
      <c r="AB884" s="59">
        <v>2</v>
      </c>
      <c r="AC884" s="67" t="s">
        <v>329</v>
      </c>
      <c r="AD884" s="61" t="s">
        <v>5879</v>
      </c>
      <c r="AE884" s="71"/>
      <c r="AF884" s="71"/>
      <c r="AG884" s="71"/>
      <c r="AH884" s="71"/>
      <c r="AI884" s="71"/>
      <c r="AJ884" s="71"/>
      <c r="AK884" s="71" t="s">
        <v>8198</v>
      </c>
      <c r="AL884">
        <f t="shared" si="21"/>
        <v>104780</v>
      </c>
    </row>
    <row r="885" spans="1:38">
      <c r="A885" s="62">
        <v>8</v>
      </c>
      <c r="B885" s="93">
        <v>877</v>
      </c>
      <c r="C885" s="68" t="s">
        <v>7475</v>
      </c>
      <c r="D885" s="59" t="s">
        <v>8199</v>
      </c>
      <c r="E885" s="72" t="s">
        <v>5862</v>
      </c>
      <c r="F885" s="73" t="s">
        <v>8200</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6759</v>
      </c>
      <c r="U885" s="63">
        <v>398</v>
      </c>
      <c r="V885" s="70">
        <v>36816</v>
      </c>
      <c r="W885" s="70">
        <v>37000</v>
      </c>
      <c r="X885" s="83" t="s">
        <v>5938</v>
      </c>
      <c r="Y885" s="70">
        <f t="shared" si="20"/>
        <v>25000</v>
      </c>
      <c r="Z885" s="63" t="s">
        <v>5866</v>
      </c>
      <c r="AA885" s="59">
        <v>3</v>
      </c>
      <c r="AB885" s="59">
        <v>3</v>
      </c>
      <c r="AC885" s="67" t="s">
        <v>333</v>
      </c>
      <c r="AD885" s="61" t="s">
        <v>6797</v>
      </c>
      <c r="AE885" s="71"/>
      <c r="AF885" s="71"/>
      <c r="AG885" s="71"/>
      <c r="AH885" s="71"/>
      <c r="AI885" s="71"/>
      <c r="AJ885" s="71"/>
      <c r="AK885" s="71" t="s">
        <v>181</v>
      </c>
      <c r="AL885">
        <f t="shared" si="21"/>
        <v>78635</v>
      </c>
    </row>
    <row r="886" spans="1:38">
      <c r="A886" s="62">
        <v>8</v>
      </c>
      <c r="B886" s="93">
        <v>878</v>
      </c>
      <c r="C886" s="68" t="s">
        <v>7475</v>
      </c>
      <c r="D886" s="59" t="s">
        <v>7237</v>
      </c>
      <c r="E886" s="72" t="s">
        <v>5862</v>
      </c>
      <c r="F886" s="73" t="s">
        <v>8201</v>
      </c>
      <c r="G886" s="82">
        <v>44.1</v>
      </c>
      <c r="H886" s="67">
        <v>9508</v>
      </c>
      <c r="I886" s="69">
        <v>0</v>
      </c>
      <c r="J886" s="70">
        <v>2905</v>
      </c>
      <c r="K886" s="75">
        <v>4.1308089500860588</v>
      </c>
      <c r="L886" s="74">
        <v>0</v>
      </c>
      <c r="M886" s="76">
        <v>0</v>
      </c>
      <c r="N886" s="67">
        <v>1978</v>
      </c>
      <c r="O886" s="64">
        <v>350</v>
      </c>
      <c r="Q886" s="59">
        <v>14</v>
      </c>
      <c r="R886" s="59">
        <v>3</v>
      </c>
      <c r="S886" s="59">
        <v>1</v>
      </c>
      <c r="T886" s="63" t="s">
        <v>6757</v>
      </c>
      <c r="U886" s="63">
        <v>398</v>
      </c>
      <c r="V886" s="70">
        <v>6875</v>
      </c>
      <c r="W886" s="70">
        <v>7000</v>
      </c>
      <c r="X886" s="83" t="s">
        <v>5878</v>
      </c>
      <c r="Y886" s="70">
        <f t="shared" si="20"/>
        <v>3000</v>
      </c>
      <c r="Z886" s="63" t="s">
        <v>5866</v>
      </c>
      <c r="AA886" s="59">
        <v>3</v>
      </c>
      <c r="AB886" s="59">
        <v>3</v>
      </c>
      <c r="AC886" s="67" t="s">
        <v>333</v>
      </c>
      <c r="AD886" s="61" t="s">
        <v>7239</v>
      </c>
      <c r="AE886" s="71"/>
      <c r="AF886" s="71"/>
      <c r="AG886" s="71"/>
      <c r="AH886" s="71"/>
      <c r="AI886" s="71"/>
      <c r="AJ886" s="71"/>
      <c r="AK886" s="71" t="s">
        <v>181</v>
      </c>
      <c r="AL886">
        <f t="shared" si="21"/>
        <v>12000</v>
      </c>
    </row>
    <row r="887" spans="1:38">
      <c r="A887" s="62">
        <v>8</v>
      </c>
      <c r="B887" s="93">
        <v>879</v>
      </c>
      <c r="C887" s="68" t="s">
        <v>7475</v>
      </c>
      <c r="D887" s="59" t="s">
        <v>6525</v>
      </c>
      <c r="E887" s="72" t="s">
        <v>5862</v>
      </c>
      <c r="F887" s="73" t="s">
        <v>6526</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6757</v>
      </c>
      <c r="U887" s="63">
        <v>398</v>
      </c>
      <c r="V887" s="70">
        <v>17187</v>
      </c>
      <c r="W887" s="70">
        <v>17000</v>
      </c>
      <c r="X887" s="83" t="s">
        <v>5982</v>
      </c>
      <c r="Y887" s="70">
        <f t="shared" si="20"/>
        <v>8000</v>
      </c>
      <c r="Z887" s="63" t="s">
        <v>5866</v>
      </c>
      <c r="AA887" s="59">
        <v>3</v>
      </c>
      <c r="AB887" s="59">
        <v>3</v>
      </c>
      <c r="AC887" s="67" t="s">
        <v>333</v>
      </c>
      <c r="AD887" s="61" t="s">
        <v>6527</v>
      </c>
      <c r="AE887" s="71"/>
      <c r="AF887" s="71"/>
      <c r="AG887" s="71"/>
      <c r="AH887" s="71"/>
      <c r="AI887" s="71"/>
      <c r="AJ887" s="71"/>
      <c r="AK887" s="71" t="s">
        <v>8202</v>
      </c>
      <c r="AL887">
        <f t="shared" si="21"/>
        <v>50995</v>
      </c>
    </row>
    <row r="888" spans="1:38">
      <c r="A888" s="62">
        <v>8</v>
      </c>
      <c r="B888" s="93">
        <v>880</v>
      </c>
      <c r="C888" s="68" t="s">
        <v>7475</v>
      </c>
      <c r="D888" s="59" t="s">
        <v>7241</v>
      </c>
      <c r="E888" s="72" t="s">
        <v>5862</v>
      </c>
      <c r="F888" s="73" t="s">
        <v>8203</v>
      </c>
      <c r="G888" s="82">
        <v>44.2</v>
      </c>
      <c r="H888" s="67">
        <v>9508</v>
      </c>
      <c r="I888" s="69">
        <v>0</v>
      </c>
      <c r="J888" s="70">
        <v>6558</v>
      </c>
      <c r="K888" s="75">
        <v>9.149130832570906</v>
      </c>
      <c r="L888" s="74">
        <v>0</v>
      </c>
      <c r="M888" s="76">
        <v>0</v>
      </c>
      <c r="N888" s="67">
        <v>1980</v>
      </c>
      <c r="O888" s="64">
        <v>2350</v>
      </c>
      <c r="Q888" s="59">
        <v>14</v>
      </c>
      <c r="R888" s="59">
        <v>3</v>
      </c>
      <c r="S888" s="59">
        <v>1</v>
      </c>
      <c r="T888" s="63" t="s">
        <v>6757</v>
      </c>
      <c r="U888" s="63">
        <v>398</v>
      </c>
      <c r="V888" s="70">
        <v>12875</v>
      </c>
      <c r="W888" s="70">
        <v>13000</v>
      </c>
      <c r="X888" s="83" t="s">
        <v>6774</v>
      </c>
      <c r="Y888" s="70">
        <f t="shared" si="20"/>
        <v>7000</v>
      </c>
      <c r="Z888" s="63" t="s">
        <v>5866</v>
      </c>
      <c r="AA888" s="59">
        <v>3</v>
      </c>
      <c r="AB888" s="59">
        <v>3</v>
      </c>
      <c r="AC888" s="67" t="s">
        <v>333</v>
      </c>
      <c r="AD888" s="61" t="s">
        <v>181</v>
      </c>
      <c r="AE888" s="71"/>
      <c r="AF888" s="71"/>
      <c r="AG888" s="71"/>
      <c r="AH888" s="71"/>
      <c r="AI888" s="71"/>
      <c r="AJ888" s="71"/>
      <c r="AK888" s="71" t="s">
        <v>181</v>
      </c>
      <c r="AL888">
        <f t="shared" si="21"/>
        <v>60000</v>
      </c>
    </row>
    <row r="889" spans="1:38">
      <c r="A889" s="62">
        <v>8</v>
      </c>
      <c r="B889" s="93">
        <v>881</v>
      </c>
      <c r="C889" s="68" t="s">
        <v>7475</v>
      </c>
      <c r="D889" s="59" t="s">
        <v>8204</v>
      </c>
      <c r="E889" s="72" t="s">
        <v>5862</v>
      </c>
      <c r="F889" s="73" t="s">
        <v>8205</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6757</v>
      </c>
      <c r="U889" s="63">
        <v>398</v>
      </c>
      <c r="V889" s="70">
        <v>15459</v>
      </c>
      <c r="W889" s="70">
        <v>15000</v>
      </c>
      <c r="X889" s="83" t="s">
        <v>6091</v>
      </c>
      <c r="Y889" s="70">
        <f t="shared" si="20"/>
        <v>9000</v>
      </c>
      <c r="Z889" s="63" t="s">
        <v>5866</v>
      </c>
      <c r="AA889" s="59">
        <v>3</v>
      </c>
      <c r="AB889" s="59">
        <v>3</v>
      </c>
      <c r="AC889" s="67" t="s">
        <v>333</v>
      </c>
      <c r="AD889" s="61" t="s">
        <v>8206</v>
      </c>
      <c r="AE889" s="71"/>
      <c r="AF889" s="71"/>
      <c r="AG889" s="71"/>
      <c r="AH889" s="71"/>
      <c r="AI889" s="71"/>
      <c r="AJ889" s="71"/>
      <c r="AK889" s="71" t="s">
        <v>181</v>
      </c>
      <c r="AL889">
        <f t="shared" si="21"/>
        <v>64130</v>
      </c>
    </row>
    <row r="890" spans="1:38">
      <c r="A890" s="62">
        <v>8</v>
      </c>
      <c r="B890" s="93">
        <v>882</v>
      </c>
      <c r="C890" s="68" t="s">
        <v>7475</v>
      </c>
      <c r="D890" s="59" t="s">
        <v>8207</v>
      </c>
      <c r="E890" s="72" t="s">
        <v>5862</v>
      </c>
      <c r="F890" s="73" t="s">
        <v>8208</v>
      </c>
      <c r="G890" s="82">
        <v>44.2</v>
      </c>
      <c r="H890" s="67">
        <v>9505</v>
      </c>
      <c r="I890" s="69">
        <v>3</v>
      </c>
      <c r="J890" s="70">
        <v>36508</v>
      </c>
      <c r="K890" s="75">
        <v>4.1086885066286838</v>
      </c>
      <c r="L890" s="74">
        <v>0</v>
      </c>
      <c r="M890" s="76">
        <v>0</v>
      </c>
      <c r="N890" s="67">
        <v>1955</v>
      </c>
      <c r="P890" s="64">
        <v>2944</v>
      </c>
      <c r="Q890" s="59">
        <v>14</v>
      </c>
      <c r="R890" s="59">
        <v>3</v>
      </c>
      <c r="S890" s="59">
        <v>1</v>
      </c>
      <c r="T890" s="63" t="s">
        <v>6759</v>
      </c>
      <c r="U890" s="63">
        <v>398</v>
      </c>
      <c r="V890" s="70">
        <v>75794</v>
      </c>
      <c r="W890" s="70">
        <v>80000</v>
      </c>
      <c r="X890" s="83" t="s">
        <v>5982</v>
      </c>
      <c r="Y890" s="70">
        <f t="shared" si="20"/>
        <v>37000</v>
      </c>
      <c r="Z890" s="63" t="s">
        <v>5866</v>
      </c>
      <c r="AA890" s="59">
        <v>3</v>
      </c>
      <c r="AB890" s="59">
        <v>3</v>
      </c>
      <c r="AC890" s="67" t="s">
        <v>333</v>
      </c>
      <c r="AD890" s="61" t="s">
        <v>181</v>
      </c>
      <c r="AE890" s="71"/>
      <c r="AF890" s="71"/>
      <c r="AG890" s="71"/>
      <c r="AH890" s="71"/>
      <c r="AI890" s="71"/>
      <c r="AJ890" s="71"/>
      <c r="AK890" s="71" t="s">
        <v>181</v>
      </c>
      <c r="AL890">
        <f t="shared" si="21"/>
        <v>150000</v>
      </c>
    </row>
    <row r="891" spans="1:38">
      <c r="A891" s="62">
        <v>8</v>
      </c>
      <c r="B891" s="93">
        <v>883</v>
      </c>
      <c r="C891" s="68" t="s">
        <v>7475</v>
      </c>
      <c r="D891" s="59" t="s">
        <v>8209</v>
      </c>
      <c r="E891" s="72" t="s">
        <v>5862</v>
      </c>
      <c r="F891" s="73" t="s">
        <v>8210</v>
      </c>
      <c r="G891" s="82">
        <v>44.2</v>
      </c>
      <c r="H891" s="67">
        <v>9505</v>
      </c>
      <c r="I891" s="69">
        <v>0</v>
      </c>
      <c r="J891" s="70">
        <v>27373</v>
      </c>
      <c r="K891" s="75">
        <v>9.4984108428013005</v>
      </c>
      <c r="L891" s="74">
        <v>0</v>
      </c>
      <c r="M891" s="76">
        <v>0</v>
      </c>
      <c r="N891" s="67">
        <v>2002</v>
      </c>
      <c r="O891" s="64">
        <f>6950+7220</f>
        <v>14170</v>
      </c>
      <c r="P891" s="64" t="s">
        <v>181</v>
      </c>
      <c r="Q891" s="59">
        <v>31</v>
      </c>
      <c r="R891" s="59">
        <v>7</v>
      </c>
      <c r="S891" s="59">
        <v>1</v>
      </c>
      <c r="T891" s="63" t="s">
        <v>6754</v>
      </c>
      <c r="U891" s="63">
        <v>398</v>
      </c>
      <c r="V891" s="70">
        <v>51308</v>
      </c>
      <c r="W891" s="70">
        <v>50000</v>
      </c>
      <c r="X891" s="83" t="s">
        <v>5903</v>
      </c>
      <c r="Y891" s="70">
        <f t="shared" ref="Y891:Y907" si="22">ROUND(J891,-3)</f>
        <v>27000</v>
      </c>
      <c r="Z891" s="63" t="s">
        <v>5866</v>
      </c>
      <c r="AA891" s="59">
        <v>3</v>
      </c>
      <c r="AB891" s="59">
        <v>3</v>
      </c>
      <c r="AC891" s="67" t="s">
        <v>333</v>
      </c>
      <c r="AD891" s="61" t="s">
        <v>8211</v>
      </c>
      <c r="AE891" s="71"/>
      <c r="AF891" s="71"/>
      <c r="AG891" s="71"/>
      <c r="AH891" s="71"/>
      <c r="AI891" s="71"/>
      <c r="AJ891" s="71"/>
      <c r="AK891" s="71" t="s">
        <v>181</v>
      </c>
      <c r="AL891">
        <f t="shared" si="21"/>
        <v>260000</v>
      </c>
    </row>
    <row r="892" spans="1:38">
      <c r="A892" s="62">
        <v>8</v>
      </c>
      <c r="B892" s="93">
        <v>884</v>
      </c>
      <c r="C892" s="68" t="s">
        <v>7475</v>
      </c>
      <c r="D892" s="59" t="s">
        <v>8212</v>
      </c>
      <c r="E892" s="72" t="s">
        <v>5862</v>
      </c>
      <c r="F892" s="73" t="s">
        <v>8213</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6754</v>
      </c>
      <c r="U892" s="63">
        <v>398</v>
      </c>
      <c r="V892" s="70">
        <v>42180</v>
      </c>
      <c r="W892" s="70">
        <v>42000</v>
      </c>
      <c r="X892" s="83" t="s">
        <v>6128</v>
      </c>
      <c r="Y892" s="70">
        <f t="shared" si="22"/>
        <v>34000</v>
      </c>
      <c r="Z892" s="63" t="s">
        <v>5866</v>
      </c>
      <c r="AA892" s="59">
        <v>2</v>
      </c>
      <c r="AB892" s="59">
        <v>2</v>
      </c>
      <c r="AC892" s="67" t="s">
        <v>280</v>
      </c>
      <c r="AD892" s="61" t="s">
        <v>6797</v>
      </c>
      <c r="AE892" s="71"/>
      <c r="AF892" s="71"/>
      <c r="AG892" s="71"/>
      <c r="AH892" s="71"/>
      <c r="AI892" s="71"/>
      <c r="AJ892" s="71"/>
      <c r="AK892" s="71" t="s">
        <v>181</v>
      </c>
      <c r="AL892">
        <f t="shared" ref="AL892:AL919" si="23">IF(AND(ISNUMBER($S892),$S892&gt;0,ISNUMBER($K892),ISNUMBER($J892)),($K892*$J892)/$S892,"")</f>
        <v>171720</v>
      </c>
    </row>
    <row r="893" spans="1:38">
      <c r="A893" s="62">
        <v>8</v>
      </c>
      <c r="B893" s="93">
        <v>885</v>
      </c>
      <c r="C893" s="68" t="s">
        <v>7475</v>
      </c>
      <c r="D893" s="59" t="s">
        <v>8214</v>
      </c>
      <c r="E893" s="72" t="s">
        <v>5862</v>
      </c>
      <c r="F893" s="73" t="s">
        <v>8215</v>
      </c>
      <c r="G893" s="82">
        <v>44.1</v>
      </c>
      <c r="H893" s="67">
        <v>9505</v>
      </c>
      <c r="I893" s="69">
        <v>0</v>
      </c>
      <c r="J893" s="70">
        <v>43000</v>
      </c>
      <c r="K893" s="75">
        <v>5.0232558139534884</v>
      </c>
      <c r="L893" s="74">
        <v>0</v>
      </c>
      <c r="M893" s="76">
        <v>0</v>
      </c>
      <c r="N893" s="67">
        <v>1937</v>
      </c>
      <c r="O893" s="64">
        <v>1540</v>
      </c>
      <c r="Q893" s="59">
        <v>10</v>
      </c>
      <c r="R893" s="59">
        <v>1</v>
      </c>
      <c r="S893" s="59">
        <v>1</v>
      </c>
      <c r="T893" s="63" t="s">
        <v>6754</v>
      </c>
      <c r="U893" s="63">
        <v>398</v>
      </c>
      <c r="V893" s="70">
        <v>79830</v>
      </c>
      <c r="W893" s="70">
        <v>80000</v>
      </c>
      <c r="X893" s="83" t="s">
        <v>6791</v>
      </c>
      <c r="Y893" s="70">
        <f t="shared" si="22"/>
        <v>43000</v>
      </c>
      <c r="Z893" s="63" t="s">
        <v>5866</v>
      </c>
      <c r="AA893" s="59">
        <v>3</v>
      </c>
      <c r="AB893" s="59">
        <v>3</v>
      </c>
      <c r="AC893" s="67" t="s">
        <v>333</v>
      </c>
      <c r="AD893" s="61" t="s">
        <v>8216</v>
      </c>
      <c r="AE893" s="71"/>
      <c r="AF893" s="71"/>
      <c r="AG893" s="71"/>
      <c r="AH893" s="71"/>
      <c r="AI893" s="71"/>
      <c r="AJ893" s="71"/>
      <c r="AK893" s="71" t="s">
        <v>8217</v>
      </c>
      <c r="AL893">
        <f t="shared" si="23"/>
        <v>216000</v>
      </c>
    </row>
    <row r="894" spans="1:38">
      <c r="A894" s="62">
        <v>8</v>
      </c>
      <c r="B894" s="93">
        <v>886</v>
      </c>
      <c r="C894" s="68" t="s">
        <v>7475</v>
      </c>
      <c r="D894" s="59" t="s">
        <v>8218</v>
      </c>
      <c r="E894" s="72" t="s">
        <v>5862</v>
      </c>
      <c r="F894" s="73" t="s">
        <v>8219</v>
      </c>
      <c r="G894" s="82">
        <v>44.2</v>
      </c>
      <c r="H894" s="67">
        <v>9505</v>
      </c>
      <c r="I894" s="69">
        <v>0</v>
      </c>
      <c r="J894" s="70">
        <v>3479</v>
      </c>
      <c r="K894" s="75">
        <v>12.072434607645871</v>
      </c>
      <c r="L894" s="74">
        <v>0</v>
      </c>
      <c r="M894" s="76">
        <v>0</v>
      </c>
      <c r="N894" s="67">
        <v>1965</v>
      </c>
      <c r="O894" s="64">
        <v>1779</v>
      </c>
      <c r="Q894" s="59">
        <v>14</v>
      </c>
      <c r="R894" s="59">
        <v>3</v>
      </c>
      <c r="S894" s="59">
        <v>1</v>
      </c>
      <c r="T894" s="63" t="s">
        <v>6754</v>
      </c>
      <c r="U894" s="63">
        <v>398</v>
      </c>
      <c r="V894" s="70">
        <v>5576</v>
      </c>
      <c r="W894" s="70">
        <v>6000</v>
      </c>
      <c r="X894" s="83" t="s">
        <v>5896</v>
      </c>
      <c r="Y894" s="70">
        <f t="shared" si="22"/>
        <v>3000</v>
      </c>
      <c r="Z894" s="63" t="s">
        <v>5866</v>
      </c>
      <c r="AA894" s="59">
        <v>3</v>
      </c>
      <c r="AB894" s="59">
        <v>3</v>
      </c>
      <c r="AC894" s="67" t="s">
        <v>333</v>
      </c>
      <c r="AD894" s="61" t="s">
        <v>8220</v>
      </c>
      <c r="AE894" s="71"/>
      <c r="AF894" s="71"/>
      <c r="AG894" s="71"/>
      <c r="AH894" s="71"/>
      <c r="AI894" s="71"/>
      <c r="AJ894" s="71"/>
      <c r="AK894" s="71" t="s">
        <v>181</v>
      </c>
      <c r="AL894">
        <f t="shared" si="23"/>
        <v>41999.999999999985</v>
      </c>
    </row>
    <row r="895" spans="1:38">
      <c r="A895" s="62">
        <v>8</v>
      </c>
      <c r="B895" s="93">
        <v>887</v>
      </c>
      <c r="C895" s="68" t="s">
        <v>7475</v>
      </c>
      <c r="D895" s="59" t="s">
        <v>7246</v>
      </c>
      <c r="E895" s="72" t="s">
        <v>5862</v>
      </c>
      <c r="F895" s="73" t="s">
        <v>8221</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6754</v>
      </c>
      <c r="U895" s="63">
        <v>397</v>
      </c>
      <c r="V895" s="70">
        <v>7582</v>
      </c>
      <c r="W895" s="70">
        <v>8000</v>
      </c>
      <c r="X895" s="83" t="s">
        <v>6065</v>
      </c>
      <c r="Y895" s="70">
        <f t="shared" si="22"/>
        <v>5000</v>
      </c>
      <c r="Z895" s="63" t="s">
        <v>5866</v>
      </c>
      <c r="AA895" s="59">
        <v>3</v>
      </c>
      <c r="AB895" s="59">
        <v>3</v>
      </c>
      <c r="AC895" s="67" t="s">
        <v>333</v>
      </c>
      <c r="AD895" s="61" t="s">
        <v>7248</v>
      </c>
      <c r="AE895" s="71"/>
      <c r="AF895" s="71"/>
      <c r="AG895" s="71"/>
      <c r="AH895" s="71"/>
      <c r="AI895" s="71"/>
      <c r="AJ895" s="71"/>
      <c r="AK895" s="71" t="s">
        <v>181</v>
      </c>
      <c r="AL895">
        <f t="shared" si="23"/>
        <v>31672.999999999996</v>
      </c>
    </row>
    <row r="896" spans="1:38">
      <c r="A896" s="62">
        <v>8</v>
      </c>
      <c r="B896" s="93">
        <v>888</v>
      </c>
      <c r="C896" s="68" t="s">
        <v>7475</v>
      </c>
      <c r="D896" s="59" t="s">
        <v>8222</v>
      </c>
      <c r="E896" s="72" t="s">
        <v>5862</v>
      </c>
      <c r="F896" s="73" t="s">
        <v>8223</v>
      </c>
      <c r="G896" s="82">
        <v>44.1</v>
      </c>
      <c r="H896" s="67">
        <v>9505</v>
      </c>
      <c r="I896" s="69">
        <v>0</v>
      </c>
      <c r="J896" s="70">
        <v>17250</v>
      </c>
      <c r="K896" s="75">
        <v>5.5652173913043477</v>
      </c>
      <c r="L896" s="74">
        <v>0</v>
      </c>
      <c r="M896" s="76">
        <v>0</v>
      </c>
      <c r="N896" s="67">
        <v>1972</v>
      </c>
      <c r="O896" s="64">
        <v>2500</v>
      </c>
      <c r="Q896" s="59">
        <v>12</v>
      </c>
      <c r="R896" s="59">
        <v>3</v>
      </c>
      <c r="S896" s="59">
        <v>1</v>
      </c>
      <c r="T896" s="63" t="s">
        <v>6754</v>
      </c>
      <c r="U896" s="63">
        <v>398</v>
      </c>
      <c r="V896" s="70">
        <v>21875</v>
      </c>
      <c r="W896" s="70">
        <v>22000</v>
      </c>
      <c r="X896" s="83" t="s">
        <v>6331</v>
      </c>
      <c r="Y896" s="70">
        <f t="shared" si="22"/>
        <v>17000</v>
      </c>
      <c r="Z896" s="63" t="s">
        <v>5866</v>
      </c>
      <c r="AA896" s="59">
        <v>3</v>
      </c>
      <c r="AB896" s="59">
        <v>3</v>
      </c>
      <c r="AC896" s="67" t="s">
        <v>333</v>
      </c>
      <c r="AD896" s="61" t="s">
        <v>8224</v>
      </c>
      <c r="AE896" s="71"/>
      <c r="AF896" s="71"/>
      <c r="AG896" s="71"/>
      <c r="AH896" s="71"/>
      <c r="AI896" s="71"/>
      <c r="AJ896" s="71"/>
      <c r="AK896" s="71" t="s">
        <v>181</v>
      </c>
      <c r="AL896">
        <f t="shared" si="23"/>
        <v>96000</v>
      </c>
    </row>
    <row r="897" spans="1:38">
      <c r="A897" s="62">
        <v>8</v>
      </c>
      <c r="B897" s="93">
        <v>889</v>
      </c>
      <c r="C897" s="68" t="s">
        <v>7475</v>
      </c>
      <c r="D897" s="59" t="s">
        <v>6540</v>
      </c>
      <c r="E897" s="72" t="s">
        <v>5862</v>
      </c>
      <c r="F897" s="73" t="s">
        <v>6541</v>
      </c>
      <c r="G897" s="82">
        <v>44.1</v>
      </c>
      <c r="H897" s="67">
        <v>9505</v>
      </c>
      <c r="I897" s="69">
        <v>3</v>
      </c>
      <c r="J897" s="70">
        <v>6802</v>
      </c>
      <c r="K897" s="75">
        <v>7.3390179359012064</v>
      </c>
      <c r="L897" s="74">
        <v>0</v>
      </c>
      <c r="M897" s="76">
        <v>0</v>
      </c>
      <c r="N897" s="67">
        <v>1971</v>
      </c>
      <c r="O897" s="64">
        <v>1338</v>
      </c>
      <c r="Q897" s="59">
        <v>20</v>
      </c>
      <c r="R897" s="59">
        <v>7</v>
      </c>
      <c r="S897" s="59">
        <v>1</v>
      </c>
      <c r="T897" s="63" t="s">
        <v>6754</v>
      </c>
      <c r="U897" s="63">
        <v>398</v>
      </c>
      <c r="V897" s="70">
        <v>13864</v>
      </c>
      <c r="W897" s="70">
        <v>14000</v>
      </c>
      <c r="X897" s="83" t="s">
        <v>6774</v>
      </c>
      <c r="Y897" s="70">
        <f t="shared" si="22"/>
        <v>7000</v>
      </c>
      <c r="Z897" s="63" t="s">
        <v>5866</v>
      </c>
      <c r="AA897" s="59">
        <v>3</v>
      </c>
      <c r="AB897" s="59">
        <v>3</v>
      </c>
      <c r="AC897" s="67" t="s">
        <v>333</v>
      </c>
      <c r="AD897" s="61" t="s">
        <v>6542</v>
      </c>
      <c r="AE897" s="71"/>
      <c r="AF897" s="71"/>
      <c r="AG897" s="71"/>
      <c r="AH897" s="71"/>
      <c r="AI897" s="71"/>
      <c r="AJ897" s="71"/>
      <c r="AK897" s="71" t="s">
        <v>181</v>
      </c>
      <c r="AL897">
        <f t="shared" si="23"/>
        <v>49920.000000000007</v>
      </c>
    </row>
    <row r="898" spans="1:38">
      <c r="A898" s="62">
        <v>8</v>
      </c>
      <c r="B898" s="93">
        <v>890</v>
      </c>
      <c r="C898" s="68" t="s">
        <v>7475</v>
      </c>
      <c r="D898" s="59" t="s">
        <v>8225</v>
      </c>
      <c r="E898" s="72" t="s">
        <v>5862</v>
      </c>
      <c r="F898" s="73" t="s">
        <v>8226</v>
      </c>
      <c r="G898" s="82">
        <v>44.2</v>
      </c>
      <c r="H898" s="67">
        <v>9505</v>
      </c>
      <c r="I898" s="69">
        <v>0</v>
      </c>
      <c r="J898" s="70">
        <v>19962</v>
      </c>
      <c r="K898" s="75">
        <v>5.4275122733193069</v>
      </c>
      <c r="L898" s="74">
        <v>0</v>
      </c>
      <c r="M898" s="76">
        <v>0</v>
      </c>
      <c r="N898" s="67">
        <v>1951</v>
      </c>
      <c r="Q898" s="59">
        <v>16</v>
      </c>
      <c r="R898" s="59">
        <v>1</v>
      </c>
      <c r="S898" s="59">
        <v>1</v>
      </c>
      <c r="T898" s="63" t="s">
        <v>7119</v>
      </c>
      <c r="U898" s="63">
        <v>398</v>
      </c>
      <c r="V898" s="70">
        <v>22875</v>
      </c>
      <c r="W898" s="70">
        <v>23000</v>
      </c>
      <c r="X898" s="83" t="s">
        <v>6271</v>
      </c>
      <c r="Y898" s="70">
        <f t="shared" si="22"/>
        <v>20000</v>
      </c>
      <c r="Z898" s="63" t="s">
        <v>5866</v>
      </c>
      <c r="AA898" s="59">
        <v>3</v>
      </c>
      <c r="AB898" s="59">
        <v>3</v>
      </c>
      <c r="AC898" s="67" t="s">
        <v>333</v>
      </c>
      <c r="AD898" s="61" t="s">
        <v>8227</v>
      </c>
      <c r="AE898" s="71"/>
      <c r="AF898" s="71"/>
      <c r="AG898" s="71"/>
      <c r="AH898" s="71"/>
      <c r="AI898" s="71"/>
      <c r="AJ898" s="71"/>
      <c r="AK898" s="71" t="s">
        <v>181</v>
      </c>
      <c r="AL898">
        <f t="shared" si="23"/>
        <v>108344</v>
      </c>
    </row>
    <row r="899" spans="1:38">
      <c r="A899" s="62">
        <v>8</v>
      </c>
      <c r="B899" s="93">
        <v>891</v>
      </c>
      <c r="C899" s="68" t="s">
        <v>7475</v>
      </c>
      <c r="D899" s="59" t="s">
        <v>8228</v>
      </c>
      <c r="E899" s="72" t="s">
        <v>5862</v>
      </c>
      <c r="F899" s="73" t="s">
        <v>8229</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7119</v>
      </c>
      <c r="U899" s="63">
        <v>401</v>
      </c>
      <c r="V899" s="70">
        <v>22875</v>
      </c>
      <c r="W899" s="70">
        <v>23000</v>
      </c>
      <c r="X899" s="83" t="s">
        <v>5938</v>
      </c>
      <c r="Y899" s="70">
        <f t="shared" si="22"/>
        <v>16000</v>
      </c>
      <c r="Z899" s="63" t="s">
        <v>5866</v>
      </c>
      <c r="AA899" s="59">
        <v>3</v>
      </c>
      <c r="AB899" s="59">
        <v>3</v>
      </c>
      <c r="AC899" s="67" t="s">
        <v>333</v>
      </c>
      <c r="AD899" s="61" t="s">
        <v>8230</v>
      </c>
      <c r="AE899" s="71"/>
      <c r="AF899" s="71"/>
      <c r="AG899" s="71"/>
      <c r="AH899" s="71"/>
      <c r="AI899" s="71"/>
      <c r="AJ899" s="71"/>
      <c r="AK899" s="71" t="s">
        <v>8231</v>
      </c>
      <c r="AL899">
        <f t="shared" si="23"/>
        <v>81035</v>
      </c>
    </row>
    <row r="900" spans="1:38">
      <c r="A900" s="62">
        <v>8</v>
      </c>
      <c r="B900" s="93">
        <v>892</v>
      </c>
      <c r="C900" s="68" t="s">
        <v>7475</v>
      </c>
      <c r="D900" s="59" t="s">
        <v>8232</v>
      </c>
      <c r="E900" s="72" t="s">
        <v>5862</v>
      </c>
      <c r="F900" s="73" t="s">
        <v>8233</v>
      </c>
      <c r="G900" s="82">
        <v>44.1</v>
      </c>
      <c r="H900" s="67">
        <v>9505</v>
      </c>
      <c r="I900" s="69">
        <v>0</v>
      </c>
      <c r="J900" s="70">
        <v>16987</v>
      </c>
      <c r="K900" s="75">
        <v>6.6079943486195329</v>
      </c>
      <c r="L900" s="74">
        <v>0</v>
      </c>
      <c r="M900" s="76">
        <v>0</v>
      </c>
      <c r="N900" s="67">
        <v>1974</v>
      </c>
      <c r="O900" s="64">
        <v>1044</v>
      </c>
      <c r="Q900" s="59">
        <v>19</v>
      </c>
      <c r="R900" s="59">
        <v>10</v>
      </c>
      <c r="S900" s="59">
        <v>1</v>
      </c>
      <c r="T900" s="63" t="s">
        <v>6759</v>
      </c>
      <c r="U900" s="63">
        <v>398</v>
      </c>
      <c r="V900" s="70">
        <v>84931</v>
      </c>
      <c r="W900" s="70">
        <v>80000</v>
      </c>
      <c r="X900" s="83" t="s">
        <v>5952</v>
      </c>
      <c r="Y900" s="70">
        <f t="shared" si="22"/>
        <v>17000</v>
      </c>
      <c r="Z900" s="63" t="s">
        <v>5866</v>
      </c>
      <c r="AA900" s="59">
        <v>3</v>
      </c>
      <c r="AB900" s="59">
        <v>3</v>
      </c>
      <c r="AC900" s="67" t="s">
        <v>333</v>
      </c>
      <c r="AD900" s="61" t="s">
        <v>8234</v>
      </c>
      <c r="AE900" s="71"/>
      <c r="AF900" s="71"/>
      <c r="AG900" s="71"/>
      <c r="AH900" s="71"/>
      <c r="AI900" s="71"/>
      <c r="AJ900" s="71"/>
      <c r="AK900" s="71" t="s">
        <v>8235</v>
      </c>
      <c r="AL900">
        <f t="shared" si="23"/>
        <v>112250</v>
      </c>
    </row>
    <row r="901" spans="1:38">
      <c r="A901" s="62">
        <v>8</v>
      </c>
      <c r="B901" s="93">
        <v>893</v>
      </c>
      <c r="C901" s="68" t="s">
        <v>7475</v>
      </c>
      <c r="D901" s="59" t="s">
        <v>8236</v>
      </c>
      <c r="E901" s="72" t="s">
        <v>5862</v>
      </c>
      <c r="F901" s="73" t="s">
        <v>8237</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6754</v>
      </c>
      <c r="U901" s="63">
        <v>398</v>
      </c>
      <c r="V901" s="70">
        <v>12500</v>
      </c>
      <c r="W901" s="70">
        <v>13000</v>
      </c>
      <c r="X901" s="83" t="s">
        <v>5892</v>
      </c>
      <c r="Y901" s="70">
        <f t="shared" si="22"/>
        <v>5000</v>
      </c>
      <c r="Z901" s="63" t="s">
        <v>5866</v>
      </c>
      <c r="AA901" s="59">
        <v>3</v>
      </c>
      <c r="AB901" s="59">
        <v>1</v>
      </c>
      <c r="AC901" s="67" t="s">
        <v>323</v>
      </c>
      <c r="AD901" s="61" t="s">
        <v>8238</v>
      </c>
      <c r="AE901" s="71"/>
      <c r="AF901" s="71"/>
      <c r="AG901" s="71"/>
      <c r="AH901" s="71"/>
      <c r="AI901" s="71"/>
      <c r="AJ901" s="71"/>
      <c r="AK901" s="71" t="s">
        <v>181</v>
      </c>
      <c r="AL901">
        <f t="shared" si="23"/>
        <v>17999.999999999996</v>
      </c>
    </row>
    <row r="902" spans="1:38">
      <c r="A902" s="62">
        <v>8</v>
      </c>
      <c r="B902" s="93">
        <v>894</v>
      </c>
      <c r="C902" s="68" t="s">
        <v>7475</v>
      </c>
      <c r="D902" s="59" t="s">
        <v>8239</v>
      </c>
      <c r="E902" s="72" t="s">
        <v>5862</v>
      </c>
      <c r="F902" s="73" t="s">
        <v>8240</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6754</v>
      </c>
      <c r="U902" s="63">
        <v>398</v>
      </c>
      <c r="V902" s="70">
        <v>25000</v>
      </c>
      <c r="W902" s="70">
        <v>25000</v>
      </c>
      <c r="X902" s="83" t="s">
        <v>8241</v>
      </c>
      <c r="Y902" s="70">
        <f t="shared" si="22"/>
        <v>4000</v>
      </c>
      <c r="Z902" s="63" t="s">
        <v>5866</v>
      </c>
      <c r="AA902" s="59">
        <v>2</v>
      </c>
      <c r="AB902" s="59">
        <v>2</v>
      </c>
      <c r="AC902" s="67" t="s">
        <v>280</v>
      </c>
      <c r="AD902" s="61" t="s">
        <v>8242</v>
      </c>
      <c r="AE902" s="71"/>
      <c r="AF902" s="71"/>
      <c r="AG902" s="71"/>
      <c r="AH902" s="71"/>
      <c r="AI902" s="71"/>
      <c r="AJ902" s="71"/>
      <c r="AK902" s="71" t="s">
        <v>181</v>
      </c>
      <c r="AL902">
        <f t="shared" si="23"/>
        <v>20400</v>
      </c>
    </row>
    <row r="903" spans="1:38">
      <c r="A903" s="62">
        <v>8</v>
      </c>
      <c r="B903" s="93">
        <v>895</v>
      </c>
      <c r="C903" s="68" t="s">
        <v>7475</v>
      </c>
      <c r="D903" s="59" t="s">
        <v>6543</v>
      </c>
      <c r="E903" s="72" t="s">
        <v>5862</v>
      </c>
      <c r="F903" s="73" t="s">
        <v>6544</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6754</v>
      </c>
      <c r="U903" s="63">
        <v>401</v>
      </c>
      <c r="V903" s="70">
        <v>18200</v>
      </c>
      <c r="W903" s="70">
        <v>18000</v>
      </c>
      <c r="X903" s="83" t="s">
        <v>5985</v>
      </c>
      <c r="Y903" s="70">
        <f t="shared" si="22"/>
        <v>7000</v>
      </c>
      <c r="Z903" s="63" t="s">
        <v>5866</v>
      </c>
      <c r="AA903" s="59">
        <v>5</v>
      </c>
      <c r="AB903" s="59">
        <v>3</v>
      </c>
      <c r="AC903" s="67" t="s">
        <v>8172</v>
      </c>
      <c r="AD903" s="61" t="s">
        <v>6545</v>
      </c>
      <c r="AE903" s="71"/>
      <c r="AF903" s="71"/>
      <c r="AG903" s="71"/>
      <c r="AH903" s="71"/>
      <c r="AI903" s="71"/>
      <c r="AJ903" s="71"/>
      <c r="AK903" s="71" t="s">
        <v>181</v>
      </c>
      <c r="AL903">
        <f t="shared" si="23"/>
        <v>53460</v>
      </c>
    </row>
    <row r="904" spans="1:38">
      <c r="A904" s="62">
        <v>8</v>
      </c>
      <c r="B904" s="93">
        <v>896</v>
      </c>
      <c r="C904" s="68" t="s">
        <v>7475</v>
      </c>
      <c r="D904" s="59" t="s">
        <v>8243</v>
      </c>
      <c r="E904" s="72" t="s">
        <v>5862</v>
      </c>
      <c r="F904" s="73" t="s">
        <v>8244</v>
      </c>
      <c r="G904" s="82">
        <v>47.1</v>
      </c>
      <c r="H904" s="67">
        <v>9502</v>
      </c>
      <c r="I904" s="69">
        <v>0</v>
      </c>
      <c r="J904" s="70">
        <v>4660</v>
      </c>
      <c r="K904" s="75">
        <v>9.785407725321889</v>
      </c>
      <c r="L904" s="74">
        <v>0</v>
      </c>
      <c r="M904" s="76">
        <v>4.3859649122807022E-2</v>
      </c>
      <c r="N904" s="67">
        <v>1955</v>
      </c>
      <c r="Q904" s="59">
        <v>10</v>
      </c>
      <c r="R904" s="59">
        <v>1</v>
      </c>
      <c r="S904" s="59">
        <v>1</v>
      </c>
      <c r="T904" s="63" t="s">
        <v>7110</v>
      </c>
      <c r="U904" s="63">
        <v>401</v>
      </c>
      <c r="V904" s="70">
        <v>4687</v>
      </c>
      <c r="W904" s="70">
        <v>5000</v>
      </c>
      <c r="X904" s="83" t="s">
        <v>7374</v>
      </c>
      <c r="Y904" s="70">
        <f t="shared" si="22"/>
        <v>5000</v>
      </c>
      <c r="Z904" s="63" t="s">
        <v>5866</v>
      </c>
      <c r="AA904" s="59">
        <v>3</v>
      </c>
      <c r="AB904" s="59">
        <v>3</v>
      </c>
      <c r="AC904" s="67" t="s">
        <v>333</v>
      </c>
      <c r="AD904" s="61" t="s">
        <v>181</v>
      </c>
      <c r="AE904" s="71"/>
      <c r="AF904" s="71"/>
      <c r="AG904" s="71"/>
      <c r="AH904" s="71"/>
      <c r="AI904" s="71"/>
      <c r="AJ904" s="71"/>
      <c r="AK904" s="71" t="s">
        <v>181</v>
      </c>
      <c r="AL904">
        <f t="shared" si="23"/>
        <v>45600</v>
      </c>
    </row>
    <row r="905" spans="1:38">
      <c r="A905" s="62">
        <v>8</v>
      </c>
      <c r="B905" s="93">
        <v>897</v>
      </c>
      <c r="C905" s="68" t="s">
        <v>7475</v>
      </c>
      <c r="D905" s="59" t="s">
        <v>8245</v>
      </c>
      <c r="E905" s="72" t="s">
        <v>5862</v>
      </c>
      <c r="F905" s="73" t="s">
        <v>8246</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6754</v>
      </c>
      <c r="U905" s="63">
        <v>398</v>
      </c>
      <c r="V905" s="70">
        <v>61900</v>
      </c>
      <c r="W905" s="70">
        <v>60000</v>
      </c>
      <c r="X905" s="83" t="s">
        <v>6774</v>
      </c>
      <c r="Y905" s="70">
        <f t="shared" si="22"/>
        <v>30000</v>
      </c>
      <c r="Z905" s="63" t="s">
        <v>5866</v>
      </c>
      <c r="AA905" s="59">
        <v>3</v>
      </c>
      <c r="AB905" s="59">
        <v>3</v>
      </c>
      <c r="AC905" s="67" t="s">
        <v>333</v>
      </c>
      <c r="AD905" s="61" t="s">
        <v>181</v>
      </c>
      <c r="AE905" s="71"/>
      <c r="AF905" s="71"/>
      <c r="AG905" s="71"/>
      <c r="AH905" s="71"/>
      <c r="AI905" s="71"/>
      <c r="AJ905" s="71"/>
      <c r="AK905" s="71" t="s">
        <v>181</v>
      </c>
      <c r="AL905">
        <f t="shared" si="23"/>
        <v>169475.00000000003</v>
      </c>
    </row>
    <row r="906" spans="1:38">
      <c r="A906" s="62">
        <v>8</v>
      </c>
      <c r="B906" s="93">
        <v>898</v>
      </c>
      <c r="C906" s="68" t="s">
        <v>7475</v>
      </c>
      <c r="D906" s="59" t="s">
        <v>8247</v>
      </c>
      <c r="E906" s="72" t="s">
        <v>5862</v>
      </c>
      <c r="F906" s="73" t="s">
        <v>8248</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6754</v>
      </c>
      <c r="U906" s="63">
        <v>398</v>
      </c>
      <c r="V906" s="70">
        <v>70320</v>
      </c>
      <c r="W906" s="70">
        <v>70000</v>
      </c>
      <c r="X906" s="83" t="s">
        <v>6774</v>
      </c>
      <c r="Y906" s="70">
        <f t="shared" si="22"/>
        <v>35000</v>
      </c>
      <c r="Z906" s="63" t="s">
        <v>5866</v>
      </c>
      <c r="AA906" s="59">
        <v>3</v>
      </c>
      <c r="AB906" s="59">
        <v>3</v>
      </c>
      <c r="AC906" s="67" t="s">
        <v>333</v>
      </c>
      <c r="AD906" s="61" t="s">
        <v>5879</v>
      </c>
      <c r="AE906" s="71"/>
      <c r="AF906" s="71"/>
      <c r="AG906" s="71"/>
      <c r="AH906" s="71"/>
      <c r="AI906" s="71"/>
      <c r="AJ906" s="71"/>
      <c r="AK906" s="71" t="s">
        <v>8249</v>
      </c>
      <c r="AL906">
        <f t="shared" si="23"/>
        <v>230160</v>
      </c>
    </row>
    <row r="907" spans="1:38">
      <c r="A907" s="62">
        <v>8</v>
      </c>
      <c r="B907" s="93">
        <v>899</v>
      </c>
      <c r="C907" s="68" t="s">
        <v>7475</v>
      </c>
      <c r="D907" s="59" t="s">
        <v>7258</v>
      </c>
      <c r="E907" s="72" t="s">
        <v>5862</v>
      </c>
      <c r="F907" s="73" t="s">
        <v>8250</v>
      </c>
      <c r="G907" s="82">
        <v>44.2</v>
      </c>
      <c r="H907" s="67">
        <v>9506</v>
      </c>
      <c r="I907" s="69">
        <v>0</v>
      </c>
      <c r="J907" s="70">
        <v>13570</v>
      </c>
      <c r="K907" s="75">
        <v>7.9587324981577012</v>
      </c>
      <c r="L907" s="74">
        <v>0</v>
      </c>
      <c r="M907" s="76">
        <v>0</v>
      </c>
      <c r="N907" s="67">
        <v>1974</v>
      </c>
      <c r="O907" s="64">
        <v>3360</v>
      </c>
      <c r="Q907" s="59">
        <v>13</v>
      </c>
      <c r="R907" s="59">
        <v>3</v>
      </c>
      <c r="S907" s="59">
        <v>1</v>
      </c>
      <c r="T907" s="63" t="s">
        <v>6754</v>
      </c>
      <c r="U907" s="63">
        <v>398</v>
      </c>
      <c r="V907" s="70">
        <v>53150</v>
      </c>
      <c r="W907" s="70">
        <v>50000</v>
      </c>
      <c r="X907" s="83" t="s">
        <v>5865</v>
      </c>
      <c r="Y907" s="70">
        <f t="shared" si="22"/>
        <v>14000</v>
      </c>
      <c r="Z907" s="63" t="s">
        <v>5866</v>
      </c>
      <c r="AA907" s="59">
        <v>3</v>
      </c>
      <c r="AB907" s="59">
        <v>3</v>
      </c>
      <c r="AC907" s="67" t="s">
        <v>333</v>
      </c>
      <c r="AD907" s="61" t="s">
        <v>181</v>
      </c>
      <c r="AE907" s="71"/>
      <c r="AF907" s="71"/>
      <c r="AG907" s="71"/>
      <c r="AH907" s="71"/>
      <c r="AI907" s="71"/>
      <c r="AJ907" s="71"/>
      <c r="AK907" s="71" t="s">
        <v>8251</v>
      </c>
      <c r="AL907">
        <f t="shared" si="23"/>
        <v>108000</v>
      </c>
    </row>
    <row r="908" spans="1:38">
      <c r="A908" s="62">
        <v>8</v>
      </c>
      <c r="B908" s="93">
        <v>900</v>
      </c>
      <c r="C908" s="68" t="s">
        <v>7475</v>
      </c>
      <c r="D908" s="59" t="s">
        <v>8252</v>
      </c>
      <c r="E908" s="72" t="s">
        <v>5862</v>
      </c>
      <c r="F908" s="73" t="s">
        <v>8253</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6754</v>
      </c>
      <c r="U908" s="63">
        <v>398</v>
      </c>
      <c r="V908" s="70">
        <v>124000</v>
      </c>
      <c r="W908" s="70">
        <v>120000</v>
      </c>
      <c r="X908" s="83" t="s">
        <v>6091</v>
      </c>
      <c r="Y908" s="70">
        <f>ROUND(J908,-4)</f>
        <v>70000</v>
      </c>
      <c r="Z908" s="63" t="s">
        <v>5866</v>
      </c>
      <c r="AA908" s="59">
        <v>3</v>
      </c>
      <c r="AB908" s="59">
        <v>3</v>
      </c>
      <c r="AC908" s="67" t="s">
        <v>333</v>
      </c>
      <c r="AD908" s="61" t="s">
        <v>181</v>
      </c>
      <c r="AE908" s="71"/>
      <c r="AF908" s="71"/>
      <c r="AG908" s="71"/>
      <c r="AH908" s="71"/>
      <c r="AI908" s="71"/>
      <c r="AJ908" s="71"/>
      <c r="AK908" s="71" t="s">
        <v>181</v>
      </c>
      <c r="AL908">
        <f t="shared" si="23"/>
        <v>313262</v>
      </c>
    </row>
    <row r="909" spans="1:38">
      <c r="A909" s="62">
        <v>8</v>
      </c>
      <c r="B909" s="93">
        <v>901</v>
      </c>
      <c r="C909" s="68" t="s">
        <v>7475</v>
      </c>
      <c r="D909" s="59" t="s">
        <v>8254</v>
      </c>
      <c r="E909" s="72" t="s">
        <v>5862</v>
      </c>
      <c r="F909" s="73" t="s">
        <v>8255</v>
      </c>
      <c r="G909" s="82">
        <v>44.1</v>
      </c>
      <c r="H909" s="67">
        <v>9506</v>
      </c>
      <c r="I909" s="69">
        <v>0</v>
      </c>
      <c r="J909" s="70">
        <v>3027</v>
      </c>
      <c r="K909" s="75">
        <v>9.80773042616452</v>
      </c>
      <c r="L909" s="74">
        <v>0</v>
      </c>
      <c r="M909" s="76">
        <v>0</v>
      </c>
      <c r="N909" s="67">
        <v>1959</v>
      </c>
      <c r="O909" s="64">
        <v>629</v>
      </c>
      <c r="Q909" s="59">
        <v>11</v>
      </c>
      <c r="R909" s="59">
        <v>3</v>
      </c>
      <c r="S909" s="59">
        <v>1</v>
      </c>
      <c r="T909" s="63" t="s">
        <v>6754</v>
      </c>
      <c r="U909" s="63">
        <v>398</v>
      </c>
      <c r="V909" s="70">
        <v>4837</v>
      </c>
      <c r="W909" s="70">
        <v>5000</v>
      </c>
      <c r="X909" s="83" t="s">
        <v>5896</v>
      </c>
      <c r="Y909" s="70">
        <f t="shared" ref="Y909:Y919" si="24">ROUND(J909,-3)</f>
        <v>3000</v>
      </c>
      <c r="Z909" s="63" t="s">
        <v>5866</v>
      </c>
      <c r="AA909" s="59">
        <v>3</v>
      </c>
      <c r="AB909" s="59">
        <v>3</v>
      </c>
      <c r="AC909" s="67" t="s">
        <v>333</v>
      </c>
      <c r="AD909" s="61" t="s">
        <v>8256</v>
      </c>
      <c r="AE909" s="71"/>
      <c r="AF909" s="71"/>
      <c r="AG909" s="71"/>
      <c r="AH909" s="71"/>
      <c r="AI909" s="71"/>
      <c r="AJ909" s="71"/>
      <c r="AK909" s="71" t="s">
        <v>8257</v>
      </c>
      <c r="AL909">
        <f t="shared" si="23"/>
        <v>29688.000000000004</v>
      </c>
    </row>
    <row r="910" spans="1:38">
      <c r="A910" s="62">
        <v>8</v>
      </c>
      <c r="B910" s="93">
        <v>902</v>
      </c>
      <c r="C910" s="68" t="s">
        <v>7475</v>
      </c>
      <c r="D910" s="59" t="s">
        <v>8258</v>
      </c>
      <c r="E910" s="72" t="s">
        <v>5862</v>
      </c>
      <c r="F910" s="73" t="s">
        <v>8259</v>
      </c>
      <c r="G910" s="82">
        <v>46.1</v>
      </c>
      <c r="H910" s="67">
        <v>9506</v>
      </c>
      <c r="I910" s="69">
        <v>0</v>
      </c>
      <c r="J910" s="70">
        <v>4000</v>
      </c>
      <c r="K910" s="75">
        <v>5.4</v>
      </c>
      <c r="L910" s="74">
        <v>0</v>
      </c>
      <c r="M910" s="76">
        <v>0</v>
      </c>
      <c r="N910" s="67">
        <v>1966</v>
      </c>
      <c r="O910" s="64">
        <v>500</v>
      </c>
      <c r="Q910" s="59">
        <v>14</v>
      </c>
      <c r="R910" s="59">
        <v>3</v>
      </c>
      <c r="S910" s="59">
        <v>1</v>
      </c>
      <c r="T910" s="63" t="s">
        <v>6757</v>
      </c>
      <c r="U910" s="63">
        <v>401</v>
      </c>
      <c r="V910" s="70">
        <v>10000</v>
      </c>
      <c r="W910" s="70">
        <v>10000</v>
      </c>
      <c r="X910" s="83" t="s">
        <v>5920</v>
      </c>
      <c r="Y910" s="70">
        <f t="shared" si="24"/>
        <v>4000</v>
      </c>
      <c r="Z910" s="63" t="s">
        <v>5866</v>
      </c>
      <c r="AA910" s="59">
        <v>3</v>
      </c>
      <c r="AB910" s="59">
        <v>3</v>
      </c>
      <c r="AC910" s="67" t="s">
        <v>333</v>
      </c>
      <c r="AD910" s="61" t="s">
        <v>8260</v>
      </c>
      <c r="AE910" s="71"/>
      <c r="AF910" s="71"/>
      <c r="AG910" s="71"/>
      <c r="AH910" s="71"/>
      <c r="AI910" s="71"/>
      <c r="AJ910" s="71"/>
      <c r="AK910" s="71" t="s">
        <v>181</v>
      </c>
      <c r="AL910">
        <f t="shared" si="23"/>
        <v>21600</v>
      </c>
    </row>
    <row r="911" spans="1:38">
      <c r="A911" s="62">
        <v>8</v>
      </c>
      <c r="B911" s="93">
        <v>903</v>
      </c>
      <c r="C911" s="68" t="s">
        <v>7475</v>
      </c>
      <c r="D911" s="59" t="s">
        <v>8261</v>
      </c>
      <c r="E911" s="72" t="s">
        <v>5862</v>
      </c>
      <c r="F911" s="73" t="s">
        <v>8262</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6754</v>
      </c>
      <c r="U911" s="63">
        <v>398</v>
      </c>
      <c r="V911" s="70">
        <v>12500</v>
      </c>
      <c r="W911" s="70">
        <v>13000</v>
      </c>
      <c r="X911" s="83" t="s">
        <v>5896</v>
      </c>
      <c r="Y911" s="70">
        <f t="shared" si="24"/>
        <v>8000</v>
      </c>
      <c r="Z911" s="63" t="s">
        <v>5866</v>
      </c>
      <c r="AA911" s="59">
        <v>3</v>
      </c>
      <c r="AB911" s="59">
        <v>3</v>
      </c>
      <c r="AC911" s="67" t="s">
        <v>333</v>
      </c>
      <c r="AD911" s="61" t="s">
        <v>181</v>
      </c>
      <c r="AE911" s="71"/>
      <c r="AF911" s="71"/>
      <c r="AG911" s="71"/>
      <c r="AH911" s="71"/>
      <c r="AI911" s="71"/>
      <c r="AJ911" s="71"/>
      <c r="AK911" s="71" t="s">
        <v>181</v>
      </c>
      <c r="AL911">
        <f t="shared" si="23"/>
        <v>62400</v>
      </c>
    </row>
    <row r="912" spans="1:38">
      <c r="A912" s="62">
        <v>8</v>
      </c>
      <c r="B912" s="93">
        <v>904</v>
      </c>
      <c r="C912" s="68" t="s">
        <v>7475</v>
      </c>
      <c r="D912" s="59" t="s">
        <v>6562</v>
      </c>
      <c r="E912" s="72" t="s">
        <v>5862</v>
      </c>
      <c r="F912" s="73" t="s">
        <v>6563</v>
      </c>
      <c r="G912" s="82">
        <v>44.5</v>
      </c>
      <c r="H912" s="67">
        <v>9506</v>
      </c>
      <c r="I912" s="69">
        <v>0</v>
      </c>
      <c r="J912" s="70">
        <v>3285</v>
      </c>
      <c r="K912" s="75">
        <v>6.2100456621004563</v>
      </c>
      <c r="L912" s="74">
        <v>0.63127690100430411</v>
      </c>
      <c r="M912" s="76">
        <v>0</v>
      </c>
      <c r="N912" s="67">
        <v>1973</v>
      </c>
      <c r="Q912" s="59">
        <v>12</v>
      </c>
      <c r="R912" s="59">
        <v>7</v>
      </c>
      <c r="S912" s="59">
        <v>20</v>
      </c>
      <c r="T912" s="63" t="s">
        <v>6757</v>
      </c>
      <c r="U912" s="63">
        <v>396</v>
      </c>
      <c r="V912" s="70">
        <v>9375</v>
      </c>
      <c r="W912" s="70">
        <v>9000</v>
      </c>
      <c r="X912" s="83" t="s">
        <v>5985</v>
      </c>
      <c r="Y912" s="70">
        <f t="shared" si="24"/>
        <v>3000</v>
      </c>
      <c r="Z912" s="63" t="s">
        <v>5866</v>
      </c>
      <c r="AA912" s="59">
        <v>3</v>
      </c>
      <c r="AB912" s="59">
        <v>3</v>
      </c>
      <c r="AC912" s="67" t="s">
        <v>333</v>
      </c>
      <c r="AD912" s="61" t="s">
        <v>6564</v>
      </c>
      <c r="AE912" s="71"/>
      <c r="AF912" s="71"/>
      <c r="AG912" s="71"/>
      <c r="AH912" s="71"/>
      <c r="AI912" s="71"/>
      <c r="AJ912" s="71"/>
      <c r="AK912" s="71" t="s">
        <v>8263</v>
      </c>
      <c r="AL912">
        <f t="shared" si="23"/>
        <v>1020</v>
      </c>
    </row>
    <row r="913" spans="1:42">
      <c r="A913" s="62">
        <v>8</v>
      </c>
      <c r="B913" s="93">
        <v>905</v>
      </c>
      <c r="C913" s="68" t="s">
        <v>7475</v>
      </c>
      <c r="D913" s="59" t="s">
        <v>6565</v>
      </c>
      <c r="E913" s="72" t="s">
        <v>5862</v>
      </c>
      <c r="F913" s="73" t="s">
        <v>6566</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6757</v>
      </c>
      <c r="U913" s="63">
        <v>398</v>
      </c>
      <c r="V913" s="70">
        <v>12500</v>
      </c>
      <c r="W913" s="70">
        <v>13000</v>
      </c>
      <c r="X913" s="83" t="s">
        <v>5982</v>
      </c>
      <c r="Y913" s="70">
        <f t="shared" si="24"/>
        <v>6000</v>
      </c>
      <c r="Z913" s="63" t="s">
        <v>5866</v>
      </c>
      <c r="AA913" s="59">
        <v>3</v>
      </c>
      <c r="AB913" s="59">
        <v>3</v>
      </c>
      <c r="AC913" s="67" t="s">
        <v>333</v>
      </c>
      <c r="AD913" s="61" t="s">
        <v>181</v>
      </c>
      <c r="AE913" s="71"/>
      <c r="AF913" s="71"/>
      <c r="AG913" s="71"/>
      <c r="AH913" s="71"/>
      <c r="AI913" s="71"/>
      <c r="AJ913" s="71"/>
      <c r="AK913" s="71" t="s">
        <v>8264</v>
      </c>
      <c r="AL913">
        <f t="shared" si="23"/>
        <v>34375</v>
      </c>
    </row>
    <row r="914" spans="1:42">
      <c r="A914" s="62">
        <v>8</v>
      </c>
      <c r="B914" s="93">
        <v>906</v>
      </c>
      <c r="C914" s="68" t="s">
        <v>7475</v>
      </c>
      <c r="D914" s="59" t="s">
        <v>8265</v>
      </c>
      <c r="E914" s="72" t="s">
        <v>5862</v>
      </c>
      <c r="F914" s="73" t="s">
        <v>8266</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6757</v>
      </c>
      <c r="U914" s="63">
        <v>398</v>
      </c>
      <c r="V914" s="70">
        <v>18750</v>
      </c>
      <c r="W914" s="70">
        <v>19000</v>
      </c>
      <c r="X914" s="83" t="s">
        <v>5878</v>
      </c>
      <c r="Y914" s="70">
        <f t="shared" si="24"/>
        <v>8000</v>
      </c>
      <c r="Z914" s="63" t="s">
        <v>5866</v>
      </c>
      <c r="AA914" s="59">
        <v>3</v>
      </c>
      <c r="AB914" s="59">
        <v>3</v>
      </c>
      <c r="AC914" s="67" t="s">
        <v>333</v>
      </c>
      <c r="AD914" s="61" t="s">
        <v>5879</v>
      </c>
      <c r="AE914" s="71"/>
      <c r="AF914" s="71"/>
      <c r="AG914" s="71"/>
      <c r="AH914" s="71"/>
      <c r="AI914" s="71"/>
      <c r="AJ914" s="71"/>
      <c r="AK914" s="71" t="s">
        <v>8267</v>
      </c>
      <c r="AL914">
        <f t="shared" si="23"/>
        <v>34791.999999999993</v>
      </c>
    </row>
    <row r="915" spans="1:42">
      <c r="A915" s="62">
        <v>8</v>
      </c>
      <c r="B915" s="93">
        <v>907</v>
      </c>
      <c r="C915" s="68" t="s">
        <v>7475</v>
      </c>
      <c r="D915" s="59" t="s">
        <v>8268</v>
      </c>
      <c r="E915" s="72" t="s">
        <v>5862</v>
      </c>
      <c r="F915" s="73" t="s">
        <v>8269</v>
      </c>
      <c r="G915" s="82">
        <v>43.1</v>
      </c>
      <c r="H915" s="67">
        <v>9506</v>
      </c>
      <c r="I915" s="69">
        <v>0</v>
      </c>
      <c r="J915" s="70">
        <v>9132</v>
      </c>
      <c r="K915" s="75">
        <v>3.9421813403416559</v>
      </c>
      <c r="L915" s="74">
        <v>0</v>
      </c>
      <c r="M915" s="76">
        <v>0</v>
      </c>
      <c r="N915" s="67">
        <v>1969</v>
      </c>
      <c r="O915" s="64">
        <v>7162</v>
      </c>
      <c r="Q915" s="59">
        <v>12</v>
      </c>
      <c r="R915" s="59">
        <v>3</v>
      </c>
      <c r="S915" s="59">
        <v>1</v>
      </c>
      <c r="T915" s="63" t="s">
        <v>6757</v>
      </c>
      <c r="U915" s="63">
        <v>401</v>
      </c>
      <c r="V915" s="70">
        <v>16500</v>
      </c>
      <c r="W915" s="70">
        <v>17000</v>
      </c>
      <c r="X915" s="83" t="s">
        <v>6091</v>
      </c>
      <c r="Y915" s="70">
        <f t="shared" si="24"/>
        <v>9000</v>
      </c>
      <c r="Z915" s="63" t="s">
        <v>5866</v>
      </c>
      <c r="AA915" s="59">
        <v>3</v>
      </c>
      <c r="AB915" s="59">
        <v>3</v>
      </c>
      <c r="AC915" s="67" t="s">
        <v>333</v>
      </c>
      <c r="AD915" s="61" t="s">
        <v>8270</v>
      </c>
      <c r="AE915" s="71"/>
      <c r="AF915" s="71"/>
      <c r="AG915" s="71"/>
      <c r="AH915" s="71"/>
      <c r="AI915" s="71"/>
      <c r="AJ915" s="71"/>
      <c r="AK915" s="71" t="s">
        <v>8151</v>
      </c>
      <c r="AL915">
        <f t="shared" si="23"/>
        <v>36000</v>
      </c>
    </row>
    <row r="916" spans="1:42">
      <c r="A916" s="62">
        <v>8</v>
      </c>
      <c r="B916" s="93">
        <v>908</v>
      </c>
      <c r="C916" s="68" t="s">
        <v>7475</v>
      </c>
      <c r="D916" s="59" t="s">
        <v>8271</v>
      </c>
      <c r="E916" s="72" t="s">
        <v>5862</v>
      </c>
      <c r="F916" s="73" t="s">
        <v>8272</v>
      </c>
      <c r="G916" s="82">
        <v>44.2</v>
      </c>
      <c r="H916" s="67">
        <v>9506</v>
      </c>
      <c r="I916" s="69">
        <v>0</v>
      </c>
      <c r="J916" s="70">
        <v>5000</v>
      </c>
      <c r="K916" s="75">
        <v>6.7</v>
      </c>
      <c r="L916" s="74">
        <v>0</v>
      </c>
      <c r="M916" s="76">
        <v>0</v>
      </c>
      <c r="N916" s="67">
        <v>1995</v>
      </c>
      <c r="O916" s="64">
        <v>576</v>
      </c>
      <c r="Q916" s="59">
        <v>16</v>
      </c>
      <c r="R916" s="59">
        <v>8</v>
      </c>
      <c r="S916" s="59">
        <v>1</v>
      </c>
      <c r="T916" s="63" t="s">
        <v>6757</v>
      </c>
      <c r="U916" s="63">
        <v>398</v>
      </c>
      <c r="V916" s="70">
        <v>15625</v>
      </c>
      <c r="W916" s="70">
        <v>16000</v>
      </c>
      <c r="X916" s="83" t="s">
        <v>5979</v>
      </c>
      <c r="Y916" s="70">
        <f t="shared" si="24"/>
        <v>5000</v>
      </c>
      <c r="Z916" s="63" t="s">
        <v>5866</v>
      </c>
      <c r="AA916" s="59">
        <v>3</v>
      </c>
      <c r="AB916" s="59">
        <v>3</v>
      </c>
      <c r="AC916" s="67" t="s">
        <v>333</v>
      </c>
      <c r="AD916" s="61" t="s">
        <v>8273</v>
      </c>
      <c r="AE916" s="71"/>
      <c r="AF916" s="71"/>
      <c r="AG916" s="71"/>
      <c r="AH916" s="71"/>
      <c r="AI916" s="71"/>
      <c r="AJ916" s="71"/>
      <c r="AK916" s="71" t="s">
        <v>8274</v>
      </c>
      <c r="AL916">
        <f t="shared" si="23"/>
        <v>33500</v>
      </c>
    </row>
    <row r="917" spans="1:42">
      <c r="A917" s="62">
        <v>8</v>
      </c>
      <c r="B917" s="93">
        <v>909</v>
      </c>
      <c r="C917" s="68" t="s">
        <v>7475</v>
      </c>
      <c r="D917" s="59" t="s">
        <v>6571</v>
      </c>
      <c r="E917" s="72" t="s">
        <v>5862</v>
      </c>
      <c r="F917" s="73" t="s">
        <v>6572</v>
      </c>
      <c r="G917" s="82">
        <v>44.1</v>
      </c>
      <c r="H917" s="67">
        <v>9506</v>
      </c>
      <c r="I917" s="69">
        <v>0</v>
      </c>
      <c r="J917" s="70">
        <v>5615</v>
      </c>
      <c r="K917" s="75">
        <v>7.2128227960819231</v>
      </c>
      <c r="L917" s="74">
        <v>0</v>
      </c>
      <c r="M917" s="76">
        <v>0.10246913580246909</v>
      </c>
      <c r="N917" s="67">
        <v>1963</v>
      </c>
      <c r="O917" s="64">
        <v>1057</v>
      </c>
      <c r="P917" s="64" t="s">
        <v>181</v>
      </c>
      <c r="Q917" s="59">
        <v>13</v>
      </c>
      <c r="R917" s="59">
        <v>1</v>
      </c>
      <c r="S917" s="59">
        <v>2</v>
      </c>
      <c r="T917" s="63" t="s">
        <v>6754</v>
      </c>
      <c r="U917" s="63">
        <v>398</v>
      </c>
      <c r="V917" s="70">
        <v>10027</v>
      </c>
      <c r="W917" s="70">
        <v>10000</v>
      </c>
      <c r="X917" s="83" t="s">
        <v>6065</v>
      </c>
      <c r="Y917" s="70">
        <f t="shared" si="24"/>
        <v>6000</v>
      </c>
      <c r="Z917" s="63" t="s">
        <v>5866</v>
      </c>
      <c r="AA917" s="59">
        <v>3</v>
      </c>
      <c r="AB917" s="59">
        <v>3</v>
      </c>
      <c r="AC917" s="67" t="s">
        <v>333</v>
      </c>
      <c r="AD917" s="61" t="s">
        <v>6573</v>
      </c>
      <c r="AE917" s="71"/>
      <c r="AF917" s="71"/>
      <c r="AG917" s="71"/>
      <c r="AH917" s="71"/>
      <c r="AI917" s="71"/>
      <c r="AJ917" s="71"/>
      <c r="AK917" s="71" t="s">
        <v>8275</v>
      </c>
      <c r="AL917">
        <f t="shared" si="23"/>
        <v>20250</v>
      </c>
    </row>
    <row r="918" spans="1:42">
      <c r="A918" s="62">
        <v>8</v>
      </c>
      <c r="B918" s="93">
        <v>910</v>
      </c>
      <c r="C918" s="68" t="s">
        <v>7475</v>
      </c>
      <c r="D918" s="59" t="s">
        <v>7274</v>
      </c>
      <c r="E918" s="72" t="s">
        <v>5862</v>
      </c>
      <c r="F918" s="73" t="s">
        <v>8276</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6754</v>
      </c>
      <c r="U918" s="63">
        <v>401</v>
      </c>
      <c r="V918" s="70">
        <v>89364</v>
      </c>
      <c r="W918" s="70">
        <v>90000</v>
      </c>
      <c r="X918" s="83" t="s">
        <v>5903</v>
      </c>
      <c r="Y918" s="70">
        <f t="shared" si="24"/>
        <v>47000</v>
      </c>
      <c r="Z918" s="63" t="s">
        <v>5866</v>
      </c>
      <c r="AA918" s="59">
        <v>3</v>
      </c>
      <c r="AB918" s="59">
        <v>3</v>
      </c>
      <c r="AC918" s="67" t="s">
        <v>333</v>
      </c>
      <c r="AD918" s="61" t="s">
        <v>7276</v>
      </c>
      <c r="AE918" s="71"/>
      <c r="AF918" s="71"/>
      <c r="AG918" s="71"/>
      <c r="AH918" s="71"/>
      <c r="AI918" s="71"/>
      <c r="AJ918" s="71"/>
      <c r="AK918" s="71" t="s">
        <v>181</v>
      </c>
      <c r="AL918">
        <f t="shared" si="23"/>
        <v>239999.99999999997</v>
      </c>
    </row>
    <row r="919" spans="1:42">
      <c r="A919" s="62">
        <v>8</v>
      </c>
      <c r="B919" s="93">
        <v>911</v>
      </c>
      <c r="C919" s="68" t="s">
        <v>7475</v>
      </c>
      <c r="D919" s="59" t="s">
        <v>7277</v>
      </c>
      <c r="E919" s="72" t="s">
        <v>5862</v>
      </c>
      <c r="F919" s="73" t="s">
        <v>8277</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6754</v>
      </c>
      <c r="U919" s="63">
        <v>398</v>
      </c>
      <c r="V919" s="70">
        <v>52850</v>
      </c>
      <c r="W919" s="70">
        <v>50000</v>
      </c>
      <c r="X919" s="83" t="s">
        <v>6774</v>
      </c>
      <c r="Y919" s="70">
        <f t="shared" si="24"/>
        <v>22000</v>
      </c>
      <c r="Z919" s="63" t="s">
        <v>5866</v>
      </c>
      <c r="AA919" s="59">
        <v>3</v>
      </c>
      <c r="AB919" s="59">
        <v>2</v>
      </c>
      <c r="AC919" s="67" t="s">
        <v>329</v>
      </c>
      <c r="AD919" s="61" t="s">
        <v>7279</v>
      </c>
      <c r="AE919" s="71"/>
      <c r="AF919" s="71"/>
      <c r="AG919" s="71"/>
      <c r="AH919" s="71"/>
      <c r="AI919" s="71"/>
      <c r="AJ919" s="71"/>
      <c r="AK919" s="71" t="s">
        <v>8278</v>
      </c>
      <c r="AL919">
        <f t="shared" si="23"/>
        <v>25556.249999999996</v>
      </c>
    </row>
    <row r="920" spans="1:42">
      <c r="A920" s="62">
        <v>8</v>
      </c>
      <c r="B920" s="93">
        <v>912</v>
      </c>
      <c r="C920" s="68" t="s">
        <v>7495</v>
      </c>
      <c r="D920" s="59" t="s">
        <v>8279</v>
      </c>
      <c r="E920" s="63" t="s">
        <v>5862</v>
      </c>
      <c r="F920" s="59" t="s">
        <v>8280</v>
      </c>
      <c r="G920" s="82">
        <v>44.2</v>
      </c>
      <c r="H920" s="59">
        <v>9506</v>
      </c>
      <c r="I920" s="63">
        <v>0</v>
      </c>
      <c r="J920" s="64">
        <v>26251</v>
      </c>
      <c r="K920" s="87">
        <v>5.23</v>
      </c>
      <c r="L920" s="88">
        <v>0.39</v>
      </c>
      <c r="M920" s="88">
        <v>0</v>
      </c>
      <c r="N920" s="59">
        <v>1954</v>
      </c>
      <c r="O920" s="70">
        <v>6211</v>
      </c>
      <c r="P920" s="70">
        <v>651</v>
      </c>
      <c r="Q920" s="59">
        <v>9</v>
      </c>
      <c r="R920" s="59">
        <v>3</v>
      </c>
      <c r="S920" s="59">
        <v>5</v>
      </c>
      <c r="T920" s="63" t="s">
        <v>7099</v>
      </c>
      <c r="U920" s="63">
        <v>398</v>
      </c>
      <c r="V920" s="64">
        <v>52850</v>
      </c>
      <c r="W920" s="64">
        <v>50000</v>
      </c>
      <c r="X920" s="67" t="s">
        <v>6774</v>
      </c>
      <c r="Y920" s="64">
        <v>25000</v>
      </c>
      <c r="Z920" s="63" t="s">
        <v>209</v>
      </c>
      <c r="AA920" s="59">
        <v>2</v>
      </c>
      <c r="AB920" s="59">
        <v>2</v>
      </c>
      <c r="AC920" s="59">
        <v>22</v>
      </c>
      <c r="AD920" s="59" t="s">
        <v>8281</v>
      </c>
      <c r="AE920" s="89">
        <v>5.23</v>
      </c>
      <c r="AF920" s="90">
        <f>AE920*0.61</f>
        <v>3.1903000000000001</v>
      </c>
      <c r="AG920" s="90">
        <v>3.19</v>
      </c>
      <c r="AH920" s="90">
        <v>0</v>
      </c>
      <c r="AI920" s="90"/>
      <c r="AJ920" s="89"/>
      <c r="AK920" s="59" t="s">
        <v>8282</v>
      </c>
      <c r="AN920" s="71"/>
      <c r="AO920" s="71"/>
      <c r="AP920" s="71"/>
    </row>
    <row r="921" spans="1:42">
      <c r="A921" s="62">
        <v>8</v>
      </c>
      <c r="B921" s="93">
        <v>913</v>
      </c>
      <c r="C921" s="68" t="s">
        <v>7475</v>
      </c>
      <c r="D921" s="59" t="s">
        <v>8283</v>
      </c>
      <c r="E921" s="72" t="s">
        <v>5862</v>
      </c>
      <c r="F921" s="73" t="s">
        <v>8284</v>
      </c>
      <c r="G921" s="82">
        <v>44.1</v>
      </c>
      <c r="H921" s="67">
        <v>9506</v>
      </c>
      <c r="I921" s="69">
        <v>0</v>
      </c>
      <c r="J921" s="70">
        <v>17064</v>
      </c>
      <c r="K921" s="75">
        <v>3.8818565400843879</v>
      </c>
      <c r="L921" s="74">
        <v>0</v>
      </c>
      <c r="M921" s="76">
        <v>0</v>
      </c>
      <c r="N921" s="67">
        <v>2000</v>
      </c>
      <c r="O921" s="64" t="s">
        <v>181</v>
      </c>
      <c r="Q921" s="59">
        <v>25</v>
      </c>
      <c r="R921" s="59">
        <v>7</v>
      </c>
      <c r="S921" s="59">
        <v>1</v>
      </c>
      <c r="T921" s="63" t="s">
        <v>6754</v>
      </c>
      <c r="U921" s="63">
        <v>398</v>
      </c>
      <c r="V921" s="70">
        <v>93000</v>
      </c>
      <c r="W921" s="70">
        <v>90000</v>
      </c>
      <c r="X921" s="83" t="s">
        <v>6902</v>
      </c>
      <c r="Y921" s="70">
        <f>ROUND(J921,-3)</f>
        <v>17000</v>
      </c>
      <c r="Z921" s="63" t="s">
        <v>5866</v>
      </c>
      <c r="AA921" s="59">
        <v>3</v>
      </c>
      <c r="AB921" s="59">
        <v>1</v>
      </c>
      <c r="AC921" s="67" t="s">
        <v>323</v>
      </c>
      <c r="AD921" s="61" t="s">
        <v>8285</v>
      </c>
      <c r="AE921" s="71"/>
      <c r="AF921" s="71"/>
      <c r="AG921" s="71"/>
      <c r="AH921" s="71"/>
      <c r="AI921" s="71"/>
      <c r="AJ921" s="71"/>
      <c r="AK921" s="71" t="s">
        <v>8286</v>
      </c>
      <c r="AL921">
        <f>IF(AND(ISNUMBER($S921),$S921&gt;0,ISNUMBER($K921),ISNUMBER($J921)),($K921*$J921)/$S921,"")</f>
        <v>66240</v>
      </c>
    </row>
    <row r="922" spans="1:42">
      <c r="A922" s="62">
        <v>8</v>
      </c>
      <c r="B922" s="93">
        <v>914</v>
      </c>
      <c r="C922" s="68" t="s">
        <v>7475</v>
      </c>
      <c r="D922" s="59" t="s">
        <v>8287</v>
      </c>
      <c r="E922" s="72" t="s">
        <v>5862</v>
      </c>
      <c r="F922" s="73" t="s">
        <v>8288</v>
      </c>
      <c r="G922" s="82">
        <v>44.1</v>
      </c>
      <c r="H922" s="67">
        <v>9506</v>
      </c>
      <c r="I922" s="69">
        <v>0</v>
      </c>
      <c r="J922" s="70">
        <v>2746</v>
      </c>
      <c r="K922" s="75">
        <v>9.0677348871085215</v>
      </c>
      <c r="L922" s="74">
        <v>0</v>
      </c>
      <c r="M922" s="76">
        <v>0</v>
      </c>
      <c r="N922" s="67">
        <v>1959</v>
      </c>
      <c r="O922" s="64">
        <v>197</v>
      </c>
      <c r="Q922" s="59">
        <v>11</v>
      </c>
      <c r="R922" s="59">
        <v>3</v>
      </c>
      <c r="S922" s="59">
        <v>1</v>
      </c>
      <c r="T922" s="63" t="s">
        <v>6757</v>
      </c>
      <c r="U922" s="63">
        <v>398</v>
      </c>
      <c r="V922" s="70">
        <v>9910</v>
      </c>
      <c r="W922" s="70">
        <v>10000</v>
      </c>
      <c r="X922" s="83" t="s">
        <v>6240</v>
      </c>
      <c r="Y922" s="70">
        <f>ROUND(J922,-3)</f>
        <v>3000</v>
      </c>
      <c r="Z922" s="63" t="s">
        <v>5866</v>
      </c>
      <c r="AA922" s="59">
        <v>3</v>
      </c>
      <c r="AB922" s="59">
        <v>3</v>
      </c>
      <c r="AC922" s="67" t="s">
        <v>333</v>
      </c>
      <c r="AD922" s="61" t="s">
        <v>5904</v>
      </c>
      <c r="AE922" s="71"/>
      <c r="AF922" s="71"/>
      <c r="AG922" s="71"/>
      <c r="AH922" s="71"/>
      <c r="AI922" s="71"/>
      <c r="AJ922" s="71"/>
      <c r="AK922" s="71" t="s">
        <v>181</v>
      </c>
      <c r="AL922">
        <f>IF(AND(ISNUMBER($S922),$S922&gt;0,ISNUMBER($K922),ISNUMBER($J922)),($K922*$J922)/$S922,"")</f>
        <v>24900</v>
      </c>
    </row>
    <row r="923" spans="1:42">
      <c r="A923" s="62">
        <v>8</v>
      </c>
      <c r="B923" s="93">
        <v>915</v>
      </c>
      <c r="C923" s="68" t="s">
        <v>7495</v>
      </c>
      <c r="D923" s="59" t="s">
        <v>8289</v>
      </c>
      <c r="E923" s="63" t="s">
        <v>5862</v>
      </c>
      <c r="F923" s="59" t="s">
        <v>8290</v>
      </c>
      <c r="G923" s="82">
        <v>44.2</v>
      </c>
      <c r="H923" s="59">
        <v>9506</v>
      </c>
      <c r="I923" s="63">
        <v>0</v>
      </c>
      <c r="J923" s="64">
        <v>14819</v>
      </c>
      <c r="K923" s="87">
        <v>4.8</v>
      </c>
      <c r="L923" s="88">
        <v>0</v>
      </c>
      <c r="M923" s="88">
        <v>0.17</v>
      </c>
      <c r="N923" s="59">
        <v>1963</v>
      </c>
      <c r="O923" s="70">
        <v>1824</v>
      </c>
      <c r="P923" s="70">
        <v>0</v>
      </c>
      <c r="Q923" s="59">
        <v>14</v>
      </c>
      <c r="R923" s="59">
        <v>1</v>
      </c>
      <c r="S923" s="59">
        <v>1</v>
      </c>
      <c r="T923" s="63" t="s">
        <v>7099</v>
      </c>
      <c r="U923" s="59">
        <v>398</v>
      </c>
      <c r="V923" s="64">
        <v>20000</v>
      </c>
      <c r="W923" s="64">
        <v>20000</v>
      </c>
      <c r="X923" s="67" t="s">
        <v>6331</v>
      </c>
      <c r="Y923" s="64">
        <v>15000</v>
      </c>
      <c r="Z923" s="63" t="s">
        <v>209</v>
      </c>
      <c r="AA923" s="59">
        <v>3</v>
      </c>
      <c r="AB923" s="59">
        <v>3</v>
      </c>
      <c r="AC923" s="59">
        <v>33</v>
      </c>
      <c r="AE923" s="89">
        <v>4.8</v>
      </c>
      <c r="AF923" s="90">
        <v>4.05</v>
      </c>
      <c r="AG923" s="90">
        <v>3.34</v>
      </c>
      <c r="AH923" s="90">
        <v>0.7</v>
      </c>
      <c r="AI923" s="90" t="s">
        <v>1057</v>
      </c>
      <c r="AJ923" s="89" t="s">
        <v>1057</v>
      </c>
      <c r="AN923" s="71"/>
      <c r="AO923" s="71"/>
      <c r="AP923" s="71"/>
    </row>
    <row r="924" spans="1:42">
      <c r="A924" s="62">
        <v>8</v>
      </c>
      <c r="B924" s="93">
        <v>916</v>
      </c>
      <c r="C924" s="68" t="s">
        <v>7475</v>
      </c>
      <c r="D924" s="59" t="s">
        <v>8291</v>
      </c>
      <c r="E924" s="72" t="s">
        <v>5862</v>
      </c>
      <c r="F924" s="73" t="s">
        <v>8292</v>
      </c>
      <c r="G924" s="82">
        <v>44.1</v>
      </c>
      <c r="H924" s="67">
        <v>9506</v>
      </c>
      <c r="I924" s="69">
        <v>0</v>
      </c>
      <c r="J924" s="70">
        <v>71142</v>
      </c>
      <c r="K924" s="75">
        <v>6.5185122712321837</v>
      </c>
      <c r="L924" s="74">
        <v>0</v>
      </c>
      <c r="M924" s="76">
        <v>0</v>
      </c>
      <c r="N924" s="67">
        <v>2001</v>
      </c>
      <c r="Q924" s="59">
        <v>22</v>
      </c>
      <c r="R924" s="59">
        <v>7</v>
      </c>
      <c r="S924" s="59">
        <v>1</v>
      </c>
      <c r="T924" s="63" t="s">
        <v>6754</v>
      </c>
      <c r="U924" s="63">
        <v>398</v>
      </c>
      <c r="V924" s="70">
        <v>187236</v>
      </c>
      <c r="W924" s="70">
        <v>190000</v>
      </c>
      <c r="X924" s="83" t="s">
        <v>5952</v>
      </c>
      <c r="Y924" s="70">
        <f>ROUND(J924,-4)</f>
        <v>70000</v>
      </c>
      <c r="Z924" s="63" t="s">
        <v>5866</v>
      </c>
      <c r="AA924" s="59">
        <v>3</v>
      </c>
      <c r="AB924" s="59">
        <v>3</v>
      </c>
      <c r="AC924" s="67" t="s">
        <v>333</v>
      </c>
      <c r="AD924" s="61" t="s">
        <v>8293</v>
      </c>
      <c r="AE924" s="71"/>
      <c r="AF924" s="71"/>
      <c r="AG924" s="71"/>
      <c r="AH924" s="71"/>
      <c r="AI924" s="71"/>
      <c r="AJ924" s="71"/>
      <c r="AK924" s="71" t="s">
        <v>8151</v>
      </c>
      <c r="AL924">
        <f>IF(AND(ISNUMBER($S924),$S924&gt;0,ISNUMBER($K924),ISNUMBER($J924)),($K924*$J924)/$S924,"")</f>
        <v>463740</v>
      </c>
    </row>
    <row r="925" spans="1:42">
      <c r="A925" s="62">
        <v>8</v>
      </c>
      <c r="B925" s="93">
        <v>917</v>
      </c>
      <c r="C925" s="68" t="s">
        <v>7475</v>
      </c>
      <c r="D925" s="59" t="s">
        <v>7292</v>
      </c>
      <c r="E925" s="72" t="s">
        <v>5862</v>
      </c>
      <c r="F925" s="73" t="s">
        <v>8294</v>
      </c>
      <c r="G925" s="82">
        <v>44.1</v>
      </c>
      <c r="H925" s="67">
        <v>9506</v>
      </c>
      <c r="I925" s="69">
        <v>5</v>
      </c>
      <c r="J925" s="70">
        <v>5077</v>
      </c>
      <c r="K925" s="75">
        <v>7.0908016545203862</v>
      </c>
      <c r="L925" s="74">
        <v>0</v>
      </c>
      <c r="M925" s="76">
        <v>0</v>
      </c>
      <c r="N925" s="67">
        <v>1956</v>
      </c>
      <c r="O925" s="64">
        <v>480</v>
      </c>
      <c r="Q925" s="59">
        <v>15</v>
      </c>
      <c r="R925" s="59">
        <v>1</v>
      </c>
      <c r="S925" s="59">
        <v>1</v>
      </c>
      <c r="T925" s="63" t="s">
        <v>7018</v>
      </c>
      <c r="U925" s="63">
        <v>398</v>
      </c>
      <c r="V925" s="70">
        <v>15254</v>
      </c>
      <c r="W925" s="70">
        <v>15000</v>
      </c>
      <c r="X925" s="83" t="s">
        <v>6791</v>
      </c>
      <c r="Y925" s="70">
        <f>ROUND(J925,-3)</f>
        <v>5000</v>
      </c>
      <c r="Z925" s="63" t="s">
        <v>5866</v>
      </c>
      <c r="AA925" s="59">
        <v>3</v>
      </c>
      <c r="AB925" s="59">
        <v>3</v>
      </c>
      <c r="AC925" s="67" t="s">
        <v>333</v>
      </c>
      <c r="AD925" s="61" t="s">
        <v>181</v>
      </c>
      <c r="AE925" s="71"/>
      <c r="AF925" s="71"/>
      <c r="AG925" s="71"/>
      <c r="AH925" s="71"/>
      <c r="AI925" s="71"/>
      <c r="AJ925" s="71"/>
      <c r="AK925" s="71" t="s">
        <v>181</v>
      </c>
      <c r="AL925">
        <f>IF(AND(ISNUMBER($S925),$S925&gt;0,ISNUMBER($K925),ISNUMBER($J925)),($K925*$J925)/$S925,"")</f>
        <v>36000</v>
      </c>
    </row>
    <row r="926" spans="1:42">
      <c r="A926" s="62">
        <v>8</v>
      </c>
      <c r="B926" s="93">
        <v>918</v>
      </c>
      <c r="C926" s="68" t="s">
        <v>7475</v>
      </c>
      <c r="D926" s="59" t="s">
        <v>8295</v>
      </c>
      <c r="E926" s="72" t="s">
        <v>5862</v>
      </c>
      <c r="F926" s="73" t="s">
        <v>8296</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6759</v>
      </c>
      <c r="U926" s="63">
        <v>396</v>
      </c>
      <c r="V926" s="70">
        <v>161280</v>
      </c>
      <c r="W926" s="70">
        <v>160000</v>
      </c>
      <c r="X926" s="83" t="s">
        <v>6091</v>
      </c>
      <c r="Y926" s="70">
        <f>ROUND(J926,-4)</f>
        <v>90000</v>
      </c>
      <c r="Z926" s="63" t="s">
        <v>5866</v>
      </c>
      <c r="AA926" s="59">
        <v>3</v>
      </c>
      <c r="AB926" s="59">
        <v>3</v>
      </c>
      <c r="AC926" s="67" t="s">
        <v>333</v>
      </c>
      <c r="AD926" s="61" t="s">
        <v>8297</v>
      </c>
      <c r="AE926" s="71"/>
      <c r="AF926" s="71"/>
      <c r="AG926" s="71"/>
      <c r="AH926" s="71"/>
      <c r="AI926" s="71"/>
      <c r="AJ926" s="71"/>
      <c r="AK926" s="71" t="s">
        <v>181</v>
      </c>
      <c r="AL926">
        <f>IF(AND(ISNUMBER($S926),$S926&gt;0,ISNUMBER($K926),ISNUMBER($J926)),($K926*$J926)/$S926,"")</f>
        <v>720359</v>
      </c>
    </row>
    <row r="927" spans="1:42">
      <c r="A927" s="62">
        <v>8</v>
      </c>
      <c r="B927" s="93">
        <v>919</v>
      </c>
      <c r="C927" s="68" t="s">
        <v>7475</v>
      </c>
      <c r="D927" s="59" t="s">
        <v>8298</v>
      </c>
      <c r="E927" s="72" t="s">
        <v>5862</v>
      </c>
      <c r="F927" s="73" t="s">
        <v>8299</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6759</v>
      </c>
      <c r="U927" s="63">
        <v>398</v>
      </c>
      <c r="V927" s="70">
        <v>11135</v>
      </c>
      <c r="W927" s="70">
        <v>11000</v>
      </c>
      <c r="X927" s="83" t="s">
        <v>6791</v>
      </c>
      <c r="Y927" s="70">
        <f>ROUND(J927,-3)</f>
        <v>4000</v>
      </c>
      <c r="Z927" s="63" t="s">
        <v>5866</v>
      </c>
      <c r="AA927" s="59">
        <v>3</v>
      </c>
      <c r="AB927" s="59">
        <v>3</v>
      </c>
      <c r="AC927" s="67" t="s">
        <v>333</v>
      </c>
      <c r="AD927" s="61" t="s">
        <v>181</v>
      </c>
      <c r="AE927" s="71"/>
      <c r="AF927" s="71"/>
      <c r="AG927" s="71"/>
      <c r="AH927" s="71"/>
      <c r="AI927" s="71"/>
      <c r="AJ927" s="71"/>
      <c r="AK927" s="71" t="s">
        <v>7648</v>
      </c>
      <c r="AL927">
        <f>IF(AND(ISNUMBER($S927),$S927&gt;0,ISNUMBER($K927),ISNUMBER($J927)),($K927*$J927)/$S927,"")</f>
        <v>25717</v>
      </c>
    </row>
    <row r="928" spans="1:42">
      <c r="A928" s="62">
        <v>8</v>
      </c>
      <c r="B928" s="93">
        <v>920</v>
      </c>
      <c r="C928" s="68" t="s">
        <v>7475</v>
      </c>
      <c r="D928" s="59" t="s">
        <v>8300</v>
      </c>
      <c r="E928" s="72" t="s">
        <v>5862</v>
      </c>
      <c r="F928" s="73" t="s">
        <v>8301</v>
      </c>
      <c r="G928" s="82">
        <v>44.1</v>
      </c>
      <c r="H928" s="67">
        <v>9506</v>
      </c>
      <c r="I928" s="69">
        <v>0</v>
      </c>
      <c r="J928" s="70">
        <v>9274</v>
      </c>
      <c r="K928" s="75">
        <v>6.25</v>
      </c>
      <c r="L928" s="74">
        <v>0</v>
      </c>
      <c r="M928" s="76">
        <v>0.1</v>
      </c>
      <c r="N928" s="67">
        <v>1959</v>
      </c>
      <c r="O928" s="64">
        <v>1584</v>
      </c>
      <c r="Q928" s="59">
        <v>17</v>
      </c>
      <c r="R928" s="59">
        <v>1</v>
      </c>
      <c r="S928" s="59">
        <v>1</v>
      </c>
      <c r="T928" s="63" t="s">
        <v>6759</v>
      </c>
      <c r="U928" s="63">
        <v>398</v>
      </c>
      <c r="V928" s="70">
        <v>20250</v>
      </c>
      <c r="W928" s="70">
        <v>20000</v>
      </c>
      <c r="X928" s="83" t="s">
        <v>5928</v>
      </c>
      <c r="Y928" s="70">
        <f>ROUND(J928,-3)</f>
        <v>9000</v>
      </c>
      <c r="Z928" s="63" t="s">
        <v>5866</v>
      </c>
      <c r="AA928" s="59">
        <v>3</v>
      </c>
      <c r="AB928" s="59">
        <v>3</v>
      </c>
      <c r="AC928" s="67" t="s">
        <v>333</v>
      </c>
      <c r="AD928" s="61" t="s">
        <v>8302</v>
      </c>
      <c r="AE928" s="71"/>
      <c r="AF928" s="71"/>
      <c r="AG928" s="71"/>
      <c r="AH928" s="71"/>
      <c r="AI928" s="71"/>
      <c r="AJ928" s="71"/>
      <c r="AK928" s="71" t="s">
        <v>181</v>
      </c>
      <c r="AL928">
        <f>IF(AND(ISNUMBER($S928),$S928&gt;0,ISNUMBER($K928),ISNUMBER($J928)),($K928*$J928)/$S928,"")</f>
        <v>57962.5</v>
      </c>
    </row>
    <row r="929" spans="1:42">
      <c r="A929" s="62">
        <v>8</v>
      </c>
      <c r="B929" s="93">
        <v>921</v>
      </c>
      <c r="C929" s="68" t="s">
        <v>7495</v>
      </c>
      <c r="D929" s="59" t="s">
        <v>8303</v>
      </c>
      <c r="E929" s="63" t="s">
        <v>5862</v>
      </c>
      <c r="F929" s="59" t="s">
        <v>8304</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6770</v>
      </c>
      <c r="U929" s="63">
        <v>398</v>
      </c>
      <c r="V929" s="70">
        <v>19113</v>
      </c>
      <c r="W929" s="70">
        <v>20000</v>
      </c>
      <c r="X929" s="67" t="s">
        <v>6516</v>
      </c>
      <c r="Y929" s="70">
        <v>7000</v>
      </c>
      <c r="Z929" s="63" t="s">
        <v>209</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7475</v>
      </c>
      <c r="D930" s="59" t="s">
        <v>8305</v>
      </c>
      <c r="E930" s="72" t="s">
        <v>5862</v>
      </c>
      <c r="F930" s="73" t="s">
        <v>8306</v>
      </c>
      <c r="G930" s="82">
        <v>44.2</v>
      </c>
      <c r="H930" s="67">
        <v>9506</v>
      </c>
      <c r="I930" s="69">
        <v>0</v>
      </c>
      <c r="J930" s="70">
        <v>5906</v>
      </c>
      <c r="K930" s="75">
        <v>8.6352861496782936</v>
      </c>
      <c r="L930" s="74">
        <v>0</v>
      </c>
      <c r="M930" s="76">
        <v>0</v>
      </c>
      <c r="N930" s="67">
        <v>1964</v>
      </c>
      <c r="O930" s="64">
        <v>1414</v>
      </c>
      <c r="Q930" s="59">
        <v>13</v>
      </c>
      <c r="R930" s="59">
        <v>4</v>
      </c>
      <c r="S930" s="59">
        <v>1</v>
      </c>
      <c r="T930" s="63" t="s">
        <v>6759</v>
      </c>
      <c r="U930" s="63">
        <v>398</v>
      </c>
      <c r="V930" s="70">
        <v>9652</v>
      </c>
      <c r="W930" s="70">
        <v>10000</v>
      </c>
      <c r="X930" s="83" t="s">
        <v>5896</v>
      </c>
      <c r="Y930" s="70">
        <f>ROUND(J930,-3)</f>
        <v>6000</v>
      </c>
      <c r="Z930" s="63" t="s">
        <v>5866</v>
      </c>
      <c r="AA930" s="59">
        <v>3</v>
      </c>
      <c r="AB930" s="59">
        <v>3</v>
      </c>
      <c r="AC930" s="67" t="s">
        <v>333</v>
      </c>
      <c r="AD930" s="61" t="s">
        <v>8307</v>
      </c>
      <c r="AE930" s="71"/>
      <c r="AF930" s="71"/>
      <c r="AG930" s="71"/>
      <c r="AH930" s="71"/>
      <c r="AI930" s="71"/>
      <c r="AJ930" s="71"/>
      <c r="AK930" s="71" t="s">
        <v>8024</v>
      </c>
      <c r="AL930">
        <f>IF(AND(ISNUMBER($S930),$S930&gt;0,ISNUMBER($K930),ISNUMBER($J930)),($K930*$J930)/$S930,"")</f>
        <v>51000</v>
      </c>
    </row>
    <row r="931" spans="1:42">
      <c r="A931" s="62">
        <v>8</v>
      </c>
      <c r="B931" s="93">
        <v>923</v>
      </c>
      <c r="C931" s="68" t="s">
        <v>7495</v>
      </c>
      <c r="D931" s="59" t="s">
        <v>8308</v>
      </c>
      <c r="E931" s="63" t="s">
        <v>5862</v>
      </c>
      <c r="F931" s="59" t="s">
        <v>8309</v>
      </c>
      <c r="G931" s="82">
        <v>44.2</v>
      </c>
      <c r="H931" s="59">
        <v>9506</v>
      </c>
      <c r="I931" s="63">
        <v>0</v>
      </c>
      <c r="J931" s="64">
        <v>8000</v>
      </c>
      <c r="K931" s="87">
        <v>5</v>
      </c>
      <c r="L931" s="88">
        <v>0</v>
      </c>
      <c r="M931" s="88">
        <v>0.04</v>
      </c>
      <c r="N931" s="59">
        <v>1975</v>
      </c>
      <c r="O931" s="70">
        <v>1000</v>
      </c>
      <c r="P931" s="70">
        <v>2000</v>
      </c>
      <c r="Q931" s="59">
        <v>13</v>
      </c>
      <c r="R931" s="59">
        <v>1</v>
      </c>
      <c r="S931" s="59">
        <v>1</v>
      </c>
      <c r="T931" s="63" t="s">
        <v>6770</v>
      </c>
      <c r="U931" s="63">
        <v>398</v>
      </c>
      <c r="V931" s="70">
        <v>6477</v>
      </c>
      <c r="W931" s="64">
        <v>6500</v>
      </c>
      <c r="X931" s="67" t="s">
        <v>6603</v>
      </c>
      <c r="Y931" s="64">
        <v>8000</v>
      </c>
      <c r="Z931" s="63" t="s">
        <v>209</v>
      </c>
      <c r="AA931" s="59">
        <v>2</v>
      </c>
      <c r="AB931" s="59">
        <v>2</v>
      </c>
      <c r="AC931" s="59">
        <v>22</v>
      </c>
      <c r="AE931" s="89">
        <v>5</v>
      </c>
      <c r="AF931" s="90">
        <v>5</v>
      </c>
      <c r="AG931" s="90">
        <v>4.4000000000000004</v>
      </c>
      <c r="AH931" s="90">
        <v>0.21</v>
      </c>
      <c r="AI931" s="90">
        <v>0.86</v>
      </c>
      <c r="AJ931" s="89" t="s">
        <v>1057</v>
      </c>
      <c r="AN931" s="71"/>
      <c r="AO931" s="71"/>
      <c r="AP931" s="71"/>
    </row>
    <row r="932" spans="1:42">
      <c r="A932" s="62">
        <v>8</v>
      </c>
      <c r="B932" s="93">
        <v>924</v>
      </c>
      <c r="C932" s="68" t="s">
        <v>7475</v>
      </c>
      <c r="D932" s="59" t="s">
        <v>8310</v>
      </c>
      <c r="E932" s="72" t="s">
        <v>5862</v>
      </c>
      <c r="F932" s="73" t="s">
        <v>8311</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6757</v>
      </c>
      <c r="U932" s="63">
        <v>398</v>
      </c>
      <c r="V932" s="70">
        <v>15625</v>
      </c>
      <c r="W932" s="70">
        <v>16000</v>
      </c>
      <c r="X932" s="83" t="s">
        <v>5982</v>
      </c>
      <c r="Y932" s="70">
        <f>ROUND(J932,-3)</f>
        <v>7000</v>
      </c>
      <c r="Z932" s="63" t="s">
        <v>5866</v>
      </c>
      <c r="AA932" s="59">
        <v>3</v>
      </c>
      <c r="AB932" s="59">
        <v>3</v>
      </c>
      <c r="AC932" s="67" t="s">
        <v>333</v>
      </c>
      <c r="AD932" s="61" t="s">
        <v>6523</v>
      </c>
      <c r="AE932" s="71"/>
      <c r="AF932" s="71"/>
      <c r="AG932" s="71"/>
      <c r="AH932" s="71"/>
      <c r="AI932" s="71"/>
      <c r="AJ932" s="71"/>
      <c r="AK932" s="71" t="s">
        <v>8312</v>
      </c>
      <c r="AL932">
        <f t="shared" ref="AL932:AL949" si="25">IF(AND(ISNUMBER($S932),$S932&gt;0,ISNUMBER($K932),ISNUMBER($J932)),($K932*$J932)/$S932,"")</f>
        <v>11220</v>
      </c>
    </row>
    <row r="933" spans="1:42">
      <c r="A933" s="62">
        <v>8</v>
      </c>
      <c r="B933" s="93">
        <v>925</v>
      </c>
      <c r="C933" s="68" t="s">
        <v>7475</v>
      </c>
      <c r="D933" s="59" t="s">
        <v>6607</v>
      </c>
      <c r="E933" s="72" t="s">
        <v>5862</v>
      </c>
      <c r="F933" s="73" t="s">
        <v>6608</v>
      </c>
      <c r="G933" s="82">
        <v>44.2</v>
      </c>
      <c r="H933" s="67">
        <v>9506</v>
      </c>
      <c r="I933" s="69">
        <v>0</v>
      </c>
      <c r="J933" s="70">
        <v>1345</v>
      </c>
      <c r="K933" s="75">
        <v>10.706319702602229</v>
      </c>
      <c r="L933" s="74">
        <v>0</v>
      </c>
      <c r="M933" s="76">
        <v>0.12763888888888891</v>
      </c>
      <c r="N933" s="67">
        <v>1959</v>
      </c>
      <c r="Q933" s="59">
        <v>14</v>
      </c>
      <c r="R933" s="59">
        <v>8</v>
      </c>
      <c r="S933" s="59">
        <v>1</v>
      </c>
      <c r="T933" s="63" t="s">
        <v>6757</v>
      </c>
      <c r="U933" s="63">
        <v>398</v>
      </c>
      <c r="V933" s="70">
        <v>12700</v>
      </c>
      <c r="W933" s="70">
        <v>13000</v>
      </c>
      <c r="X933" s="83" t="s">
        <v>6609</v>
      </c>
      <c r="Y933" s="70">
        <f>ROUND(J933,-2)</f>
        <v>1300</v>
      </c>
      <c r="Z933" s="63" t="s">
        <v>5866</v>
      </c>
      <c r="AA933" s="59">
        <v>3</v>
      </c>
      <c r="AB933" s="59">
        <v>3</v>
      </c>
      <c r="AC933" s="67" t="s">
        <v>333</v>
      </c>
      <c r="AD933" s="61" t="s">
        <v>6610</v>
      </c>
      <c r="AE933" s="71"/>
      <c r="AF933" s="71"/>
      <c r="AG933" s="71"/>
      <c r="AH933" s="71"/>
      <c r="AI933" s="71"/>
      <c r="AJ933" s="71"/>
      <c r="AK933" s="71" t="s">
        <v>7542</v>
      </c>
      <c r="AL933">
        <f t="shared" si="25"/>
        <v>14399.999999999998</v>
      </c>
    </row>
    <row r="934" spans="1:42">
      <c r="A934" s="62">
        <v>8</v>
      </c>
      <c r="B934" s="93">
        <v>926</v>
      </c>
      <c r="C934" s="68" t="s">
        <v>7475</v>
      </c>
      <c r="D934" s="59" t="s">
        <v>8313</v>
      </c>
      <c r="E934" s="72" t="s">
        <v>5862</v>
      </c>
      <c r="F934" s="73" t="s">
        <v>8314</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6757</v>
      </c>
      <c r="U934" s="63">
        <v>398</v>
      </c>
      <c r="V934" s="70">
        <v>12700</v>
      </c>
      <c r="W934" s="70">
        <v>13000</v>
      </c>
      <c r="X934" s="83" t="s">
        <v>5882</v>
      </c>
      <c r="Y934" s="70">
        <f>ROUND(J934,-3)</f>
        <v>2000</v>
      </c>
      <c r="Z934" s="63" t="s">
        <v>5866</v>
      </c>
      <c r="AA934" s="59">
        <v>2</v>
      </c>
      <c r="AB934" s="59">
        <v>3</v>
      </c>
      <c r="AC934" s="67" t="s">
        <v>284</v>
      </c>
      <c r="AD934" s="61" t="s">
        <v>5904</v>
      </c>
      <c r="AE934" s="71"/>
      <c r="AF934" s="71"/>
      <c r="AG934" s="71"/>
      <c r="AH934" s="71"/>
      <c r="AI934" s="71"/>
      <c r="AJ934" s="71"/>
      <c r="AK934" s="71" t="s">
        <v>7542</v>
      </c>
      <c r="AL934">
        <f t="shared" si="25"/>
        <v>14400</v>
      </c>
    </row>
    <row r="935" spans="1:42">
      <c r="A935" s="62">
        <v>8</v>
      </c>
      <c r="B935" s="93">
        <v>927</v>
      </c>
      <c r="C935" s="68" t="s">
        <v>7475</v>
      </c>
      <c r="D935" s="59" t="s">
        <v>8315</v>
      </c>
      <c r="E935" s="72" t="s">
        <v>5862</v>
      </c>
      <c r="F935" s="73" t="s">
        <v>8316</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6757</v>
      </c>
      <c r="U935" s="63">
        <v>401</v>
      </c>
      <c r="V935" s="70">
        <v>15875</v>
      </c>
      <c r="W935" s="70">
        <v>16000</v>
      </c>
      <c r="X935" s="83" t="s">
        <v>5923</v>
      </c>
      <c r="Y935" s="70">
        <f>ROUND(J935,-3)</f>
        <v>5000</v>
      </c>
      <c r="Z935" s="63" t="s">
        <v>5866</v>
      </c>
      <c r="AA935" s="59">
        <v>2</v>
      </c>
      <c r="AB935" s="59">
        <v>2</v>
      </c>
      <c r="AC935" s="67" t="s">
        <v>280</v>
      </c>
      <c r="AD935" s="61" t="s">
        <v>8317</v>
      </c>
      <c r="AE935" s="71"/>
      <c r="AF935" s="71"/>
      <c r="AG935" s="71"/>
      <c r="AH935" s="71"/>
      <c r="AI935" s="71"/>
      <c r="AJ935" s="71"/>
      <c r="AK935" s="71" t="s">
        <v>7648</v>
      </c>
      <c r="AL935">
        <f t="shared" si="25"/>
        <v>36000</v>
      </c>
    </row>
    <row r="936" spans="1:42">
      <c r="A936" s="62">
        <v>8</v>
      </c>
      <c r="B936" s="93">
        <v>928</v>
      </c>
      <c r="C936" s="68" t="s">
        <v>7475</v>
      </c>
      <c r="D936" s="59" t="s">
        <v>8318</v>
      </c>
      <c r="E936" s="72" t="s">
        <v>5862</v>
      </c>
      <c r="F936" s="73" t="s">
        <v>8319</v>
      </c>
      <c r="G936" s="82" t="s">
        <v>6239</v>
      </c>
      <c r="H936" s="67">
        <v>9506</v>
      </c>
      <c r="I936" s="69">
        <v>0</v>
      </c>
      <c r="J936" s="70">
        <v>1426</v>
      </c>
      <c r="K936" s="75">
        <v>4.6283309957924264</v>
      </c>
      <c r="L936" s="74">
        <v>0</v>
      </c>
      <c r="M936" s="76">
        <v>0.2424242424242424</v>
      </c>
      <c r="N936" s="67">
        <v>1963</v>
      </c>
      <c r="Q936" s="59">
        <v>11</v>
      </c>
      <c r="R936" s="59">
        <v>1</v>
      </c>
      <c r="S936" s="59">
        <v>1</v>
      </c>
      <c r="T936" s="63" t="s">
        <v>6754</v>
      </c>
      <c r="U936" s="63">
        <v>398</v>
      </c>
      <c r="V936" s="70">
        <v>12700</v>
      </c>
      <c r="W936" s="70">
        <v>13000</v>
      </c>
      <c r="X936" s="83" t="s">
        <v>7201</v>
      </c>
      <c r="Y936" s="70">
        <f>ROUND(J936,-2)</f>
        <v>1400</v>
      </c>
      <c r="Z936" s="63" t="s">
        <v>5866</v>
      </c>
      <c r="AA936" s="59">
        <v>3</v>
      </c>
      <c r="AB936" s="59">
        <v>3</v>
      </c>
      <c r="AC936" s="67" t="s">
        <v>333</v>
      </c>
      <c r="AD936" s="61" t="s">
        <v>5904</v>
      </c>
      <c r="AE936" s="71"/>
      <c r="AF936" s="71"/>
      <c r="AG936" s="71"/>
      <c r="AH936" s="71"/>
      <c r="AI936" s="71"/>
      <c r="AJ936" s="71"/>
      <c r="AK936" s="71" t="s">
        <v>7648</v>
      </c>
      <c r="AL936">
        <f t="shared" si="25"/>
        <v>6600</v>
      </c>
    </row>
    <row r="937" spans="1:42">
      <c r="A937" s="62">
        <v>8</v>
      </c>
      <c r="B937" s="93">
        <v>929</v>
      </c>
      <c r="C937" s="68" t="s">
        <v>7475</v>
      </c>
      <c r="D937" s="59" t="s">
        <v>8320</v>
      </c>
      <c r="E937" s="72" t="s">
        <v>5862</v>
      </c>
      <c r="F937" s="73" t="s">
        <v>8321</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6754</v>
      </c>
      <c r="U937" s="63">
        <v>398</v>
      </c>
      <c r="V937" s="70">
        <v>9525</v>
      </c>
      <c r="W937" s="70">
        <v>10000</v>
      </c>
      <c r="X937" s="83" t="s">
        <v>5928</v>
      </c>
      <c r="Y937" s="70">
        <f t="shared" ref="Y937:Y949" si="26">ROUND(J937,-3)</f>
        <v>4000</v>
      </c>
      <c r="Z937" s="63" t="s">
        <v>5866</v>
      </c>
      <c r="AA937" s="59">
        <v>3</v>
      </c>
      <c r="AB937" s="59">
        <v>3</v>
      </c>
      <c r="AC937" s="67" t="s">
        <v>333</v>
      </c>
      <c r="AD937" s="61" t="s">
        <v>8322</v>
      </c>
      <c r="AE937" s="71"/>
      <c r="AF937" s="71"/>
      <c r="AG937" s="71"/>
      <c r="AH937" s="71"/>
      <c r="AI937" s="71"/>
      <c r="AJ937" s="71"/>
      <c r="AK937" s="71" t="s">
        <v>7537</v>
      </c>
      <c r="AL937">
        <f t="shared" si="25"/>
        <v>66117.000000000015</v>
      </c>
    </row>
    <row r="938" spans="1:42">
      <c r="A938" s="62">
        <v>8</v>
      </c>
      <c r="B938" s="93">
        <v>930</v>
      </c>
      <c r="C938" s="68" t="s">
        <v>7475</v>
      </c>
      <c r="D938" s="59" t="s">
        <v>7302</v>
      </c>
      <c r="E938" s="72" t="s">
        <v>5862</v>
      </c>
      <c r="F938" s="73" t="s">
        <v>8323</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6754</v>
      </c>
      <c r="U938" s="63">
        <v>398</v>
      </c>
      <c r="V938" s="70">
        <v>13500</v>
      </c>
      <c r="W938" s="70">
        <v>14000</v>
      </c>
      <c r="X938" s="83" t="s">
        <v>5892</v>
      </c>
      <c r="Y938" s="70">
        <f t="shared" si="26"/>
        <v>5000</v>
      </c>
      <c r="Z938" s="63" t="s">
        <v>5866</v>
      </c>
      <c r="AA938" s="59">
        <v>3</v>
      </c>
      <c r="AB938" s="59">
        <v>3</v>
      </c>
      <c r="AC938" s="67" t="s">
        <v>333</v>
      </c>
      <c r="AD938" s="61" t="s">
        <v>7304</v>
      </c>
      <c r="AE938" s="71"/>
      <c r="AF938" s="71"/>
      <c r="AG938" s="71"/>
      <c r="AH938" s="71"/>
      <c r="AI938" s="71"/>
      <c r="AJ938" s="71"/>
      <c r="AK938" s="71" t="s">
        <v>7524</v>
      </c>
      <c r="AL938">
        <f t="shared" si="25"/>
        <v>36000</v>
      </c>
    </row>
    <row r="939" spans="1:42">
      <c r="A939" s="62">
        <v>8</v>
      </c>
      <c r="B939" s="93">
        <v>931</v>
      </c>
      <c r="C939" s="68" t="s">
        <v>7475</v>
      </c>
      <c r="D939" s="59" t="s">
        <v>8324</v>
      </c>
      <c r="E939" s="72" t="s">
        <v>5862</v>
      </c>
      <c r="F939" s="73" t="s">
        <v>8325</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6754</v>
      </c>
      <c r="U939" s="63">
        <v>398</v>
      </c>
      <c r="V939" s="70">
        <v>20250</v>
      </c>
      <c r="W939" s="70">
        <v>20000</v>
      </c>
      <c r="X939" s="83" t="s">
        <v>5896</v>
      </c>
      <c r="Y939" s="70">
        <f t="shared" si="26"/>
        <v>12000</v>
      </c>
      <c r="Z939" s="63" t="s">
        <v>5866</v>
      </c>
      <c r="AA939" s="59">
        <v>3</v>
      </c>
      <c r="AB939" s="59">
        <v>3</v>
      </c>
      <c r="AC939" s="67" t="s">
        <v>333</v>
      </c>
      <c r="AD939" s="61" t="s">
        <v>8326</v>
      </c>
      <c r="AE939" s="71"/>
      <c r="AF939" s="71"/>
      <c r="AG939" s="71"/>
      <c r="AH939" s="71"/>
      <c r="AI939" s="71"/>
      <c r="AJ939" s="71"/>
      <c r="AK939" s="71" t="s">
        <v>7486</v>
      </c>
      <c r="AL939">
        <f t="shared" si="25"/>
        <v>54000</v>
      </c>
    </row>
    <row r="940" spans="1:42">
      <c r="A940" s="62">
        <v>8</v>
      </c>
      <c r="B940" s="93">
        <v>932</v>
      </c>
      <c r="C940" s="68" t="s">
        <v>7475</v>
      </c>
      <c r="D940" s="59" t="s">
        <v>8327</v>
      </c>
      <c r="E940" s="72" t="s">
        <v>5862</v>
      </c>
      <c r="F940" s="73" t="s">
        <v>8328</v>
      </c>
      <c r="G940" s="82">
        <v>44.1</v>
      </c>
      <c r="H940" s="67">
        <v>9506</v>
      </c>
      <c r="I940" s="69">
        <v>0</v>
      </c>
      <c r="J940" s="70">
        <v>4000</v>
      </c>
      <c r="K940" s="75">
        <v>4.95</v>
      </c>
      <c r="L940" s="74">
        <v>0</v>
      </c>
      <c r="M940" s="76">
        <v>0.1166666666666667</v>
      </c>
      <c r="N940" s="67">
        <v>1965</v>
      </c>
      <c r="O940" s="64">
        <v>1100</v>
      </c>
      <c r="Q940" s="59">
        <v>13</v>
      </c>
      <c r="R940" s="59">
        <v>11</v>
      </c>
      <c r="S940" s="59">
        <v>1</v>
      </c>
      <c r="T940" s="63" t="s">
        <v>6754</v>
      </c>
      <c r="U940" s="63">
        <v>397</v>
      </c>
      <c r="V940" s="70">
        <v>12700</v>
      </c>
      <c r="W940" s="70">
        <v>13000</v>
      </c>
      <c r="X940" s="83" t="s">
        <v>6774</v>
      </c>
      <c r="Y940" s="70">
        <f t="shared" si="26"/>
        <v>4000</v>
      </c>
      <c r="Z940" s="63" t="s">
        <v>5866</v>
      </c>
      <c r="AA940" s="59">
        <v>3</v>
      </c>
      <c r="AB940" s="59">
        <v>3</v>
      </c>
      <c r="AC940" s="67" t="s">
        <v>333</v>
      </c>
      <c r="AD940" s="61" t="s">
        <v>8329</v>
      </c>
      <c r="AE940" s="71"/>
      <c r="AF940" s="71"/>
      <c r="AG940" s="71"/>
      <c r="AH940" s="71"/>
      <c r="AI940" s="71"/>
      <c r="AJ940" s="71"/>
      <c r="AK940" s="71" t="s">
        <v>8330</v>
      </c>
      <c r="AL940">
        <f t="shared" si="25"/>
        <v>19800</v>
      </c>
    </row>
    <row r="941" spans="1:42">
      <c r="A941" s="62">
        <v>8</v>
      </c>
      <c r="B941" s="93">
        <v>933</v>
      </c>
      <c r="C941" s="68" t="s">
        <v>7475</v>
      </c>
      <c r="D941" s="59" t="s">
        <v>8331</v>
      </c>
      <c r="E941" s="72" t="s">
        <v>5862</v>
      </c>
      <c r="F941" s="73" t="s">
        <v>8332</v>
      </c>
      <c r="G941" s="82">
        <v>44.2</v>
      </c>
      <c r="H941" s="67">
        <v>9506</v>
      </c>
      <c r="I941" s="69">
        <v>0</v>
      </c>
      <c r="J941" s="70">
        <v>6000</v>
      </c>
      <c r="K941" s="75">
        <v>3.01</v>
      </c>
      <c r="L941" s="74">
        <v>0</v>
      </c>
      <c r="M941" s="76">
        <v>8.0952380952380956E-2</v>
      </c>
      <c r="N941" s="67">
        <v>1968</v>
      </c>
      <c r="O941" s="64">
        <v>375</v>
      </c>
      <c r="Q941" s="59">
        <v>12</v>
      </c>
      <c r="R941" s="59">
        <v>3</v>
      </c>
      <c r="S941" s="59">
        <v>1</v>
      </c>
      <c r="T941" s="63" t="s">
        <v>6754</v>
      </c>
      <c r="U941" s="63">
        <v>397</v>
      </c>
      <c r="V941" s="70">
        <v>9525</v>
      </c>
      <c r="W941" s="70">
        <v>10000</v>
      </c>
      <c r="X941" s="83" t="s">
        <v>6128</v>
      </c>
      <c r="Y941" s="70">
        <f t="shared" si="26"/>
        <v>6000</v>
      </c>
      <c r="Z941" s="63" t="s">
        <v>5866</v>
      </c>
      <c r="AA941" s="59">
        <v>3</v>
      </c>
      <c r="AB941" s="59">
        <v>3</v>
      </c>
      <c r="AC941" s="67" t="s">
        <v>333</v>
      </c>
      <c r="AD941" s="61" t="s">
        <v>181</v>
      </c>
      <c r="AE941" s="71"/>
      <c r="AF941" s="71"/>
      <c r="AG941" s="71"/>
      <c r="AH941" s="71"/>
      <c r="AI941" s="71"/>
      <c r="AJ941" s="71"/>
      <c r="AK941" s="71" t="s">
        <v>7940</v>
      </c>
      <c r="AL941">
        <f t="shared" si="25"/>
        <v>18060</v>
      </c>
    </row>
    <row r="942" spans="1:42">
      <c r="A942" s="62">
        <v>8</v>
      </c>
      <c r="B942" s="93">
        <v>934</v>
      </c>
      <c r="C942" s="68" t="s">
        <v>7475</v>
      </c>
      <c r="D942" s="59" t="s">
        <v>7313</v>
      </c>
      <c r="E942" s="72" t="s">
        <v>5862</v>
      </c>
      <c r="F942" s="73" t="s">
        <v>8333</v>
      </c>
      <c r="G942" s="82">
        <v>44.2</v>
      </c>
      <c r="H942" s="67">
        <v>9506</v>
      </c>
      <c r="I942" s="69">
        <v>0</v>
      </c>
      <c r="J942" s="70">
        <v>10500</v>
      </c>
      <c r="K942" s="75">
        <v>5.7142857142857144</v>
      </c>
      <c r="L942" s="74">
        <v>0</v>
      </c>
      <c r="M942" s="76">
        <v>1.175E-2</v>
      </c>
      <c r="N942" s="67">
        <v>1983</v>
      </c>
      <c r="O942" s="64">
        <v>2300</v>
      </c>
      <c r="Q942" s="59">
        <v>14</v>
      </c>
      <c r="R942" s="59">
        <v>3</v>
      </c>
      <c r="S942" s="59">
        <v>1</v>
      </c>
      <c r="T942" s="63" t="s">
        <v>6754</v>
      </c>
      <c r="U942" s="63">
        <v>398</v>
      </c>
      <c r="V942" s="70">
        <v>14224</v>
      </c>
      <c r="W942" s="70">
        <v>14000</v>
      </c>
      <c r="X942" s="83" t="s">
        <v>5938</v>
      </c>
      <c r="Y942" s="70">
        <f t="shared" si="26"/>
        <v>11000</v>
      </c>
      <c r="Z942" s="63" t="s">
        <v>5866</v>
      </c>
      <c r="AA942" s="59">
        <v>3</v>
      </c>
      <c r="AB942" s="59">
        <v>3</v>
      </c>
      <c r="AC942" s="67" t="s">
        <v>333</v>
      </c>
      <c r="AD942" s="61" t="s">
        <v>7315</v>
      </c>
      <c r="AE942" s="71"/>
      <c r="AF942" s="71"/>
      <c r="AG942" s="71"/>
      <c r="AH942" s="71"/>
      <c r="AI942" s="71"/>
      <c r="AJ942" s="71"/>
      <c r="AK942" s="71" t="s">
        <v>8334</v>
      </c>
      <c r="AL942">
        <f t="shared" si="25"/>
        <v>60000</v>
      </c>
    </row>
    <row r="943" spans="1:42">
      <c r="A943" s="62">
        <v>8</v>
      </c>
      <c r="B943" s="93">
        <v>935</v>
      </c>
      <c r="C943" s="68" t="s">
        <v>7475</v>
      </c>
      <c r="D943" s="59" t="s">
        <v>7316</v>
      </c>
      <c r="E943" s="72" t="s">
        <v>5862</v>
      </c>
      <c r="F943" s="73" t="s">
        <v>8335</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6754</v>
      </c>
      <c r="U943" s="63">
        <v>398</v>
      </c>
      <c r="V943" s="70">
        <v>11176</v>
      </c>
      <c r="W943" s="70">
        <v>11000</v>
      </c>
      <c r="X943" s="83" t="s">
        <v>5896</v>
      </c>
      <c r="Y943" s="70">
        <f t="shared" si="26"/>
        <v>7000</v>
      </c>
      <c r="Z943" s="63" t="s">
        <v>5866</v>
      </c>
      <c r="AA943" s="59">
        <v>3</v>
      </c>
      <c r="AB943" s="59">
        <v>3</v>
      </c>
      <c r="AC943" s="67" t="s">
        <v>333</v>
      </c>
      <c r="AD943" s="61" t="s">
        <v>5986</v>
      </c>
      <c r="AE943" s="71"/>
      <c r="AF943" s="71"/>
      <c r="AG943" s="71"/>
      <c r="AH943" s="71"/>
      <c r="AI943" s="71"/>
      <c r="AJ943" s="71"/>
      <c r="AK943" s="71" t="s">
        <v>7486</v>
      </c>
      <c r="AL943">
        <f t="shared" si="25"/>
        <v>47634</v>
      </c>
    </row>
    <row r="944" spans="1:42">
      <c r="A944" s="62">
        <v>8</v>
      </c>
      <c r="B944" s="93">
        <v>936</v>
      </c>
      <c r="C944" s="68" t="s">
        <v>7475</v>
      </c>
      <c r="D944" s="59" t="s">
        <v>7318</v>
      </c>
      <c r="E944" s="72" t="s">
        <v>5862</v>
      </c>
      <c r="F944" s="73" t="s">
        <v>8336</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6757</v>
      </c>
      <c r="U944" s="63">
        <v>398</v>
      </c>
      <c r="V944" s="70">
        <v>99255</v>
      </c>
      <c r="W944" s="70">
        <v>100000</v>
      </c>
      <c r="X944" s="83" t="s">
        <v>6774</v>
      </c>
      <c r="Y944" s="70">
        <f t="shared" si="26"/>
        <v>9000</v>
      </c>
      <c r="Z944" s="63" t="s">
        <v>5866</v>
      </c>
      <c r="AA944" s="59">
        <v>3</v>
      </c>
      <c r="AB944" s="59">
        <v>3</v>
      </c>
      <c r="AC944" s="67" t="s">
        <v>333</v>
      </c>
      <c r="AD944" s="61" t="s">
        <v>7320</v>
      </c>
      <c r="AE944" s="71"/>
      <c r="AF944" s="71"/>
      <c r="AG944" s="71"/>
      <c r="AH944" s="71"/>
      <c r="AI944" s="71"/>
      <c r="AJ944" s="71"/>
      <c r="AK944" s="71" t="s">
        <v>8337</v>
      </c>
      <c r="AL944">
        <f t="shared" si="25"/>
        <v>13738.5</v>
      </c>
    </row>
    <row r="945" spans="1:42">
      <c r="A945" s="62">
        <v>8</v>
      </c>
      <c r="B945" s="93">
        <v>937</v>
      </c>
      <c r="C945" s="68" t="s">
        <v>7475</v>
      </c>
      <c r="D945" s="59" t="s">
        <v>8338</v>
      </c>
      <c r="E945" s="72" t="s">
        <v>5862</v>
      </c>
      <c r="F945" s="73" t="s">
        <v>8339</v>
      </c>
      <c r="G945" s="82">
        <v>44.2</v>
      </c>
      <c r="H945" s="67">
        <v>9506</v>
      </c>
      <c r="I945" s="69">
        <v>0</v>
      </c>
      <c r="J945" s="70">
        <v>25780</v>
      </c>
      <c r="K945" s="75">
        <v>7.9519006982156712</v>
      </c>
      <c r="L945" s="74">
        <v>0</v>
      </c>
      <c r="M945" s="76">
        <v>0</v>
      </c>
      <c r="N945" s="67">
        <v>1973</v>
      </c>
      <c r="O945" s="64">
        <f>4991*2</f>
        <v>9982</v>
      </c>
      <c r="Q945" s="59">
        <v>27</v>
      </c>
      <c r="R945" s="59">
        <v>3</v>
      </c>
      <c r="S945" s="59">
        <v>1</v>
      </c>
      <c r="T945" s="63" t="s">
        <v>6757</v>
      </c>
      <c r="U945" s="63">
        <v>397</v>
      </c>
      <c r="V945" s="70">
        <v>66660</v>
      </c>
      <c r="W945" s="70">
        <v>70000</v>
      </c>
      <c r="X945" s="83" t="s">
        <v>5952</v>
      </c>
      <c r="Y945" s="70">
        <f t="shared" si="26"/>
        <v>26000</v>
      </c>
      <c r="Z945" s="63" t="s">
        <v>5866</v>
      </c>
      <c r="AA945" s="59">
        <v>3</v>
      </c>
      <c r="AB945" s="59">
        <v>3</v>
      </c>
      <c r="AC945" s="67" t="s">
        <v>333</v>
      </c>
      <c r="AD945" s="61" t="s">
        <v>8340</v>
      </c>
      <c r="AE945" s="71"/>
      <c r="AF945" s="71"/>
      <c r="AG945" s="71"/>
      <c r="AH945" s="71"/>
      <c r="AI945" s="71"/>
      <c r="AJ945" s="71"/>
      <c r="AK945" s="71" t="s">
        <v>7537</v>
      </c>
      <c r="AL945">
        <f t="shared" si="25"/>
        <v>205000</v>
      </c>
    </row>
    <row r="946" spans="1:42">
      <c r="A946" s="62">
        <v>8</v>
      </c>
      <c r="B946" s="93">
        <v>938</v>
      </c>
      <c r="C946" s="68" t="s">
        <v>7475</v>
      </c>
      <c r="D946" s="59" t="s">
        <v>6618</v>
      </c>
      <c r="E946" s="72" t="s">
        <v>5862</v>
      </c>
      <c r="F946" s="73" t="s">
        <v>6619</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6757</v>
      </c>
      <c r="U946" s="63">
        <v>397</v>
      </c>
      <c r="V946" s="70">
        <v>22600</v>
      </c>
      <c r="W946" s="70">
        <v>23000</v>
      </c>
      <c r="X946" s="83" t="s">
        <v>5928</v>
      </c>
      <c r="Y946" s="70">
        <f t="shared" si="26"/>
        <v>10000</v>
      </c>
      <c r="Z946" s="63" t="s">
        <v>5866</v>
      </c>
      <c r="AA946" s="59">
        <v>3</v>
      </c>
      <c r="AB946" s="59">
        <v>3</v>
      </c>
      <c r="AC946" s="67" t="s">
        <v>333</v>
      </c>
      <c r="AD946" s="61" t="s">
        <v>181</v>
      </c>
      <c r="AE946" s="71"/>
      <c r="AF946" s="71"/>
      <c r="AG946" s="71"/>
      <c r="AH946" s="71"/>
      <c r="AI946" s="71"/>
      <c r="AJ946" s="71"/>
      <c r="AK946" s="71" t="s">
        <v>7648</v>
      </c>
      <c r="AL946">
        <f t="shared" si="25"/>
        <v>124188.99999999997</v>
      </c>
    </row>
    <row r="947" spans="1:42">
      <c r="A947" s="62">
        <v>8</v>
      </c>
      <c r="B947" s="93">
        <v>939</v>
      </c>
      <c r="C947" s="68" t="s">
        <v>7475</v>
      </c>
      <c r="D947" s="59" t="s">
        <v>6620</v>
      </c>
      <c r="E947" s="72" t="s">
        <v>5862</v>
      </c>
      <c r="F947" s="73" t="s">
        <v>6621</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7018</v>
      </c>
      <c r="U947" s="63">
        <v>398</v>
      </c>
      <c r="V947" s="70">
        <v>10300</v>
      </c>
      <c r="W947" s="70">
        <v>10000</v>
      </c>
      <c r="X947" s="83" t="s">
        <v>6182</v>
      </c>
      <c r="Y947" s="70">
        <f t="shared" si="26"/>
        <v>6000</v>
      </c>
      <c r="Z947" s="63" t="s">
        <v>5866</v>
      </c>
      <c r="AA947" s="59">
        <v>3</v>
      </c>
      <c r="AB947" s="59">
        <v>3</v>
      </c>
      <c r="AC947" s="67" t="s">
        <v>333</v>
      </c>
      <c r="AD947" s="61" t="s">
        <v>6622</v>
      </c>
      <c r="AE947" s="71"/>
      <c r="AF947" s="71"/>
      <c r="AG947" s="71"/>
      <c r="AH947" s="71"/>
      <c r="AI947" s="71"/>
      <c r="AJ947" s="71"/>
      <c r="AK947" s="71" t="s">
        <v>8341</v>
      </c>
      <c r="AL947">
        <f t="shared" si="25"/>
        <v>30800.000000000007</v>
      </c>
    </row>
    <row r="948" spans="1:42">
      <c r="A948" s="62">
        <v>8</v>
      </c>
      <c r="B948" s="93">
        <v>940</v>
      </c>
      <c r="C948" s="68" t="s">
        <v>7475</v>
      </c>
      <c r="D948" s="59" t="s">
        <v>6623</v>
      </c>
      <c r="E948" s="72" t="s">
        <v>5862</v>
      </c>
      <c r="F948" s="73" t="s">
        <v>6624</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7018</v>
      </c>
      <c r="U948" s="63">
        <v>398</v>
      </c>
      <c r="V948" s="70">
        <v>14300</v>
      </c>
      <c r="W948" s="70">
        <v>14000</v>
      </c>
      <c r="X948" s="83" t="s">
        <v>5896</v>
      </c>
      <c r="Y948" s="70">
        <f t="shared" si="26"/>
        <v>9000</v>
      </c>
      <c r="Z948" s="63" t="s">
        <v>5866</v>
      </c>
      <c r="AA948" s="59">
        <v>3</v>
      </c>
      <c r="AB948" s="59">
        <v>3</v>
      </c>
      <c r="AC948" s="67" t="s">
        <v>333</v>
      </c>
      <c r="AD948" s="61" t="s">
        <v>6625</v>
      </c>
      <c r="AE948" s="71"/>
      <c r="AF948" s="71"/>
      <c r="AG948" s="71"/>
      <c r="AH948" s="71"/>
      <c r="AI948" s="71"/>
      <c r="AJ948" s="71"/>
      <c r="AK948" s="71" t="s">
        <v>7486</v>
      </c>
      <c r="AL948">
        <f t="shared" si="25"/>
        <v>60000</v>
      </c>
    </row>
    <row r="949" spans="1:42">
      <c r="A949" s="62">
        <v>8</v>
      </c>
      <c r="B949" s="93">
        <v>941</v>
      </c>
      <c r="C949" s="68" t="s">
        <v>7475</v>
      </c>
      <c r="D949" s="59" t="s">
        <v>8342</v>
      </c>
      <c r="E949" s="72" t="s">
        <v>5862</v>
      </c>
      <c r="F949" s="73" t="s">
        <v>8343</v>
      </c>
      <c r="G949" s="82">
        <v>47.1</v>
      </c>
      <c r="H949" s="67">
        <v>9506</v>
      </c>
      <c r="I949" s="69">
        <v>2</v>
      </c>
      <c r="J949" s="70">
        <v>43525</v>
      </c>
      <c r="K949" s="75">
        <v>3.9140723721998851</v>
      </c>
      <c r="L949" s="74">
        <v>0</v>
      </c>
      <c r="M949" s="76">
        <v>0</v>
      </c>
      <c r="N949" s="67">
        <v>1975</v>
      </c>
      <c r="O949" s="64" t="s">
        <v>181</v>
      </c>
      <c r="P949" s="64">
        <v>8745</v>
      </c>
      <c r="Q949" s="59">
        <v>20</v>
      </c>
      <c r="R949" s="59">
        <v>10</v>
      </c>
      <c r="S949" s="59">
        <v>1</v>
      </c>
      <c r="T949" s="63" t="s">
        <v>6754</v>
      </c>
      <c r="U949" s="63">
        <v>401</v>
      </c>
      <c r="V949" s="70">
        <v>90659</v>
      </c>
      <c r="W949" s="70">
        <v>90000</v>
      </c>
      <c r="X949" s="83" t="s">
        <v>5982</v>
      </c>
      <c r="Y949" s="70">
        <f t="shared" si="26"/>
        <v>44000</v>
      </c>
      <c r="Z949" s="63" t="s">
        <v>5866</v>
      </c>
      <c r="AA949" s="59">
        <v>3</v>
      </c>
      <c r="AB949" s="59">
        <v>3</v>
      </c>
      <c r="AC949" s="67" t="s">
        <v>333</v>
      </c>
      <c r="AD949" s="61" t="s">
        <v>181</v>
      </c>
      <c r="AE949" s="71"/>
      <c r="AF949" s="71"/>
      <c r="AG949" s="71"/>
      <c r="AH949" s="71"/>
      <c r="AI949" s="71"/>
      <c r="AJ949" s="71"/>
      <c r="AK949" s="71" t="s">
        <v>7486</v>
      </c>
      <c r="AL949">
        <f t="shared" si="25"/>
        <v>170360</v>
      </c>
    </row>
    <row r="950" spans="1:42">
      <c r="A950" s="62">
        <v>8</v>
      </c>
      <c r="B950" s="93">
        <v>942</v>
      </c>
      <c r="C950" s="68" t="s">
        <v>7495</v>
      </c>
      <c r="D950" s="59" t="s">
        <v>8344</v>
      </c>
      <c r="E950" s="63" t="s">
        <v>5862</v>
      </c>
      <c r="F950" s="59" t="s">
        <v>8345</v>
      </c>
      <c r="G950" s="82">
        <v>44.2</v>
      </c>
      <c r="H950" s="59">
        <v>9506</v>
      </c>
      <c r="I950" s="63">
        <v>0</v>
      </c>
      <c r="J950" s="70">
        <v>7826</v>
      </c>
      <c r="K950" s="75">
        <v>6.51</v>
      </c>
      <c r="L950" s="88">
        <v>0</v>
      </c>
      <c r="M950" s="88">
        <v>0.06</v>
      </c>
      <c r="N950" s="59">
        <v>1979</v>
      </c>
      <c r="O950" s="70">
        <v>812</v>
      </c>
      <c r="P950" s="70">
        <v>0</v>
      </c>
      <c r="Q950" s="59">
        <v>15</v>
      </c>
      <c r="R950" s="59">
        <v>3</v>
      </c>
      <c r="S950" s="59">
        <v>4</v>
      </c>
      <c r="T950" s="63" t="s">
        <v>7099</v>
      </c>
      <c r="U950" s="63">
        <v>398</v>
      </c>
      <c r="V950" s="70">
        <v>12500</v>
      </c>
      <c r="W950" s="70">
        <v>12000</v>
      </c>
      <c r="X950" s="83" t="str">
        <f>FIXED(ROUND(W950/Y950,1),1,TRUE)&amp;":1"</f>
        <v>1.5:1</v>
      </c>
      <c r="Y950" s="70">
        <v>8000</v>
      </c>
      <c r="Z950" s="63" t="s">
        <v>209</v>
      </c>
      <c r="AA950" s="59">
        <v>3</v>
      </c>
      <c r="AB950" s="59">
        <v>3</v>
      </c>
      <c r="AC950" s="59">
        <v>33</v>
      </c>
      <c r="AE950" s="89">
        <v>6.51</v>
      </c>
      <c r="AF950" s="90">
        <v>6.51</v>
      </c>
      <c r="AG950" s="90">
        <v>6.14</v>
      </c>
      <c r="AH950" s="90">
        <v>0.37</v>
      </c>
      <c r="AI950" s="90">
        <v>0</v>
      </c>
      <c r="AJ950" s="89" t="s">
        <v>8346</v>
      </c>
      <c r="AK950" s="59" t="s">
        <v>8347</v>
      </c>
      <c r="AN950" s="71"/>
      <c r="AO950" s="71"/>
      <c r="AP950" s="71"/>
    </row>
    <row r="951" spans="1:42">
      <c r="A951" s="62">
        <v>8</v>
      </c>
      <c r="B951" s="93">
        <v>943</v>
      </c>
      <c r="C951" s="68" t="s">
        <v>7475</v>
      </c>
      <c r="D951" s="59" t="s">
        <v>8348</v>
      </c>
      <c r="E951" s="72" t="s">
        <v>5862</v>
      </c>
      <c r="F951" s="73" t="s">
        <v>8349</v>
      </c>
      <c r="G951" s="82">
        <v>44.2</v>
      </c>
      <c r="H951" s="67">
        <v>9506</v>
      </c>
      <c r="I951" s="69">
        <v>0</v>
      </c>
      <c r="J951" s="70">
        <v>5105</v>
      </c>
      <c r="K951" s="75">
        <v>31.733594515181199</v>
      </c>
      <c r="L951" s="74">
        <v>0</v>
      </c>
      <c r="M951" s="76">
        <v>0</v>
      </c>
      <c r="N951" s="67">
        <v>1980</v>
      </c>
      <c r="O951" s="64">
        <v>1674</v>
      </c>
      <c r="Q951" s="59">
        <v>14</v>
      </c>
      <c r="R951" s="59">
        <v>1</v>
      </c>
      <c r="S951" s="59">
        <v>1</v>
      </c>
      <c r="T951" s="63" t="s">
        <v>6754</v>
      </c>
      <c r="U951" s="63">
        <v>398</v>
      </c>
      <c r="V951" s="70">
        <v>15627</v>
      </c>
      <c r="W951" s="70">
        <v>16000</v>
      </c>
      <c r="X951" s="83" t="s">
        <v>5979</v>
      </c>
      <c r="Y951" s="70">
        <f t="shared" ref="Y951:Y966" si="27">ROUND(J951,-3)</f>
        <v>5000</v>
      </c>
      <c r="Z951" s="63" t="s">
        <v>5866</v>
      </c>
      <c r="AA951" s="59">
        <v>3</v>
      </c>
      <c r="AB951" s="59">
        <v>3</v>
      </c>
      <c r="AC951" s="67" t="s">
        <v>333</v>
      </c>
      <c r="AD951" s="61" t="s">
        <v>8350</v>
      </c>
      <c r="AE951" s="71"/>
      <c r="AF951" s="71"/>
      <c r="AG951" s="71"/>
      <c r="AH951" s="71"/>
      <c r="AI951" s="71"/>
      <c r="AJ951" s="71"/>
      <c r="AK951" s="71" t="s">
        <v>7486</v>
      </c>
      <c r="AL951">
        <f t="shared" ref="AL951:AL973" si="28">IF(AND(ISNUMBER($S951),$S951&gt;0,ISNUMBER($K951),ISNUMBER($J951)),($K951*$J951)/$S951,"")</f>
        <v>162000.00000000003</v>
      </c>
    </row>
    <row r="952" spans="1:42">
      <c r="A952" s="62">
        <v>8</v>
      </c>
      <c r="B952" s="93">
        <v>944</v>
      </c>
      <c r="C952" s="68" t="s">
        <v>7475</v>
      </c>
      <c r="D952" s="59" t="s">
        <v>8351</v>
      </c>
      <c r="E952" s="72" t="s">
        <v>5862</v>
      </c>
      <c r="F952" s="73" t="s">
        <v>8352</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6754</v>
      </c>
      <c r="U952" s="63">
        <v>332</v>
      </c>
      <c r="V952" s="70">
        <v>9370</v>
      </c>
      <c r="W952" s="70">
        <v>9000</v>
      </c>
      <c r="X952" s="83" t="s">
        <v>6065</v>
      </c>
      <c r="Y952" s="70">
        <f t="shared" si="27"/>
        <v>6000</v>
      </c>
      <c r="Z952" s="63" t="s">
        <v>5866</v>
      </c>
      <c r="AA952" s="59">
        <v>3</v>
      </c>
      <c r="AB952" s="59">
        <v>3</v>
      </c>
      <c r="AC952" s="67">
        <v>33</v>
      </c>
      <c r="AD952" s="61" t="s">
        <v>181</v>
      </c>
      <c r="AE952" s="71"/>
      <c r="AF952" s="71"/>
      <c r="AG952" s="71"/>
      <c r="AH952" s="71"/>
      <c r="AI952" s="71"/>
      <c r="AJ952" s="71"/>
      <c r="AK952" s="71" t="s">
        <v>8353</v>
      </c>
      <c r="AL952">
        <f t="shared" si="28"/>
        <v>37199.999999999993</v>
      </c>
    </row>
    <row r="953" spans="1:42">
      <c r="A953" s="62">
        <v>8</v>
      </c>
      <c r="B953" s="93">
        <v>945</v>
      </c>
      <c r="C953" s="68" t="s">
        <v>7475</v>
      </c>
      <c r="D953" s="59" t="s">
        <v>6647</v>
      </c>
      <c r="E953" s="72" t="s">
        <v>5862</v>
      </c>
      <c r="F953" s="73" t="s">
        <v>6648</v>
      </c>
      <c r="G953" s="82">
        <v>44.2</v>
      </c>
      <c r="H953" s="67">
        <v>9506</v>
      </c>
      <c r="I953" s="69">
        <v>0</v>
      </c>
      <c r="J953" s="70">
        <v>2156</v>
      </c>
      <c r="K953" s="75">
        <v>9.183673469387756</v>
      </c>
      <c r="L953" s="74">
        <v>0</v>
      </c>
      <c r="M953" s="76">
        <v>6.7020202020202022E-2</v>
      </c>
      <c r="N953" s="67">
        <v>1957</v>
      </c>
      <c r="Q953" s="59">
        <v>12</v>
      </c>
      <c r="R953" s="59">
        <v>3</v>
      </c>
      <c r="S953" s="59">
        <v>1</v>
      </c>
      <c r="T953" s="63" t="s">
        <v>6754</v>
      </c>
      <c r="U953" s="63">
        <v>398</v>
      </c>
      <c r="V953" s="70">
        <v>9370</v>
      </c>
      <c r="W953" s="70">
        <v>9000</v>
      </c>
      <c r="X953" s="83" t="s">
        <v>5933</v>
      </c>
      <c r="Y953" s="70">
        <f t="shared" si="27"/>
        <v>2000</v>
      </c>
      <c r="Z953" s="63" t="s">
        <v>5866</v>
      </c>
      <c r="AA953" s="59">
        <v>3</v>
      </c>
      <c r="AB953" s="59">
        <v>3</v>
      </c>
      <c r="AC953" s="67" t="s">
        <v>333</v>
      </c>
      <c r="AD953" s="61" t="s">
        <v>181</v>
      </c>
      <c r="AE953" s="71"/>
      <c r="AF953" s="71"/>
      <c r="AG953" s="71"/>
      <c r="AH953" s="71"/>
      <c r="AI953" s="71"/>
      <c r="AJ953" s="71"/>
      <c r="AK953" s="71" t="s">
        <v>7524</v>
      </c>
      <c r="AL953">
        <f t="shared" si="28"/>
        <v>19800.000000000004</v>
      </c>
    </row>
    <row r="954" spans="1:42">
      <c r="A954" s="62">
        <v>8</v>
      </c>
      <c r="B954" s="93">
        <v>946</v>
      </c>
      <c r="C954" s="68" t="s">
        <v>7475</v>
      </c>
      <c r="D954" s="59" t="s">
        <v>7342</v>
      </c>
      <c r="E954" s="72" t="s">
        <v>5862</v>
      </c>
      <c r="F954" s="73" t="s">
        <v>8354</v>
      </c>
      <c r="G954" s="82">
        <v>47.1</v>
      </c>
      <c r="H954" s="67">
        <v>9506</v>
      </c>
      <c r="I954" s="69">
        <v>0</v>
      </c>
      <c r="J954" s="70">
        <v>6800</v>
      </c>
      <c r="K954" s="75">
        <v>6</v>
      </c>
      <c r="L954" s="74">
        <v>0</v>
      </c>
      <c r="M954" s="76">
        <v>9.1053921568627447E-2</v>
      </c>
      <c r="N954" s="67">
        <v>1967</v>
      </c>
      <c r="O954" s="64">
        <v>2000</v>
      </c>
      <c r="Q954" s="59">
        <v>16</v>
      </c>
      <c r="R954" s="59">
        <v>1</v>
      </c>
      <c r="S954" s="59">
        <v>1</v>
      </c>
      <c r="T954" s="63" t="s">
        <v>6754</v>
      </c>
      <c r="U954" s="63">
        <v>401</v>
      </c>
      <c r="V954" s="70">
        <v>11800</v>
      </c>
      <c r="W954" s="70">
        <v>12000</v>
      </c>
      <c r="X954" s="83" t="s">
        <v>5938</v>
      </c>
      <c r="Y954" s="70">
        <f t="shared" si="27"/>
        <v>7000</v>
      </c>
      <c r="Z954" s="63" t="s">
        <v>5866</v>
      </c>
      <c r="AA954" s="59">
        <v>3</v>
      </c>
      <c r="AB954" s="59">
        <v>3</v>
      </c>
      <c r="AC954" s="67" t="s">
        <v>333</v>
      </c>
      <c r="AD954" s="61" t="s">
        <v>181</v>
      </c>
      <c r="AE954" s="71"/>
      <c r="AF954" s="71"/>
      <c r="AG954" s="71"/>
      <c r="AH954" s="71"/>
      <c r="AI954" s="71"/>
      <c r="AJ954" s="71"/>
      <c r="AK954" s="71" t="s">
        <v>7612</v>
      </c>
      <c r="AL954">
        <f t="shared" si="28"/>
        <v>40800</v>
      </c>
    </row>
    <row r="955" spans="1:42">
      <c r="A955" s="62">
        <v>8</v>
      </c>
      <c r="B955" s="93">
        <v>947</v>
      </c>
      <c r="C955" s="68" t="s">
        <v>7475</v>
      </c>
      <c r="D955" s="59" t="s">
        <v>7344</v>
      </c>
      <c r="E955" s="72" t="s">
        <v>5862</v>
      </c>
      <c r="F955" s="73" t="s">
        <v>8355</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6754</v>
      </c>
      <c r="U955" s="63">
        <v>401</v>
      </c>
      <c r="V955" s="70">
        <v>12063</v>
      </c>
      <c r="W955" s="70">
        <v>12000</v>
      </c>
      <c r="X955" s="83" t="s">
        <v>5896</v>
      </c>
      <c r="Y955" s="70">
        <f t="shared" si="27"/>
        <v>8000</v>
      </c>
      <c r="Z955" s="63" t="s">
        <v>5866</v>
      </c>
      <c r="AA955" s="59">
        <v>3</v>
      </c>
      <c r="AB955" s="59">
        <v>3</v>
      </c>
      <c r="AC955" s="67" t="s">
        <v>333</v>
      </c>
      <c r="AD955" s="61" t="s">
        <v>181</v>
      </c>
      <c r="AE955" s="71"/>
      <c r="AF955" s="71"/>
      <c r="AG955" s="71"/>
      <c r="AH955" s="71"/>
      <c r="AI955" s="71"/>
      <c r="AJ955" s="71"/>
      <c r="AK955" s="71" t="s">
        <v>8043</v>
      </c>
      <c r="AL955">
        <f t="shared" si="28"/>
        <v>25704</v>
      </c>
    </row>
    <row r="956" spans="1:42">
      <c r="A956" s="62">
        <v>8</v>
      </c>
      <c r="B956" s="93">
        <v>948</v>
      </c>
      <c r="C956" s="68" t="s">
        <v>7475</v>
      </c>
      <c r="D956" s="59" t="s">
        <v>6656</v>
      </c>
      <c r="E956" s="72" t="s">
        <v>5862</v>
      </c>
      <c r="F956" s="73" t="s">
        <v>6657</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6754</v>
      </c>
      <c r="U956" s="63">
        <v>398</v>
      </c>
      <c r="V956" s="70">
        <v>7620</v>
      </c>
      <c r="W956" s="70">
        <v>8000</v>
      </c>
      <c r="X956" s="83" t="s">
        <v>6065</v>
      </c>
      <c r="Y956" s="70">
        <f t="shared" si="27"/>
        <v>5000</v>
      </c>
      <c r="Z956" s="63" t="s">
        <v>5866</v>
      </c>
      <c r="AA956" s="59">
        <v>2</v>
      </c>
      <c r="AB956" s="59">
        <v>1</v>
      </c>
      <c r="AC956" s="67" t="s">
        <v>276</v>
      </c>
      <c r="AD956" s="61" t="s">
        <v>181</v>
      </c>
      <c r="AE956" s="71"/>
      <c r="AF956" s="71"/>
      <c r="AG956" s="71"/>
      <c r="AH956" s="71"/>
      <c r="AI956" s="71"/>
      <c r="AJ956" s="71"/>
      <c r="AK956" s="71" t="s">
        <v>8356</v>
      </c>
      <c r="AL956">
        <f t="shared" si="28"/>
        <v>14400.000000000004</v>
      </c>
    </row>
    <row r="957" spans="1:42">
      <c r="A957" s="62">
        <v>8</v>
      </c>
      <c r="B957" s="93">
        <v>949</v>
      </c>
      <c r="C957" s="68" t="s">
        <v>7475</v>
      </c>
      <c r="D957" s="59" t="s">
        <v>8357</v>
      </c>
      <c r="E957" s="72" t="s">
        <v>5862</v>
      </c>
      <c r="F957" s="73" t="s">
        <v>8358</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6759</v>
      </c>
      <c r="U957" s="63">
        <v>398</v>
      </c>
      <c r="V957" s="70">
        <v>16886</v>
      </c>
      <c r="W957" s="70">
        <v>17000</v>
      </c>
      <c r="X957" s="83" t="s">
        <v>6182</v>
      </c>
      <c r="Y957" s="70">
        <f t="shared" si="27"/>
        <v>10000</v>
      </c>
      <c r="Z957" s="63" t="s">
        <v>5866</v>
      </c>
      <c r="AA957" s="59">
        <v>3</v>
      </c>
      <c r="AB957" s="59">
        <v>3</v>
      </c>
      <c r="AC957" s="67" t="s">
        <v>333</v>
      </c>
      <c r="AD957" s="61" t="s">
        <v>6024</v>
      </c>
      <c r="AE957" s="71"/>
      <c r="AF957" s="71"/>
      <c r="AG957" s="71"/>
      <c r="AH957" s="71"/>
      <c r="AI957" s="71"/>
      <c r="AJ957" s="71"/>
      <c r="AK957" s="71" t="s">
        <v>7553</v>
      </c>
      <c r="AL957">
        <f t="shared" si="28"/>
        <v>72000</v>
      </c>
    </row>
    <row r="958" spans="1:42">
      <c r="A958" s="62">
        <v>8</v>
      </c>
      <c r="B958" s="93">
        <v>950</v>
      </c>
      <c r="C958" s="68" t="s">
        <v>7475</v>
      </c>
      <c r="D958" s="59" t="s">
        <v>8359</v>
      </c>
      <c r="E958" s="72" t="s">
        <v>5862</v>
      </c>
      <c r="F958" s="73" t="s">
        <v>8360</v>
      </c>
      <c r="G958" s="82">
        <v>44.1</v>
      </c>
      <c r="H958" s="67">
        <v>9506</v>
      </c>
      <c r="I958" s="69">
        <v>0</v>
      </c>
      <c r="J958" s="70">
        <v>11667</v>
      </c>
      <c r="K958" s="75">
        <v>5.999828576326391</v>
      </c>
      <c r="L958" s="74">
        <v>0</v>
      </c>
      <c r="M958" s="76">
        <v>0</v>
      </c>
      <c r="N958" s="67">
        <v>1954</v>
      </c>
      <c r="O958" s="64">
        <v>1351</v>
      </c>
      <c r="Q958" s="59">
        <v>14</v>
      </c>
      <c r="R958" s="59">
        <v>3</v>
      </c>
      <c r="S958" s="59">
        <v>1</v>
      </c>
      <c r="T958" s="63" t="s">
        <v>6754</v>
      </c>
      <c r="U958" s="63">
        <v>398</v>
      </c>
      <c r="V958" s="70">
        <v>13750</v>
      </c>
      <c r="W958" s="70">
        <v>14000</v>
      </c>
      <c r="X958" s="83" t="s">
        <v>5982</v>
      </c>
      <c r="Y958" s="70">
        <f t="shared" si="27"/>
        <v>12000</v>
      </c>
      <c r="Z958" s="63" t="s">
        <v>5866</v>
      </c>
      <c r="AA958" s="59">
        <v>3</v>
      </c>
      <c r="AB958" s="59">
        <v>3</v>
      </c>
      <c r="AC958" s="67" t="s">
        <v>333</v>
      </c>
      <c r="AD958" s="61" t="s">
        <v>8361</v>
      </c>
      <c r="AE958" s="71"/>
      <c r="AF958" s="71"/>
      <c r="AG958" s="71"/>
      <c r="AH958" s="71"/>
      <c r="AI958" s="71"/>
      <c r="AJ958" s="71"/>
      <c r="AK958" s="71" t="s">
        <v>8362</v>
      </c>
      <c r="AL958">
        <f t="shared" si="28"/>
        <v>70000</v>
      </c>
    </row>
    <row r="959" spans="1:42">
      <c r="A959" s="62">
        <v>8</v>
      </c>
      <c r="B959" s="93">
        <v>951</v>
      </c>
      <c r="C959" s="68" t="s">
        <v>7475</v>
      </c>
      <c r="D959" s="59" t="s">
        <v>6662</v>
      </c>
      <c r="E959" s="72" t="s">
        <v>5862</v>
      </c>
      <c r="F959" s="73" t="s">
        <v>6663</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6754</v>
      </c>
      <c r="U959" s="63">
        <v>398</v>
      </c>
      <c r="V959" s="70">
        <v>10950</v>
      </c>
      <c r="W959" s="70">
        <v>11000</v>
      </c>
      <c r="X959" s="83" t="s">
        <v>5878</v>
      </c>
      <c r="Y959" s="70">
        <f t="shared" si="27"/>
        <v>3000</v>
      </c>
      <c r="Z959" s="63" t="s">
        <v>5866</v>
      </c>
      <c r="AA959" s="59">
        <v>3</v>
      </c>
      <c r="AB959" s="59">
        <v>3</v>
      </c>
      <c r="AC959" s="67" t="s">
        <v>333</v>
      </c>
      <c r="AD959" s="61" t="s">
        <v>6427</v>
      </c>
      <c r="AE959" s="71"/>
      <c r="AF959" s="71"/>
      <c r="AG959" s="71"/>
      <c r="AH959" s="71"/>
      <c r="AI959" s="71"/>
      <c r="AJ959" s="71"/>
      <c r="AK959" s="71" t="s">
        <v>8363</v>
      </c>
      <c r="AL959">
        <f t="shared" si="28"/>
        <v>7999.9999999999991</v>
      </c>
    </row>
    <row r="960" spans="1:42">
      <c r="A960" s="62">
        <v>8</v>
      </c>
      <c r="B960" s="93">
        <v>952</v>
      </c>
      <c r="C960" s="68" t="s">
        <v>7475</v>
      </c>
      <c r="D960" s="59" t="s">
        <v>8364</v>
      </c>
      <c r="E960" s="72" t="s">
        <v>5862</v>
      </c>
      <c r="F960" s="73" t="s">
        <v>8365</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6754</v>
      </c>
      <c r="U960" s="63">
        <v>398</v>
      </c>
      <c r="V960" s="70">
        <v>6248</v>
      </c>
      <c r="W960" s="70">
        <v>6000</v>
      </c>
      <c r="X960" s="83" t="s">
        <v>6091</v>
      </c>
      <c r="Y960" s="70">
        <f t="shared" si="27"/>
        <v>3000</v>
      </c>
      <c r="Z960" s="63" t="s">
        <v>5866</v>
      </c>
      <c r="AA960" s="59">
        <v>3</v>
      </c>
      <c r="AB960" s="59">
        <v>3</v>
      </c>
      <c r="AC960" s="67" t="s">
        <v>333</v>
      </c>
      <c r="AD960" s="61" t="s">
        <v>8366</v>
      </c>
      <c r="AE960" s="71"/>
      <c r="AF960" s="71"/>
      <c r="AG960" s="71"/>
      <c r="AH960" s="71"/>
      <c r="AI960" s="71"/>
      <c r="AJ960" s="71"/>
      <c r="AK960" s="71" t="s">
        <v>8367</v>
      </c>
      <c r="AL960">
        <f t="shared" si="28"/>
        <v>11175</v>
      </c>
    </row>
    <row r="961" spans="1:42">
      <c r="A961" s="62">
        <v>8</v>
      </c>
      <c r="B961" s="93">
        <v>953</v>
      </c>
      <c r="C961" s="68" t="s">
        <v>7475</v>
      </c>
      <c r="D961" s="59" t="s">
        <v>6664</v>
      </c>
      <c r="E961" s="72" t="s">
        <v>5862</v>
      </c>
      <c r="F961" s="73" t="s">
        <v>6665</v>
      </c>
      <c r="G961" s="82">
        <v>44.2</v>
      </c>
      <c r="H961" s="67">
        <v>9506</v>
      </c>
      <c r="I961" s="69">
        <v>0</v>
      </c>
      <c r="J961" s="70">
        <v>7000</v>
      </c>
      <c r="K961" s="75">
        <v>6.8571428571428568</v>
      </c>
      <c r="L961" s="74">
        <v>0.25</v>
      </c>
      <c r="M961" s="76">
        <v>0</v>
      </c>
      <c r="N961" s="67">
        <v>1967</v>
      </c>
      <c r="O961" s="64">
        <v>2500</v>
      </c>
      <c r="Q961" s="59">
        <v>14</v>
      </c>
      <c r="R961" s="59">
        <v>1</v>
      </c>
      <c r="S961" s="59">
        <v>1</v>
      </c>
      <c r="T961" s="63" t="s">
        <v>6754</v>
      </c>
      <c r="U961" s="63">
        <v>398</v>
      </c>
      <c r="V961" s="70">
        <v>12500</v>
      </c>
      <c r="W961" s="70">
        <v>13000</v>
      </c>
      <c r="X961" s="83" t="s">
        <v>6091</v>
      </c>
      <c r="Y961" s="70">
        <f t="shared" si="27"/>
        <v>7000</v>
      </c>
      <c r="Z961" s="63" t="s">
        <v>5866</v>
      </c>
      <c r="AA961" s="59">
        <v>3</v>
      </c>
      <c r="AB961" s="59">
        <v>3</v>
      </c>
      <c r="AC961" s="67" t="s">
        <v>333</v>
      </c>
      <c r="AD961" s="61" t="s">
        <v>181</v>
      </c>
      <c r="AE961" s="71"/>
      <c r="AF961" s="71"/>
      <c r="AG961" s="71"/>
      <c r="AH961" s="71"/>
      <c r="AI961" s="71"/>
      <c r="AJ961" s="71"/>
      <c r="AK961" s="71" t="s">
        <v>8368</v>
      </c>
      <c r="AL961">
        <f t="shared" si="28"/>
        <v>48000</v>
      </c>
    </row>
    <row r="962" spans="1:42">
      <c r="A962" s="62">
        <v>8</v>
      </c>
      <c r="B962" s="93">
        <v>954</v>
      </c>
      <c r="C962" s="68" t="s">
        <v>7475</v>
      </c>
      <c r="D962" s="59" t="s">
        <v>6666</v>
      </c>
      <c r="E962" s="72" t="s">
        <v>5862</v>
      </c>
      <c r="F962" s="73" t="s">
        <v>6667</v>
      </c>
      <c r="G962" s="82">
        <v>44.2</v>
      </c>
      <c r="H962" s="67">
        <v>9506</v>
      </c>
      <c r="I962" s="69">
        <v>2</v>
      </c>
      <c r="J962" s="70">
        <v>12500</v>
      </c>
      <c r="K962" s="75">
        <v>6.9859200000000001</v>
      </c>
      <c r="L962" s="74">
        <v>0</v>
      </c>
      <c r="M962" s="76">
        <v>0</v>
      </c>
      <c r="N962" s="67">
        <v>1932</v>
      </c>
      <c r="O962" s="64">
        <v>1800</v>
      </c>
      <c r="Q962" s="59">
        <v>16</v>
      </c>
      <c r="R962" s="59">
        <v>1</v>
      </c>
      <c r="S962" s="59">
        <v>1</v>
      </c>
      <c r="T962" s="63" t="s">
        <v>7018</v>
      </c>
      <c r="U962" s="63">
        <v>398</v>
      </c>
      <c r="V962" s="70">
        <v>15624</v>
      </c>
      <c r="W962" s="70">
        <v>16000</v>
      </c>
      <c r="X962" s="83" t="s">
        <v>7374</v>
      </c>
      <c r="Y962" s="70">
        <f t="shared" si="27"/>
        <v>13000</v>
      </c>
      <c r="Z962" s="63" t="s">
        <v>5866</v>
      </c>
      <c r="AA962" s="59">
        <v>3</v>
      </c>
      <c r="AB962" s="59">
        <v>3</v>
      </c>
      <c r="AC962" s="67" t="s">
        <v>333</v>
      </c>
      <c r="AD962" s="61" t="s">
        <v>181</v>
      </c>
      <c r="AE962" s="71"/>
      <c r="AF962" s="71"/>
      <c r="AG962" s="71"/>
      <c r="AH962" s="71"/>
      <c r="AI962" s="71"/>
      <c r="AJ962" s="71"/>
      <c r="AK962" s="71" t="s">
        <v>8369</v>
      </c>
      <c r="AL962">
        <f t="shared" si="28"/>
        <v>87324</v>
      </c>
    </row>
    <row r="963" spans="1:42">
      <c r="A963" s="62">
        <v>8</v>
      </c>
      <c r="B963" s="93">
        <v>955</v>
      </c>
      <c r="C963" s="68" t="s">
        <v>7475</v>
      </c>
      <c r="D963" s="59" t="s">
        <v>6668</v>
      </c>
      <c r="E963" s="72" t="s">
        <v>5862</v>
      </c>
      <c r="F963" s="73" t="s">
        <v>6669</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6754</v>
      </c>
      <c r="U963" s="63">
        <v>398</v>
      </c>
      <c r="V963" s="70">
        <v>9430</v>
      </c>
      <c r="W963" s="70">
        <v>9000</v>
      </c>
      <c r="X963" s="83" t="s">
        <v>5896</v>
      </c>
      <c r="Y963" s="70">
        <f t="shared" si="27"/>
        <v>6000</v>
      </c>
      <c r="Z963" s="63" t="s">
        <v>5866</v>
      </c>
      <c r="AA963" s="59">
        <v>3</v>
      </c>
      <c r="AB963" s="59">
        <v>3</v>
      </c>
      <c r="AC963" s="67" t="s">
        <v>333</v>
      </c>
      <c r="AD963" s="61" t="s">
        <v>181</v>
      </c>
      <c r="AE963" s="71"/>
      <c r="AF963" s="71"/>
      <c r="AG963" s="71"/>
      <c r="AH963" s="71"/>
      <c r="AI963" s="71"/>
      <c r="AJ963" s="71"/>
      <c r="AK963" s="71" t="s">
        <v>7796</v>
      </c>
      <c r="AL963">
        <f t="shared" si="28"/>
        <v>10350</v>
      </c>
    </row>
    <row r="964" spans="1:42">
      <c r="A964" s="62">
        <v>8</v>
      </c>
      <c r="B964" s="93">
        <v>956</v>
      </c>
      <c r="C964" s="68" t="s">
        <v>7475</v>
      </c>
      <c r="D964" s="59" t="s">
        <v>8370</v>
      </c>
      <c r="E964" s="72" t="s">
        <v>5862</v>
      </c>
      <c r="F964" s="73" t="s">
        <v>8371</v>
      </c>
      <c r="G964" s="82">
        <v>44.2</v>
      </c>
      <c r="H964" s="67">
        <v>9506</v>
      </c>
      <c r="I964" s="69">
        <v>0</v>
      </c>
      <c r="J964" s="70">
        <v>4312</v>
      </c>
      <c r="K964" s="75">
        <v>6.9573283858998147</v>
      </c>
      <c r="L964" s="74">
        <v>0</v>
      </c>
      <c r="M964" s="76">
        <v>0</v>
      </c>
      <c r="N964" s="67">
        <v>1973</v>
      </c>
      <c r="O964" s="64">
        <v>390</v>
      </c>
      <c r="Q964" s="59">
        <v>18</v>
      </c>
      <c r="R964" s="59">
        <v>9</v>
      </c>
      <c r="S964" s="59">
        <v>1</v>
      </c>
      <c r="T964" s="63" t="s">
        <v>6754</v>
      </c>
      <c r="U964" s="63">
        <v>398</v>
      </c>
      <c r="V964" s="70">
        <v>6327</v>
      </c>
      <c r="W964" s="70">
        <v>6000</v>
      </c>
      <c r="X964" s="83" t="s">
        <v>6065</v>
      </c>
      <c r="Y964" s="70">
        <f t="shared" si="27"/>
        <v>4000</v>
      </c>
      <c r="Z964" s="63" t="s">
        <v>5866</v>
      </c>
      <c r="AA964" s="59">
        <v>3</v>
      </c>
      <c r="AB964" s="59">
        <v>3</v>
      </c>
      <c r="AC964" s="67" t="s">
        <v>333</v>
      </c>
      <c r="AD964" s="61" t="s">
        <v>8372</v>
      </c>
      <c r="AE964" s="71"/>
      <c r="AF964" s="71"/>
      <c r="AG964" s="71"/>
      <c r="AH964" s="71"/>
      <c r="AI964" s="71"/>
      <c r="AJ964" s="71"/>
      <c r="AK964" s="71" t="s">
        <v>7532</v>
      </c>
      <c r="AL964">
        <f t="shared" si="28"/>
        <v>30000</v>
      </c>
    </row>
    <row r="965" spans="1:42">
      <c r="A965" s="62">
        <v>8</v>
      </c>
      <c r="B965" s="93">
        <v>957</v>
      </c>
      <c r="C965" s="68" t="s">
        <v>7475</v>
      </c>
      <c r="D965" s="59" t="s">
        <v>7361</v>
      </c>
      <c r="E965" s="72" t="s">
        <v>5862</v>
      </c>
      <c r="F965" s="73" t="s">
        <v>8373</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6754</v>
      </c>
      <c r="U965" s="63">
        <v>398</v>
      </c>
      <c r="V965" s="70">
        <v>7751</v>
      </c>
      <c r="W965" s="70">
        <v>8000</v>
      </c>
      <c r="X965" s="83" t="s">
        <v>5896</v>
      </c>
      <c r="Y965" s="70">
        <f t="shared" si="27"/>
        <v>5000</v>
      </c>
      <c r="Z965" s="63" t="s">
        <v>5866</v>
      </c>
      <c r="AA965" s="59">
        <v>3</v>
      </c>
      <c r="AB965" s="59">
        <v>3</v>
      </c>
      <c r="AC965" s="67" t="s">
        <v>333</v>
      </c>
      <c r="AD965" s="61" t="s">
        <v>7363</v>
      </c>
      <c r="AE965" s="71"/>
      <c r="AF965" s="71"/>
      <c r="AG965" s="71"/>
      <c r="AH965" s="71"/>
      <c r="AI965" s="71"/>
      <c r="AJ965" s="71"/>
      <c r="AK965" s="71" t="s">
        <v>7731</v>
      </c>
      <c r="AL965">
        <f t="shared" si="28"/>
        <v>27000</v>
      </c>
    </row>
    <row r="966" spans="1:42">
      <c r="A966" s="62">
        <v>8</v>
      </c>
      <c r="B966" s="93">
        <v>958</v>
      </c>
      <c r="C966" s="68" t="s">
        <v>7475</v>
      </c>
      <c r="D966" s="59" t="s">
        <v>7366</v>
      </c>
      <c r="E966" s="72" t="s">
        <v>5862</v>
      </c>
      <c r="F966" s="73" t="s">
        <v>8374</v>
      </c>
      <c r="G966" s="82">
        <v>44.2</v>
      </c>
      <c r="H966" s="67">
        <v>9506</v>
      </c>
      <c r="I966" s="69">
        <v>0</v>
      </c>
      <c r="J966" s="70">
        <v>4704</v>
      </c>
      <c r="K966" s="75">
        <v>4.0391156462585034</v>
      </c>
      <c r="L966" s="74">
        <v>0</v>
      </c>
      <c r="M966" s="76">
        <v>0</v>
      </c>
      <c r="N966" s="67">
        <v>1958</v>
      </c>
      <c r="P966" s="64">
        <v>1208</v>
      </c>
      <c r="Q966" s="59">
        <v>10</v>
      </c>
      <c r="R966" s="59">
        <v>1</v>
      </c>
      <c r="S966" s="59">
        <v>1</v>
      </c>
      <c r="T966" s="63" t="s">
        <v>6754</v>
      </c>
      <c r="U966" s="63">
        <v>398</v>
      </c>
      <c r="V966" s="70">
        <v>6250</v>
      </c>
      <c r="W966" s="70">
        <v>6000</v>
      </c>
      <c r="X966" s="83" t="s">
        <v>6331</v>
      </c>
      <c r="Y966" s="70">
        <f t="shared" si="27"/>
        <v>5000</v>
      </c>
      <c r="Z966" s="63" t="s">
        <v>5866</v>
      </c>
      <c r="AA966" s="59">
        <v>3</v>
      </c>
      <c r="AB966" s="59">
        <v>3</v>
      </c>
      <c r="AC966" s="67" t="s">
        <v>333</v>
      </c>
      <c r="AD966" s="61" t="s">
        <v>6672</v>
      </c>
      <c r="AE966" s="71"/>
      <c r="AF966" s="71"/>
      <c r="AG966" s="71"/>
      <c r="AH966" s="71"/>
      <c r="AI966" s="71"/>
      <c r="AJ966" s="71"/>
      <c r="AK966" s="71" t="s">
        <v>7803</v>
      </c>
      <c r="AL966">
        <f t="shared" si="28"/>
        <v>19000</v>
      </c>
    </row>
    <row r="967" spans="1:42">
      <c r="A967" s="62">
        <v>8</v>
      </c>
      <c r="B967" s="93">
        <v>959</v>
      </c>
      <c r="C967" s="68" t="s">
        <v>7475</v>
      </c>
      <c r="D967" s="59" t="s">
        <v>7369</v>
      </c>
      <c r="E967" s="72" t="s">
        <v>5862</v>
      </c>
      <c r="F967" s="73" t="s">
        <v>8375</v>
      </c>
      <c r="G967" s="82">
        <v>44.1</v>
      </c>
      <c r="H967" s="67">
        <v>9509</v>
      </c>
      <c r="I967" s="69">
        <v>0</v>
      </c>
      <c r="J967" s="70">
        <v>798</v>
      </c>
      <c r="K967" s="75">
        <v>11.278195488721799</v>
      </c>
      <c r="L967" s="74">
        <v>0</v>
      </c>
      <c r="M967" s="76">
        <v>0</v>
      </c>
      <c r="N967" s="67">
        <v>1956</v>
      </c>
      <c r="O967" s="64">
        <v>200</v>
      </c>
      <c r="Q967" s="59">
        <v>14</v>
      </c>
      <c r="R967" s="59">
        <v>3</v>
      </c>
      <c r="S967" s="59">
        <v>1</v>
      </c>
      <c r="T967" s="63" t="s">
        <v>7028</v>
      </c>
      <c r="U967" s="63">
        <v>398</v>
      </c>
      <c r="V967" s="70">
        <v>4700</v>
      </c>
      <c r="W967" s="70">
        <v>5000</v>
      </c>
      <c r="X967" s="83" t="s">
        <v>6419</v>
      </c>
      <c r="Y967" s="70">
        <f>ROUND(J967,-2)</f>
        <v>800</v>
      </c>
      <c r="Z967" s="63" t="s">
        <v>5866</v>
      </c>
      <c r="AA967" s="59">
        <v>3</v>
      </c>
      <c r="AB967" s="59">
        <v>3</v>
      </c>
      <c r="AC967" s="67" t="s">
        <v>333</v>
      </c>
      <c r="AD967" s="61" t="s">
        <v>7371</v>
      </c>
      <c r="AE967" s="71"/>
      <c r="AF967" s="71"/>
      <c r="AG967" s="71"/>
      <c r="AH967" s="71"/>
      <c r="AI967" s="71"/>
      <c r="AJ967" s="71"/>
      <c r="AK967" s="71" t="s">
        <v>8376</v>
      </c>
      <c r="AL967">
        <f t="shared" si="28"/>
        <v>8999.9999999999964</v>
      </c>
    </row>
    <row r="968" spans="1:42">
      <c r="A968" s="62">
        <v>8</v>
      </c>
      <c r="B968" s="93">
        <v>960</v>
      </c>
      <c r="C968" s="68" t="s">
        <v>7475</v>
      </c>
      <c r="D968" s="59" t="s">
        <v>7378</v>
      </c>
      <c r="E968" s="72" t="s">
        <v>5862</v>
      </c>
      <c r="F968" s="73" t="s">
        <v>8377</v>
      </c>
      <c r="G968" s="82">
        <v>44.2</v>
      </c>
      <c r="H968" s="67">
        <v>9506</v>
      </c>
      <c r="I968" s="69">
        <v>0</v>
      </c>
      <c r="J968" s="70">
        <v>3594</v>
      </c>
      <c r="K968" s="75">
        <v>4.006677796327212</v>
      </c>
      <c r="L968" s="74">
        <v>0</v>
      </c>
      <c r="M968" s="76">
        <v>0</v>
      </c>
      <c r="N968" s="67">
        <v>1953</v>
      </c>
      <c r="Q968" s="59">
        <v>14</v>
      </c>
      <c r="R968" s="59">
        <v>3</v>
      </c>
      <c r="S968" s="59">
        <v>1</v>
      </c>
      <c r="T968" s="63" t="s">
        <v>6754</v>
      </c>
      <c r="U968" s="63">
        <v>398</v>
      </c>
      <c r="V968" s="70">
        <v>12500</v>
      </c>
      <c r="W968" s="70">
        <v>13000</v>
      </c>
      <c r="X968" s="83" t="s">
        <v>6436</v>
      </c>
      <c r="Y968" s="70">
        <f>ROUND(J968,-3)</f>
        <v>4000</v>
      </c>
      <c r="Z968" s="63" t="s">
        <v>5866</v>
      </c>
      <c r="AA968" s="59">
        <v>3</v>
      </c>
      <c r="AB968" s="59">
        <v>3</v>
      </c>
      <c r="AC968" s="67" t="s">
        <v>333</v>
      </c>
      <c r="AD968" s="61" t="s">
        <v>7380</v>
      </c>
      <c r="AE968" s="71"/>
      <c r="AF968" s="71"/>
      <c r="AG968" s="71"/>
      <c r="AH968" s="71"/>
      <c r="AI968" s="71"/>
      <c r="AJ968" s="71"/>
      <c r="AK968" s="71" t="s">
        <v>7486</v>
      </c>
      <c r="AL968">
        <f t="shared" si="28"/>
        <v>14400</v>
      </c>
    </row>
    <row r="969" spans="1:42">
      <c r="A969" s="62">
        <v>8</v>
      </c>
      <c r="B969" s="93">
        <v>961</v>
      </c>
      <c r="C969" s="68" t="s">
        <v>7475</v>
      </c>
      <c r="D969" s="59" t="s">
        <v>7381</v>
      </c>
      <c r="E969" s="72" t="s">
        <v>5862</v>
      </c>
      <c r="F969" s="73" t="s">
        <v>8378</v>
      </c>
      <c r="G969" s="82">
        <v>44.2</v>
      </c>
      <c r="H969" s="67">
        <v>9506</v>
      </c>
      <c r="I969" s="69">
        <v>0</v>
      </c>
      <c r="J969" s="70">
        <v>11266</v>
      </c>
      <c r="K969" s="75">
        <v>5.8140422510207701</v>
      </c>
      <c r="L969" s="74">
        <v>0</v>
      </c>
      <c r="M969" s="76">
        <v>0</v>
      </c>
      <c r="N969" s="67">
        <v>1968</v>
      </c>
      <c r="O969" s="64">
        <v>612</v>
      </c>
      <c r="Q969" s="59">
        <v>13</v>
      </c>
      <c r="R969" s="59">
        <v>1</v>
      </c>
      <c r="S969" s="59">
        <v>1</v>
      </c>
      <c r="T969" s="63" t="s">
        <v>6754</v>
      </c>
      <c r="U969" s="63">
        <v>398</v>
      </c>
      <c r="V969" s="70">
        <v>15625</v>
      </c>
      <c r="W969" s="70">
        <v>16000</v>
      </c>
      <c r="X969" s="83" t="s">
        <v>5938</v>
      </c>
      <c r="Y969" s="70">
        <f>ROUND(J969,-3)</f>
        <v>11000</v>
      </c>
      <c r="Z969" s="63" t="s">
        <v>5866</v>
      </c>
      <c r="AA969" s="59">
        <v>3</v>
      </c>
      <c r="AB969" s="59">
        <v>3</v>
      </c>
      <c r="AC969" s="67" t="s">
        <v>333</v>
      </c>
      <c r="AD969" s="61" t="s">
        <v>7383</v>
      </c>
      <c r="AE969" s="71"/>
      <c r="AF969" s="71"/>
      <c r="AG969" s="71"/>
      <c r="AH969" s="71"/>
      <c r="AI969" s="71"/>
      <c r="AJ969" s="71"/>
      <c r="AK969" s="71" t="s">
        <v>7486</v>
      </c>
      <c r="AL969">
        <f t="shared" si="28"/>
        <v>65500.999999999993</v>
      </c>
    </row>
    <row r="970" spans="1:42">
      <c r="A970" s="62">
        <v>8</v>
      </c>
      <c r="B970" s="93">
        <v>962</v>
      </c>
      <c r="C970" s="68" t="s">
        <v>7475</v>
      </c>
      <c r="D970" s="59" t="s">
        <v>8379</v>
      </c>
      <c r="E970" s="72" t="s">
        <v>5862</v>
      </c>
      <c r="F970" s="73" t="s">
        <v>8380</v>
      </c>
      <c r="G970" s="82">
        <v>44.2</v>
      </c>
      <c r="H970" s="67">
        <v>9506</v>
      </c>
      <c r="I970" s="69">
        <v>0</v>
      </c>
      <c r="J970" s="70">
        <v>9529</v>
      </c>
      <c r="K970" s="75">
        <v>6.2965683702382202</v>
      </c>
      <c r="L970" s="74">
        <v>0</v>
      </c>
      <c r="M970" s="76">
        <v>0</v>
      </c>
      <c r="N970" s="67">
        <v>1958</v>
      </c>
      <c r="O970" s="64">
        <v>480</v>
      </c>
      <c r="Q970" s="59">
        <v>16</v>
      </c>
      <c r="R970" s="59">
        <v>3</v>
      </c>
      <c r="S970" s="59">
        <v>1</v>
      </c>
      <c r="T970" s="63" t="s">
        <v>6754</v>
      </c>
      <c r="U970" s="63">
        <v>398</v>
      </c>
      <c r="V970" s="70">
        <v>12500</v>
      </c>
      <c r="W970" s="70">
        <v>13000</v>
      </c>
      <c r="X970" s="83" t="s">
        <v>6331</v>
      </c>
      <c r="Y970" s="70">
        <f>ROUND(J970,-3)</f>
        <v>10000</v>
      </c>
      <c r="Z970" s="63" t="s">
        <v>5866</v>
      </c>
      <c r="AA970" s="59">
        <v>3</v>
      </c>
      <c r="AB970" s="59">
        <v>3</v>
      </c>
      <c r="AC970" s="67" t="s">
        <v>333</v>
      </c>
      <c r="AD970" s="61" t="s">
        <v>8381</v>
      </c>
      <c r="AE970" s="71"/>
      <c r="AF970" s="71"/>
      <c r="AG970" s="71"/>
      <c r="AH970" s="71"/>
      <c r="AI970" s="71"/>
      <c r="AJ970" s="71"/>
      <c r="AK970" s="71" t="s">
        <v>8382</v>
      </c>
      <c r="AL970">
        <f t="shared" si="28"/>
        <v>60000</v>
      </c>
    </row>
    <row r="971" spans="1:42">
      <c r="A971" s="62">
        <v>8</v>
      </c>
      <c r="B971" s="93">
        <v>963</v>
      </c>
      <c r="C971" s="68" t="s">
        <v>7475</v>
      </c>
      <c r="D971" s="59" t="s">
        <v>8383</v>
      </c>
      <c r="E971" s="72" t="s">
        <v>5862</v>
      </c>
      <c r="F971" s="73" t="s">
        <v>8384</v>
      </c>
      <c r="G971" s="82">
        <v>44.2</v>
      </c>
      <c r="H971" s="67">
        <v>9506</v>
      </c>
      <c r="I971" s="69">
        <v>0</v>
      </c>
      <c r="J971" s="70">
        <v>3158</v>
      </c>
      <c r="K971" s="75">
        <v>6.4217859404686513</v>
      </c>
      <c r="L971" s="74">
        <v>0</v>
      </c>
      <c r="M971" s="76">
        <v>0</v>
      </c>
      <c r="N971" s="67">
        <v>1959</v>
      </c>
      <c r="Q971" s="59">
        <v>12</v>
      </c>
      <c r="R971" s="59">
        <v>1</v>
      </c>
      <c r="S971" s="59">
        <v>1</v>
      </c>
      <c r="T971" s="63" t="s">
        <v>6754</v>
      </c>
      <c r="U971" s="63">
        <v>398</v>
      </c>
      <c r="V971" s="70">
        <v>6250</v>
      </c>
      <c r="W971" s="70">
        <v>6000</v>
      </c>
      <c r="X971" s="83" t="s">
        <v>6774</v>
      </c>
      <c r="Y971" s="70">
        <f>ROUND(J971,-3)</f>
        <v>3000</v>
      </c>
      <c r="Z971" s="63" t="s">
        <v>5866</v>
      </c>
      <c r="AA971" s="59">
        <v>3</v>
      </c>
      <c r="AB971" s="59">
        <v>3</v>
      </c>
      <c r="AC971" s="67" t="s">
        <v>333</v>
      </c>
      <c r="AD971" s="61" t="s">
        <v>8385</v>
      </c>
      <c r="AE971" s="71"/>
      <c r="AF971" s="71"/>
      <c r="AG971" s="71"/>
      <c r="AH971" s="71"/>
      <c r="AI971" s="71"/>
      <c r="AJ971" s="71"/>
      <c r="AK971" s="71" t="s">
        <v>7486</v>
      </c>
      <c r="AL971">
        <f t="shared" si="28"/>
        <v>20280</v>
      </c>
    </row>
    <row r="972" spans="1:42">
      <c r="A972" s="62">
        <v>8</v>
      </c>
      <c r="B972" s="93">
        <v>964</v>
      </c>
      <c r="C972" s="68" t="s">
        <v>7475</v>
      </c>
      <c r="D972" s="59" t="s">
        <v>8386</v>
      </c>
      <c r="E972" s="72" t="s">
        <v>5862</v>
      </c>
      <c r="F972" s="73" t="s">
        <v>8387</v>
      </c>
      <c r="G972" s="82" t="s">
        <v>6239</v>
      </c>
      <c r="H972" s="67">
        <v>9506</v>
      </c>
      <c r="I972" s="69">
        <v>0</v>
      </c>
      <c r="J972" s="70">
        <v>1815</v>
      </c>
      <c r="K972" s="75">
        <v>5.0578512396694224</v>
      </c>
      <c r="L972" s="74">
        <v>0</v>
      </c>
      <c r="M972" s="76">
        <v>0.1047930283224401</v>
      </c>
      <c r="N972" s="67">
        <v>1986</v>
      </c>
      <c r="Q972" s="59">
        <v>10</v>
      </c>
      <c r="R972" s="59">
        <v>2</v>
      </c>
      <c r="S972" s="59">
        <v>1</v>
      </c>
      <c r="T972" s="63" t="s">
        <v>6754</v>
      </c>
      <c r="U972" s="63">
        <v>398</v>
      </c>
      <c r="V972" s="70">
        <v>6250</v>
      </c>
      <c r="W972" s="70">
        <v>6000</v>
      </c>
      <c r="X972" s="83" t="s">
        <v>6293</v>
      </c>
      <c r="Y972" s="70">
        <f>ROUND(J972,-2)</f>
        <v>1800</v>
      </c>
      <c r="Z972" s="63" t="s">
        <v>5866</v>
      </c>
      <c r="AA972" s="59">
        <v>3</v>
      </c>
      <c r="AB972" s="59">
        <v>1</v>
      </c>
      <c r="AC972" s="67" t="s">
        <v>323</v>
      </c>
      <c r="AD972" s="61" t="s">
        <v>181</v>
      </c>
      <c r="AE972" s="71"/>
      <c r="AF972" s="71"/>
      <c r="AG972" s="71"/>
      <c r="AH972" s="71"/>
      <c r="AI972" s="71"/>
      <c r="AJ972" s="71"/>
      <c r="AK972" s="71" t="s">
        <v>8388</v>
      </c>
      <c r="AL972">
        <f t="shared" si="28"/>
        <v>9180.0000000000018</v>
      </c>
    </row>
    <row r="973" spans="1:42">
      <c r="A973" s="62">
        <v>8</v>
      </c>
      <c r="B973" s="93">
        <v>965</v>
      </c>
      <c r="C973" s="68" t="s">
        <v>7475</v>
      </c>
      <c r="D973" s="59" t="s">
        <v>8389</v>
      </c>
      <c r="E973" s="72" t="s">
        <v>5862</v>
      </c>
      <c r="F973" s="73" t="s">
        <v>8390</v>
      </c>
      <c r="G973" s="82">
        <v>44.2</v>
      </c>
      <c r="H973" s="67">
        <v>9506</v>
      </c>
      <c r="I973" s="69">
        <v>0</v>
      </c>
      <c r="J973" s="70">
        <v>15906</v>
      </c>
      <c r="K973" s="75">
        <v>2.7159562429271968</v>
      </c>
      <c r="L973" s="74">
        <v>0</v>
      </c>
      <c r="M973" s="76">
        <v>0</v>
      </c>
      <c r="N973" s="67">
        <v>1915</v>
      </c>
      <c r="Q973" s="59">
        <v>16</v>
      </c>
      <c r="R973" s="59">
        <v>1</v>
      </c>
      <c r="S973" s="59">
        <v>1</v>
      </c>
      <c r="T973" s="63" t="s">
        <v>6754</v>
      </c>
      <c r="U973" s="63">
        <v>398</v>
      </c>
      <c r="V973" s="70">
        <v>35250</v>
      </c>
      <c r="W973" s="70">
        <v>35000</v>
      </c>
      <c r="X973" s="83" t="s">
        <v>5928</v>
      </c>
      <c r="Y973" s="70">
        <f>ROUND(J973,-3)</f>
        <v>16000</v>
      </c>
      <c r="Z973" s="63" t="s">
        <v>5866</v>
      </c>
      <c r="AA973" s="59">
        <v>3</v>
      </c>
      <c r="AB973" s="59">
        <v>3</v>
      </c>
      <c r="AC973" s="67" t="s">
        <v>333</v>
      </c>
      <c r="AD973" s="61" t="s">
        <v>181</v>
      </c>
      <c r="AE973" s="71"/>
      <c r="AF973" s="71"/>
      <c r="AG973" s="71"/>
      <c r="AH973" s="71"/>
      <c r="AI973" s="71"/>
      <c r="AJ973" s="71"/>
      <c r="AK973" s="71" t="s">
        <v>7486</v>
      </c>
      <c r="AL973">
        <f t="shared" si="28"/>
        <v>43199.999999999993</v>
      </c>
    </row>
    <row r="974" spans="1:42">
      <c r="A974" s="62">
        <v>8</v>
      </c>
      <c r="B974" s="93">
        <v>966</v>
      </c>
      <c r="C974" s="68" t="s">
        <v>7495</v>
      </c>
      <c r="D974" s="59" t="s">
        <v>8391</v>
      </c>
      <c r="E974" s="63" t="s">
        <v>5862</v>
      </c>
      <c r="F974" s="59" t="s">
        <v>8392</v>
      </c>
      <c r="G974" s="82">
        <v>44.1</v>
      </c>
      <c r="H974" s="59">
        <v>9509</v>
      </c>
      <c r="I974" s="63">
        <v>0</v>
      </c>
      <c r="J974" s="64">
        <v>7934</v>
      </c>
      <c r="K974" s="75">
        <v>6.81</v>
      </c>
      <c r="L974" s="88">
        <v>0</v>
      </c>
      <c r="M974" s="88">
        <v>0</v>
      </c>
      <c r="N974" s="59">
        <v>1974</v>
      </c>
      <c r="O974" s="70">
        <v>0</v>
      </c>
      <c r="P974" s="70">
        <v>2556</v>
      </c>
      <c r="Q974" s="59">
        <v>13</v>
      </c>
      <c r="R974" s="59">
        <v>3</v>
      </c>
      <c r="S974" s="59">
        <v>1</v>
      </c>
      <c r="T974" s="63" t="s">
        <v>7718</v>
      </c>
      <c r="U974" s="63">
        <v>398</v>
      </c>
      <c r="V974" s="70">
        <v>7812</v>
      </c>
      <c r="W974" s="70">
        <v>8000</v>
      </c>
      <c r="X974" s="67" t="s">
        <v>7374</v>
      </c>
      <c r="Y974" s="70">
        <v>8000</v>
      </c>
      <c r="Z974" s="63" t="s">
        <v>209</v>
      </c>
      <c r="AA974" s="59">
        <v>3</v>
      </c>
      <c r="AB974" s="59">
        <v>3</v>
      </c>
      <c r="AC974" s="59">
        <v>33</v>
      </c>
      <c r="AE974" s="89">
        <v>6.81</v>
      </c>
      <c r="AF974" s="90">
        <v>6.81</v>
      </c>
      <c r="AG974" s="90">
        <v>6.81</v>
      </c>
      <c r="AH974" s="90">
        <v>0</v>
      </c>
      <c r="AI974" s="90" t="s">
        <v>1057</v>
      </c>
      <c r="AJ974" s="89" t="s">
        <v>1057</v>
      </c>
      <c r="AN974" s="71"/>
      <c r="AO974" s="71"/>
      <c r="AP974" s="71"/>
    </row>
    <row r="975" spans="1:42">
      <c r="A975" s="62">
        <v>8</v>
      </c>
      <c r="B975" s="93">
        <v>967</v>
      </c>
      <c r="C975" s="68" t="s">
        <v>7475</v>
      </c>
      <c r="D975" s="59" t="s">
        <v>8393</v>
      </c>
      <c r="E975" s="72" t="s">
        <v>5862</v>
      </c>
      <c r="F975" s="73" t="s">
        <v>8394</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6757</v>
      </c>
      <c r="U975" s="63">
        <v>398</v>
      </c>
      <c r="V975" s="70">
        <v>7753</v>
      </c>
      <c r="W975" s="70">
        <v>8000</v>
      </c>
      <c r="X975" s="83" t="s">
        <v>5979</v>
      </c>
      <c r="Y975" s="70">
        <f>ROUND(J975,-3)</f>
        <v>3000</v>
      </c>
      <c r="Z975" s="63" t="s">
        <v>5866</v>
      </c>
      <c r="AA975" s="59">
        <v>3</v>
      </c>
      <c r="AB975" s="59">
        <v>3</v>
      </c>
      <c r="AC975" s="67" t="s">
        <v>333</v>
      </c>
      <c r="AD975" s="61" t="s">
        <v>8395</v>
      </c>
      <c r="AE975" s="71"/>
      <c r="AF975" s="71"/>
      <c r="AG975" s="71"/>
      <c r="AH975" s="71"/>
      <c r="AI975" s="71"/>
      <c r="AJ975" s="71"/>
      <c r="AK975" s="71" t="s">
        <v>7486</v>
      </c>
      <c r="AL975">
        <f t="shared" ref="AL975:AL1019" si="29">IF(AND(ISNUMBER($S975),$S975&gt;0,ISNUMBER($K975),ISNUMBER($J975)),($K975*$J975)/$S975,"")</f>
        <v>22799.999999999996</v>
      </c>
    </row>
    <row r="976" spans="1:42">
      <c r="A976" s="62">
        <v>8</v>
      </c>
      <c r="B976" s="93">
        <v>968</v>
      </c>
      <c r="C976" s="68" t="s">
        <v>7475</v>
      </c>
      <c r="D976" s="59" t="s">
        <v>8396</v>
      </c>
      <c r="E976" s="72" t="s">
        <v>5862</v>
      </c>
      <c r="F976" s="73" t="s">
        <v>8397</v>
      </c>
      <c r="G976" s="82">
        <v>44.1</v>
      </c>
      <c r="H976" s="67">
        <v>9506</v>
      </c>
      <c r="I976" s="69">
        <v>0</v>
      </c>
      <c r="J976" s="70">
        <v>3136</v>
      </c>
      <c r="K976" s="75">
        <v>6.6964285714285712</v>
      </c>
      <c r="L976" s="74">
        <v>0</v>
      </c>
      <c r="M976" s="76">
        <v>0</v>
      </c>
      <c r="N976" s="67">
        <v>1981</v>
      </c>
      <c r="O976" s="64" t="s">
        <v>181</v>
      </c>
      <c r="P976" s="64">
        <v>729</v>
      </c>
      <c r="Q976" s="59">
        <v>14</v>
      </c>
      <c r="R976" s="59">
        <v>8</v>
      </c>
      <c r="S976" s="59">
        <v>1</v>
      </c>
      <c r="T976" s="63" t="s">
        <v>7018</v>
      </c>
      <c r="U976" s="63">
        <v>398</v>
      </c>
      <c r="V976" s="70">
        <v>14258</v>
      </c>
      <c r="W976" s="70">
        <v>14000</v>
      </c>
      <c r="X976" s="83" t="s">
        <v>6308</v>
      </c>
      <c r="Y976" s="70">
        <f>ROUND(J976,-3)</f>
        <v>3000</v>
      </c>
      <c r="Z976" s="63" t="s">
        <v>5866</v>
      </c>
      <c r="AA976" s="59">
        <v>3</v>
      </c>
      <c r="AB976" s="59">
        <v>2</v>
      </c>
      <c r="AC976" s="67" t="s">
        <v>329</v>
      </c>
      <c r="AD976" s="61" t="s">
        <v>8398</v>
      </c>
      <c r="AE976" s="71"/>
      <c r="AF976" s="71"/>
      <c r="AG976" s="71"/>
      <c r="AH976" s="71"/>
      <c r="AI976" s="71"/>
      <c r="AJ976" s="71"/>
      <c r="AK976" s="71" t="s">
        <v>7553</v>
      </c>
      <c r="AL976">
        <f t="shared" si="29"/>
        <v>21000</v>
      </c>
    </row>
    <row r="977" spans="1:38">
      <c r="A977" s="62">
        <v>8</v>
      </c>
      <c r="B977" s="93">
        <v>969</v>
      </c>
      <c r="C977" s="68" t="s">
        <v>7475</v>
      </c>
      <c r="D977" s="59" t="s">
        <v>6681</v>
      </c>
      <c r="E977" s="72" t="s">
        <v>5862</v>
      </c>
      <c r="F977" s="73" t="s">
        <v>6682</v>
      </c>
      <c r="G977" s="82">
        <v>44.2</v>
      </c>
      <c r="H977" s="67">
        <v>9506</v>
      </c>
      <c r="I977" s="69">
        <v>0</v>
      </c>
      <c r="J977" s="70">
        <v>14970</v>
      </c>
      <c r="K977" s="75">
        <v>4.0080160320641278</v>
      </c>
      <c r="L977" s="74">
        <v>0</v>
      </c>
      <c r="M977" s="76">
        <v>0</v>
      </c>
      <c r="N977" s="67">
        <v>1960</v>
      </c>
      <c r="O977" s="64">
        <v>1407</v>
      </c>
      <c r="Q977" s="59">
        <v>13</v>
      </c>
      <c r="R977" s="59">
        <v>3</v>
      </c>
      <c r="S977" s="59">
        <v>1</v>
      </c>
      <c r="T977" s="63" t="s">
        <v>6754</v>
      </c>
      <c r="U977" s="63">
        <v>398</v>
      </c>
      <c r="V977" s="70">
        <v>17968</v>
      </c>
      <c r="W977" s="70">
        <v>18000</v>
      </c>
      <c r="X977" s="83" t="s">
        <v>6128</v>
      </c>
      <c r="Y977" s="70">
        <f>ROUND(J977,-3)</f>
        <v>15000</v>
      </c>
      <c r="Z977" s="63" t="s">
        <v>5866</v>
      </c>
      <c r="AA977" s="59">
        <v>3</v>
      </c>
      <c r="AB977" s="59">
        <v>1</v>
      </c>
      <c r="AC977" s="67" t="s">
        <v>323</v>
      </c>
      <c r="AD977" s="61" t="s">
        <v>181</v>
      </c>
      <c r="AE977" s="71"/>
      <c r="AF977" s="71"/>
      <c r="AG977" s="71"/>
      <c r="AH977" s="71"/>
      <c r="AI977" s="71"/>
      <c r="AJ977" s="71"/>
      <c r="AK977" s="71" t="s">
        <v>7537</v>
      </c>
      <c r="AL977">
        <f t="shared" si="29"/>
        <v>59999.999999999993</v>
      </c>
    </row>
    <row r="978" spans="1:38">
      <c r="A978" s="62">
        <v>8</v>
      </c>
      <c r="B978" s="93">
        <v>970</v>
      </c>
      <c r="C978" s="68" t="s">
        <v>7475</v>
      </c>
      <c r="D978" s="59" t="s">
        <v>6683</v>
      </c>
      <c r="E978" s="72" t="s">
        <v>5862</v>
      </c>
      <c r="F978" s="73" t="s">
        <v>6684</v>
      </c>
      <c r="G978" s="82">
        <v>47.2</v>
      </c>
      <c r="H978" s="67">
        <v>9506</v>
      </c>
      <c r="I978" s="69">
        <v>0</v>
      </c>
      <c r="J978" s="70">
        <v>28581</v>
      </c>
      <c r="K978" s="75">
        <v>3.9886637976277952</v>
      </c>
      <c r="L978" s="74">
        <v>0</v>
      </c>
      <c r="M978" s="76">
        <v>0</v>
      </c>
      <c r="N978" s="67">
        <v>1961</v>
      </c>
      <c r="O978" s="64">
        <v>6364</v>
      </c>
      <c r="Q978" s="59">
        <v>13</v>
      </c>
      <c r="R978" s="59">
        <v>3</v>
      </c>
      <c r="S978" s="59">
        <v>1</v>
      </c>
      <c r="T978" s="63" t="s">
        <v>6754</v>
      </c>
      <c r="U978" s="63">
        <v>401</v>
      </c>
      <c r="V978" s="70">
        <v>38282</v>
      </c>
      <c r="W978" s="70">
        <v>38000</v>
      </c>
      <c r="X978" s="83" t="s">
        <v>6331</v>
      </c>
      <c r="Y978" s="70">
        <f>ROUND(J978,-3)</f>
        <v>29000</v>
      </c>
      <c r="Z978" s="63" t="s">
        <v>5866</v>
      </c>
      <c r="AA978" s="59">
        <v>3</v>
      </c>
      <c r="AB978" s="59">
        <v>2</v>
      </c>
      <c r="AC978" s="67" t="s">
        <v>329</v>
      </c>
      <c r="AD978" s="61" t="s">
        <v>6685</v>
      </c>
      <c r="AE978" s="71"/>
      <c r="AF978" s="71"/>
      <c r="AG978" s="71"/>
      <c r="AH978" s="71"/>
      <c r="AI978" s="71"/>
      <c r="AJ978" s="71"/>
      <c r="AK978" s="71" t="s">
        <v>7537</v>
      </c>
      <c r="AL978">
        <f t="shared" si="29"/>
        <v>114000.00000000001</v>
      </c>
    </row>
    <row r="979" spans="1:38">
      <c r="A979" s="62">
        <v>8</v>
      </c>
      <c r="B979" s="93">
        <v>971</v>
      </c>
      <c r="C979" s="68" t="s">
        <v>7475</v>
      </c>
      <c r="D979" s="59" t="s">
        <v>8399</v>
      </c>
      <c r="E979" s="72" t="s">
        <v>5862</v>
      </c>
      <c r="F979" s="73" t="s">
        <v>8400</v>
      </c>
      <c r="G979" s="82">
        <v>47.1</v>
      </c>
      <c r="H979" s="67">
        <v>9506</v>
      </c>
      <c r="I979" s="69">
        <v>0</v>
      </c>
      <c r="J979" s="70">
        <v>63727</v>
      </c>
      <c r="K979" s="75">
        <v>3.124264440504025</v>
      </c>
      <c r="L979" s="74">
        <v>0</v>
      </c>
      <c r="M979" s="76">
        <v>0</v>
      </c>
      <c r="N979" s="67">
        <v>1964</v>
      </c>
      <c r="O979" s="64">
        <v>3520</v>
      </c>
      <c r="Q979" s="59">
        <v>19</v>
      </c>
      <c r="R979" s="59">
        <v>10</v>
      </c>
      <c r="S979" s="59">
        <v>1</v>
      </c>
      <c r="T979" s="63" t="s">
        <v>6754</v>
      </c>
      <c r="U979" s="63">
        <v>401</v>
      </c>
      <c r="V979" s="70">
        <v>192233</v>
      </c>
      <c r="W979" s="70">
        <v>190000</v>
      </c>
      <c r="X979" s="83" t="s">
        <v>6791</v>
      </c>
      <c r="Y979" s="70">
        <f>ROUND(J979,-4)</f>
        <v>60000</v>
      </c>
      <c r="Z979" s="63" t="s">
        <v>5866</v>
      </c>
      <c r="AA979" s="59">
        <v>1</v>
      </c>
      <c r="AB979" s="59">
        <v>3</v>
      </c>
      <c r="AC979" s="67" t="s">
        <v>244</v>
      </c>
      <c r="AD979" s="61" t="s">
        <v>181</v>
      </c>
      <c r="AE979" s="71"/>
      <c r="AF979" s="71"/>
      <c r="AG979" s="71"/>
      <c r="AH979" s="71"/>
      <c r="AI979" s="71"/>
      <c r="AJ979" s="71"/>
      <c r="AK979" s="71" t="s">
        <v>7641</v>
      </c>
      <c r="AL979">
        <f t="shared" si="29"/>
        <v>199100</v>
      </c>
    </row>
    <row r="980" spans="1:38">
      <c r="A980" s="62">
        <v>8</v>
      </c>
      <c r="B980" s="93">
        <v>972</v>
      </c>
      <c r="C980" s="68" t="s">
        <v>7475</v>
      </c>
      <c r="D980" s="59" t="s">
        <v>8401</v>
      </c>
      <c r="E980" s="72" t="s">
        <v>5862</v>
      </c>
      <c r="F980" s="73" t="s">
        <v>8402</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6757</v>
      </c>
      <c r="U980" s="63">
        <v>398</v>
      </c>
      <c r="V980" s="70">
        <v>12500</v>
      </c>
      <c r="W980" s="70">
        <v>13000</v>
      </c>
      <c r="X980" s="83" t="s">
        <v>5928</v>
      </c>
      <c r="Y980" s="70">
        <f t="shared" ref="Y980:Y1003" si="30">ROUND(J980,-3)</f>
        <v>6000</v>
      </c>
      <c r="Z980" s="63" t="s">
        <v>5866</v>
      </c>
      <c r="AA980" s="59">
        <v>3</v>
      </c>
      <c r="AB980" s="59">
        <v>3</v>
      </c>
      <c r="AC980" s="67" t="s">
        <v>333</v>
      </c>
      <c r="AD980" s="61" t="s">
        <v>181</v>
      </c>
      <c r="AE980" s="71"/>
      <c r="AF980" s="71"/>
      <c r="AG980" s="71"/>
      <c r="AH980" s="71"/>
      <c r="AI980" s="71"/>
      <c r="AJ980" s="71"/>
      <c r="AK980" s="71" t="s">
        <v>8376</v>
      </c>
      <c r="AL980">
        <f t="shared" si="29"/>
        <v>21840</v>
      </c>
    </row>
    <row r="981" spans="1:38">
      <c r="A981" s="62">
        <v>8</v>
      </c>
      <c r="B981" s="93">
        <v>973</v>
      </c>
      <c r="C981" s="68" t="s">
        <v>7475</v>
      </c>
      <c r="D981" s="59" t="s">
        <v>6689</v>
      </c>
      <c r="E981" s="72" t="s">
        <v>5862</v>
      </c>
      <c r="F981" s="73" t="s">
        <v>6690</v>
      </c>
      <c r="G981" s="82">
        <v>47.1</v>
      </c>
      <c r="H981" s="67">
        <v>9506</v>
      </c>
      <c r="I981" s="69">
        <v>0</v>
      </c>
      <c r="J981" s="70">
        <v>2487</v>
      </c>
      <c r="K981" s="75">
        <v>9.6501809408926409</v>
      </c>
      <c r="L981" s="74">
        <v>0</v>
      </c>
      <c r="M981" s="76">
        <v>0.140125</v>
      </c>
      <c r="N981" s="67">
        <v>1954</v>
      </c>
      <c r="P981" s="64">
        <v>1188</v>
      </c>
      <c r="Q981" s="59">
        <v>16</v>
      </c>
      <c r="R981" s="59">
        <v>3</v>
      </c>
      <c r="S981" s="59">
        <v>1</v>
      </c>
      <c r="T981" s="63" t="s">
        <v>6757</v>
      </c>
      <c r="U981" s="63">
        <v>401</v>
      </c>
      <c r="V981" s="70">
        <v>12500</v>
      </c>
      <c r="W981" s="70">
        <v>13000</v>
      </c>
      <c r="X981" s="83" t="s">
        <v>7042</v>
      </c>
      <c r="Y981" s="70">
        <f t="shared" si="30"/>
        <v>2000</v>
      </c>
      <c r="Z981" s="63" t="s">
        <v>5866</v>
      </c>
      <c r="AA981" s="59">
        <v>3</v>
      </c>
      <c r="AB981" s="59">
        <v>3</v>
      </c>
      <c r="AC981" s="67" t="s">
        <v>333</v>
      </c>
      <c r="AD981" s="61" t="s">
        <v>6691</v>
      </c>
      <c r="AE981" s="71"/>
      <c r="AF981" s="71"/>
      <c r="AG981" s="71"/>
      <c r="AH981" s="71"/>
      <c r="AI981" s="71"/>
      <c r="AJ981" s="71"/>
      <c r="AK981" s="71" t="s">
        <v>7803</v>
      </c>
      <c r="AL981">
        <f t="shared" si="29"/>
        <v>23999.999999999996</v>
      </c>
    </row>
    <row r="982" spans="1:38">
      <c r="A982" s="62">
        <v>8</v>
      </c>
      <c r="B982" s="93">
        <v>974</v>
      </c>
      <c r="C982" s="68" t="s">
        <v>7475</v>
      </c>
      <c r="D982" s="59" t="s">
        <v>6694</v>
      </c>
      <c r="E982" s="72" t="s">
        <v>5862</v>
      </c>
      <c r="F982" s="73" t="s">
        <v>6695</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7018</v>
      </c>
      <c r="U982" s="63">
        <v>398</v>
      </c>
      <c r="V982" s="70">
        <v>4687</v>
      </c>
      <c r="W982" s="70">
        <v>5000</v>
      </c>
      <c r="X982" s="83" t="s">
        <v>6091</v>
      </c>
      <c r="Y982" s="70">
        <f t="shared" si="30"/>
        <v>3000</v>
      </c>
      <c r="Z982" s="63" t="s">
        <v>5866</v>
      </c>
      <c r="AA982" s="59">
        <v>3</v>
      </c>
      <c r="AB982" s="59">
        <v>3</v>
      </c>
      <c r="AC982" s="67" t="s">
        <v>333</v>
      </c>
      <c r="AD982" s="61" t="s">
        <v>6696</v>
      </c>
      <c r="AE982" s="71"/>
      <c r="AF982" s="71"/>
      <c r="AG982" s="71"/>
      <c r="AH982" s="71"/>
      <c r="AI982" s="71"/>
      <c r="AJ982" s="71"/>
      <c r="AK982" s="71" t="s">
        <v>7553</v>
      </c>
      <c r="AL982">
        <f t="shared" si="29"/>
        <v>14400</v>
      </c>
    </row>
    <row r="983" spans="1:38">
      <c r="A983" s="62">
        <v>8</v>
      </c>
      <c r="B983" s="93">
        <v>975</v>
      </c>
      <c r="C983" s="68" t="s">
        <v>7475</v>
      </c>
      <c r="D983" s="59" t="s">
        <v>8403</v>
      </c>
      <c r="E983" s="72" t="s">
        <v>5862</v>
      </c>
      <c r="F983" s="73" t="s">
        <v>8404</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6757</v>
      </c>
      <c r="U983" s="63">
        <v>398</v>
      </c>
      <c r="V983" s="70">
        <v>37500</v>
      </c>
      <c r="W983" s="70">
        <v>38000</v>
      </c>
      <c r="X983" s="83" t="s">
        <v>5909</v>
      </c>
      <c r="Y983" s="70">
        <f t="shared" si="30"/>
        <v>6000</v>
      </c>
      <c r="Z983" s="63" t="s">
        <v>5866</v>
      </c>
      <c r="AA983" s="59">
        <v>3</v>
      </c>
      <c r="AB983" s="59">
        <v>3</v>
      </c>
      <c r="AC983" s="67" t="s">
        <v>333</v>
      </c>
      <c r="AD983" s="61" t="s">
        <v>8405</v>
      </c>
      <c r="AE983" s="71"/>
      <c r="AF983" s="71"/>
      <c r="AG983" s="71"/>
      <c r="AH983" s="71"/>
      <c r="AI983" s="71"/>
      <c r="AJ983" s="71"/>
      <c r="AK983" s="71" t="s">
        <v>8406</v>
      </c>
      <c r="AL983">
        <f t="shared" si="29"/>
        <v>77999.999999999985</v>
      </c>
    </row>
    <row r="984" spans="1:38">
      <c r="A984" s="62">
        <v>8</v>
      </c>
      <c r="B984" s="93">
        <v>976</v>
      </c>
      <c r="C984" s="68" t="s">
        <v>7475</v>
      </c>
      <c r="D984" s="59" t="s">
        <v>8407</v>
      </c>
      <c r="E984" s="72" t="s">
        <v>5862</v>
      </c>
      <c r="F984" s="73" t="s">
        <v>8408</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6759</v>
      </c>
      <c r="U984" s="63">
        <v>396</v>
      </c>
      <c r="V984" s="70">
        <v>33300</v>
      </c>
      <c r="W984" s="70">
        <v>33000</v>
      </c>
      <c r="X984" s="83" t="s">
        <v>6271</v>
      </c>
      <c r="Y984" s="70">
        <f t="shared" si="30"/>
        <v>30000</v>
      </c>
      <c r="Z984" s="63" t="s">
        <v>5866</v>
      </c>
      <c r="AA984" s="59">
        <v>3</v>
      </c>
      <c r="AB984" s="59">
        <v>3</v>
      </c>
      <c r="AC984" s="67" t="s">
        <v>333</v>
      </c>
      <c r="AD984" s="61" t="s">
        <v>7398</v>
      </c>
      <c r="AE984" s="71"/>
      <c r="AF984" s="71"/>
      <c r="AG984" s="71"/>
      <c r="AH984" s="71"/>
      <c r="AI984" s="71"/>
      <c r="AJ984" s="71"/>
      <c r="AK984" s="71" t="s">
        <v>181</v>
      </c>
      <c r="AL984">
        <f t="shared" si="29"/>
        <v>949.01960784313712</v>
      </c>
    </row>
    <row r="985" spans="1:38">
      <c r="A985" s="62">
        <v>8</v>
      </c>
      <c r="B985" s="93">
        <v>977</v>
      </c>
      <c r="C985" s="68" t="s">
        <v>7475</v>
      </c>
      <c r="D985" s="59" t="s">
        <v>8409</v>
      </c>
      <c r="E985" s="72" t="s">
        <v>5862</v>
      </c>
      <c r="F985" s="73" t="s">
        <v>8410</v>
      </c>
      <c r="G985" s="82">
        <v>44.1</v>
      </c>
      <c r="H985" s="67">
        <v>9506</v>
      </c>
      <c r="I985" s="69">
        <v>0</v>
      </c>
      <c r="J985" s="70">
        <v>3850</v>
      </c>
      <c r="K985" s="75">
        <v>7.7922077922077921</v>
      </c>
      <c r="L985" s="74">
        <v>0</v>
      </c>
      <c r="M985" s="76">
        <v>0.14499999999999999</v>
      </c>
      <c r="N985" s="67">
        <v>1962</v>
      </c>
      <c r="Q985" s="59">
        <v>13</v>
      </c>
      <c r="R985" s="59">
        <v>3</v>
      </c>
      <c r="S985" s="59">
        <v>1</v>
      </c>
      <c r="T985" s="63" t="s">
        <v>6759</v>
      </c>
      <c r="U985" s="63">
        <v>398</v>
      </c>
      <c r="V985" s="70">
        <v>5988</v>
      </c>
      <c r="W985" s="70">
        <v>6000</v>
      </c>
      <c r="X985" s="83" t="s">
        <v>5896</v>
      </c>
      <c r="Y985" s="70">
        <f t="shared" si="30"/>
        <v>4000</v>
      </c>
      <c r="Z985" s="63" t="s">
        <v>5866</v>
      </c>
      <c r="AA985" s="59">
        <v>1</v>
      </c>
      <c r="AB985" s="59">
        <v>3</v>
      </c>
      <c r="AC985" s="67" t="s">
        <v>244</v>
      </c>
      <c r="AD985" s="61" t="s">
        <v>181</v>
      </c>
      <c r="AE985" s="71"/>
      <c r="AF985" s="71"/>
      <c r="AG985" s="71"/>
      <c r="AH985" s="71"/>
      <c r="AI985" s="71"/>
      <c r="AJ985" s="71"/>
      <c r="AK985" s="71" t="s">
        <v>7486</v>
      </c>
      <c r="AL985">
        <f t="shared" si="29"/>
        <v>30000</v>
      </c>
    </row>
    <row r="986" spans="1:38">
      <c r="A986" s="62">
        <v>8</v>
      </c>
      <c r="B986" s="93">
        <v>978</v>
      </c>
      <c r="C986" s="68" t="s">
        <v>7475</v>
      </c>
      <c r="D986" s="59" t="s">
        <v>8411</v>
      </c>
      <c r="E986" s="72" t="s">
        <v>5862</v>
      </c>
      <c r="F986" s="73" t="s">
        <v>8412</v>
      </c>
      <c r="G986" s="82">
        <v>44.1</v>
      </c>
      <c r="H986" s="67">
        <v>9506</v>
      </c>
      <c r="I986" s="69">
        <v>0</v>
      </c>
      <c r="J986" s="70">
        <v>7065</v>
      </c>
      <c r="K986" s="75">
        <v>6.7940552016985141</v>
      </c>
      <c r="L986" s="74">
        <v>0</v>
      </c>
      <c r="M986" s="76">
        <v>0</v>
      </c>
      <c r="N986" s="67">
        <v>1977</v>
      </c>
      <c r="O986" s="64">
        <f>1174+1259</f>
        <v>2433</v>
      </c>
      <c r="P986" s="64" t="s">
        <v>181</v>
      </c>
      <c r="Q986" s="59">
        <v>12</v>
      </c>
      <c r="R986" s="59">
        <v>1</v>
      </c>
      <c r="S986" s="59">
        <v>1</v>
      </c>
      <c r="T986" s="63" t="s">
        <v>6754</v>
      </c>
      <c r="U986" s="63">
        <v>398</v>
      </c>
      <c r="V986" s="70">
        <v>21875</v>
      </c>
      <c r="W986" s="70">
        <v>22000</v>
      </c>
      <c r="X986" s="83" t="s">
        <v>5979</v>
      </c>
      <c r="Y986" s="70">
        <f t="shared" si="30"/>
        <v>7000</v>
      </c>
      <c r="Z986" s="63" t="s">
        <v>5866</v>
      </c>
      <c r="AA986" s="59">
        <v>3</v>
      </c>
      <c r="AB986" s="59">
        <v>3</v>
      </c>
      <c r="AC986" s="67" t="s">
        <v>333</v>
      </c>
      <c r="AD986" s="61" t="s">
        <v>8413</v>
      </c>
      <c r="AE986" s="71"/>
      <c r="AF986" s="71"/>
      <c r="AG986" s="71"/>
      <c r="AH986" s="71"/>
      <c r="AI986" s="71"/>
      <c r="AJ986" s="71"/>
      <c r="AK986" s="71" t="s">
        <v>7648</v>
      </c>
      <c r="AL986">
        <f t="shared" si="29"/>
        <v>48000</v>
      </c>
    </row>
    <row r="987" spans="1:38">
      <c r="A987" s="62">
        <v>8</v>
      </c>
      <c r="B987" s="93">
        <v>979</v>
      </c>
      <c r="C987" s="68" t="s">
        <v>7475</v>
      </c>
      <c r="D987" s="59" t="s">
        <v>6700</v>
      </c>
      <c r="E987" s="72" t="s">
        <v>5862</v>
      </c>
      <c r="F987" s="73" t="s">
        <v>6701</v>
      </c>
      <c r="G987" s="82">
        <v>44.2</v>
      </c>
      <c r="H987" s="67">
        <v>9506</v>
      </c>
      <c r="I987" s="69">
        <v>0</v>
      </c>
      <c r="J987" s="70">
        <v>4000</v>
      </c>
      <c r="K987" s="75">
        <v>6.2</v>
      </c>
      <c r="L987" s="74">
        <v>0</v>
      </c>
      <c r="M987" s="76">
        <v>0.1096774193548387</v>
      </c>
      <c r="N987" s="67">
        <v>1957</v>
      </c>
      <c r="O987" s="64">
        <v>369</v>
      </c>
      <c r="Q987" s="59">
        <v>12</v>
      </c>
      <c r="R987" s="59">
        <v>1</v>
      </c>
      <c r="S987" s="59">
        <v>2</v>
      </c>
      <c r="T987" s="63" t="s">
        <v>6754</v>
      </c>
      <c r="U987" s="63">
        <v>398</v>
      </c>
      <c r="V987" s="70">
        <v>9375</v>
      </c>
      <c r="W987" s="70">
        <v>9000</v>
      </c>
      <c r="X987" s="83" t="s">
        <v>5874</v>
      </c>
      <c r="Y987" s="70">
        <f t="shared" si="30"/>
        <v>4000</v>
      </c>
      <c r="Z987" s="63" t="s">
        <v>5866</v>
      </c>
      <c r="AA987" s="59">
        <v>3</v>
      </c>
      <c r="AB987" s="59">
        <v>3</v>
      </c>
      <c r="AC987" s="67" t="s">
        <v>333</v>
      </c>
      <c r="AD987" s="61" t="s">
        <v>6702</v>
      </c>
      <c r="AE987" s="71"/>
      <c r="AF987" s="71"/>
      <c r="AG987" s="71"/>
      <c r="AH987" s="71"/>
      <c r="AI987" s="71"/>
      <c r="AJ987" s="71"/>
      <c r="AK987" s="71" t="s">
        <v>8414</v>
      </c>
      <c r="AL987">
        <f t="shared" si="29"/>
        <v>12400</v>
      </c>
    </row>
    <row r="988" spans="1:38">
      <c r="A988" s="62">
        <v>8</v>
      </c>
      <c r="B988" s="93">
        <v>980</v>
      </c>
      <c r="C988" s="68" t="s">
        <v>7475</v>
      </c>
      <c r="D988" s="59" t="s">
        <v>6703</v>
      </c>
      <c r="E988" s="72" t="s">
        <v>5862</v>
      </c>
      <c r="F988" s="73" t="s">
        <v>6704</v>
      </c>
      <c r="G988" s="82">
        <v>44.1</v>
      </c>
      <c r="H988" s="67">
        <v>9506</v>
      </c>
      <c r="I988" s="69">
        <v>0</v>
      </c>
      <c r="J988" s="70">
        <v>3987</v>
      </c>
      <c r="K988" s="75">
        <v>5.4727865563080007</v>
      </c>
      <c r="L988" s="74">
        <v>0</v>
      </c>
      <c r="M988" s="76">
        <v>9.9266727772685609E-2</v>
      </c>
      <c r="N988" s="67">
        <v>1960</v>
      </c>
      <c r="Q988" s="59">
        <v>12</v>
      </c>
      <c r="R988" s="59">
        <v>1</v>
      </c>
      <c r="S988" s="59">
        <v>2</v>
      </c>
      <c r="T988" s="63" t="s">
        <v>6754</v>
      </c>
      <c r="U988" s="63">
        <v>398</v>
      </c>
      <c r="V988" s="70">
        <v>9375</v>
      </c>
      <c r="W988" s="70">
        <v>9000</v>
      </c>
      <c r="X988" s="83" t="s">
        <v>5878</v>
      </c>
      <c r="Y988" s="70">
        <f t="shared" si="30"/>
        <v>4000</v>
      </c>
      <c r="Z988" s="63" t="s">
        <v>5866</v>
      </c>
      <c r="AA988" s="59">
        <v>3</v>
      </c>
      <c r="AB988" s="59">
        <v>3</v>
      </c>
      <c r="AC988" s="67" t="s">
        <v>333</v>
      </c>
      <c r="AD988" s="61" t="s">
        <v>6705</v>
      </c>
      <c r="AE988" s="71"/>
      <c r="AF988" s="71"/>
      <c r="AG988" s="71"/>
      <c r="AH988" s="71"/>
      <c r="AI988" s="71"/>
      <c r="AJ988" s="71"/>
      <c r="AK988" s="71" t="s">
        <v>8415</v>
      </c>
      <c r="AL988">
        <f t="shared" si="29"/>
        <v>10910</v>
      </c>
    </row>
    <row r="989" spans="1:38">
      <c r="A989" s="62">
        <v>8</v>
      </c>
      <c r="B989" s="93">
        <v>981</v>
      </c>
      <c r="C989" s="68" t="s">
        <v>7475</v>
      </c>
      <c r="D989" s="59" t="s">
        <v>6706</v>
      </c>
      <c r="E989" s="72" t="s">
        <v>5862</v>
      </c>
      <c r="F989" s="73" t="s">
        <v>6707</v>
      </c>
      <c r="G989" s="82">
        <v>44.1</v>
      </c>
      <c r="H989" s="67">
        <v>9506</v>
      </c>
      <c r="I989" s="69">
        <v>0</v>
      </c>
      <c r="J989" s="70">
        <v>4000</v>
      </c>
      <c r="K989" s="75">
        <v>5.665</v>
      </c>
      <c r="L989" s="74">
        <v>0</v>
      </c>
      <c r="M989" s="76">
        <v>9.7263901147396289E-2</v>
      </c>
      <c r="N989" s="67">
        <v>1962</v>
      </c>
      <c r="Q989" s="59">
        <v>12</v>
      </c>
      <c r="R989" s="59">
        <v>1</v>
      </c>
      <c r="S989" s="59">
        <v>1</v>
      </c>
      <c r="T989" s="63" t="s">
        <v>6754</v>
      </c>
      <c r="U989" s="63">
        <v>398</v>
      </c>
      <c r="V989" s="70">
        <v>9375</v>
      </c>
      <c r="W989" s="70">
        <v>9000</v>
      </c>
      <c r="X989" s="83" t="s">
        <v>5874</v>
      </c>
      <c r="Y989" s="70">
        <f t="shared" si="30"/>
        <v>4000</v>
      </c>
      <c r="Z989" s="63" t="s">
        <v>5866</v>
      </c>
      <c r="AA989" s="59">
        <v>3</v>
      </c>
      <c r="AB989" s="59">
        <v>3</v>
      </c>
      <c r="AC989" s="67" t="s">
        <v>333</v>
      </c>
      <c r="AD989" s="61" t="s">
        <v>6708</v>
      </c>
      <c r="AE989" s="71"/>
      <c r="AF989" s="71"/>
      <c r="AG989" s="71"/>
      <c r="AH989" s="71"/>
      <c r="AI989" s="71"/>
      <c r="AJ989" s="71"/>
      <c r="AK989" s="71" t="s">
        <v>8415</v>
      </c>
      <c r="AL989">
        <f t="shared" si="29"/>
        <v>22660</v>
      </c>
    </row>
    <row r="990" spans="1:38">
      <c r="A990" s="62">
        <v>8</v>
      </c>
      <c r="B990" s="93">
        <v>982</v>
      </c>
      <c r="C990" s="68" t="s">
        <v>7475</v>
      </c>
      <c r="D990" s="59" t="s">
        <v>6709</v>
      </c>
      <c r="E990" s="72" t="s">
        <v>5862</v>
      </c>
      <c r="F990" s="73" t="s">
        <v>6710</v>
      </c>
      <c r="G990" s="82">
        <v>47.2</v>
      </c>
      <c r="H990" s="67">
        <v>9506</v>
      </c>
      <c r="I990" s="69">
        <v>0</v>
      </c>
      <c r="J990" s="70">
        <v>4000</v>
      </c>
      <c r="K990" s="75">
        <v>5.657</v>
      </c>
      <c r="L990" s="74">
        <v>0</v>
      </c>
      <c r="M990" s="76">
        <v>0.26736786282481878</v>
      </c>
      <c r="N990" s="67">
        <v>1956</v>
      </c>
      <c r="O990" s="64">
        <v>200</v>
      </c>
      <c r="Q990" s="59">
        <v>14</v>
      </c>
      <c r="R990" s="59">
        <v>1</v>
      </c>
      <c r="S990" s="59">
        <v>1</v>
      </c>
      <c r="T990" s="63" t="s">
        <v>6754</v>
      </c>
      <c r="U990" s="63">
        <v>401</v>
      </c>
      <c r="V990" s="70">
        <v>12500</v>
      </c>
      <c r="W990" s="70">
        <v>13000</v>
      </c>
      <c r="X990" s="83" t="s">
        <v>5979</v>
      </c>
      <c r="Y990" s="70">
        <f t="shared" si="30"/>
        <v>4000</v>
      </c>
      <c r="Z990" s="63" t="s">
        <v>5866</v>
      </c>
      <c r="AA990" s="59">
        <v>3</v>
      </c>
      <c r="AB990" s="59">
        <v>3</v>
      </c>
      <c r="AC990" s="67" t="s">
        <v>333</v>
      </c>
      <c r="AD990" s="61" t="s">
        <v>6711</v>
      </c>
      <c r="AE990" s="71"/>
      <c r="AF990" s="71"/>
      <c r="AG990" s="71"/>
      <c r="AH990" s="71"/>
      <c r="AI990" s="71"/>
      <c r="AJ990" s="71"/>
      <c r="AK990" s="71" t="s">
        <v>8416</v>
      </c>
      <c r="AL990">
        <f t="shared" si="29"/>
        <v>22628</v>
      </c>
    </row>
    <row r="991" spans="1:38">
      <c r="A991" s="62">
        <v>8</v>
      </c>
      <c r="B991" s="93">
        <v>983</v>
      </c>
      <c r="C991" s="68" t="s">
        <v>7475</v>
      </c>
      <c r="D991" s="59" t="s">
        <v>8417</v>
      </c>
      <c r="E991" s="72" t="s">
        <v>5862</v>
      </c>
      <c r="F991" s="73" t="s">
        <v>8418</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6754</v>
      </c>
      <c r="U991" s="63">
        <v>397</v>
      </c>
      <c r="V991" s="70">
        <v>18750</v>
      </c>
      <c r="W991" s="70">
        <v>19000</v>
      </c>
      <c r="X991" s="83" t="s">
        <v>5896</v>
      </c>
      <c r="Y991" s="70">
        <f t="shared" si="30"/>
        <v>12000</v>
      </c>
      <c r="Z991" s="63" t="s">
        <v>5866</v>
      </c>
      <c r="AA991" s="59">
        <v>3</v>
      </c>
      <c r="AB991" s="59">
        <v>3</v>
      </c>
      <c r="AC991" s="67" t="s">
        <v>333</v>
      </c>
      <c r="AD991" s="61" t="s">
        <v>8419</v>
      </c>
      <c r="AE991" s="71"/>
      <c r="AF991" s="71"/>
      <c r="AG991" s="71"/>
      <c r="AH991" s="71"/>
      <c r="AI991" s="71"/>
      <c r="AJ991" s="71"/>
      <c r="AK991" s="71" t="s">
        <v>8420</v>
      </c>
      <c r="AL991">
        <f t="shared" si="29"/>
        <v>66000</v>
      </c>
    </row>
    <row r="992" spans="1:38">
      <c r="A992" s="62">
        <v>8</v>
      </c>
      <c r="B992" s="93">
        <v>984</v>
      </c>
      <c r="C992" s="68" t="s">
        <v>7475</v>
      </c>
      <c r="D992" s="59" t="s">
        <v>6712</v>
      </c>
      <c r="E992" s="72" t="s">
        <v>5862</v>
      </c>
      <c r="F992" s="73" t="s">
        <v>6713</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6754</v>
      </c>
      <c r="U992" s="63">
        <v>397</v>
      </c>
      <c r="V992" s="70">
        <v>15625</v>
      </c>
      <c r="W992" s="70">
        <v>16000</v>
      </c>
      <c r="X992" s="83" t="s">
        <v>5896</v>
      </c>
      <c r="Y992" s="70">
        <f t="shared" si="30"/>
        <v>10000</v>
      </c>
      <c r="Z992" s="63" t="s">
        <v>5866</v>
      </c>
      <c r="AA992" s="59">
        <v>3</v>
      </c>
      <c r="AB992" s="59">
        <v>3</v>
      </c>
      <c r="AC992" s="67" t="s">
        <v>333</v>
      </c>
      <c r="AD992" s="61" t="s">
        <v>181</v>
      </c>
      <c r="AE992" s="71"/>
      <c r="AF992" s="71"/>
      <c r="AG992" s="71"/>
      <c r="AH992" s="71"/>
      <c r="AI992" s="71"/>
      <c r="AJ992" s="71"/>
      <c r="AK992" s="71" t="s">
        <v>8421</v>
      </c>
      <c r="AL992">
        <f t="shared" si="29"/>
        <v>66138</v>
      </c>
    </row>
    <row r="993" spans="1:38">
      <c r="A993" s="62">
        <v>8</v>
      </c>
      <c r="B993" s="93">
        <v>985</v>
      </c>
      <c r="C993" s="68" t="s">
        <v>7475</v>
      </c>
      <c r="D993" s="59" t="s">
        <v>8422</v>
      </c>
      <c r="E993" s="72" t="s">
        <v>5862</v>
      </c>
      <c r="F993" s="73" t="s">
        <v>8423</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6754</v>
      </c>
      <c r="U993" s="63">
        <v>398</v>
      </c>
      <c r="V993" s="70">
        <v>15625</v>
      </c>
      <c r="W993" s="70">
        <v>16000</v>
      </c>
      <c r="X993" s="83" t="s">
        <v>6791</v>
      </c>
      <c r="Y993" s="70">
        <f t="shared" si="30"/>
        <v>5000</v>
      </c>
      <c r="Z993" s="63" t="s">
        <v>5866</v>
      </c>
      <c r="AA993" s="59">
        <v>3</v>
      </c>
      <c r="AB993" s="59">
        <v>3</v>
      </c>
      <c r="AC993" s="67" t="s">
        <v>333</v>
      </c>
      <c r="AD993" s="61" t="s">
        <v>8424</v>
      </c>
      <c r="AE993" s="71"/>
      <c r="AF993" s="71"/>
      <c r="AG993" s="71"/>
      <c r="AH993" s="71"/>
      <c r="AI993" s="71"/>
      <c r="AJ993" s="71"/>
      <c r="AK993" s="71" t="s">
        <v>7486</v>
      </c>
      <c r="AL993">
        <f t="shared" si="29"/>
        <v>62799.999999999985</v>
      </c>
    </row>
    <row r="994" spans="1:38">
      <c r="A994" s="62">
        <v>8</v>
      </c>
      <c r="B994" s="93">
        <v>986</v>
      </c>
      <c r="C994" s="68" t="s">
        <v>7475</v>
      </c>
      <c r="D994" s="59" t="s">
        <v>8425</v>
      </c>
      <c r="E994" s="72" t="s">
        <v>5862</v>
      </c>
      <c r="F994" s="73" t="s">
        <v>8426</v>
      </c>
      <c r="G994" s="82">
        <v>44.2</v>
      </c>
      <c r="H994" s="67">
        <v>9506</v>
      </c>
      <c r="I994" s="69">
        <v>0</v>
      </c>
      <c r="J994" s="70">
        <v>4993</v>
      </c>
      <c r="K994" s="75">
        <v>3.9222912076907668</v>
      </c>
      <c r="L994" s="74">
        <v>0</v>
      </c>
      <c r="M994" s="76">
        <v>0</v>
      </c>
      <c r="N994" s="67">
        <v>1959</v>
      </c>
      <c r="O994" s="64">
        <v>1668</v>
      </c>
      <c r="Q994" s="59">
        <v>12</v>
      </c>
      <c r="R994" s="59">
        <v>1</v>
      </c>
      <c r="S994" s="59">
        <v>1</v>
      </c>
      <c r="T994" s="63" t="s">
        <v>6754</v>
      </c>
      <c r="U994" s="63">
        <v>397</v>
      </c>
      <c r="V994" s="70">
        <v>9375</v>
      </c>
      <c r="W994" s="70">
        <v>9000</v>
      </c>
      <c r="X994" s="83" t="s">
        <v>5903</v>
      </c>
      <c r="Y994" s="70">
        <f t="shared" si="30"/>
        <v>5000</v>
      </c>
      <c r="Z994" s="63" t="s">
        <v>5866</v>
      </c>
      <c r="AA994" s="59">
        <v>3</v>
      </c>
      <c r="AB994" s="59">
        <v>3</v>
      </c>
      <c r="AC994" s="67" t="s">
        <v>333</v>
      </c>
      <c r="AD994" s="61" t="s">
        <v>181</v>
      </c>
      <c r="AE994" s="71"/>
      <c r="AF994" s="71"/>
      <c r="AG994" s="71"/>
      <c r="AH994" s="71"/>
      <c r="AI994" s="71"/>
      <c r="AJ994" s="71"/>
      <c r="AK994" s="71" t="s">
        <v>7486</v>
      </c>
      <c r="AL994">
        <f t="shared" si="29"/>
        <v>19584</v>
      </c>
    </row>
    <row r="995" spans="1:38">
      <c r="A995" s="62">
        <v>8</v>
      </c>
      <c r="B995" s="93">
        <v>987</v>
      </c>
      <c r="C995" s="68" t="s">
        <v>7475</v>
      </c>
      <c r="D995" s="59" t="s">
        <v>7419</v>
      </c>
      <c r="E995" s="72" t="s">
        <v>5862</v>
      </c>
      <c r="F995" s="73" t="s">
        <v>8427</v>
      </c>
      <c r="G995" s="82">
        <v>44.1</v>
      </c>
      <c r="H995" s="67">
        <v>9506</v>
      </c>
      <c r="I995" s="69">
        <v>0</v>
      </c>
      <c r="J995" s="70">
        <v>5000</v>
      </c>
      <c r="K995" s="75">
        <v>6</v>
      </c>
      <c r="L995" s="74">
        <v>0</v>
      </c>
      <c r="M995" s="76">
        <v>0.1857</v>
      </c>
      <c r="N995" s="67">
        <v>1966</v>
      </c>
      <c r="O995" s="64">
        <v>521</v>
      </c>
      <c r="Q995" s="59">
        <v>14</v>
      </c>
      <c r="R995" s="59">
        <v>3</v>
      </c>
      <c r="S995" s="59">
        <v>1</v>
      </c>
      <c r="T995" s="63" t="s">
        <v>6754</v>
      </c>
      <c r="U995" s="63">
        <v>397</v>
      </c>
      <c r="V995" s="70">
        <v>6250</v>
      </c>
      <c r="W995" s="70">
        <v>6000</v>
      </c>
      <c r="X995" s="83" t="s">
        <v>6331</v>
      </c>
      <c r="Y995" s="70">
        <f t="shared" si="30"/>
        <v>5000</v>
      </c>
      <c r="Z995" s="63" t="s">
        <v>5866</v>
      </c>
      <c r="AA995" s="59">
        <v>3</v>
      </c>
      <c r="AB995" s="59">
        <v>3</v>
      </c>
      <c r="AC995" s="67" t="s">
        <v>333</v>
      </c>
      <c r="AD995" s="61" t="s">
        <v>7421</v>
      </c>
      <c r="AE995" s="71"/>
      <c r="AF995" s="71"/>
      <c r="AG995" s="71"/>
      <c r="AH995" s="71"/>
      <c r="AI995" s="71"/>
      <c r="AJ995" s="71"/>
      <c r="AK995" s="71" t="s">
        <v>7486</v>
      </c>
      <c r="AL995">
        <f t="shared" si="29"/>
        <v>30000</v>
      </c>
    </row>
    <row r="996" spans="1:38">
      <c r="A996" s="62">
        <v>8</v>
      </c>
      <c r="B996" s="93">
        <v>988</v>
      </c>
      <c r="C996" s="68" t="s">
        <v>7475</v>
      </c>
      <c r="D996" s="59" t="s">
        <v>7422</v>
      </c>
      <c r="E996" s="72" t="s">
        <v>5862</v>
      </c>
      <c r="F996" s="73" t="s">
        <v>8428</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6754</v>
      </c>
      <c r="U996" s="63">
        <v>397</v>
      </c>
      <c r="V996" s="70">
        <v>12500</v>
      </c>
      <c r="W996" s="70">
        <v>13000</v>
      </c>
      <c r="X996" s="83" t="s">
        <v>5874</v>
      </c>
      <c r="Y996" s="70">
        <f t="shared" si="30"/>
        <v>5000</v>
      </c>
      <c r="Z996" s="63" t="s">
        <v>5866</v>
      </c>
      <c r="AA996" s="59">
        <v>3</v>
      </c>
      <c r="AB996" s="59">
        <v>3</v>
      </c>
      <c r="AC996" s="67" t="s">
        <v>333</v>
      </c>
      <c r="AD996" s="61" t="s">
        <v>7424</v>
      </c>
      <c r="AE996" s="71"/>
      <c r="AF996" s="71"/>
      <c r="AG996" s="71"/>
      <c r="AH996" s="71"/>
      <c r="AI996" s="71"/>
      <c r="AJ996" s="71"/>
      <c r="AK996" s="71" t="s">
        <v>7486</v>
      </c>
      <c r="AL996">
        <f t="shared" si="29"/>
        <v>44000</v>
      </c>
    </row>
    <row r="997" spans="1:38">
      <c r="A997" s="62">
        <v>8</v>
      </c>
      <c r="B997" s="93">
        <v>989</v>
      </c>
      <c r="C997" s="68" t="s">
        <v>7475</v>
      </c>
      <c r="D997" s="59" t="s">
        <v>8429</v>
      </c>
      <c r="E997" s="72" t="s">
        <v>5862</v>
      </c>
      <c r="F997" s="73" t="s">
        <v>8430</v>
      </c>
      <c r="G997" s="82">
        <v>44.2</v>
      </c>
      <c r="H997" s="67">
        <v>9506</v>
      </c>
      <c r="I997" s="69">
        <v>0</v>
      </c>
      <c r="J997" s="70">
        <v>9943</v>
      </c>
      <c r="K997" s="75">
        <v>7.1469375440008047</v>
      </c>
      <c r="L997" s="74">
        <v>0</v>
      </c>
      <c r="M997" s="76">
        <v>0</v>
      </c>
      <c r="N997" s="67">
        <v>1959</v>
      </c>
      <c r="O997" s="64">
        <v>1920</v>
      </c>
      <c r="Q997" s="59">
        <v>12</v>
      </c>
      <c r="R997" s="59">
        <v>1</v>
      </c>
      <c r="S997" s="59">
        <v>1</v>
      </c>
      <c r="T997" s="63" t="s">
        <v>6754</v>
      </c>
      <c r="U997" s="63">
        <v>398</v>
      </c>
      <c r="V997" s="70">
        <v>21875</v>
      </c>
      <c r="W997" s="70">
        <v>22000</v>
      </c>
      <c r="X997" s="83" t="s">
        <v>5928</v>
      </c>
      <c r="Y997" s="70">
        <f t="shared" si="30"/>
        <v>10000</v>
      </c>
      <c r="Z997" s="63" t="s">
        <v>5866</v>
      </c>
      <c r="AA997" s="59">
        <v>3</v>
      </c>
      <c r="AB997" s="59">
        <v>3</v>
      </c>
      <c r="AC997" s="67" t="s">
        <v>333</v>
      </c>
      <c r="AD997" s="61" t="s">
        <v>8431</v>
      </c>
      <c r="AE997" s="71"/>
      <c r="AF997" s="71"/>
      <c r="AG997" s="71"/>
      <c r="AH997" s="71"/>
      <c r="AI997" s="71"/>
      <c r="AJ997" s="71"/>
      <c r="AK997" s="71" t="s">
        <v>8432</v>
      </c>
      <c r="AL997">
        <f t="shared" si="29"/>
        <v>71062</v>
      </c>
    </row>
    <row r="998" spans="1:38">
      <c r="A998" s="62">
        <v>8</v>
      </c>
      <c r="B998" s="93">
        <v>990</v>
      </c>
      <c r="C998" s="68" t="s">
        <v>7475</v>
      </c>
      <c r="D998" s="59" t="s">
        <v>8433</v>
      </c>
      <c r="E998" s="72" t="s">
        <v>5862</v>
      </c>
      <c r="F998" s="73" t="s">
        <v>8434</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6754</v>
      </c>
      <c r="U998" s="63">
        <v>398</v>
      </c>
      <c r="V998" s="70">
        <v>9375</v>
      </c>
      <c r="W998" s="70">
        <v>9000</v>
      </c>
      <c r="X998" s="83" t="s">
        <v>5903</v>
      </c>
      <c r="Y998" s="70">
        <f t="shared" si="30"/>
        <v>5000</v>
      </c>
      <c r="Z998" s="63" t="s">
        <v>5866</v>
      </c>
      <c r="AA998" s="59">
        <v>3</v>
      </c>
      <c r="AB998" s="59">
        <v>3</v>
      </c>
      <c r="AC998" s="67" t="s">
        <v>333</v>
      </c>
      <c r="AD998" s="61" t="s">
        <v>8435</v>
      </c>
      <c r="AE998" s="71"/>
      <c r="AF998" s="71"/>
      <c r="AG998" s="71"/>
      <c r="AH998" s="71"/>
      <c r="AI998" s="71"/>
      <c r="AJ998" s="71"/>
      <c r="AK998" s="71" t="s">
        <v>8436</v>
      </c>
      <c r="AL998">
        <f t="shared" si="29"/>
        <v>55199.999999999985</v>
      </c>
    </row>
    <row r="999" spans="1:38">
      <c r="A999" s="62">
        <v>8</v>
      </c>
      <c r="B999" s="93">
        <v>991</v>
      </c>
      <c r="C999" s="68" t="s">
        <v>7475</v>
      </c>
      <c r="D999" s="59" t="s">
        <v>8437</v>
      </c>
      <c r="E999" s="72" t="s">
        <v>5862</v>
      </c>
      <c r="F999" s="73" t="s">
        <v>8438</v>
      </c>
      <c r="G999" s="82">
        <v>43.1</v>
      </c>
      <c r="H999" s="67">
        <v>9506</v>
      </c>
      <c r="I999" s="69">
        <v>0</v>
      </c>
      <c r="J999" s="70">
        <v>16423</v>
      </c>
      <c r="K999" s="75">
        <v>3.653412896547525</v>
      </c>
      <c r="L999" s="74">
        <v>0</v>
      </c>
      <c r="M999" s="76">
        <v>0</v>
      </c>
      <c r="N999" s="67">
        <v>1972</v>
      </c>
      <c r="O999" s="64">
        <v>2155</v>
      </c>
      <c r="Q999" s="59">
        <v>17</v>
      </c>
      <c r="R999" s="59">
        <v>7</v>
      </c>
      <c r="S999" s="59">
        <v>1</v>
      </c>
      <c r="T999" s="63" t="s">
        <v>6754</v>
      </c>
      <c r="U999" s="63">
        <v>401</v>
      </c>
      <c r="V999" s="70">
        <v>25000</v>
      </c>
      <c r="W999" s="70">
        <v>25000</v>
      </c>
      <c r="X999" s="83" t="s">
        <v>6065</v>
      </c>
      <c r="Y999" s="70">
        <f t="shared" si="30"/>
        <v>16000</v>
      </c>
      <c r="Z999" s="63" t="s">
        <v>5866</v>
      </c>
      <c r="AA999" s="59">
        <v>3</v>
      </c>
      <c r="AB999" s="59">
        <v>3</v>
      </c>
      <c r="AC999" s="67" t="s">
        <v>333</v>
      </c>
      <c r="AD999" s="61" t="s">
        <v>8439</v>
      </c>
      <c r="AE999" s="71"/>
      <c r="AF999" s="71"/>
      <c r="AG999" s="71"/>
      <c r="AH999" s="71"/>
      <c r="AI999" s="71"/>
      <c r="AJ999" s="71"/>
      <c r="AK999" s="71" t="s">
        <v>8043</v>
      </c>
      <c r="AL999">
        <f t="shared" si="29"/>
        <v>60000</v>
      </c>
    </row>
    <row r="1000" spans="1:38">
      <c r="A1000" s="62">
        <v>8</v>
      </c>
      <c r="B1000" s="93">
        <v>992</v>
      </c>
      <c r="C1000" s="68" t="s">
        <v>7475</v>
      </c>
      <c r="D1000" s="59" t="s">
        <v>6714</v>
      </c>
      <c r="E1000" s="72" t="s">
        <v>5862</v>
      </c>
      <c r="F1000" s="73" t="s">
        <v>6715</v>
      </c>
      <c r="G1000" s="82">
        <v>44.2</v>
      </c>
      <c r="H1000" s="67">
        <v>9506</v>
      </c>
      <c r="I1000" s="69">
        <v>0</v>
      </c>
      <c r="J1000" s="70">
        <v>2000</v>
      </c>
      <c r="K1000" s="75">
        <v>6.5709999999999997</v>
      </c>
      <c r="L1000" s="74">
        <v>0</v>
      </c>
      <c r="M1000" s="76">
        <v>7.8070308933191293E-2</v>
      </c>
      <c r="N1000" s="67">
        <v>1962</v>
      </c>
      <c r="Q1000" s="59">
        <v>12</v>
      </c>
      <c r="R1000" s="59">
        <v>3</v>
      </c>
      <c r="S1000" s="59">
        <v>1</v>
      </c>
      <c r="T1000" s="63" t="s">
        <v>6754</v>
      </c>
      <c r="U1000" s="63">
        <v>398</v>
      </c>
      <c r="V1000" s="70">
        <v>12500</v>
      </c>
      <c r="W1000" s="70">
        <v>13000</v>
      </c>
      <c r="X1000" s="83" t="s">
        <v>6716</v>
      </c>
      <c r="Y1000" s="70">
        <f t="shared" si="30"/>
        <v>2000</v>
      </c>
      <c r="Z1000" s="63" t="s">
        <v>5866</v>
      </c>
      <c r="AA1000" s="59">
        <v>3</v>
      </c>
      <c r="AB1000" s="59">
        <v>3</v>
      </c>
      <c r="AC1000" s="67" t="s">
        <v>333</v>
      </c>
      <c r="AD1000" s="61" t="s">
        <v>6717</v>
      </c>
      <c r="AE1000" s="71"/>
      <c r="AF1000" s="71"/>
      <c r="AG1000" s="71"/>
      <c r="AH1000" s="71"/>
      <c r="AI1000" s="71"/>
      <c r="AJ1000" s="71"/>
      <c r="AK1000" s="71" t="s">
        <v>7537</v>
      </c>
      <c r="AL1000">
        <f t="shared" si="29"/>
        <v>13142</v>
      </c>
    </row>
    <row r="1001" spans="1:38">
      <c r="A1001" s="62">
        <v>8</v>
      </c>
      <c r="B1001" s="93">
        <v>993</v>
      </c>
      <c r="C1001" s="68" t="s">
        <v>7475</v>
      </c>
      <c r="D1001" s="59" t="s">
        <v>8440</v>
      </c>
      <c r="E1001" s="72" t="s">
        <v>5862</v>
      </c>
      <c r="F1001" s="73" t="s">
        <v>8441</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6754</v>
      </c>
      <c r="U1001" s="63">
        <v>398</v>
      </c>
      <c r="V1001" s="70">
        <v>6250</v>
      </c>
      <c r="W1001" s="70">
        <v>6000</v>
      </c>
      <c r="X1001" s="83" t="s">
        <v>5938</v>
      </c>
      <c r="Y1001" s="70">
        <f t="shared" si="30"/>
        <v>4000</v>
      </c>
      <c r="Z1001" s="63" t="s">
        <v>5866</v>
      </c>
      <c r="AA1001" s="59">
        <v>3</v>
      </c>
      <c r="AB1001" s="59">
        <v>3</v>
      </c>
      <c r="AC1001" s="67" t="s">
        <v>333</v>
      </c>
      <c r="AD1001" s="61" t="s">
        <v>8442</v>
      </c>
      <c r="AE1001" s="71"/>
      <c r="AF1001" s="71"/>
      <c r="AG1001" s="71"/>
      <c r="AH1001" s="71"/>
      <c r="AI1001" s="71"/>
      <c r="AJ1001" s="71"/>
      <c r="AK1001" s="71" t="s">
        <v>7803</v>
      </c>
      <c r="AL1001">
        <f t="shared" si="29"/>
        <v>33600</v>
      </c>
    </row>
    <row r="1002" spans="1:38">
      <c r="A1002" s="62">
        <v>8</v>
      </c>
      <c r="B1002" s="93">
        <v>994</v>
      </c>
      <c r="C1002" s="68" t="s">
        <v>7475</v>
      </c>
      <c r="D1002" s="59" t="s">
        <v>8443</v>
      </c>
      <c r="E1002" s="72" t="s">
        <v>5862</v>
      </c>
      <c r="F1002" s="73" t="s">
        <v>8444</v>
      </c>
      <c r="G1002" s="82">
        <v>44.2</v>
      </c>
      <c r="H1002" s="67">
        <v>9506</v>
      </c>
      <c r="I1002" s="69">
        <v>0</v>
      </c>
      <c r="J1002" s="70">
        <v>2400</v>
      </c>
      <c r="K1002" s="75">
        <v>20</v>
      </c>
      <c r="L1002" s="74">
        <v>0</v>
      </c>
      <c r="M1002" s="76">
        <v>0</v>
      </c>
      <c r="N1002" s="67">
        <v>1964</v>
      </c>
      <c r="O1002" s="70">
        <v>560</v>
      </c>
      <c r="P1002" s="70"/>
      <c r="Q1002" s="59">
        <v>10</v>
      </c>
      <c r="R1002" s="59">
        <v>7</v>
      </c>
      <c r="S1002" s="59">
        <v>2</v>
      </c>
      <c r="T1002" s="63" t="s">
        <v>6754</v>
      </c>
      <c r="U1002" s="63">
        <v>332</v>
      </c>
      <c r="V1002" s="70">
        <v>26000</v>
      </c>
      <c r="W1002" s="70">
        <v>26000</v>
      </c>
      <c r="X1002" s="83" t="s">
        <v>8445</v>
      </c>
      <c r="Y1002" s="70">
        <f t="shared" si="30"/>
        <v>2000</v>
      </c>
      <c r="Z1002" s="63" t="s">
        <v>5866</v>
      </c>
      <c r="AA1002" s="59">
        <v>3</v>
      </c>
      <c r="AB1002" s="59">
        <v>3</v>
      </c>
      <c r="AC1002" s="67">
        <v>33</v>
      </c>
      <c r="AD1002" s="61" t="s">
        <v>8446</v>
      </c>
      <c r="AE1002" s="71"/>
      <c r="AF1002" s="71"/>
      <c r="AG1002" s="71"/>
      <c r="AH1002" s="71"/>
      <c r="AI1002" s="71"/>
      <c r="AJ1002" s="71"/>
      <c r="AK1002" s="71" t="s">
        <v>8447</v>
      </c>
      <c r="AL1002">
        <f t="shared" si="29"/>
        <v>24000</v>
      </c>
    </row>
    <row r="1003" spans="1:38">
      <c r="A1003" s="62">
        <v>8</v>
      </c>
      <c r="B1003" s="93">
        <v>995</v>
      </c>
      <c r="C1003" s="68" t="s">
        <v>7475</v>
      </c>
      <c r="D1003" s="59" t="s">
        <v>8448</v>
      </c>
      <c r="E1003" s="72" t="s">
        <v>5862</v>
      </c>
      <c r="F1003" s="73" t="s">
        <v>8449</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6754</v>
      </c>
      <c r="U1003" s="63">
        <v>398</v>
      </c>
      <c r="V1003" s="70">
        <v>18750</v>
      </c>
      <c r="W1003" s="70">
        <v>19000</v>
      </c>
      <c r="X1003" s="83" t="s">
        <v>6331</v>
      </c>
      <c r="Y1003" s="70">
        <f t="shared" si="30"/>
        <v>15000</v>
      </c>
      <c r="Z1003" s="63" t="s">
        <v>5866</v>
      </c>
      <c r="AA1003" s="59">
        <v>3</v>
      </c>
      <c r="AB1003" s="59">
        <v>3</v>
      </c>
      <c r="AC1003" s="67" t="s">
        <v>333</v>
      </c>
      <c r="AD1003" s="61" t="s">
        <v>8450</v>
      </c>
      <c r="AE1003" s="71"/>
      <c r="AF1003" s="71"/>
      <c r="AG1003" s="71"/>
      <c r="AH1003" s="71"/>
      <c r="AI1003" s="71"/>
      <c r="AJ1003" s="71"/>
      <c r="AK1003" s="71" t="s">
        <v>7486</v>
      </c>
      <c r="AL1003">
        <f t="shared" si="29"/>
        <v>84877</v>
      </c>
    </row>
    <row r="1004" spans="1:38">
      <c r="A1004" s="62">
        <v>8</v>
      </c>
      <c r="B1004" s="93">
        <v>996</v>
      </c>
      <c r="C1004" s="68" t="s">
        <v>7475</v>
      </c>
      <c r="D1004" s="59" t="s">
        <v>7435</v>
      </c>
      <c r="E1004" s="72" t="s">
        <v>5862</v>
      </c>
      <c r="F1004" s="73" t="s">
        <v>8451</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6763</v>
      </c>
      <c r="U1004" s="63">
        <v>398</v>
      </c>
      <c r="V1004" s="70">
        <v>15960</v>
      </c>
      <c r="W1004" s="70">
        <v>16000</v>
      </c>
      <c r="X1004" s="83" t="s">
        <v>5928</v>
      </c>
      <c r="Y1004" s="70">
        <f>ROUND(J1004,-2)</f>
        <v>1800</v>
      </c>
      <c r="Z1004" s="63" t="s">
        <v>5866</v>
      </c>
      <c r="AA1004" s="59">
        <v>3</v>
      </c>
      <c r="AB1004" s="59">
        <v>3</v>
      </c>
      <c r="AC1004" s="67" t="s">
        <v>333</v>
      </c>
      <c r="AD1004" s="61" t="s">
        <v>7437</v>
      </c>
      <c r="AE1004" s="71"/>
      <c r="AF1004" s="71"/>
      <c r="AG1004" s="71"/>
      <c r="AH1004" s="71"/>
      <c r="AI1004" s="71"/>
      <c r="AJ1004" s="71"/>
      <c r="AK1004" s="71" t="s">
        <v>8452</v>
      </c>
      <c r="AL1004">
        <f t="shared" si="29"/>
        <v>16200</v>
      </c>
    </row>
    <row r="1005" spans="1:38">
      <c r="A1005" s="62">
        <v>8</v>
      </c>
      <c r="B1005" s="93">
        <v>997</v>
      </c>
      <c r="C1005" s="68" t="s">
        <v>7475</v>
      </c>
      <c r="D1005" s="59" t="s">
        <v>6721</v>
      </c>
      <c r="E1005" s="72" t="s">
        <v>5862</v>
      </c>
      <c r="F1005" s="73" t="s">
        <v>6722</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6754</v>
      </c>
      <c r="U1005" s="63">
        <v>398</v>
      </c>
      <c r="V1005" s="70">
        <v>12500</v>
      </c>
      <c r="W1005" s="70">
        <v>13000</v>
      </c>
      <c r="X1005" s="83" t="s">
        <v>6128</v>
      </c>
      <c r="Y1005" s="70">
        <f t="shared" ref="Y1005:Y1016" si="31">ROUND(J1005,-3)</f>
        <v>10000</v>
      </c>
      <c r="Z1005" s="63" t="s">
        <v>5866</v>
      </c>
      <c r="AA1005" s="59">
        <v>3</v>
      </c>
      <c r="AB1005" s="59">
        <v>3</v>
      </c>
      <c r="AC1005" s="67" t="s">
        <v>333</v>
      </c>
      <c r="AD1005" s="61" t="s">
        <v>6723</v>
      </c>
      <c r="AE1005" s="71"/>
      <c r="AF1005" s="71"/>
      <c r="AG1005" s="71"/>
      <c r="AH1005" s="71"/>
      <c r="AI1005" s="71"/>
      <c r="AJ1005" s="71"/>
      <c r="AK1005" s="71" t="s">
        <v>7486</v>
      </c>
      <c r="AL1005">
        <f t="shared" si="29"/>
        <v>54000</v>
      </c>
    </row>
    <row r="1006" spans="1:38">
      <c r="A1006" s="62">
        <v>8</v>
      </c>
      <c r="B1006" s="93">
        <v>998</v>
      </c>
      <c r="C1006" s="68" t="s">
        <v>7475</v>
      </c>
      <c r="D1006" s="59" t="s">
        <v>6731</v>
      </c>
      <c r="E1006" s="72" t="s">
        <v>5862</v>
      </c>
      <c r="F1006" s="73" t="s">
        <v>6732</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6754</v>
      </c>
      <c r="U1006" s="63">
        <v>398</v>
      </c>
      <c r="V1006" s="70">
        <v>18750</v>
      </c>
      <c r="W1006" s="70">
        <v>19000</v>
      </c>
      <c r="X1006" s="83" t="s">
        <v>5896</v>
      </c>
      <c r="Y1006" s="70">
        <f t="shared" si="31"/>
        <v>6000</v>
      </c>
      <c r="Z1006" s="63" t="s">
        <v>5866</v>
      </c>
      <c r="AA1006" s="59">
        <v>3</v>
      </c>
      <c r="AB1006" s="59">
        <v>3</v>
      </c>
      <c r="AC1006" s="67" t="s">
        <v>333</v>
      </c>
      <c r="AD1006" s="61" t="s">
        <v>181</v>
      </c>
      <c r="AE1006" s="71"/>
      <c r="AF1006" s="71"/>
      <c r="AG1006" s="71"/>
      <c r="AH1006" s="71"/>
      <c r="AI1006" s="71"/>
      <c r="AJ1006" s="71"/>
      <c r="AK1006" s="71" t="s">
        <v>8453</v>
      </c>
      <c r="AL1006">
        <f t="shared" si="29"/>
        <v>32400.000000000004</v>
      </c>
    </row>
    <row r="1007" spans="1:38">
      <c r="A1007" s="62">
        <v>8</v>
      </c>
      <c r="B1007" s="93">
        <v>999</v>
      </c>
      <c r="C1007" s="68" t="s">
        <v>7475</v>
      </c>
      <c r="D1007" s="59" t="s">
        <v>8454</v>
      </c>
      <c r="E1007" s="72" t="s">
        <v>5862</v>
      </c>
      <c r="F1007" s="73" t="s">
        <v>8455</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6754</v>
      </c>
      <c r="U1007" s="63">
        <v>398</v>
      </c>
      <c r="V1007" s="70">
        <v>40625</v>
      </c>
      <c r="W1007" s="70">
        <v>41000</v>
      </c>
      <c r="X1007" s="83" t="s">
        <v>5945</v>
      </c>
      <c r="Y1007" s="70">
        <f t="shared" si="31"/>
        <v>11000</v>
      </c>
      <c r="Z1007" s="63" t="s">
        <v>5866</v>
      </c>
      <c r="AA1007" s="59">
        <v>3</v>
      </c>
      <c r="AB1007" s="59">
        <v>3</v>
      </c>
      <c r="AC1007" s="67" t="s">
        <v>333</v>
      </c>
      <c r="AD1007" s="61" t="s">
        <v>8456</v>
      </c>
      <c r="AE1007" s="71"/>
      <c r="AF1007" s="71"/>
      <c r="AG1007" s="71"/>
      <c r="AH1007" s="71"/>
      <c r="AI1007" s="71"/>
      <c r="AJ1007" s="71"/>
      <c r="AK1007" s="71" t="s">
        <v>8457</v>
      </c>
      <c r="AL1007">
        <f t="shared" si="29"/>
        <v>115800.00000000004</v>
      </c>
    </row>
    <row r="1008" spans="1:38">
      <c r="A1008" s="62">
        <v>8</v>
      </c>
      <c r="B1008" s="93">
        <v>1000</v>
      </c>
      <c r="C1008" s="68" t="s">
        <v>7475</v>
      </c>
      <c r="D1008" s="59" t="s">
        <v>8458</v>
      </c>
      <c r="E1008" s="72" t="s">
        <v>5862</v>
      </c>
      <c r="F1008" s="73" t="s">
        <v>8459</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6759</v>
      </c>
      <c r="U1008" s="63">
        <v>401</v>
      </c>
      <c r="V1008" s="70">
        <v>66500</v>
      </c>
      <c r="W1008" s="70">
        <v>70000</v>
      </c>
      <c r="X1008" s="83" t="s">
        <v>5938</v>
      </c>
      <c r="Y1008" s="70">
        <f t="shared" si="31"/>
        <v>49000</v>
      </c>
      <c r="Z1008" s="63" t="s">
        <v>5866</v>
      </c>
      <c r="AA1008" s="59">
        <v>3</v>
      </c>
      <c r="AB1008" s="59">
        <v>2</v>
      </c>
      <c r="AC1008" s="67" t="s">
        <v>329</v>
      </c>
      <c r="AD1008" s="61" t="s">
        <v>181</v>
      </c>
      <c r="AE1008" s="71"/>
      <c r="AF1008" s="71"/>
      <c r="AG1008" s="71"/>
      <c r="AH1008" s="71"/>
      <c r="AI1008" s="71"/>
      <c r="AJ1008" s="71"/>
      <c r="AK1008" s="71" t="s">
        <v>7641</v>
      </c>
      <c r="AL1008">
        <f t="shared" si="29"/>
        <v>199260</v>
      </c>
    </row>
    <row r="1009" spans="1:38">
      <c r="A1009" s="62">
        <v>8</v>
      </c>
      <c r="B1009" s="93">
        <v>1001</v>
      </c>
      <c r="C1009" s="68" t="s">
        <v>7475</v>
      </c>
      <c r="D1009" s="59" t="s">
        <v>8460</v>
      </c>
      <c r="E1009" s="72" t="s">
        <v>5862</v>
      </c>
      <c r="F1009" s="73" t="s">
        <v>8461</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6754</v>
      </c>
      <c r="U1009" s="63">
        <v>397</v>
      </c>
      <c r="V1009" s="70">
        <v>94290</v>
      </c>
      <c r="W1009" s="70">
        <v>90000</v>
      </c>
      <c r="X1009" s="83" t="s">
        <v>5878</v>
      </c>
      <c r="Y1009" s="70">
        <f t="shared" si="31"/>
        <v>39000</v>
      </c>
      <c r="Z1009" s="63" t="s">
        <v>5866</v>
      </c>
      <c r="AA1009" s="59">
        <v>3</v>
      </c>
      <c r="AB1009" s="59">
        <v>3</v>
      </c>
      <c r="AC1009" s="67" t="s">
        <v>333</v>
      </c>
      <c r="AD1009" s="61" t="s">
        <v>6523</v>
      </c>
      <c r="AE1009" s="71"/>
      <c r="AF1009" s="71"/>
      <c r="AG1009" s="71"/>
      <c r="AH1009" s="71"/>
      <c r="AI1009" s="71"/>
      <c r="AJ1009" s="71"/>
      <c r="AK1009" s="71" t="s">
        <v>8462</v>
      </c>
      <c r="AL1009">
        <f t="shared" si="29"/>
        <v>19400.000000000004</v>
      </c>
    </row>
    <row r="1010" spans="1:38">
      <c r="A1010" s="62">
        <v>8</v>
      </c>
      <c r="B1010" s="93">
        <v>1002</v>
      </c>
      <c r="C1010" s="68" t="s">
        <v>7475</v>
      </c>
      <c r="D1010" s="59" t="s">
        <v>8463</v>
      </c>
      <c r="E1010" s="72" t="s">
        <v>5862</v>
      </c>
      <c r="F1010" s="73" t="s">
        <v>8464</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6754</v>
      </c>
      <c r="U1010" s="63">
        <v>398</v>
      </c>
      <c r="V1010" s="70">
        <v>22110</v>
      </c>
      <c r="W1010" s="70">
        <v>22000</v>
      </c>
      <c r="X1010" s="83" t="s">
        <v>5903</v>
      </c>
      <c r="Y1010" s="70">
        <f t="shared" si="31"/>
        <v>11000</v>
      </c>
      <c r="Z1010" s="63" t="s">
        <v>5866</v>
      </c>
      <c r="AA1010" s="59">
        <v>3</v>
      </c>
      <c r="AB1010" s="59">
        <v>3</v>
      </c>
      <c r="AC1010" s="67" t="s">
        <v>333</v>
      </c>
      <c r="AD1010" s="61" t="s">
        <v>8465</v>
      </c>
      <c r="AE1010" s="71"/>
      <c r="AF1010" s="71"/>
      <c r="AG1010" s="71"/>
      <c r="AH1010" s="71"/>
      <c r="AI1010" s="71"/>
      <c r="AJ1010" s="71"/>
      <c r="AK1010" s="71" t="s">
        <v>7704</v>
      </c>
      <c r="AL1010">
        <f t="shared" si="29"/>
        <v>75528</v>
      </c>
    </row>
    <row r="1011" spans="1:38">
      <c r="A1011" s="62">
        <v>8</v>
      </c>
      <c r="B1011" s="93">
        <v>1003</v>
      </c>
      <c r="C1011" s="68" t="s">
        <v>7475</v>
      </c>
      <c r="D1011" s="59" t="s">
        <v>8466</v>
      </c>
      <c r="E1011" s="72" t="s">
        <v>5862</v>
      </c>
      <c r="F1011" s="73" t="s">
        <v>8467</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6757</v>
      </c>
      <c r="U1011" s="63">
        <v>401</v>
      </c>
      <c r="V1011" s="70">
        <v>24500</v>
      </c>
      <c r="W1011" s="70">
        <v>25000</v>
      </c>
      <c r="X1011" s="83" t="s">
        <v>6882</v>
      </c>
      <c r="Y1011" s="70">
        <f t="shared" si="31"/>
        <v>3000</v>
      </c>
      <c r="Z1011" s="63" t="s">
        <v>5866</v>
      </c>
      <c r="AA1011" s="59">
        <v>3</v>
      </c>
      <c r="AB1011" s="59">
        <v>3</v>
      </c>
      <c r="AC1011" s="67" t="s">
        <v>333</v>
      </c>
      <c r="AD1011" s="61" t="s">
        <v>181</v>
      </c>
      <c r="AE1011" s="71"/>
      <c r="AF1011" s="71"/>
      <c r="AG1011" s="71"/>
      <c r="AH1011" s="71"/>
      <c r="AI1011" s="71"/>
      <c r="AJ1011" s="71"/>
      <c r="AK1011" s="71" t="s">
        <v>8468</v>
      </c>
      <c r="AL1011">
        <f t="shared" si="29"/>
        <v>24000</v>
      </c>
    </row>
    <row r="1012" spans="1:38">
      <c r="A1012" s="62">
        <v>8</v>
      </c>
      <c r="B1012" s="93">
        <v>1004</v>
      </c>
      <c r="C1012" s="68" t="s">
        <v>7475</v>
      </c>
      <c r="D1012" s="59" t="s">
        <v>8469</v>
      </c>
      <c r="E1012" s="72" t="s">
        <v>5862</v>
      </c>
      <c r="F1012" s="73" t="s">
        <v>8470</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6757</v>
      </c>
      <c r="U1012" s="63">
        <v>398</v>
      </c>
      <c r="V1012" s="70">
        <v>24969</v>
      </c>
      <c r="W1012" s="70">
        <v>25000</v>
      </c>
      <c r="X1012" s="83" t="s">
        <v>6516</v>
      </c>
      <c r="Y1012" s="70">
        <f t="shared" si="31"/>
        <v>9000</v>
      </c>
      <c r="Z1012" s="63" t="s">
        <v>5866</v>
      </c>
      <c r="AA1012" s="59">
        <v>3</v>
      </c>
      <c r="AB1012" s="59">
        <v>3</v>
      </c>
      <c r="AC1012" s="67" t="s">
        <v>333</v>
      </c>
      <c r="AD1012" s="61" t="s">
        <v>8471</v>
      </c>
      <c r="AE1012" s="71"/>
      <c r="AF1012" s="71"/>
      <c r="AG1012" s="71"/>
      <c r="AH1012" s="71"/>
      <c r="AI1012" s="71"/>
      <c r="AJ1012" s="71"/>
      <c r="AK1012" s="71" t="s">
        <v>7542</v>
      </c>
      <c r="AL1012">
        <f t="shared" si="29"/>
        <v>36000</v>
      </c>
    </row>
    <row r="1013" spans="1:38">
      <c r="A1013" s="62">
        <v>8</v>
      </c>
      <c r="B1013" s="93">
        <v>1005</v>
      </c>
      <c r="C1013" s="68" t="s">
        <v>7475</v>
      </c>
      <c r="D1013" s="59" t="s">
        <v>8472</v>
      </c>
      <c r="E1013" s="72" t="s">
        <v>5862</v>
      </c>
      <c r="F1013" s="73" t="s">
        <v>8473</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6757</v>
      </c>
      <c r="U1013" s="63">
        <v>398</v>
      </c>
      <c r="V1013" s="70">
        <v>20149</v>
      </c>
      <c r="W1013" s="70">
        <v>20000</v>
      </c>
      <c r="X1013" s="83" t="s">
        <v>5892</v>
      </c>
      <c r="Y1013" s="70">
        <f t="shared" si="31"/>
        <v>7000</v>
      </c>
      <c r="Z1013" s="63" t="s">
        <v>5866</v>
      </c>
      <c r="AA1013" s="59">
        <v>3</v>
      </c>
      <c r="AB1013" s="59">
        <v>3</v>
      </c>
      <c r="AC1013" s="67" t="s">
        <v>333</v>
      </c>
      <c r="AD1013" s="61" t="s">
        <v>181</v>
      </c>
      <c r="AE1013" s="71"/>
      <c r="AF1013" s="71"/>
      <c r="AG1013" s="71"/>
      <c r="AH1013" s="71"/>
      <c r="AI1013" s="71"/>
      <c r="AJ1013" s="71"/>
      <c r="AK1013" s="71" t="s">
        <v>8474</v>
      </c>
      <c r="AL1013">
        <f t="shared" si="29"/>
        <v>48000</v>
      </c>
    </row>
    <row r="1014" spans="1:38">
      <c r="A1014" s="62">
        <v>8</v>
      </c>
      <c r="B1014" s="93">
        <v>1006</v>
      </c>
      <c r="C1014" s="68" t="s">
        <v>7475</v>
      </c>
      <c r="D1014" s="59" t="s">
        <v>6739</v>
      </c>
      <c r="E1014" s="72" t="s">
        <v>5862</v>
      </c>
      <c r="F1014" s="73" t="s">
        <v>6740</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6757</v>
      </c>
      <c r="U1014" s="63">
        <v>398</v>
      </c>
      <c r="V1014" s="70">
        <v>43775</v>
      </c>
      <c r="W1014" s="70">
        <v>44000</v>
      </c>
      <c r="X1014" s="83" t="s">
        <v>6240</v>
      </c>
      <c r="Y1014" s="70">
        <f t="shared" si="31"/>
        <v>12000</v>
      </c>
      <c r="Z1014" s="63" t="s">
        <v>5866</v>
      </c>
      <c r="AA1014" s="59">
        <v>3</v>
      </c>
      <c r="AB1014" s="59">
        <v>3</v>
      </c>
      <c r="AC1014" s="67" t="s">
        <v>333</v>
      </c>
      <c r="AD1014" s="61" t="s">
        <v>6741</v>
      </c>
      <c r="AE1014" s="71"/>
      <c r="AF1014" s="71"/>
      <c r="AG1014" s="71"/>
      <c r="AH1014" s="71"/>
      <c r="AI1014" s="71"/>
      <c r="AJ1014" s="71"/>
      <c r="AK1014" s="71" t="s">
        <v>7949</v>
      </c>
      <c r="AL1014">
        <f t="shared" si="29"/>
        <v>100300</v>
      </c>
    </row>
    <row r="1015" spans="1:38">
      <c r="A1015" s="62">
        <v>8</v>
      </c>
      <c r="B1015" s="93">
        <v>1007</v>
      </c>
      <c r="C1015" s="68" t="s">
        <v>7475</v>
      </c>
      <c r="D1015" s="59" t="s">
        <v>8475</v>
      </c>
      <c r="E1015" s="72" t="s">
        <v>5862</v>
      </c>
      <c r="F1015" s="73" t="s">
        <v>8476</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6757</v>
      </c>
      <c r="U1015" s="63">
        <v>398</v>
      </c>
      <c r="V1015" s="70">
        <v>36834</v>
      </c>
      <c r="W1015" s="70">
        <v>37000</v>
      </c>
      <c r="X1015" s="83" t="s">
        <v>6774</v>
      </c>
      <c r="Y1015" s="70">
        <f t="shared" si="31"/>
        <v>18000</v>
      </c>
      <c r="Z1015" s="63" t="s">
        <v>5866</v>
      </c>
      <c r="AA1015" s="59">
        <v>3</v>
      </c>
      <c r="AB1015" s="59">
        <v>3</v>
      </c>
      <c r="AC1015" s="67" t="s">
        <v>333</v>
      </c>
      <c r="AD1015" s="61" t="s">
        <v>8477</v>
      </c>
      <c r="AE1015" s="71"/>
      <c r="AF1015" s="71"/>
      <c r="AG1015" s="71"/>
      <c r="AH1015" s="71"/>
      <c r="AI1015" s="71"/>
      <c r="AJ1015" s="71"/>
      <c r="AK1015" s="71" t="s">
        <v>7931</v>
      </c>
      <c r="AL1015">
        <f t="shared" si="29"/>
        <v>113870</v>
      </c>
    </row>
    <row r="1016" spans="1:38">
      <c r="A1016" s="62">
        <v>8</v>
      </c>
      <c r="B1016" s="93">
        <v>1008</v>
      </c>
      <c r="C1016" s="68" t="s">
        <v>7475</v>
      </c>
      <c r="D1016" s="59" t="s">
        <v>7466</v>
      </c>
      <c r="E1016" s="72" t="s">
        <v>5862</v>
      </c>
      <c r="F1016" s="73" t="s">
        <v>8478</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6757</v>
      </c>
      <c r="U1016" s="63">
        <v>398</v>
      </c>
      <c r="V1016" s="70">
        <v>66517</v>
      </c>
      <c r="W1016" s="70">
        <v>70000</v>
      </c>
      <c r="X1016" s="83" t="s">
        <v>6182</v>
      </c>
      <c r="Y1016" s="70">
        <f t="shared" si="31"/>
        <v>40000</v>
      </c>
      <c r="Z1016" s="63" t="s">
        <v>5866</v>
      </c>
      <c r="AA1016" s="59">
        <v>3</v>
      </c>
      <c r="AB1016" s="59">
        <v>3</v>
      </c>
      <c r="AC1016" s="67" t="s">
        <v>333</v>
      </c>
      <c r="AD1016" s="61" t="s">
        <v>7468</v>
      </c>
      <c r="AE1016" s="71"/>
      <c r="AF1016" s="71"/>
      <c r="AG1016" s="71"/>
      <c r="AH1016" s="71"/>
      <c r="AI1016" s="71"/>
      <c r="AJ1016" s="71"/>
      <c r="AK1016" s="71" t="s">
        <v>7691</v>
      </c>
      <c r="AL1016">
        <f t="shared" si="29"/>
        <v>182246</v>
      </c>
    </row>
    <row r="1017" spans="1:38">
      <c r="A1017" s="62">
        <v>8</v>
      </c>
      <c r="B1017" s="93">
        <v>1009</v>
      </c>
      <c r="C1017" s="68" t="s">
        <v>7475</v>
      </c>
      <c r="D1017" s="59" t="s">
        <v>6742</v>
      </c>
      <c r="E1017" s="72" t="s">
        <v>5862</v>
      </c>
      <c r="F1017" s="73" t="s">
        <v>6743</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6757</v>
      </c>
      <c r="U1017" s="63">
        <v>398</v>
      </c>
      <c r="V1017" s="70">
        <v>16345</v>
      </c>
      <c r="W1017" s="70">
        <v>16000</v>
      </c>
      <c r="X1017" s="83" t="s">
        <v>6293</v>
      </c>
      <c r="Y1017" s="70">
        <f>ROUND(J1017,-2)</f>
        <v>1800</v>
      </c>
      <c r="Z1017" s="63" t="s">
        <v>5866</v>
      </c>
      <c r="AA1017" s="59">
        <v>3</v>
      </c>
      <c r="AB1017" s="59">
        <v>3</v>
      </c>
      <c r="AC1017" s="67" t="s">
        <v>333</v>
      </c>
      <c r="AD1017" s="61" t="s">
        <v>6744</v>
      </c>
      <c r="AE1017" s="71"/>
      <c r="AF1017" s="71"/>
      <c r="AG1017" s="71"/>
      <c r="AH1017" s="71"/>
      <c r="AI1017" s="71"/>
      <c r="AJ1017" s="71"/>
      <c r="AK1017" s="71" t="s">
        <v>7657</v>
      </c>
      <c r="AL1017">
        <f t="shared" si="29"/>
        <v>14286.000000000002</v>
      </c>
    </row>
    <row r="1018" spans="1:38">
      <c r="A1018" s="62">
        <v>8</v>
      </c>
      <c r="B1018" s="93">
        <v>1010</v>
      </c>
      <c r="C1018" s="68" t="s">
        <v>7475</v>
      </c>
      <c r="D1018" s="59" t="s">
        <v>6745</v>
      </c>
      <c r="E1018" s="72" t="s">
        <v>5862</v>
      </c>
      <c r="F1018" s="73" t="s">
        <v>6746</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6757</v>
      </c>
      <c r="U1018" s="63">
        <v>398</v>
      </c>
      <c r="V1018" s="70">
        <v>39818</v>
      </c>
      <c r="W1018" s="70">
        <v>40000</v>
      </c>
      <c r="X1018" s="83" t="s">
        <v>6774</v>
      </c>
      <c r="Y1018" s="70">
        <f>ROUND(J1018,-3)</f>
        <v>8000</v>
      </c>
      <c r="Z1018" s="63" t="s">
        <v>5866</v>
      </c>
      <c r="AA1018" s="59">
        <v>3</v>
      </c>
      <c r="AB1018" s="59">
        <v>3</v>
      </c>
      <c r="AC1018" s="67" t="s">
        <v>333</v>
      </c>
      <c r="AD1018" s="61" t="s">
        <v>6747</v>
      </c>
      <c r="AE1018" s="71"/>
      <c r="AF1018" s="71"/>
      <c r="AG1018" s="71"/>
      <c r="AH1018" s="71"/>
      <c r="AI1018" s="71"/>
      <c r="AJ1018" s="71"/>
      <c r="AK1018" s="71" t="s">
        <v>8479</v>
      </c>
      <c r="AL1018">
        <f t="shared" si="29"/>
        <v>27445.5</v>
      </c>
    </row>
    <row r="1019" spans="1:38">
      <c r="A1019" s="62">
        <v>8</v>
      </c>
      <c r="B1019" s="93">
        <v>1011</v>
      </c>
      <c r="C1019" s="68" t="s">
        <v>7475</v>
      </c>
      <c r="D1019" s="59" t="s">
        <v>8480</v>
      </c>
      <c r="E1019" s="72" t="s">
        <v>5862</v>
      </c>
      <c r="F1019" s="73" t="s">
        <v>8481</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6757</v>
      </c>
      <c r="U1019" s="63">
        <v>398</v>
      </c>
      <c r="V1019" s="70">
        <v>26900</v>
      </c>
      <c r="W1019" s="70">
        <v>27000</v>
      </c>
      <c r="X1019" s="83" t="s">
        <v>5878</v>
      </c>
      <c r="Y1019" s="70">
        <f>ROUND(J1019,-3)</f>
        <v>11000</v>
      </c>
      <c r="Z1019" s="63" t="s">
        <v>5866</v>
      </c>
      <c r="AA1019" s="59">
        <v>3</v>
      </c>
      <c r="AB1019" s="59">
        <v>3</v>
      </c>
      <c r="AC1019" s="67" t="s">
        <v>333</v>
      </c>
      <c r="AD1019" s="61" t="s">
        <v>8482</v>
      </c>
      <c r="AE1019" s="71"/>
      <c r="AF1019" s="71"/>
      <c r="AG1019" s="71"/>
      <c r="AH1019" s="71"/>
      <c r="AI1019" s="71"/>
      <c r="AJ1019" s="71"/>
      <c r="AK1019" s="71" t="s">
        <v>7486</v>
      </c>
      <c r="AL1019">
        <f t="shared" si="29"/>
        <v>84992</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676275</xdr:colOff>
                    <xdr:row>0</xdr:row>
                    <xdr:rowOff>0</xdr:rowOff>
                  </from>
                  <to>
                    <xdr:col>3</xdr:col>
                    <xdr:colOff>1400175</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1266825</xdr:colOff>
                    <xdr:row>0</xdr:row>
                    <xdr:rowOff>9525</xdr:rowOff>
                  </from>
                  <to>
                    <xdr:col>5</xdr:col>
                    <xdr:colOff>2009775</xdr:colOff>
                    <xdr:row>0</xdr:row>
                    <xdr:rowOff>523875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0024F-7E6F-4C27-9140-8BDA4B4F9B05}">
  <sheetPr codeName="Sheet4">
    <tabColor rgb="FFD97706"/>
  </sheetPr>
  <dimension ref="A1:M158"/>
  <sheetViews>
    <sheetView workbookViewId="0">
      <pane ySplit="1" topLeftCell="A2" activePane="bottomLeft" state="frozen"/>
      <selection pane="bottomLeft" activeCell="B63" sqref="B63"/>
    </sheetView>
  </sheetViews>
  <sheetFormatPr defaultColWidth="9" defaultRowHeight="10.5"/>
  <cols>
    <col min="1" max="1" width="6" style="4" customWidth="1"/>
    <col min="2" max="2" width="28" customWidth="1"/>
    <col min="3" max="3" width="11.33203125" customWidth="1"/>
    <col min="4" max="4" width="7" bestFit="1" customWidth="1"/>
    <col min="5" max="5" width="15" bestFit="1" customWidth="1"/>
    <col min="6" max="6" width="5.33203125" customWidth="1"/>
    <col min="7" max="7" width="17" customWidth="1"/>
    <col min="8" max="8" width="17" bestFit="1" customWidth="1"/>
    <col min="9" max="9" width="5.33203125" customWidth="1"/>
    <col min="10" max="10" width="19.33203125" bestFit="1" customWidth="1"/>
    <col min="11" max="11" width="16.83203125" bestFit="1" customWidth="1"/>
    <col min="12" max="12" width="7" customWidth="1"/>
  </cols>
  <sheetData>
    <row r="1" spans="1:13" ht="12.75" customHeight="1">
      <c r="A1" s="4">
        <v>0</v>
      </c>
      <c r="B1" s="15" t="s">
        <v>8483</v>
      </c>
      <c r="C1" s="19"/>
      <c r="F1" s="6"/>
      <c r="G1" s="22" t="s">
        <v>8484</v>
      </c>
      <c r="H1" s="22" t="s">
        <v>8484</v>
      </c>
      <c r="J1" s="35"/>
      <c r="K1" s="35"/>
      <c r="L1" t="b">
        <v>0</v>
      </c>
      <c r="M1" s="30"/>
    </row>
    <row r="2" spans="1:13" ht="12.75" customHeight="1">
      <c r="A2" s="4">
        <v>1</v>
      </c>
      <c r="B2" s="15" t="s">
        <v>8485</v>
      </c>
      <c r="C2" s="20"/>
      <c r="F2" s="21"/>
      <c r="G2" s="22" t="s">
        <v>3966</v>
      </c>
      <c r="H2" s="22" t="s">
        <v>3966</v>
      </c>
      <c r="J2" s="27"/>
      <c r="K2" s="24"/>
      <c r="L2" t="b">
        <v>0</v>
      </c>
    </row>
    <row r="3" spans="1:13" ht="12.75" customHeight="1">
      <c r="A3" s="4">
        <v>2</v>
      </c>
      <c r="B3" s="15" t="s">
        <v>302</v>
      </c>
      <c r="C3" s="20"/>
      <c r="F3" s="6"/>
      <c r="G3" s="22" t="s">
        <v>3739</v>
      </c>
      <c r="H3" s="22" t="s">
        <v>3739</v>
      </c>
      <c r="J3" s="35"/>
      <c r="K3" s="35"/>
      <c r="L3" t="b">
        <v>0</v>
      </c>
    </row>
    <row r="4" spans="1:13" ht="12.75" customHeight="1">
      <c r="A4" s="4">
        <v>3</v>
      </c>
      <c r="B4" s="15" t="s">
        <v>8486</v>
      </c>
      <c r="C4" s="17"/>
      <c r="F4" s="21"/>
      <c r="G4" s="22" t="s">
        <v>3682</v>
      </c>
      <c r="H4" s="22" t="s">
        <v>3682</v>
      </c>
      <c r="J4" s="27"/>
      <c r="K4" s="24"/>
      <c r="L4" t="b">
        <v>0</v>
      </c>
    </row>
    <row r="5" spans="1:13" ht="12.75" customHeight="1">
      <c r="A5" s="4">
        <v>4</v>
      </c>
      <c r="B5" s="15" t="s">
        <v>229</v>
      </c>
      <c r="C5" s="17"/>
      <c r="D5" s="15"/>
      <c r="E5" s="21"/>
      <c r="F5" s="21"/>
      <c r="G5" s="22" t="s">
        <v>3642</v>
      </c>
      <c r="H5" s="22" t="s">
        <v>3642</v>
      </c>
      <c r="J5" s="35"/>
      <c r="K5" s="35"/>
      <c r="L5" t="b">
        <v>0</v>
      </c>
    </row>
    <row r="6" spans="1:13" ht="12.75" customHeight="1">
      <c r="C6" s="17"/>
      <c r="D6" s="15"/>
      <c r="E6" s="6"/>
      <c r="F6" s="6"/>
      <c r="G6" s="22" t="s">
        <v>3662</v>
      </c>
      <c r="H6" s="22" t="s">
        <v>3662</v>
      </c>
      <c r="J6" s="27"/>
      <c r="K6" s="24"/>
      <c r="L6" t="b">
        <v>0</v>
      </c>
    </row>
    <row r="7" spans="1:13" ht="12.75" customHeight="1">
      <c r="C7" s="17"/>
      <c r="D7" s="15"/>
      <c r="E7" s="29"/>
      <c r="F7" s="6"/>
      <c r="G7" s="22" t="s">
        <v>3547</v>
      </c>
      <c r="H7" s="22" t="s">
        <v>3547</v>
      </c>
      <c r="J7" s="27"/>
      <c r="K7" s="24"/>
      <c r="L7" t="b">
        <v>0</v>
      </c>
    </row>
    <row r="8" spans="1:13" ht="12.75" customHeight="1">
      <c r="C8" s="17"/>
      <c r="D8" s="15"/>
      <c r="E8" s="29"/>
      <c r="F8" s="6"/>
      <c r="G8" s="22" t="s">
        <v>8487</v>
      </c>
      <c r="H8" s="22" t="s">
        <v>8487</v>
      </c>
      <c r="J8" s="27"/>
      <c r="K8" s="24"/>
      <c r="L8" t="b">
        <v>0</v>
      </c>
    </row>
    <row r="9" spans="1:13" ht="12.75" customHeight="1">
      <c r="C9" s="17"/>
      <c r="D9" s="45">
        <v>10</v>
      </c>
      <c r="E9" s="45" t="s">
        <v>8483</v>
      </c>
      <c r="F9" s="6"/>
      <c r="G9" s="22" t="s">
        <v>8488</v>
      </c>
      <c r="H9" s="22" t="s">
        <v>8488</v>
      </c>
      <c r="J9" s="27"/>
      <c r="K9" s="24"/>
      <c r="L9" t="b">
        <v>0</v>
      </c>
    </row>
    <row r="10" spans="1:13" ht="12.75" customHeight="1">
      <c r="C10" s="2"/>
      <c r="D10" s="24">
        <v>11</v>
      </c>
      <c r="E10" s="24" t="s">
        <v>8489</v>
      </c>
      <c r="F10" s="6"/>
      <c r="G10" s="22" t="s">
        <v>3590</v>
      </c>
      <c r="H10" s="22" t="s">
        <v>3590</v>
      </c>
      <c r="J10" s="27"/>
      <c r="K10" s="24"/>
      <c r="L10" t="b">
        <v>0</v>
      </c>
    </row>
    <row r="11" spans="1:13" ht="12.75" customHeight="1">
      <c r="B11" s="3"/>
      <c r="D11" s="24">
        <v>12</v>
      </c>
      <c r="E11" s="24" t="s">
        <v>8489</v>
      </c>
      <c r="F11" s="21"/>
      <c r="G11" s="22" t="s">
        <v>3629</v>
      </c>
      <c r="H11" s="22" t="s">
        <v>3629</v>
      </c>
      <c r="J11" s="27"/>
      <c r="K11" s="24"/>
      <c r="L11" t="b">
        <v>0</v>
      </c>
    </row>
    <row r="12" spans="1:13" ht="12.75" customHeight="1">
      <c r="A12" s="4">
        <v>1</v>
      </c>
      <c r="B12" s="15" t="s">
        <v>8485</v>
      </c>
      <c r="D12" s="24">
        <v>13</v>
      </c>
      <c r="E12" s="24" t="s">
        <v>8485</v>
      </c>
      <c r="F12" s="21"/>
      <c r="G12" s="22" t="s">
        <v>8490</v>
      </c>
      <c r="H12" s="22" t="s">
        <v>8490</v>
      </c>
      <c r="J12" s="27"/>
      <c r="K12" s="24"/>
      <c r="L12" t="b">
        <v>0</v>
      </c>
    </row>
    <row r="13" spans="1:13" ht="12.75" customHeight="1">
      <c r="A13" s="4">
        <v>2</v>
      </c>
      <c r="B13" s="15" t="s">
        <v>302</v>
      </c>
      <c r="D13" s="24">
        <v>14</v>
      </c>
      <c r="E13" s="27" t="s">
        <v>8485</v>
      </c>
      <c r="F13" s="21"/>
      <c r="G13" s="22" t="s">
        <v>8491</v>
      </c>
      <c r="H13" s="22" t="s">
        <v>8491</v>
      </c>
      <c r="J13" s="27"/>
      <c r="K13" s="24"/>
      <c r="L13" t="b">
        <v>0</v>
      </c>
    </row>
    <row r="14" spans="1:13" ht="12.75" customHeight="1">
      <c r="A14" s="4">
        <v>3</v>
      </c>
      <c r="B14" s="15" t="s">
        <v>8486</v>
      </c>
      <c r="D14" s="24">
        <v>20</v>
      </c>
      <c r="E14" s="24" t="s">
        <v>8485</v>
      </c>
      <c r="F14" s="21"/>
      <c r="G14" s="22" t="s">
        <v>8492</v>
      </c>
      <c r="H14" s="22" t="s">
        <v>8492</v>
      </c>
      <c r="J14" s="35"/>
      <c r="K14" s="35"/>
      <c r="L14" t="b">
        <v>0</v>
      </c>
    </row>
    <row r="15" spans="1:13" ht="12.75" customHeight="1">
      <c r="A15" s="4">
        <v>4</v>
      </c>
      <c r="B15" s="15" t="s">
        <v>229</v>
      </c>
      <c r="C15" s="2"/>
      <c r="D15" s="24">
        <v>21</v>
      </c>
      <c r="E15" s="24" t="s">
        <v>8485</v>
      </c>
      <c r="F15" s="21"/>
      <c r="G15" s="22"/>
      <c r="H15" s="22"/>
      <c r="J15" s="27"/>
      <c r="K15" s="24"/>
      <c r="L15" t="b">
        <v>0</v>
      </c>
    </row>
    <row r="16" spans="1:13" ht="12.75" customHeight="1">
      <c r="A16" s="4">
        <v>5</v>
      </c>
      <c r="B16" s="15" t="s">
        <v>8493</v>
      </c>
      <c r="C16" s="2"/>
      <c r="D16" s="24">
        <v>22</v>
      </c>
      <c r="E16" s="27" t="s">
        <v>302</v>
      </c>
      <c r="F16" s="21"/>
      <c r="G16" s="22"/>
      <c r="H16" s="22"/>
      <c r="J16" s="27"/>
      <c r="K16" s="24"/>
      <c r="L16" t="b">
        <v>0</v>
      </c>
    </row>
    <row r="17" spans="1:13" ht="12.75" customHeight="1">
      <c r="C17" s="2"/>
      <c r="D17" s="24">
        <v>23</v>
      </c>
      <c r="E17" s="24" t="s">
        <v>8494</v>
      </c>
      <c r="F17" s="21"/>
      <c r="G17" s="22"/>
      <c r="H17" s="22"/>
      <c r="J17" s="27"/>
      <c r="K17" s="24"/>
      <c r="L17" t="b">
        <v>0</v>
      </c>
    </row>
    <row r="18" spans="1:13" ht="12.75" customHeight="1">
      <c r="C18" s="2"/>
      <c r="D18" s="45">
        <v>24</v>
      </c>
      <c r="E18" s="24" t="s">
        <v>8494</v>
      </c>
      <c r="F18" s="21"/>
      <c r="G18" s="22"/>
      <c r="H18" s="22"/>
      <c r="J18" s="23"/>
      <c r="K18" s="23"/>
      <c r="L18" t="b">
        <v>0</v>
      </c>
    </row>
    <row r="19" spans="1:13" ht="12.75" customHeight="1">
      <c r="A19" s="77">
        <v>1</v>
      </c>
      <c r="B19" s="57" t="s">
        <v>1114</v>
      </c>
      <c r="C19" s="2"/>
      <c r="D19" s="45">
        <v>30</v>
      </c>
      <c r="E19" s="45" t="s">
        <v>8485</v>
      </c>
      <c r="F19" s="21"/>
      <c r="G19" s="22"/>
      <c r="H19" s="22"/>
      <c r="J19" s="19"/>
      <c r="K19" s="19"/>
      <c r="L19" t="b">
        <v>0</v>
      </c>
    </row>
    <row r="20" spans="1:13" ht="12" customHeight="1">
      <c r="A20" s="77">
        <v>99</v>
      </c>
      <c r="B20" s="57" t="s">
        <v>1094</v>
      </c>
      <c r="C20" s="2"/>
      <c r="D20" s="45">
        <v>31</v>
      </c>
      <c r="E20" s="45" t="s">
        <v>302</v>
      </c>
      <c r="F20" s="12"/>
      <c r="G20" s="22"/>
      <c r="H20" s="22"/>
      <c r="J20" s="27"/>
      <c r="K20" s="24"/>
      <c r="L20" t="b">
        <v>0</v>
      </c>
    </row>
    <row r="21" spans="1:13" ht="12" customHeight="1">
      <c r="A21" s="77">
        <v>100</v>
      </c>
      <c r="B21" s="57" t="s">
        <v>8495</v>
      </c>
      <c r="C21" s="2"/>
      <c r="D21" s="45">
        <v>32</v>
      </c>
      <c r="E21" s="45" t="s">
        <v>8496</v>
      </c>
      <c r="F21" s="12"/>
      <c r="G21" s="22"/>
      <c r="H21" s="22"/>
      <c r="J21" s="27"/>
      <c r="K21" s="24"/>
      <c r="L21" t="b">
        <v>0</v>
      </c>
    </row>
    <row r="22" spans="1:13" ht="12" customHeight="1">
      <c r="A22" s="77">
        <v>118</v>
      </c>
      <c r="B22" s="57" t="s">
        <v>1107</v>
      </c>
      <c r="C22" s="2"/>
      <c r="D22" s="45">
        <v>33</v>
      </c>
      <c r="E22" s="45" t="s">
        <v>44</v>
      </c>
      <c r="F22" s="12"/>
      <c r="G22" s="22"/>
      <c r="H22" s="22"/>
      <c r="J22" s="25"/>
      <c r="K22" s="25"/>
      <c r="L22" t="b">
        <v>0</v>
      </c>
    </row>
    <row r="23" spans="1:13" ht="12" customHeight="1">
      <c r="A23" s="77">
        <v>140</v>
      </c>
      <c r="B23" s="57" t="s">
        <v>1158</v>
      </c>
      <c r="C23" s="2"/>
      <c r="D23" s="45">
        <v>34</v>
      </c>
      <c r="E23" s="45" t="s">
        <v>44</v>
      </c>
      <c r="G23" s="22"/>
      <c r="H23" s="22"/>
      <c r="J23" s="27"/>
      <c r="K23" s="24"/>
      <c r="L23" t="b">
        <v>0</v>
      </c>
    </row>
    <row r="24" spans="1:13" ht="12" customHeight="1">
      <c r="A24" s="77">
        <v>186</v>
      </c>
      <c r="B24" s="57" t="s">
        <v>8497</v>
      </c>
      <c r="C24" s="2"/>
      <c r="D24" s="45">
        <v>40</v>
      </c>
      <c r="E24" s="45" t="s">
        <v>44</v>
      </c>
      <c r="G24" s="22"/>
      <c r="H24" s="22"/>
      <c r="J24" s="27"/>
      <c r="K24" s="24"/>
      <c r="L24" t="b">
        <v>0</v>
      </c>
    </row>
    <row r="25" spans="1:13" ht="12" customHeight="1">
      <c r="A25" s="77">
        <v>209</v>
      </c>
      <c r="B25" s="57" t="s">
        <v>1108</v>
      </c>
      <c r="C25" s="2"/>
      <c r="D25" s="45">
        <v>41</v>
      </c>
      <c r="E25" s="45" t="s">
        <v>44</v>
      </c>
      <c r="G25" s="22"/>
      <c r="H25" s="58"/>
      <c r="J25" s="27"/>
      <c r="K25" s="24"/>
      <c r="L25" t="b">
        <v>0</v>
      </c>
    </row>
    <row r="26" spans="1:13" ht="12" customHeight="1">
      <c r="A26" s="77">
        <v>210</v>
      </c>
      <c r="B26" s="57" t="s">
        <v>8498</v>
      </c>
      <c r="C26" s="2"/>
      <c r="D26" s="45">
        <v>42</v>
      </c>
      <c r="E26" s="46" t="s">
        <v>8496</v>
      </c>
      <c r="G26" s="22"/>
      <c r="H26" s="22"/>
      <c r="J26" s="25"/>
      <c r="K26" s="25"/>
      <c r="L26" t="b">
        <v>0</v>
      </c>
    </row>
    <row r="27" spans="1:13" ht="12" customHeight="1">
      <c r="A27" s="77">
        <v>213</v>
      </c>
      <c r="B27" s="56" t="s">
        <v>8499</v>
      </c>
      <c r="C27" s="2"/>
      <c r="D27" s="45">
        <v>43</v>
      </c>
      <c r="E27" s="45" t="s">
        <v>229</v>
      </c>
      <c r="G27" s="22"/>
      <c r="H27" s="22"/>
      <c r="J27" s="35"/>
      <c r="K27" s="35"/>
      <c r="L27" t="b">
        <v>0</v>
      </c>
    </row>
    <row r="28" spans="1:13" ht="12" customHeight="1">
      <c r="A28" s="77">
        <v>304</v>
      </c>
      <c r="B28" s="56" t="s">
        <v>1081</v>
      </c>
      <c r="C28" s="2"/>
      <c r="D28" s="45">
        <v>44</v>
      </c>
      <c r="E28" s="45" t="s">
        <v>229</v>
      </c>
      <c r="G28" s="22"/>
      <c r="H28" s="58"/>
      <c r="J28" s="27"/>
      <c r="K28" s="24"/>
      <c r="L28" t="b">
        <v>0</v>
      </c>
    </row>
    <row r="29" spans="1:13" ht="12" customHeight="1">
      <c r="A29" s="77">
        <v>306</v>
      </c>
      <c r="B29" s="56" t="s">
        <v>1083</v>
      </c>
      <c r="C29" s="2"/>
      <c r="D29" s="45">
        <v>50</v>
      </c>
      <c r="E29" s="47" t="s">
        <v>8500</v>
      </c>
      <c r="G29" s="22"/>
      <c r="H29" s="22"/>
      <c r="J29" s="25"/>
      <c r="K29" s="25"/>
      <c r="L29" t="b">
        <v>0</v>
      </c>
    </row>
    <row r="30" spans="1:13" ht="12" customHeight="1">
      <c r="A30" s="77">
        <v>311</v>
      </c>
      <c r="B30" s="56" t="s">
        <v>1086</v>
      </c>
      <c r="C30" s="2"/>
      <c r="D30" s="45">
        <v>51</v>
      </c>
      <c r="E30" s="47" t="s">
        <v>8501</v>
      </c>
      <c r="G30" s="22"/>
      <c r="H30" s="22"/>
      <c r="J30" s="27"/>
      <c r="K30" s="24"/>
      <c r="L30" t="b">
        <v>0</v>
      </c>
    </row>
    <row r="31" spans="1:13" ht="12" customHeight="1">
      <c r="A31" s="78">
        <v>319</v>
      </c>
      <c r="B31" s="57" t="s">
        <v>1090</v>
      </c>
      <c r="C31" s="2"/>
      <c r="D31" s="45">
        <v>52</v>
      </c>
      <c r="E31" s="45" t="s">
        <v>8501</v>
      </c>
      <c r="G31" s="22"/>
      <c r="H31" s="22"/>
      <c r="J31" s="27"/>
      <c r="K31" s="24"/>
      <c r="L31" t="b">
        <v>0</v>
      </c>
    </row>
    <row r="32" spans="1:13" ht="12" customHeight="1">
      <c r="A32" s="78">
        <v>321</v>
      </c>
      <c r="B32" s="57" t="s">
        <v>1073</v>
      </c>
      <c r="C32" s="2"/>
      <c r="D32" s="45">
        <v>53</v>
      </c>
      <c r="E32" s="45" t="s">
        <v>8502</v>
      </c>
      <c r="G32" s="22"/>
      <c r="H32" s="22"/>
      <c r="J32" s="35"/>
      <c r="K32" s="35"/>
      <c r="L32" t="b">
        <v>0</v>
      </c>
      <c r="M32" s="30"/>
    </row>
    <row r="33" spans="1:13" ht="12" customHeight="1">
      <c r="A33" s="78">
        <v>322</v>
      </c>
      <c r="B33" s="57" t="s">
        <v>8503</v>
      </c>
      <c r="C33" s="2"/>
      <c r="D33" s="45">
        <v>54</v>
      </c>
      <c r="E33" s="46" t="s">
        <v>8504</v>
      </c>
      <c r="G33" s="22"/>
      <c r="H33" s="22"/>
      <c r="J33" s="35"/>
      <c r="K33" s="35"/>
      <c r="L33" t="b">
        <v>0</v>
      </c>
      <c r="M33" s="30"/>
    </row>
    <row r="34" spans="1:13" ht="12" customHeight="1">
      <c r="A34" s="4">
        <v>325</v>
      </c>
      <c r="B34" s="57" t="s">
        <v>1094</v>
      </c>
      <c r="C34" s="2"/>
      <c r="D34" s="15"/>
      <c r="E34" s="24"/>
      <c r="G34" s="22"/>
      <c r="H34" s="22"/>
      <c r="J34" s="35"/>
      <c r="K34" s="35"/>
      <c r="L34" t="b">
        <v>0</v>
      </c>
      <c r="M34" s="30"/>
    </row>
    <row r="35" spans="1:13" ht="12" customHeight="1">
      <c r="A35" s="4">
        <v>331</v>
      </c>
      <c r="B35" s="57" t="s">
        <v>1097</v>
      </c>
      <c r="C35" s="2"/>
      <c r="D35" s="15"/>
      <c r="E35" s="29"/>
      <c r="G35" s="22"/>
      <c r="H35" s="22"/>
      <c r="J35" s="27"/>
      <c r="K35" s="24"/>
      <c r="L35" t="b">
        <v>0</v>
      </c>
      <c r="M35" s="30"/>
    </row>
    <row r="36" spans="1:13" ht="12" customHeight="1">
      <c r="A36" s="4">
        <v>332</v>
      </c>
      <c r="B36" s="57" t="s">
        <v>1098</v>
      </c>
      <c r="C36" s="2"/>
      <c r="D36" s="15"/>
      <c r="E36" s="29"/>
      <c r="G36" s="22"/>
      <c r="H36" s="22"/>
      <c r="J36" s="27"/>
      <c r="K36" s="24"/>
      <c r="L36" t="b">
        <v>0</v>
      </c>
      <c r="M36" s="30"/>
    </row>
    <row r="37" spans="1:13" ht="12" customHeight="1">
      <c r="A37" s="4">
        <v>334</v>
      </c>
      <c r="B37" s="57" t="s">
        <v>8505</v>
      </c>
      <c r="C37" s="2"/>
      <c r="D37" s="15"/>
      <c r="E37" s="29"/>
      <c r="G37" s="22"/>
      <c r="H37" s="22"/>
      <c r="J37" s="27"/>
      <c r="K37" s="24"/>
      <c r="L37" t="b">
        <v>0</v>
      </c>
      <c r="M37" s="30"/>
    </row>
    <row r="38" spans="1:13" ht="12" customHeight="1">
      <c r="A38" s="4">
        <v>336</v>
      </c>
      <c r="B38" s="57" t="s">
        <v>1102</v>
      </c>
      <c r="C38" s="2"/>
      <c r="D38" s="15"/>
      <c r="E38" s="29"/>
      <c r="G38" s="22"/>
      <c r="H38" s="22"/>
      <c r="J38" s="27"/>
      <c r="K38" s="24"/>
      <c r="L38" t="b">
        <v>0</v>
      </c>
      <c r="M38" s="30"/>
    </row>
    <row r="39" spans="1:13" ht="12" customHeight="1">
      <c r="A39" s="4">
        <v>339</v>
      </c>
      <c r="B39" s="57" t="s">
        <v>8506</v>
      </c>
      <c r="C39" s="2"/>
      <c r="D39" s="15"/>
      <c r="E39" s="29"/>
      <c r="G39" s="22"/>
      <c r="H39" s="22"/>
      <c r="J39" s="35"/>
      <c r="K39" s="35"/>
      <c r="L39" t="b">
        <v>0</v>
      </c>
      <c r="M39" s="30"/>
    </row>
    <row r="40" spans="1:13" ht="12" customHeight="1">
      <c r="A40" s="4">
        <v>340</v>
      </c>
      <c r="B40" s="57" t="s">
        <v>1104</v>
      </c>
      <c r="C40" s="2"/>
      <c r="D40" s="15"/>
      <c r="E40" s="29"/>
      <c r="G40" s="22"/>
      <c r="H40" s="22"/>
      <c r="J40" s="27"/>
      <c r="K40" s="24"/>
      <c r="L40" t="b">
        <v>0</v>
      </c>
      <c r="M40" s="30"/>
    </row>
    <row r="41" spans="1:13" ht="12" customHeight="1">
      <c r="A41" s="4">
        <v>341</v>
      </c>
      <c r="B41" s="57" t="s">
        <v>8507</v>
      </c>
      <c r="C41" s="2"/>
      <c r="D41" s="15"/>
      <c r="E41" s="29"/>
      <c r="G41" s="22"/>
      <c r="H41" s="22"/>
      <c r="J41" s="35"/>
      <c r="K41" s="35"/>
      <c r="L41" t="b">
        <v>0</v>
      </c>
      <c r="M41" s="30"/>
    </row>
    <row r="42" spans="1:13" ht="12" customHeight="1">
      <c r="A42" s="4">
        <v>342</v>
      </c>
      <c r="B42" s="57" t="s">
        <v>1106</v>
      </c>
      <c r="C42" s="2"/>
      <c r="D42" s="15"/>
      <c r="E42" s="29"/>
      <c r="G42" s="22"/>
      <c r="H42" s="22"/>
      <c r="J42" s="27"/>
      <c r="K42" s="24"/>
      <c r="L42" t="b">
        <v>0</v>
      </c>
      <c r="M42" s="32"/>
    </row>
    <row r="43" spans="1:13" ht="12" customHeight="1">
      <c r="A43" s="4">
        <v>343</v>
      </c>
      <c r="B43" s="57" t="s">
        <v>1107</v>
      </c>
      <c r="C43" s="2"/>
      <c r="D43" s="15"/>
      <c r="E43" s="29"/>
      <c r="G43" s="22"/>
      <c r="H43" s="22"/>
      <c r="J43" s="27"/>
      <c r="K43" s="24"/>
      <c r="L43" t="b">
        <v>0</v>
      </c>
      <c r="M43" s="32"/>
    </row>
    <row r="44" spans="1:13" ht="12" customHeight="1">
      <c r="A44" s="4">
        <v>344</v>
      </c>
      <c r="B44" s="57" t="s">
        <v>1108</v>
      </c>
      <c r="C44" s="2"/>
      <c r="D44" s="15"/>
      <c r="E44" s="29"/>
      <c r="J44" s="27"/>
      <c r="K44" s="24"/>
      <c r="L44" t="b">
        <v>0</v>
      </c>
      <c r="M44" s="33"/>
    </row>
    <row r="45" spans="1:13" ht="12" customHeight="1">
      <c r="A45" s="4">
        <v>349</v>
      </c>
      <c r="B45" s="57" t="s">
        <v>1111</v>
      </c>
      <c r="C45" s="2"/>
      <c r="D45" s="15"/>
      <c r="E45" s="29"/>
      <c r="J45" s="35"/>
      <c r="K45" s="35"/>
      <c r="L45" t="b">
        <v>0</v>
      </c>
      <c r="M45" s="30"/>
    </row>
    <row r="46" spans="1:13" ht="12" customHeight="1">
      <c r="A46" s="4">
        <v>350</v>
      </c>
      <c r="B46" s="57" t="s">
        <v>1112</v>
      </c>
      <c r="C46" s="2"/>
      <c r="D46" s="15"/>
      <c r="E46" s="29"/>
      <c r="J46" s="27"/>
      <c r="K46" s="24"/>
      <c r="L46" t="b">
        <v>0</v>
      </c>
      <c r="M46" s="30"/>
    </row>
    <row r="47" spans="1:13" ht="12" customHeight="1">
      <c r="A47" s="4">
        <v>353</v>
      </c>
      <c r="B47" s="57" t="s">
        <v>1114</v>
      </c>
      <c r="C47" s="2"/>
      <c r="D47" s="15"/>
      <c r="E47" s="24"/>
      <c r="J47" s="27"/>
      <c r="K47" s="24"/>
      <c r="L47" t="b">
        <v>0</v>
      </c>
      <c r="M47" s="30"/>
    </row>
    <row r="48" spans="1:13" ht="12" customHeight="1">
      <c r="A48" s="4">
        <v>359</v>
      </c>
      <c r="B48" s="57" t="s">
        <v>8508</v>
      </c>
      <c r="C48" s="2"/>
      <c r="D48" s="15"/>
      <c r="E48" s="24"/>
      <c r="J48" s="27"/>
      <c r="K48" s="24"/>
      <c r="L48" t="b">
        <v>0</v>
      </c>
      <c r="M48" s="30"/>
    </row>
    <row r="49" spans="1:13" ht="12" customHeight="1">
      <c r="A49" s="4">
        <v>381</v>
      </c>
      <c r="B49" s="57" t="s">
        <v>8509</v>
      </c>
      <c r="C49" s="2"/>
      <c r="D49" s="15"/>
      <c r="E49" s="24"/>
      <c r="J49" s="27"/>
      <c r="K49" s="24"/>
      <c r="L49" t="b">
        <v>0</v>
      </c>
      <c r="M49" s="30"/>
    </row>
    <row r="50" spans="1:13" ht="12" customHeight="1">
      <c r="A50" s="4">
        <v>386</v>
      </c>
      <c r="B50" s="57" t="s">
        <v>1124</v>
      </c>
      <c r="C50" s="2"/>
      <c r="D50" s="15"/>
      <c r="E50" s="24"/>
      <c r="J50" s="27"/>
      <c r="K50" s="24"/>
      <c r="L50" t="b">
        <v>0</v>
      </c>
      <c r="M50" s="32"/>
    </row>
    <row r="51" spans="1:13" ht="12" customHeight="1">
      <c r="A51" s="4">
        <v>387</v>
      </c>
      <c r="B51" s="57" t="s">
        <v>1125</v>
      </c>
      <c r="C51" s="2"/>
      <c r="D51" s="15"/>
      <c r="E51" s="24"/>
      <c r="J51" s="27"/>
      <c r="K51" s="24"/>
      <c r="L51" t="b">
        <v>0</v>
      </c>
      <c r="M51" s="32"/>
    </row>
    <row r="52" spans="1:13" ht="12" customHeight="1">
      <c r="A52" s="4">
        <v>406</v>
      </c>
      <c r="B52" s="57" t="s">
        <v>1135</v>
      </c>
      <c r="C52" s="2"/>
      <c r="D52" s="15"/>
      <c r="E52" s="28"/>
      <c r="J52" s="27"/>
      <c r="K52" s="24"/>
      <c r="L52" t="b">
        <v>0</v>
      </c>
      <c r="M52" s="32"/>
    </row>
    <row r="53" spans="1:13" ht="12" customHeight="1">
      <c r="A53" s="4">
        <v>407</v>
      </c>
      <c r="B53" s="57" t="s">
        <v>1136</v>
      </c>
      <c r="C53" s="2"/>
      <c r="D53" s="15"/>
      <c r="J53" s="27"/>
      <c r="K53" s="24"/>
      <c r="L53" t="b">
        <v>0</v>
      </c>
      <c r="M53" s="32"/>
    </row>
    <row r="54" spans="1:13" ht="12" customHeight="1">
      <c r="A54" s="4">
        <v>412</v>
      </c>
      <c r="B54" s="57" t="s">
        <v>8510</v>
      </c>
      <c r="C54" s="2"/>
      <c r="D54" s="15"/>
      <c r="E54" s="24"/>
      <c r="J54" s="27"/>
      <c r="K54" s="24"/>
      <c r="L54" t="b">
        <v>0</v>
      </c>
      <c r="M54" s="30"/>
    </row>
    <row r="55" spans="1:13" ht="12" customHeight="1">
      <c r="A55" s="4">
        <v>413</v>
      </c>
      <c r="B55" s="57" t="s">
        <v>8511</v>
      </c>
      <c r="C55" s="2"/>
      <c r="D55" s="15"/>
      <c r="E55" s="28"/>
      <c r="J55" s="27"/>
      <c r="K55" s="24"/>
      <c r="L55" t="b">
        <v>0</v>
      </c>
      <c r="M55" s="30"/>
    </row>
    <row r="56" spans="1:13" ht="12" customHeight="1">
      <c r="A56" s="4">
        <v>419</v>
      </c>
      <c r="B56" s="57" t="s">
        <v>1143</v>
      </c>
      <c r="C56" s="2"/>
      <c r="D56" s="15"/>
      <c r="E56" s="28"/>
      <c r="J56" s="27"/>
      <c r="K56" s="24"/>
      <c r="L56" t="b">
        <v>0</v>
      </c>
      <c r="M56" s="30"/>
    </row>
    <row r="57" spans="1:13" ht="12" customHeight="1">
      <c r="A57" s="4">
        <v>423</v>
      </c>
      <c r="B57" s="57" t="s">
        <v>8512</v>
      </c>
      <c r="C57" s="2"/>
      <c r="D57" s="15"/>
      <c r="E57" s="24"/>
      <c r="J57" s="27"/>
      <c r="K57" s="24"/>
      <c r="L57" t="b">
        <v>0</v>
      </c>
      <c r="M57" s="30"/>
    </row>
    <row r="58" spans="1:13" ht="12" customHeight="1">
      <c r="A58" s="4">
        <v>425</v>
      </c>
      <c r="B58" s="57" t="s">
        <v>8513</v>
      </c>
      <c r="C58" s="2"/>
      <c r="D58" s="15"/>
      <c r="E58" s="24"/>
      <c r="J58" s="27"/>
      <c r="K58" s="24"/>
      <c r="L58" t="b">
        <v>0</v>
      </c>
      <c r="M58" s="30"/>
    </row>
    <row r="59" spans="1:13" ht="12" customHeight="1">
      <c r="A59" s="4">
        <v>426</v>
      </c>
      <c r="B59" s="57" t="s">
        <v>1147</v>
      </c>
      <c r="C59" s="2"/>
      <c r="D59" s="15"/>
      <c r="E59" s="28"/>
      <c r="J59" s="35"/>
      <c r="K59" s="35"/>
      <c r="L59" t="b">
        <v>0</v>
      </c>
      <c r="M59" s="30"/>
    </row>
    <row r="60" spans="1:13" ht="12" customHeight="1">
      <c r="A60" s="4">
        <v>434</v>
      </c>
      <c r="B60" s="57" t="s">
        <v>8514</v>
      </c>
      <c r="C60" s="2"/>
      <c r="D60" s="15"/>
      <c r="E60" s="28"/>
      <c r="J60" s="27"/>
      <c r="K60" s="24"/>
      <c r="L60" t="b">
        <v>0</v>
      </c>
      <c r="M60" s="30"/>
    </row>
    <row r="61" spans="1:13" ht="12" customHeight="1">
      <c r="A61" s="4">
        <v>534</v>
      </c>
      <c r="B61" s="57" t="s">
        <v>8515</v>
      </c>
      <c r="C61" s="2"/>
      <c r="D61" s="15"/>
      <c r="E61" s="29"/>
      <c r="J61" s="27"/>
      <c r="K61" s="24"/>
      <c r="L61" t="b">
        <v>0</v>
      </c>
      <c r="M61" s="30"/>
    </row>
    <row r="62" spans="1:13" ht="12" customHeight="1">
      <c r="A62" s="4">
        <v>584</v>
      </c>
      <c r="B62" s="57" t="s">
        <v>1173</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202</v>
      </c>
      <c r="B93" s="15" t="s">
        <v>229</v>
      </c>
      <c r="C93" s="2"/>
      <c r="D93" s="15"/>
      <c r="E93" s="28"/>
      <c r="J93" s="27"/>
      <c r="K93" s="24"/>
      <c r="M93" s="30"/>
    </row>
    <row r="94" spans="1:13" ht="12" customHeight="1">
      <c r="A94" s="4" t="s">
        <v>8516</v>
      </c>
      <c r="B94" s="15" t="s">
        <v>229</v>
      </c>
      <c r="C94" s="2"/>
      <c r="D94" s="15"/>
      <c r="E94" s="28"/>
      <c r="J94" s="27"/>
      <c r="K94" s="24"/>
      <c r="M94" s="32"/>
    </row>
    <row r="95" spans="1:13" ht="12" customHeight="1">
      <c r="A95" s="4" t="s">
        <v>8517</v>
      </c>
      <c r="B95" s="15" t="s">
        <v>229</v>
      </c>
      <c r="D95" s="15"/>
      <c r="E95" s="28"/>
      <c r="J95" s="35"/>
      <c r="K95" s="35"/>
      <c r="M95" s="30"/>
    </row>
    <row r="96" spans="1:13" ht="12" customHeight="1">
      <c r="A96" s="4" t="s">
        <v>207</v>
      </c>
      <c r="B96" s="15" t="s">
        <v>8518</v>
      </c>
      <c r="D96" s="15"/>
      <c r="E96" s="28"/>
      <c r="J96" s="35"/>
      <c r="K96" s="35"/>
      <c r="M96" s="30"/>
    </row>
    <row r="97" spans="1:13" ht="12" customHeight="1">
      <c r="A97" s="4" t="s">
        <v>8519</v>
      </c>
      <c r="B97" s="15" t="s">
        <v>8518</v>
      </c>
      <c r="D97" s="15"/>
      <c r="E97" s="28"/>
      <c r="J97" s="35"/>
      <c r="K97" s="35"/>
      <c r="M97" s="30"/>
    </row>
    <row r="98" spans="1:13" ht="12" customHeight="1">
      <c r="A98" s="4" t="s">
        <v>8520</v>
      </c>
      <c r="B98" s="15" t="s">
        <v>8518</v>
      </c>
      <c r="D98" s="15"/>
      <c r="E98" s="28"/>
      <c r="J98" s="35"/>
      <c r="K98" s="35"/>
      <c r="M98" s="26"/>
    </row>
    <row r="99" spans="1:13" ht="12" customHeight="1">
      <c r="A99" s="79" t="s">
        <v>209</v>
      </c>
      <c r="B99" s="15" t="s">
        <v>44</v>
      </c>
      <c r="D99" s="15"/>
      <c r="E99" s="28"/>
      <c r="J99" s="35"/>
      <c r="K99" s="35"/>
      <c r="M99" s="26"/>
    </row>
    <row r="100" spans="1:13" ht="12" customHeight="1">
      <c r="A100" s="79" t="s">
        <v>6076</v>
      </c>
      <c r="B100" s="15" t="s">
        <v>44</v>
      </c>
      <c r="D100" s="15"/>
      <c r="E100" s="28"/>
      <c r="J100" s="27"/>
      <c r="K100" s="27"/>
      <c r="M100" s="26"/>
    </row>
    <row r="101" spans="1:13" ht="12" customHeight="1">
      <c r="A101" s="79" t="s">
        <v>5963</v>
      </c>
      <c r="B101" s="15" t="s">
        <v>44</v>
      </c>
      <c r="D101" s="15"/>
      <c r="E101" s="28"/>
      <c r="J101" s="35"/>
      <c r="K101" s="35"/>
      <c r="M101" s="26"/>
    </row>
    <row r="102" spans="1:13" ht="12" customHeight="1">
      <c r="A102" s="4" t="s">
        <v>8521</v>
      </c>
      <c r="B102" s="15" t="s">
        <v>231</v>
      </c>
      <c r="D102" s="15"/>
      <c r="E102" s="28"/>
      <c r="J102" s="35"/>
      <c r="K102" s="35"/>
      <c r="M102" s="27"/>
    </row>
    <row r="103" spans="1:13" ht="12" customHeight="1">
      <c r="A103" s="4" t="s">
        <v>8522</v>
      </c>
      <c r="B103" s="15" t="s">
        <v>231</v>
      </c>
      <c r="D103" s="15"/>
      <c r="E103" s="28"/>
      <c r="J103" s="35"/>
      <c r="K103" s="35"/>
      <c r="M103" s="27"/>
    </row>
    <row r="104" spans="1:13" ht="12" customHeight="1">
      <c r="A104" s="4" t="s">
        <v>8523</v>
      </c>
      <c r="B104" s="15" t="s">
        <v>231</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0A402-E2C1-483B-9D2F-4EBAC1A9F2DC}">
  <sheetPr>
    <tabColor rgb="FFD97706"/>
  </sheetPr>
  <dimension ref="B1:F199"/>
  <sheetViews>
    <sheetView workbookViewId="0">
      <pane xSplit="1" ySplit="5" topLeftCell="B6" activePane="bottomRight" state="frozen"/>
      <selection pane="topRight"/>
      <selection pane="bottomLeft"/>
      <selection pane="bottomRight"/>
    </sheetView>
  </sheetViews>
  <sheetFormatPr defaultColWidth="9" defaultRowHeight="10.5"/>
  <cols>
    <col min="1" max="1" width="2" customWidth="1"/>
    <col min="2" max="2" width="52" customWidth="1"/>
    <col min="3" max="3" width="12" customWidth="1"/>
    <col min="4" max="4" width="6" customWidth="1"/>
    <col min="5" max="5" width="52" customWidth="1"/>
    <col min="6" max="6" width="50" customWidth="1"/>
  </cols>
  <sheetData>
    <row r="1" spans="2:6" ht="31.5">
      <c r="B1" s="242" t="s">
        <v>8524</v>
      </c>
    </row>
    <row r="2" spans="2:6" ht="52.5">
      <c r="B2" s="164" t="s">
        <v>8525</v>
      </c>
    </row>
    <row r="3" spans="2:6" ht="63">
      <c r="B3" s="164" t="s">
        <v>8526</v>
      </c>
    </row>
    <row r="5" spans="2:6">
      <c r="B5" s="264" t="s">
        <v>8</v>
      </c>
      <c r="C5" s="228" t="s">
        <v>8527</v>
      </c>
      <c r="D5" s="228" t="s">
        <v>8528</v>
      </c>
      <c r="E5" s="264" t="s">
        <v>8529</v>
      </c>
      <c r="F5" s="190" t="s">
        <v>8530</v>
      </c>
    </row>
    <row r="6" spans="2:6">
      <c r="B6" s="243">
        <v>26</v>
      </c>
      <c r="C6" t="s">
        <v>1925</v>
      </c>
      <c r="D6">
        <v>1</v>
      </c>
      <c r="E6" s="243" t="s">
        <v>1062</v>
      </c>
      <c r="F6" t="str">
        <f t="shared" ref="F6:F37" si="0">B6&amp;" - "&amp;E6</f>
        <v>26 - Studio Loft</v>
      </c>
    </row>
    <row r="7" spans="2:6">
      <c r="B7" s="243">
        <v>90</v>
      </c>
      <c r="C7" t="s">
        <v>1925</v>
      </c>
      <c r="D7">
        <v>2</v>
      </c>
      <c r="E7" s="243" t="s">
        <v>1184</v>
      </c>
      <c r="F7" t="str">
        <f t="shared" si="0"/>
        <v>90 - Residential Out Structure</v>
      </c>
    </row>
    <row r="8" spans="2:6">
      <c r="B8" s="243">
        <v>99</v>
      </c>
      <c r="C8" t="s">
        <v>1925</v>
      </c>
      <c r="D8">
        <v>6</v>
      </c>
      <c r="E8" s="243" t="s">
        <v>1186</v>
      </c>
      <c r="F8" t="str">
        <f t="shared" si="0"/>
        <v>99 - Detached Garage</v>
      </c>
    </row>
    <row r="9" spans="2:6">
      <c r="B9" s="243">
        <v>100</v>
      </c>
      <c r="C9" t="s">
        <v>1925</v>
      </c>
      <c r="D9">
        <v>75</v>
      </c>
      <c r="E9" s="243" t="s">
        <v>1063</v>
      </c>
      <c r="F9" t="str">
        <f t="shared" si="0"/>
        <v>100 - Single Family Residential</v>
      </c>
    </row>
    <row r="10" spans="2:6">
      <c r="B10" s="243">
        <v>100</v>
      </c>
      <c r="C10" t="s">
        <v>1911</v>
      </c>
      <c r="D10">
        <v>2</v>
      </c>
      <c r="E10" s="243" t="s">
        <v>1063</v>
      </c>
      <c r="F10" t="str">
        <f t="shared" si="0"/>
        <v>100 - Single Family Residential</v>
      </c>
    </row>
    <row r="11" spans="2:6">
      <c r="B11" s="243">
        <v>101</v>
      </c>
      <c r="C11" t="s">
        <v>1925</v>
      </c>
      <c r="D11">
        <v>2</v>
      </c>
      <c r="E11" s="243" t="s">
        <v>1064</v>
      </c>
      <c r="F11" t="str">
        <f t="shared" si="0"/>
        <v>101 - Ag Single Family Residential-not integral</v>
      </c>
    </row>
    <row r="12" spans="2:6">
      <c r="B12" s="243">
        <v>102</v>
      </c>
      <c r="C12" t="s">
        <v>1925</v>
      </c>
      <c r="D12">
        <v>1</v>
      </c>
      <c r="E12" s="243" t="s">
        <v>1065</v>
      </c>
      <c r="F12" t="str">
        <f t="shared" si="0"/>
        <v>102 - Duplex</v>
      </c>
    </row>
    <row r="13" spans="2:6">
      <c r="B13" s="243">
        <v>105</v>
      </c>
      <c r="C13" t="s">
        <v>1925</v>
      </c>
      <c r="D13">
        <v>6</v>
      </c>
      <c r="E13" s="243" t="s">
        <v>1066</v>
      </c>
      <c r="F13" t="str">
        <f t="shared" si="0"/>
        <v>105 - Attached Single Family Residential</v>
      </c>
    </row>
    <row r="14" spans="2:6">
      <c r="B14" s="243">
        <v>116</v>
      </c>
      <c r="C14" t="s">
        <v>1925</v>
      </c>
      <c r="D14">
        <v>3</v>
      </c>
      <c r="E14" s="243" t="s">
        <v>1067</v>
      </c>
      <c r="F14" t="str">
        <f t="shared" si="0"/>
        <v>116 - Apartment w/4-8 Units</v>
      </c>
    </row>
    <row r="15" spans="2:6">
      <c r="B15" s="243">
        <v>118</v>
      </c>
      <c r="C15" t="s">
        <v>1925</v>
      </c>
      <c r="D15">
        <v>12</v>
      </c>
      <c r="E15" s="243" t="s">
        <v>1068</v>
      </c>
      <c r="F15" t="str">
        <f t="shared" si="0"/>
        <v>118 - Apartment w/9 + Units</v>
      </c>
    </row>
    <row r="16" spans="2:6">
      <c r="B16" s="243">
        <v>140</v>
      </c>
      <c r="C16" t="s">
        <v>1925</v>
      </c>
      <c r="D16">
        <v>66</v>
      </c>
      <c r="E16" s="243" t="s">
        <v>1188</v>
      </c>
      <c r="F16" t="str">
        <f t="shared" si="0"/>
        <v>140 - Parking Lot</v>
      </c>
    </row>
    <row r="17" spans="2:6">
      <c r="B17" s="243">
        <v>140</v>
      </c>
      <c r="C17" t="s">
        <v>1911</v>
      </c>
      <c r="D17">
        <v>1</v>
      </c>
      <c r="E17" s="243" t="s">
        <v>1188</v>
      </c>
      <c r="F17" t="str">
        <f t="shared" si="0"/>
        <v>140 - Parking Lot</v>
      </c>
    </row>
    <row r="18" spans="2:6">
      <c r="B18" s="243">
        <v>186</v>
      </c>
      <c r="C18" t="s">
        <v>1911</v>
      </c>
      <c r="D18">
        <v>2</v>
      </c>
      <c r="E18" s="243" t="s">
        <v>1069</v>
      </c>
      <c r="F18" t="str">
        <f t="shared" si="0"/>
        <v>186 - Light Commercial - Manufacturing Utility Bldg</v>
      </c>
    </row>
    <row r="19" spans="2:6">
      <c r="B19" s="243">
        <v>204</v>
      </c>
      <c r="C19" t="s">
        <v>1925</v>
      </c>
      <c r="D19">
        <v>1</v>
      </c>
      <c r="E19" s="243" t="s">
        <v>1070</v>
      </c>
      <c r="F19" t="str">
        <f t="shared" si="0"/>
        <v>204 - Computer Centers</v>
      </c>
    </row>
    <row r="20" spans="2:6">
      <c r="B20" s="243">
        <v>207</v>
      </c>
      <c r="C20" t="s">
        <v>1925</v>
      </c>
      <c r="D20">
        <v>1</v>
      </c>
      <c r="E20" s="243" t="s">
        <v>1190</v>
      </c>
      <c r="F20" t="str">
        <f t="shared" si="0"/>
        <v>207 - Firing Range Buildings</v>
      </c>
    </row>
    <row r="21" spans="2:6">
      <c r="B21" s="243">
        <v>208</v>
      </c>
      <c r="C21" t="s">
        <v>1925</v>
      </c>
      <c r="D21">
        <v>14</v>
      </c>
      <c r="E21" s="243" t="s">
        <v>1192</v>
      </c>
      <c r="F21" t="str">
        <f t="shared" si="0"/>
        <v>208 - Golf Course *CODE</v>
      </c>
    </row>
    <row r="22" spans="2:6">
      <c r="B22" s="243">
        <v>209</v>
      </c>
      <c r="C22" t="s">
        <v>1925</v>
      </c>
      <c r="D22">
        <v>2</v>
      </c>
      <c r="E22" s="243" t="s">
        <v>1071</v>
      </c>
      <c r="F22" t="str">
        <f t="shared" si="0"/>
        <v>209 - Nursery/Greenhouse</v>
      </c>
    </row>
    <row r="23" spans="2:6">
      <c r="B23" s="243">
        <v>210</v>
      </c>
      <c r="C23" t="s">
        <v>1925</v>
      </c>
      <c r="D23">
        <v>35</v>
      </c>
      <c r="E23" s="243" t="s">
        <v>1072</v>
      </c>
      <c r="F23" t="str">
        <f t="shared" si="0"/>
        <v>210 - Industrial Flex Mall Building</v>
      </c>
    </row>
    <row r="24" spans="2:6">
      <c r="B24" s="243">
        <v>210</v>
      </c>
      <c r="C24" t="s">
        <v>1911</v>
      </c>
      <c r="D24">
        <v>14</v>
      </c>
      <c r="E24" s="243" t="s">
        <v>1072</v>
      </c>
      <c r="F24" t="str">
        <f t="shared" si="0"/>
        <v>210 - Industrial Flex Mall Building</v>
      </c>
    </row>
    <row r="25" spans="2:6">
      <c r="B25" s="243">
        <v>211</v>
      </c>
      <c r="C25" t="s">
        <v>1911</v>
      </c>
      <c r="D25">
        <v>2</v>
      </c>
      <c r="E25" s="243" t="s">
        <v>1194</v>
      </c>
      <c r="F25" t="str">
        <f t="shared" si="0"/>
        <v>211 - Industiral Interior Office Space</v>
      </c>
    </row>
    <row r="26" spans="2:6">
      <c r="B26" s="243">
        <v>212</v>
      </c>
      <c r="C26" t="s">
        <v>1911</v>
      </c>
      <c r="D26">
        <v>2</v>
      </c>
      <c r="E26" s="243" t="s">
        <v>1073</v>
      </c>
      <c r="F26" t="str">
        <f t="shared" si="0"/>
        <v>212 - Laboratories</v>
      </c>
    </row>
    <row r="27" spans="2:6">
      <c r="B27" s="243">
        <v>213</v>
      </c>
      <c r="C27" t="s">
        <v>1925</v>
      </c>
      <c r="D27">
        <v>1</v>
      </c>
      <c r="E27" s="243" t="s">
        <v>1074</v>
      </c>
      <c r="F27" t="str">
        <f t="shared" si="0"/>
        <v>213 - Light Industrial Shell Buildings</v>
      </c>
    </row>
    <row r="28" spans="2:6">
      <c r="B28" s="243">
        <v>213</v>
      </c>
      <c r="C28" t="s">
        <v>1911</v>
      </c>
      <c r="D28">
        <v>2</v>
      </c>
      <c r="E28" s="243" t="s">
        <v>1074</v>
      </c>
      <c r="F28" t="str">
        <f t="shared" si="0"/>
        <v>213 - Light Industrial Shell Buildings</v>
      </c>
    </row>
    <row r="29" spans="2:6">
      <c r="B29" s="243">
        <v>217</v>
      </c>
      <c r="C29" t="s">
        <v>1925</v>
      </c>
      <c r="D29">
        <v>1</v>
      </c>
      <c r="E29" s="243" t="s">
        <v>1196</v>
      </c>
      <c r="F29" t="str">
        <f t="shared" si="0"/>
        <v>217 - Miscellaneous OB</v>
      </c>
    </row>
    <row r="30" spans="2:6">
      <c r="B30" s="243">
        <v>220</v>
      </c>
      <c r="C30" t="s">
        <v>1925</v>
      </c>
      <c r="D30">
        <v>1</v>
      </c>
      <c r="E30" s="243" t="s">
        <v>1075</v>
      </c>
      <c r="F30" t="str">
        <f t="shared" si="0"/>
        <v>220 - Recreational Pool Enclosure</v>
      </c>
    </row>
    <row r="31" spans="2:6">
      <c r="B31" s="243">
        <v>227</v>
      </c>
      <c r="C31" t="s">
        <v>1925</v>
      </c>
      <c r="D31">
        <v>20</v>
      </c>
      <c r="E31" s="243" t="s">
        <v>1076</v>
      </c>
      <c r="F31" t="str">
        <f t="shared" si="0"/>
        <v>227 - Complete Auto Dealership</v>
      </c>
    </row>
    <row r="32" spans="2:6">
      <c r="B32" s="243">
        <v>228</v>
      </c>
      <c r="C32" t="s">
        <v>1925</v>
      </c>
      <c r="D32">
        <v>3</v>
      </c>
      <c r="E32" s="243" t="s">
        <v>1077</v>
      </c>
      <c r="F32" t="str">
        <f t="shared" si="0"/>
        <v>228 - Kennel</v>
      </c>
    </row>
    <row r="33" spans="2:6">
      <c r="B33" s="243">
        <v>228</v>
      </c>
      <c r="C33" t="s">
        <v>1911</v>
      </c>
      <c r="D33">
        <v>1</v>
      </c>
      <c r="E33" s="243" t="s">
        <v>1077</v>
      </c>
      <c r="F33" t="str">
        <f t="shared" si="0"/>
        <v>228 - Kennel</v>
      </c>
    </row>
    <row r="34" spans="2:6">
      <c r="B34" s="243">
        <v>300</v>
      </c>
      <c r="C34" t="s">
        <v>1925</v>
      </c>
      <c r="D34">
        <v>1</v>
      </c>
      <c r="E34" s="243" t="s">
        <v>1078</v>
      </c>
      <c r="F34" t="str">
        <f t="shared" si="0"/>
        <v>300 - Apartments (Hi-Rise)</v>
      </c>
    </row>
    <row r="35" spans="2:6">
      <c r="B35" s="243">
        <v>302</v>
      </c>
      <c r="C35" t="s">
        <v>1925</v>
      </c>
      <c r="D35">
        <v>2</v>
      </c>
      <c r="E35" s="243" t="s">
        <v>1079</v>
      </c>
      <c r="F35" t="str">
        <f t="shared" si="0"/>
        <v>302 - Auditorium</v>
      </c>
    </row>
    <row r="36" spans="2:6">
      <c r="B36" s="243">
        <v>303</v>
      </c>
      <c r="C36" t="s">
        <v>1925</v>
      </c>
      <c r="D36">
        <v>11</v>
      </c>
      <c r="E36" s="243" t="s">
        <v>1080</v>
      </c>
      <c r="F36" t="str">
        <f t="shared" si="0"/>
        <v>303 - Showroom</v>
      </c>
    </row>
    <row r="37" spans="2:6">
      <c r="B37" s="243">
        <v>304</v>
      </c>
      <c r="C37" t="s">
        <v>1925</v>
      </c>
      <c r="D37">
        <v>89</v>
      </c>
      <c r="E37" s="243" t="s">
        <v>1081</v>
      </c>
      <c r="F37" t="str">
        <f t="shared" si="0"/>
        <v>304 - Bank</v>
      </c>
    </row>
    <row r="38" spans="2:6">
      <c r="B38" s="243">
        <v>305</v>
      </c>
      <c r="C38" t="s">
        <v>1925</v>
      </c>
      <c r="D38">
        <v>1</v>
      </c>
      <c r="E38" s="243" t="s">
        <v>1082</v>
      </c>
      <c r="F38" t="str">
        <f t="shared" ref="F38:F69" si="1">B38&amp;" - "&amp;E38</f>
        <v>305 - Drive-up Mini Banks</v>
      </c>
    </row>
    <row r="39" spans="2:6">
      <c r="B39" s="243">
        <v>306</v>
      </c>
      <c r="C39" t="s">
        <v>1925</v>
      </c>
      <c r="D39">
        <v>6</v>
      </c>
      <c r="E39" s="243" t="s">
        <v>1083</v>
      </c>
      <c r="F39" t="str">
        <f t="shared" si="1"/>
        <v>306 - Bowling Alley</v>
      </c>
    </row>
    <row r="40" spans="2:6">
      <c r="B40" s="243">
        <v>309</v>
      </c>
      <c r="C40" t="s">
        <v>1925</v>
      </c>
      <c r="D40">
        <v>18</v>
      </c>
      <c r="E40" s="243" t="s">
        <v>1084</v>
      </c>
      <c r="F40" t="str">
        <f t="shared" si="1"/>
        <v>309 - Church</v>
      </c>
    </row>
    <row r="41" spans="2:6">
      <c r="B41" s="243">
        <v>310</v>
      </c>
      <c r="C41" t="s">
        <v>1925</v>
      </c>
      <c r="D41">
        <v>1</v>
      </c>
      <c r="E41" s="243" t="s">
        <v>1085</v>
      </c>
      <c r="F41" t="str">
        <f t="shared" si="1"/>
        <v>310 - City Club</v>
      </c>
    </row>
    <row r="42" spans="2:6">
      <c r="B42" s="243">
        <v>311</v>
      </c>
      <c r="C42" t="s">
        <v>1925</v>
      </c>
      <c r="D42">
        <v>5</v>
      </c>
      <c r="E42" s="243" t="s">
        <v>1086</v>
      </c>
      <c r="F42" t="str">
        <f t="shared" si="1"/>
        <v>311 - Clubhouse</v>
      </c>
    </row>
    <row r="43" spans="2:6">
      <c r="B43" s="243">
        <v>313</v>
      </c>
      <c r="C43" t="s">
        <v>1925</v>
      </c>
      <c r="D43">
        <v>1</v>
      </c>
      <c r="E43" s="243" t="s">
        <v>1087</v>
      </c>
      <c r="F43" t="str">
        <f t="shared" si="1"/>
        <v>313 - Convlsnt Hosp Nursing Home</v>
      </c>
    </row>
    <row r="44" spans="2:6">
      <c r="B44" s="243">
        <v>314</v>
      </c>
      <c r="C44" t="s">
        <v>1925</v>
      </c>
      <c r="D44">
        <v>1</v>
      </c>
      <c r="E44" s="243" t="s">
        <v>1088</v>
      </c>
      <c r="F44" t="str">
        <f t="shared" si="1"/>
        <v>314 - Country Club</v>
      </c>
    </row>
    <row r="45" spans="2:6">
      <c r="B45" s="243">
        <v>318</v>
      </c>
      <c r="C45" t="s">
        <v>1925</v>
      </c>
      <c r="D45">
        <v>3</v>
      </c>
      <c r="E45" s="243" t="s">
        <v>1089</v>
      </c>
      <c r="F45" t="str">
        <f t="shared" si="1"/>
        <v>318 - Department Store</v>
      </c>
    </row>
    <row r="46" spans="2:6">
      <c r="B46" s="243">
        <v>319</v>
      </c>
      <c r="C46" t="s">
        <v>1925</v>
      </c>
      <c r="D46">
        <v>47</v>
      </c>
      <c r="E46" s="243" t="s">
        <v>1090</v>
      </c>
      <c r="F46" t="str">
        <f t="shared" si="1"/>
        <v>319 - Discount Store</v>
      </c>
    </row>
    <row r="47" spans="2:6">
      <c r="B47" s="243">
        <v>320</v>
      </c>
      <c r="C47" t="s">
        <v>1925</v>
      </c>
      <c r="D47">
        <v>3</v>
      </c>
      <c r="E47" s="243" t="s">
        <v>1091</v>
      </c>
      <c r="F47" t="str">
        <f t="shared" si="1"/>
        <v>320 - Dispensary</v>
      </c>
    </row>
    <row r="48" spans="2:6">
      <c r="B48" s="243">
        <v>320</v>
      </c>
      <c r="C48" t="s">
        <v>1911</v>
      </c>
      <c r="D48">
        <v>1</v>
      </c>
      <c r="E48" s="243" t="s">
        <v>1091</v>
      </c>
      <c r="F48" t="str">
        <f t="shared" si="1"/>
        <v>320 - Dispensary</v>
      </c>
    </row>
    <row r="49" spans="2:6">
      <c r="B49" s="243">
        <v>321</v>
      </c>
      <c r="C49" t="s">
        <v>1925</v>
      </c>
      <c r="D49">
        <v>1</v>
      </c>
      <c r="E49" s="243" t="s">
        <v>1092</v>
      </c>
      <c r="F49" t="str">
        <f t="shared" si="1"/>
        <v>321 - Dormitory Residence Halls</v>
      </c>
    </row>
    <row r="50" spans="2:6">
      <c r="B50" s="243">
        <v>323</v>
      </c>
      <c r="C50" t="s">
        <v>1925</v>
      </c>
      <c r="D50">
        <v>5</v>
      </c>
      <c r="E50" s="243" t="s">
        <v>1093</v>
      </c>
      <c r="F50" t="str">
        <f t="shared" si="1"/>
        <v>323 - Fraternal Building</v>
      </c>
    </row>
    <row r="51" spans="2:6">
      <c r="B51" s="243">
        <v>325</v>
      </c>
      <c r="C51" t="s">
        <v>1925</v>
      </c>
      <c r="D51">
        <v>573</v>
      </c>
      <c r="E51" s="243" t="s">
        <v>1094</v>
      </c>
      <c r="F51" t="str">
        <f t="shared" si="1"/>
        <v>325 - Service Garage</v>
      </c>
    </row>
    <row r="52" spans="2:6">
      <c r="B52" s="243">
        <v>325</v>
      </c>
      <c r="C52" t="s">
        <v>1911</v>
      </c>
      <c r="D52">
        <v>38</v>
      </c>
      <c r="E52" s="243" t="s">
        <v>1094</v>
      </c>
      <c r="F52" t="str">
        <f t="shared" si="1"/>
        <v>325 - Service Garage</v>
      </c>
    </row>
    <row r="53" spans="2:6">
      <c r="B53" s="243">
        <v>326</v>
      </c>
      <c r="C53" t="s">
        <v>1925</v>
      </c>
      <c r="D53">
        <v>28</v>
      </c>
      <c r="E53" s="243" t="s">
        <v>1095</v>
      </c>
      <c r="F53" t="str">
        <f t="shared" si="1"/>
        <v>326 - Storage Garage</v>
      </c>
    </row>
    <row r="54" spans="2:6">
      <c r="B54" s="243">
        <v>326</v>
      </c>
      <c r="C54" t="s">
        <v>1911</v>
      </c>
      <c r="D54">
        <v>4</v>
      </c>
      <c r="E54" s="243" t="s">
        <v>1095</v>
      </c>
      <c r="F54" t="str">
        <f t="shared" si="1"/>
        <v>326 - Storage Garage</v>
      </c>
    </row>
    <row r="55" spans="2:6">
      <c r="B55" s="243">
        <v>328</v>
      </c>
      <c r="C55" t="s">
        <v>1925</v>
      </c>
      <c r="D55">
        <v>163</v>
      </c>
      <c r="E55" s="243" t="s">
        <v>1096</v>
      </c>
      <c r="F55" t="str">
        <f t="shared" si="1"/>
        <v>328 - Storage Hanger</v>
      </c>
    </row>
    <row r="56" spans="2:6">
      <c r="B56" s="243">
        <v>331</v>
      </c>
      <c r="C56" t="s">
        <v>1925</v>
      </c>
      <c r="D56">
        <v>4</v>
      </c>
      <c r="E56" s="243" t="s">
        <v>1097</v>
      </c>
      <c r="F56" t="str">
        <f t="shared" si="1"/>
        <v>331 - Hospital</v>
      </c>
    </row>
    <row r="57" spans="2:6">
      <c r="B57" s="243">
        <v>332</v>
      </c>
      <c r="C57" t="s">
        <v>1925</v>
      </c>
      <c r="D57">
        <v>13</v>
      </c>
      <c r="E57" s="243" t="s">
        <v>1098</v>
      </c>
      <c r="F57" t="str">
        <f t="shared" si="1"/>
        <v>332 - Hotel - Full Service</v>
      </c>
    </row>
    <row r="58" spans="2:6">
      <c r="B58" s="243">
        <v>333</v>
      </c>
      <c r="C58" t="s">
        <v>1925</v>
      </c>
      <c r="D58">
        <v>2</v>
      </c>
      <c r="E58" s="243" t="s">
        <v>1099</v>
      </c>
      <c r="F58" t="str">
        <f t="shared" si="1"/>
        <v>333 - Indust Heavy Manufacturing</v>
      </c>
    </row>
    <row r="59" spans="2:6">
      <c r="B59" s="243">
        <v>333</v>
      </c>
      <c r="C59" t="s">
        <v>1911</v>
      </c>
      <c r="D59">
        <v>1</v>
      </c>
      <c r="E59" s="243" t="s">
        <v>1099</v>
      </c>
      <c r="F59" t="str">
        <f t="shared" si="1"/>
        <v>333 - Indust Heavy Manufacturing</v>
      </c>
    </row>
    <row r="60" spans="2:6">
      <c r="B60" s="243">
        <v>334</v>
      </c>
      <c r="C60" t="s">
        <v>1925</v>
      </c>
      <c r="D60">
        <v>47</v>
      </c>
      <c r="E60" s="243" t="s">
        <v>1100</v>
      </c>
      <c r="F60" t="str">
        <f t="shared" si="1"/>
        <v>334 - Indust Lght Manufacturing</v>
      </c>
    </row>
    <row r="61" spans="2:6">
      <c r="B61" s="243">
        <v>334</v>
      </c>
      <c r="C61" t="s">
        <v>1911</v>
      </c>
      <c r="D61">
        <v>79</v>
      </c>
      <c r="E61" s="243" t="s">
        <v>1100</v>
      </c>
      <c r="F61" t="str">
        <f t="shared" si="1"/>
        <v>334 - Indust Lght Manufacturing</v>
      </c>
    </row>
    <row r="62" spans="2:6">
      <c r="B62" s="243">
        <v>335</v>
      </c>
      <c r="C62" t="s">
        <v>1925</v>
      </c>
      <c r="D62">
        <v>1</v>
      </c>
      <c r="E62" s="243" t="s">
        <v>1101</v>
      </c>
      <c r="F62" t="str">
        <f t="shared" si="1"/>
        <v>335 - Jail - Correctional Facility</v>
      </c>
    </row>
    <row r="63" spans="2:6">
      <c r="B63" s="243">
        <v>336</v>
      </c>
      <c r="C63" t="s">
        <v>1925</v>
      </c>
      <c r="D63">
        <v>5</v>
      </c>
      <c r="E63" s="243" t="s">
        <v>1102</v>
      </c>
      <c r="F63" t="str">
        <f t="shared" si="1"/>
        <v>336 - Laundromat</v>
      </c>
    </row>
    <row r="64" spans="2:6">
      <c r="B64" s="243">
        <v>339</v>
      </c>
      <c r="C64" t="s">
        <v>1925</v>
      </c>
      <c r="D64">
        <v>16</v>
      </c>
      <c r="E64" s="243" t="s">
        <v>1103</v>
      </c>
      <c r="F64" t="str">
        <f t="shared" si="1"/>
        <v>339 - Lumber Storage - Horizontal</v>
      </c>
    </row>
    <row r="65" spans="2:6">
      <c r="B65" s="243">
        <v>339</v>
      </c>
      <c r="C65" t="s">
        <v>1911</v>
      </c>
      <c r="D65">
        <v>2</v>
      </c>
      <c r="E65" s="243" t="s">
        <v>1103</v>
      </c>
      <c r="F65" t="str">
        <f t="shared" si="1"/>
        <v>339 - Lumber Storage - Horizontal</v>
      </c>
    </row>
    <row r="66" spans="2:6">
      <c r="B66" s="243">
        <v>340</v>
      </c>
      <c r="C66" t="s">
        <v>1925</v>
      </c>
      <c r="D66">
        <v>9</v>
      </c>
      <c r="E66" s="243" t="s">
        <v>1104</v>
      </c>
      <c r="F66" t="str">
        <f t="shared" si="1"/>
        <v>340 - Market</v>
      </c>
    </row>
    <row r="67" spans="2:6">
      <c r="B67" s="243">
        <v>341</v>
      </c>
      <c r="C67" t="s">
        <v>1925</v>
      </c>
      <c r="D67">
        <v>307</v>
      </c>
      <c r="E67" s="243" t="s">
        <v>1105</v>
      </c>
      <c r="F67" t="str">
        <f t="shared" si="1"/>
        <v>341 - Medical Offices</v>
      </c>
    </row>
    <row r="68" spans="2:6">
      <c r="B68" s="243">
        <v>342</v>
      </c>
      <c r="C68" t="s">
        <v>1925</v>
      </c>
      <c r="D68">
        <v>6</v>
      </c>
      <c r="E68" s="243" t="s">
        <v>1106</v>
      </c>
      <c r="F68" t="str">
        <f t="shared" si="1"/>
        <v>342 - Mortuary</v>
      </c>
    </row>
    <row r="69" spans="2:6">
      <c r="B69" s="243">
        <v>343</v>
      </c>
      <c r="C69" t="s">
        <v>1925</v>
      </c>
      <c r="D69">
        <v>16</v>
      </c>
      <c r="E69" s="243" t="s">
        <v>1107</v>
      </c>
      <c r="F69" t="str">
        <f t="shared" si="1"/>
        <v>343 - Motel</v>
      </c>
    </row>
    <row r="70" spans="2:6">
      <c r="B70" s="243">
        <v>344</v>
      </c>
      <c r="C70" t="s">
        <v>1925</v>
      </c>
      <c r="D70">
        <v>509</v>
      </c>
      <c r="E70" s="243" t="s">
        <v>1108</v>
      </c>
      <c r="F70" t="str">
        <f t="shared" ref="F70:F101" si="2">B70&amp;" - "&amp;E70</f>
        <v>344 - Office Building</v>
      </c>
    </row>
    <row r="71" spans="2:6">
      <c r="B71" s="243">
        <v>344</v>
      </c>
      <c r="C71" t="s">
        <v>1911</v>
      </c>
      <c r="D71">
        <v>57</v>
      </c>
      <c r="E71" s="243" t="s">
        <v>1108</v>
      </c>
      <c r="F71" t="str">
        <f t="shared" si="2"/>
        <v>344 - Office Building</v>
      </c>
    </row>
    <row r="72" spans="2:6">
      <c r="B72" s="243">
        <v>345</v>
      </c>
      <c r="C72" t="s">
        <v>1925</v>
      </c>
      <c r="D72">
        <v>5</v>
      </c>
      <c r="E72" s="243" t="s">
        <v>1109</v>
      </c>
      <c r="F72" t="str">
        <f t="shared" si="2"/>
        <v>345 - Parking Structure</v>
      </c>
    </row>
    <row r="73" spans="2:6">
      <c r="B73" s="243">
        <v>345</v>
      </c>
      <c r="C73" t="s">
        <v>1911</v>
      </c>
      <c r="D73">
        <v>1</v>
      </c>
      <c r="E73" s="243" t="s">
        <v>1109</v>
      </c>
      <c r="F73" t="str">
        <f t="shared" si="2"/>
        <v>345 - Parking Structure</v>
      </c>
    </row>
    <row r="74" spans="2:6">
      <c r="B74" s="243">
        <v>346</v>
      </c>
      <c r="C74" t="s">
        <v>1925</v>
      </c>
      <c r="D74">
        <v>12</v>
      </c>
      <c r="E74" s="243" t="s">
        <v>1110</v>
      </c>
      <c r="F74" t="str">
        <f t="shared" si="2"/>
        <v>346 - Post Office</v>
      </c>
    </row>
    <row r="75" spans="2:6">
      <c r="B75" s="243">
        <v>349</v>
      </c>
      <c r="C75" t="s">
        <v>1925</v>
      </c>
      <c r="D75">
        <v>194</v>
      </c>
      <c r="E75" s="243" t="s">
        <v>1111</v>
      </c>
      <c r="F75" t="str">
        <f t="shared" si="2"/>
        <v>349 - Fast Food Restaurant</v>
      </c>
    </row>
    <row r="76" spans="2:6">
      <c r="B76" s="243">
        <v>350</v>
      </c>
      <c r="C76" t="s">
        <v>1925</v>
      </c>
      <c r="D76">
        <v>186</v>
      </c>
      <c r="E76" s="243" t="s">
        <v>1112</v>
      </c>
      <c r="F76" t="str">
        <f t="shared" si="2"/>
        <v>350 - Restaurant</v>
      </c>
    </row>
    <row r="77" spans="2:6">
      <c r="B77" s="243">
        <v>352</v>
      </c>
      <c r="C77" t="s">
        <v>1925</v>
      </c>
      <c r="D77">
        <v>6</v>
      </c>
      <c r="E77" s="243" t="s">
        <v>1113</v>
      </c>
      <c r="F77" t="str">
        <f t="shared" si="2"/>
        <v>352 - Multiple - Residential</v>
      </c>
    </row>
    <row r="78" spans="2:6">
      <c r="B78" s="243">
        <v>352</v>
      </c>
      <c r="C78" t="s">
        <v>1911</v>
      </c>
      <c r="D78">
        <v>1</v>
      </c>
      <c r="E78" s="243" t="s">
        <v>1113</v>
      </c>
      <c r="F78" t="str">
        <f t="shared" si="2"/>
        <v>352 - Multiple - Residential</v>
      </c>
    </row>
    <row r="79" spans="2:6">
      <c r="B79" s="243">
        <v>353</v>
      </c>
      <c r="C79" t="s">
        <v>1925</v>
      </c>
      <c r="D79">
        <v>698</v>
      </c>
      <c r="E79" s="243" t="s">
        <v>1114</v>
      </c>
      <c r="F79" t="str">
        <f t="shared" si="2"/>
        <v>353 - Retail Store</v>
      </c>
    </row>
    <row r="80" spans="2:6">
      <c r="B80" s="243">
        <v>353</v>
      </c>
      <c r="C80" t="s">
        <v>1911</v>
      </c>
      <c r="D80">
        <v>2</v>
      </c>
      <c r="E80" s="243" t="s">
        <v>1114</v>
      </c>
      <c r="F80" t="str">
        <f t="shared" si="2"/>
        <v>353 - Retail Store</v>
      </c>
    </row>
    <row r="81" spans="2:6">
      <c r="B81" s="243">
        <v>356</v>
      </c>
      <c r="C81" t="s">
        <v>1925</v>
      </c>
      <c r="D81">
        <v>1</v>
      </c>
      <c r="E81" s="243" t="s">
        <v>1115</v>
      </c>
      <c r="F81" t="str">
        <f t="shared" si="2"/>
        <v>356 - School - Classroom</v>
      </c>
    </row>
    <row r="82" spans="2:6">
      <c r="B82" s="243">
        <v>358</v>
      </c>
      <c r="C82" t="s">
        <v>1925</v>
      </c>
      <c r="D82">
        <v>5</v>
      </c>
      <c r="E82" s="243" t="s">
        <v>1116</v>
      </c>
      <c r="F82" t="str">
        <f t="shared" si="2"/>
        <v>358 - School - Gymnasium</v>
      </c>
    </row>
    <row r="83" spans="2:6">
      <c r="B83" s="243">
        <v>359</v>
      </c>
      <c r="C83" t="s">
        <v>1925</v>
      </c>
      <c r="D83">
        <v>2</v>
      </c>
      <c r="E83" s="243" t="s">
        <v>1117</v>
      </c>
      <c r="F83" t="str">
        <f t="shared" si="2"/>
        <v>359 - School - Lecture Hall</v>
      </c>
    </row>
    <row r="84" spans="2:6">
      <c r="B84" s="243">
        <v>361</v>
      </c>
      <c r="C84" t="s">
        <v>1925</v>
      </c>
      <c r="D84">
        <v>2</v>
      </c>
      <c r="E84" s="243" t="s">
        <v>1118</v>
      </c>
      <c r="F84" t="str">
        <f t="shared" si="2"/>
        <v>361 - School - Manual Arts</v>
      </c>
    </row>
    <row r="85" spans="2:6">
      <c r="B85" s="243">
        <v>368</v>
      </c>
      <c r="C85" t="s">
        <v>1925</v>
      </c>
      <c r="D85">
        <v>2</v>
      </c>
      <c r="E85" s="243" t="s">
        <v>1119</v>
      </c>
      <c r="F85" t="str">
        <f t="shared" si="2"/>
        <v>368 - College - Classrooms</v>
      </c>
    </row>
    <row r="86" spans="2:6">
      <c r="B86" s="243">
        <v>378</v>
      </c>
      <c r="C86" t="s">
        <v>1925</v>
      </c>
      <c r="D86">
        <v>1</v>
      </c>
      <c r="E86" s="243" t="s">
        <v>1120</v>
      </c>
      <c r="F86" t="str">
        <f t="shared" si="2"/>
        <v>378 - Stable</v>
      </c>
    </row>
    <row r="87" spans="2:6">
      <c r="B87" s="243">
        <v>380</v>
      </c>
      <c r="C87" t="s">
        <v>1925</v>
      </c>
      <c r="D87">
        <v>2</v>
      </c>
      <c r="E87" s="243" t="s">
        <v>1121</v>
      </c>
      <c r="F87" t="str">
        <f t="shared" si="2"/>
        <v>380 - Theatre - Motion</v>
      </c>
    </row>
    <row r="88" spans="2:6">
      <c r="B88" s="243">
        <v>381</v>
      </c>
      <c r="C88" t="s">
        <v>1925</v>
      </c>
      <c r="D88">
        <v>21</v>
      </c>
      <c r="E88" s="243" t="s">
        <v>1122</v>
      </c>
      <c r="F88" t="str">
        <f t="shared" si="2"/>
        <v>381 - Veterinary Hospital</v>
      </c>
    </row>
    <row r="89" spans="2:6">
      <c r="B89" s="243">
        <v>382</v>
      </c>
      <c r="C89" t="s">
        <v>1925</v>
      </c>
      <c r="D89">
        <v>1</v>
      </c>
      <c r="E89" s="243" t="s">
        <v>625</v>
      </c>
      <c r="F89" t="str">
        <f t="shared" si="2"/>
        <v>382 - Medical Office Buildings</v>
      </c>
    </row>
    <row r="90" spans="2:6">
      <c r="B90" s="243">
        <v>384</v>
      </c>
      <c r="C90" t="s">
        <v>1925</v>
      </c>
      <c r="D90">
        <v>9</v>
      </c>
      <c r="E90" s="243" t="s">
        <v>1123</v>
      </c>
      <c r="F90" t="str">
        <f t="shared" si="2"/>
        <v>384 - Barber/Beauty Shop</v>
      </c>
    </row>
    <row r="91" spans="2:6">
      <c r="B91" s="243">
        <v>386</v>
      </c>
      <c r="C91" t="s">
        <v>1925</v>
      </c>
      <c r="D91">
        <v>77</v>
      </c>
      <c r="E91" s="243" t="s">
        <v>1124</v>
      </c>
      <c r="F91" t="str">
        <f t="shared" si="2"/>
        <v>386 - Mini Warehouse</v>
      </c>
    </row>
    <row r="92" spans="2:6">
      <c r="B92" s="243">
        <v>386</v>
      </c>
      <c r="C92" t="s">
        <v>1911</v>
      </c>
      <c r="D92">
        <v>4</v>
      </c>
      <c r="E92" s="243" t="s">
        <v>1124</v>
      </c>
      <c r="F92" t="str">
        <f t="shared" si="2"/>
        <v>386 - Mini Warehouse</v>
      </c>
    </row>
    <row r="93" spans="2:6">
      <c r="B93" s="243">
        <v>387</v>
      </c>
      <c r="C93" t="s">
        <v>1925</v>
      </c>
      <c r="D93">
        <v>27</v>
      </c>
      <c r="E93" s="243" t="s">
        <v>1125</v>
      </c>
      <c r="F93" t="str">
        <f t="shared" si="2"/>
        <v>387 - Transit Warehouse</v>
      </c>
    </row>
    <row r="94" spans="2:6">
      <c r="B94" s="243">
        <v>387</v>
      </c>
      <c r="C94" t="s">
        <v>1911</v>
      </c>
      <c r="D94">
        <v>4</v>
      </c>
      <c r="E94" s="243" t="s">
        <v>1125</v>
      </c>
      <c r="F94" t="str">
        <f t="shared" si="2"/>
        <v>387 - Transit Warehouse</v>
      </c>
    </row>
    <row r="95" spans="2:6">
      <c r="B95" s="243">
        <v>389</v>
      </c>
      <c r="C95" t="s">
        <v>1925</v>
      </c>
      <c r="D95">
        <v>7</v>
      </c>
      <c r="E95" s="243" t="s">
        <v>1126</v>
      </c>
      <c r="F95" t="str">
        <f t="shared" si="2"/>
        <v>389 - Equipment Implement</v>
      </c>
    </row>
    <row r="96" spans="2:6">
      <c r="B96" s="243">
        <v>389</v>
      </c>
      <c r="C96" t="s">
        <v>1911</v>
      </c>
      <c r="D96">
        <v>3</v>
      </c>
      <c r="E96" s="243" t="s">
        <v>1126</v>
      </c>
      <c r="F96" t="str">
        <f t="shared" si="2"/>
        <v>389 - Equipment Implement</v>
      </c>
    </row>
    <row r="97" spans="2:6">
      <c r="B97" s="243">
        <v>390</v>
      </c>
      <c r="C97" t="s">
        <v>1925</v>
      </c>
      <c r="D97">
        <v>4</v>
      </c>
      <c r="E97" s="243" t="s">
        <v>1127</v>
      </c>
      <c r="F97" t="str">
        <f t="shared" si="2"/>
        <v>390 - Lumber Storage - Vertical</v>
      </c>
    </row>
    <row r="98" spans="2:6">
      <c r="B98" s="243">
        <v>391</v>
      </c>
      <c r="C98" t="s">
        <v>1925</v>
      </c>
      <c r="D98">
        <v>10</v>
      </c>
      <c r="E98" s="243" t="s">
        <v>1128</v>
      </c>
      <c r="F98" t="str">
        <f t="shared" si="2"/>
        <v>391 - Storage - Material</v>
      </c>
    </row>
    <row r="99" spans="2:6">
      <c r="B99" s="243">
        <v>391</v>
      </c>
      <c r="C99" t="s">
        <v>1911</v>
      </c>
      <c r="D99">
        <v>3</v>
      </c>
      <c r="E99" s="243" t="s">
        <v>1128</v>
      </c>
      <c r="F99" t="str">
        <f t="shared" si="2"/>
        <v>391 - Storage - Material</v>
      </c>
    </row>
    <row r="100" spans="2:6">
      <c r="B100" s="243">
        <v>392</v>
      </c>
      <c r="C100" t="s">
        <v>1925</v>
      </c>
      <c r="D100">
        <v>2</v>
      </c>
      <c r="E100" s="243" t="s">
        <v>1129</v>
      </c>
      <c r="F100" t="str">
        <f t="shared" si="2"/>
        <v>392 - Industrial Engineering &amp; Research</v>
      </c>
    </row>
    <row r="101" spans="2:6">
      <c r="B101" s="243">
        <v>392</v>
      </c>
      <c r="C101" t="s">
        <v>1911</v>
      </c>
      <c r="D101">
        <v>2</v>
      </c>
      <c r="E101" s="243" t="s">
        <v>1129</v>
      </c>
      <c r="F101" t="str">
        <f t="shared" si="2"/>
        <v>392 - Industrial Engineering &amp; Research</v>
      </c>
    </row>
    <row r="102" spans="2:6">
      <c r="B102" s="243">
        <v>397</v>
      </c>
      <c r="C102" t="s">
        <v>1925</v>
      </c>
      <c r="D102">
        <v>2</v>
      </c>
      <c r="E102" s="243" t="s">
        <v>1130</v>
      </c>
      <c r="F102" t="str">
        <f t="shared" ref="F102:F133" si="3">B102&amp;" - "&amp;E102</f>
        <v>397 - Barn</v>
      </c>
    </row>
    <row r="103" spans="2:6">
      <c r="B103" s="243">
        <v>401</v>
      </c>
      <c r="C103" t="s">
        <v>1925</v>
      </c>
      <c r="D103">
        <v>16</v>
      </c>
      <c r="E103" s="243" t="s">
        <v>1131</v>
      </c>
      <c r="F103" t="str">
        <f t="shared" si="3"/>
        <v>401 - Shed - Equipment</v>
      </c>
    </row>
    <row r="104" spans="2:6">
      <c r="B104" s="243">
        <v>401</v>
      </c>
      <c r="C104" t="s">
        <v>1911</v>
      </c>
      <c r="D104">
        <v>5</v>
      </c>
      <c r="E104" s="243" t="s">
        <v>1131</v>
      </c>
      <c r="F104" t="str">
        <f t="shared" si="3"/>
        <v>401 - Shed - Equipment</v>
      </c>
    </row>
    <row r="105" spans="2:6">
      <c r="B105" s="243">
        <v>403</v>
      </c>
      <c r="C105" t="s">
        <v>1925</v>
      </c>
      <c r="D105">
        <v>2</v>
      </c>
      <c r="E105" s="243" t="s">
        <v>1132</v>
      </c>
      <c r="F105" t="str">
        <f t="shared" si="3"/>
        <v>403 - Shower Building</v>
      </c>
    </row>
    <row r="106" spans="2:6">
      <c r="B106" s="243">
        <v>403</v>
      </c>
      <c r="C106" t="s">
        <v>1911</v>
      </c>
      <c r="D106">
        <v>2</v>
      </c>
      <c r="E106" s="243" t="s">
        <v>1132</v>
      </c>
      <c r="F106" t="str">
        <f t="shared" si="3"/>
        <v>403 - Shower Building</v>
      </c>
    </row>
    <row r="107" spans="2:6">
      <c r="B107" s="243">
        <v>404</v>
      </c>
      <c r="C107" t="s">
        <v>1925</v>
      </c>
      <c r="D107">
        <v>28</v>
      </c>
      <c r="E107" s="243" t="s">
        <v>1133</v>
      </c>
      <c r="F107" t="str">
        <f t="shared" si="3"/>
        <v>404 - Farm Utility Building</v>
      </c>
    </row>
    <row r="108" spans="2:6">
      <c r="B108" s="243">
        <v>404</v>
      </c>
      <c r="C108" t="s">
        <v>1911</v>
      </c>
      <c r="D108">
        <v>6</v>
      </c>
      <c r="E108" s="243" t="s">
        <v>1133</v>
      </c>
      <c r="F108" t="str">
        <f t="shared" si="3"/>
        <v>404 - Farm Utility Building</v>
      </c>
    </row>
    <row r="109" spans="2:6">
      <c r="B109" s="243">
        <v>405</v>
      </c>
      <c r="C109" t="s">
        <v>1925</v>
      </c>
      <c r="D109">
        <v>2</v>
      </c>
      <c r="E109" s="243" t="s">
        <v>1134</v>
      </c>
      <c r="F109" t="str">
        <f t="shared" si="3"/>
        <v>405 - Skating Rink</v>
      </c>
    </row>
    <row r="110" spans="2:6">
      <c r="B110" s="243">
        <v>406</v>
      </c>
      <c r="C110" t="s">
        <v>1925</v>
      </c>
      <c r="D110">
        <v>642</v>
      </c>
      <c r="E110" s="243" t="s">
        <v>1135</v>
      </c>
      <c r="F110" t="str">
        <f t="shared" si="3"/>
        <v>406 - Storage Warehouse</v>
      </c>
    </row>
    <row r="111" spans="2:6">
      <c r="B111" s="243">
        <v>406</v>
      </c>
      <c r="C111" t="s">
        <v>1911</v>
      </c>
      <c r="D111">
        <v>75</v>
      </c>
      <c r="E111" s="243" t="s">
        <v>1135</v>
      </c>
      <c r="F111" t="str">
        <f t="shared" si="3"/>
        <v>406 - Storage Warehouse</v>
      </c>
    </row>
    <row r="112" spans="2:6">
      <c r="B112" s="243">
        <v>407</v>
      </c>
      <c r="C112" t="s">
        <v>1925</v>
      </c>
      <c r="D112">
        <v>501</v>
      </c>
      <c r="E112" s="243" t="s">
        <v>1136</v>
      </c>
      <c r="F112" t="str">
        <f t="shared" si="3"/>
        <v>407 - Distribution Warehouse</v>
      </c>
    </row>
    <row r="113" spans="2:6">
      <c r="B113" s="243">
        <v>407</v>
      </c>
      <c r="C113" t="s">
        <v>1911</v>
      </c>
      <c r="D113">
        <v>154</v>
      </c>
      <c r="E113" s="243" t="s">
        <v>1136</v>
      </c>
      <c r="F113" t="str">
        <f t="shared" si="3"/>
        <v>407 - Distribution Warehouse</v>
      </c>
    </row>
    <row r="114" spans="2:6">
      <c r="B114" s="243">
        <v>408</v>
      </c>
      <c r="C114" t="s">
        <v>1925</v>
      </c>
      <c r="D114">
        <v>10</v>
      </c>
      <c r="E114" s="243" t="s">
        <v>1198</v>
      </c>
      <c r="F114" t="str">
        <f t="shared" si="3"/>
        <v>408 - Service Station</v>
      </c>
    </row>
    <row r="115" spans="2:6">
      <c r="B115" s="243">
        <v>409</v>
      </c>
      <c r="C115" t="s">
        <v>1925</v>
      </c>
      <c r="D115">
        <v>23</v>
      </c>
      <c r="E115" s="243" t="s">
        <v>1137</v>
      </c>
      <c r="F115" t="str">
        <f t="shared" si="3"/>
        <v>409 - T-Hanger</v>
      </c>
    </row>
    <row r="116" spans="2:6">
      <c r="B116" s="243">
        <v>410</v>
      </c>
      <c r="C116" t="s">
        <v>1925</v>
      </c>
      <c r="D116">
        <v>7</v>
      </c>
      <c r="E116" s="243" t="s">
        <v>1138</v>
      </c>
      <c r="F116" t="str">
        <f t="shared" si="3"/>
        <v>410 - Automotive Center</v>
      </c>
    </row>
    <row r="117" spans="2:6">
      <c r="B117" s="243">
        <v>412</v>
      </c>
      <c r="C117" t="s">
        <v>1925</v>
      </c>
      <c r="D117">
        <v>43</v>
      </c>
      <c r="E117" s="243" t="s">
        <v>1139</v>
      </c>
      <c r="F117" t="str">
        <f t="shared" si="3"/>
        <v>412 - Neighborhood Shopping Center</v>
      </c>
    </row>
    <row r="118" spans="2:6">
      <c r="B118" s="243">
        <v>413</v>
      </c>
      <c r="C118" t="s">
        <v>1925</v>
      </c>
      <c r="D118">
        <v>20</v>
      </c>
      <c r="E118" s="243" t="s">
        <v>1140</v>
      </c>
      <c r="F118" t="str">
        <f t="shared" si="3"/>
        <v>413 - Community Shopping Center</v>
      </c>
    </row>
    <row r="119" spans="2:6">
      <c r="B119" s="243">
        <v>414</v>
      </c>
      <c r="C119" t="s">
        <v>1925</v>
      </c>
      <c r="D119">
        <v>8</v>
      </c>
      <c r="E119" s="243" t="s">
        <v>1141</v>
      </c>
      <c r="F119" t="str">
        <f t="shared" si="3"/>
        <v>414 - Regional Shopping Center</v>
      </c>
    </row>
    <row r="120" spans="2:6">
      <c r="B120" s="243">
        <v>415</v>
      </c>
      <c r="C120" t="s">
        <v>1925</v>
      </c>
      <c r="D120">
        <v>2</v>
      </c>
      <c r="E120" s="243" t="s">
        <v>1200</v>
      </c>
      <c r="F120" t="str">
        <f t="shared" si="3"/>
        <v>415 - Utility Bldg Res</v>
      </c>
    </row>
    <row r="121" spans="2:6">
      <c r="B121" s="243">
        <v>418</v>
      </c>
      <c r="C121" t="s">
        <v>1925</v>
      </c>
      <c r="D121">
        <v>2</v>
      </c>
      <c r="E121" s="243" t="s">
        <v>1142</v>
      </c>
      <c r="F121" t="str">
        <f t="shared" si="3"/>
        <v>418 - Health Club</v>
      </c>
    </row>
    <row r="122" spans="2:6">
      <c r="B122" s="243">
        <v>419</v>
      </c>
      <c r="C122" t="s">
        <v>1925</v>
      </c>
      <c r="D122">
        <v>139</v>
      </c>
      <c r="E122" s="243" t="s">
        <v>1143</v>
      </c>
      <c r="F122" t="str">
        <f t="shared" si="3"/>
        <v>419 - Convenience Store</v>
      </c>
    </row>
    <row r="123" spans="2:6">
      <c r="B123" s="243">
        <v>419</v>
      </c>
      <c r="C123" t="s">
        <v>1911</v>
      </c>
      <c r="D123">
        <v>1</v>
      </c>
      <c r="E123" s="243" t="s">
        <v>1143</v>
      </c>
      <c r="F123" t="str">
        <f t="shared" si="3"/>
        <v>419 - Convenience Store</v>
      </c>
    </row>
    <row r="124" spans="2:6">
      <c r="B124" s="243">
        <v>421</v>
      </c>
      <c r="C124" t="s">
        <v>1925</v>
      </c>
      <c r="D124">
        <v>1</v>
      </c>
      <c r="E124" s="243" t="s">
        <v>1144</v>
      </c>
      <c r="F124" t="str">
        <f t="shared" si="3"/>
        <v>421 - Shed - Tool</v>
      </c>
    </row>
    <row r="125" spans="2:6">
      <c r="B125" s="243">
        <v>423</v>
      </c>
      <c r="C125" t="s">
        <v>1925</v>
      </c>
      <c r="D125">
        <v>23</v>
      </c>
      <c r="E125" s="243" t="s">
        <v>1145</v>
      </c>
      <c r="F125" t="str">
        <f t="shared" si="3"/>
        <v>423 - Mini Lube Garage</v>
      </c>
    </row>
    <row r="126" spans="2:6">
      <c r="B126" s="243">
        <v>425</v>
      </c>
      <c r="C126" t="s">
        <v>1925</v>
      </c>
      <c r="D126">
        <v>356</v>
      </c>
      <c r="E126" s="243" t="s">
        <v>1146</v>
      </c>
      <c r="F126" t="str">
        <f t="shared" si="3"/>
        <v>425 - Industrial WH Condo</v>
      </c>
    </row>
    <row r="127" spans="2:6">
      <c r="B127" s="243">
        <v>425</v>
      </c>
      <c r="C127" t="s">
        <v>1911</v>
      </c>
      <c r="D127">
        <v>12</v>
      </c>
      <c r="E127" s="243" t="s">
        <v>1146</v>
      </c>
      <c r="F127" t="str">
        <f t="shared" si="3"/>
        <v>425 - Industrial WH Condo</v>
      </c>
    </row>
    <row r="128" spans="2:6">
      <c r="B128" s="243">
        <v>426</v>
      </c>
      <c r="C128" t="s">
        <v>1925</v>
      </c>
      <c r="D128">
        <v>35</v>
      </c>
      <c r="E128" s="243" t="s">
        <v>1147</v>
      </c>
      <c r="F128" t="str">
        <f t="shared" si="3"/>
        <v>426 - Day Care Center</v>
      </c>
    </row>
    <row r="129" spans="2:6">
      <c r="B129" s="243">
        <v>430</v>
      </c>
      <c r="C129" t="s">
        <v>1911</v>
      </c>
      <c r="D129">
        <v>1</v>
      </c>
      <c r="E129" s="243" t="s">
        <v>1148</v>
      </c>
      <c r="F129" t="str">
        <f t="shared" si="3"/>
        <v>430 - Storage - Utility Grain</v>
      </c>
    </row>
    <row r="130" spans="2:6">
      <c r="B130" s="243">
        <v>431</v>
      </c>
      <c r="C130" t="s">
        <v>1925</v>
      </c>
      <c r="D130">
        <v>1</v>
      </c>
      <c r="E130" s="243" t="s">
        <v>1149</v>
      </c>
      <c r="F130" t="str">
        <f t="shared" si="3"/>
        <v>431 - Surgical Center - Out patient</v>
      </c>
    </row>
    <row r="131" spans="2:6">
      <c r="B131" s="243">
        <v>432</v>
      </c>
      <c r="C131" t="s">
        <v>1911</v>
      </c>
      <c r="D131">
        <v>1</v>
      </c>
      <c r="E131" s="243" t="s">
        <v>1150</v>
      </c>
      <c r="F131" t="str">
        <f t="shared" si="3"/>
        <v>432 - Restroom Building/Concessions</v>
      </c>
    </row>
    <row r="132" spans="2:6">
      <c r="B132" s="243">
        <v>434</v>
      </c>
      <c r="C132" t="s">
        <v>1925</v>
      </c>
      <c r="D132">
        <v>55</v>
      </c>
      <c r="E132" s="243" t="s">
        <v>1202</v>
      </c>
      <c r="F132" t="str">
        <f t="shared" si="3"/>
        <v>434 - Car Wash - Self Service</v>
      </c>
    </row>
    <row r="133" spans="2:6">
      <c r="B133" s="243">
        <v>434</v>
      </c>
      <c r="C133" t="s">
        <v>1911</v>
      </c>
      <c r="D133">
        <v>1</v>
      </c>
      <c r="E133" s="243" t="s">
        <v>1202</v>
      </c>
      <c r="F133" t="str">
        <f t="shared" si="3"/>
        <v>434 - Car Wash - Self Service</v>
      </c>
    </row>
    <row r="134" spans="2:6">
      <c r="B134" s="243">
        <v>435</v>
      </c>
      <c r="C134" t="s">
        <v>1925</v>
      </c>
      <c r="D134">
        <v>22</v>
      </c>
      <c r="E134" s="243" t="s">
        <v>1204</v>
      </c>
      <c r="F134" t="str">
        <f t="shared" ref="F134:F165" si="4">B134&amp;" - "&amp;E134</f>
        <v>435 - Car Wash - Drive thru</v>
      </c>
    </row>
    <row r="135" spans="2:6">
      <c r="B135" s="243">
        <v>436</v>
      </c>
      <c r="C135" t="s">
        <v>1925</v>
      </c>
      <c r="D135">
        <v>52</v>
      </c>
      <c r="E135" s="243" t="s">
        <v>1206</v>
      </c>
      <c r="F135" t="str">
        <f t="shared" si="4"/>
        <v>436 - Car Wash - Automatic</v>
      </c>
    </row>
    <row r="136" spans="2:6">
      <c r="B136" s="243">
        <v>438</v>
      </c>
      <c r="C136" t="s">
        <v>1911</v>
      </c>
      <c r="D136">
        <v>1</v>
      </c>
      <c r="E136" s="243" t="s">
        <v>1208</v>
      </c>
      <c r="F136" t="str">
        <f t="shared" si="4"/>
        <v>438 - Prefab Metal Building *CODE</v>
      </c>
    </row>
    <row r="137" spans="2:6">
      <c r="B137" s="243">
        <v>441</v>
      </c>
      <c r="C137" t="s">
        <v>1925</v>
      </c>
      <c r="D137">
        <v>2</v>
      </c>
      <c r="E137" s="243" t="s">
        <v>1151</v>
      </c>
      <c r="F137" t="str">
        <f t="shared" si="4"/>
        <v>441 - Cocktail Lounge</v>
      </c>
    </row>
    <row r="138" spans="2:6">
      <c r="B138" s="243">
        <v>442</v>
      </c>
      <c r="C138" t="s">
        <v>1925</v>
      </c>
      <c r="D138">
        <v>41</v>
      </c>
      <c r="E138" s="243" t="s">
        <v>1152</v>
      </c>
      <c r="F138" t="str">
        <f t="shared" si="4"/>
        <v>442 - Bar/Tavern</v>
      </c>
    </row>
    <row r="139" spans="2:6">
      <c r="B139" s="243">
        <v>442</v>
      </c>
      <c r="C139" t="s">
        <v>1911</v>
      </c>
      <c r="D139">
        <v>1</v>
      </c>
      <c r="E139" s="243" t="s">
        <v>1152</v>
      </c>
      <c r="F139" t="str">
        <f t="shared" si="4"/>
        <v>442 - Bar/Tavern</v>
      </c>
    </row>
    <row r="140" spans="2:6">
      <c r="B140" s="243">
        <v>444</v>
      </c>
      <c r="C140" t="s">
        <v>1925</v>
      </c>
      <c r="D140">
        <v>18</v>
      </c>
      <c r="E140" s="243" t="s">
        <v>1153</v>
      </c>
      <c r="F140" t="str">
        <f t="shared" si="4"/>
        <v>444 - Dental Office/ Clinic</v>
      </c>
    </row>
    <row r="141" spans="2:6">
      <c r="B141" s="243">
        <v>446</v>
      </c>
      <c r="C141" t="s">
        <v>1925</v>
      </c>
      <c r="D141">
        <v>30</v>
      </c>
      <c r="E141" s="243" t="s">
        <v>1154</v>
      </c>
      <c r="F141" t="str">
        <f t="shared" si="4"/>
        <v>446 - SuperMarket</v>
      </c>
    </row>
    <row r="142" spans="2:6">
      <c r="B142" s="243">
        <v>447</v>
      </c>
      <c r="C142" t="s">
        <v>1925</v>
      </c>
      <c r="D142">
        <v>8</v>
      </c>
      <c r="E142" s="243" t="s">
        <v>1155</v>
      </c>
      <c r="F142" t="str">
        <f t="shared" si="4"/>
        <v>447 - Cold Storage Warehouse</v>
      </c>
    </row>
    <row r="143" spans="2:6">
      <c r="B143" s="243">
        <v>447</v>
      </c>
      <c r="C143" t="s">
        <v>1911</v>
      </c>
      <c r="D143">
        <v>2</v>
      </c>
      <c r="E143" s="243" t="s">
        <v>1155</v>
      </c>
      <c r="F143" t="str">
        <f t="shared" si="4"/>
        <v>447 - Cold Storage Warehouse</v>
      </c>
    </row>
    <row r="144" spans="2:6">
      <c r="B144" s="243">
        <v>448</v>
      </c>
      <c r="C144" t="s">
        <v>1925</v>
      </c>
      <c r="D144">
        <v>7</v>
      </c>
      <c r="E144" s="243" t="s">
        <v>1210</v>
      </c>
      <c r="F144" t="str">
        <f t="shared" si="4"/>
        <v>448 - Self Service Booth</v>
      </c>
    </row>
    <row r="145" spans="2:6">
      <c r="B145" s="243">
        <v>451</v>
      </c>
      <c r="C145" t="s">
        <v>1925</v>
      </c>
      <c r="D145">
        <v>2</v>
      </c>
      <c r="E145" s="243" t="s">
        <v>1212</v>
      </c>
      <c r="F145" t="str">
        <f t="shared" si="4"/>
        <v>451 - Grain Elevator Concrete</v>
      </c>
    </row>
    <row r="146" spans="2:6">
      <c r="B146" s="243">
        <v>452</v>
      </c>
      <c r="C146" t="s">
        <v>1925</v>
      </c>
      <c r="D146">
        <v>1</v>
      </c>
      <c r="E146" s="243" t="s">
        <v>1214</v>
      </c>
      <c r="F146" t="str">
        <f t="shared" si="4"/>
        <v>452 - Grain Elevator Conc Annex</v>
      </c>
    </row>
    <row r="147" spans="2:6">
      <c r="B147" s="243">
        <v>464</v>
      </c>
      <c r="C147" t="s">
        <v>1925</v>
      </c>
      <c r="D147">
        <v>2</v>
      </c>
      <c r="E147" s="243" t="s">
        <v>1216</v>
      </c>
      <c r="F147" t="str">
        <f t="shared" si="4"/>
        <v>464 - Grain Elevator Low</v>
      </c>
    </row>
    <row r="148" spans="2:6">
      <c r="B148" s="243">
        <v>465</v>
      </c>
      <c r="C148" t="s">
        <v>1925</v>
      </c>
      <c r="D148">
        <v>3</v>
      </c>
      <c r="E148" s="243" t="s">
        <v>1218</v>
      </c>
      <c r="F148" t="str">
        <f t="shared" si="4"/>
        <v>465 - Grain Elevator Average</v>
      </c>
    </row>
    <row r="149" spans="2:6">
      <c r="B149" s="243">
        <v>468</v>
      </c>
      <c r="C149" t="s">
        <v>1925</v>
      </c>
      <c r="D149">
        <v>1</v>
      </c>
      <c r="E149" s="243" t="s">
        <v>1156</v>
      </c>
      <c r="F149" t="str">
        <f t="shared" si="4"/>
        <v>468 - Farm Office</v>
      </c>
    </row>
    <row r="150" spans="2:6">
      <c r="B150" s="243">
        <v>468</v>
      </c>
      <c r="C150" t="s">
        <v>1911</v>
      </c>
      <c r="D150">
        <v>1</v>
      </c>
      <c r="E150" s="243" t="s">
        <v>1156</v>
      </c>
      <c r="F150" t="str">
        <f t="shared" si="4"/>
        <v>468 - Farm Office</v>
      </c>
    </row>
    <row r="151" spans="2:6">
      <c r="B151" s="243">
        <v>473</v>
      </c>
      <c r="C151" t="s">
        <v>1925</v>
      </c>
      <c r="D151">
        <v>9</v>
      </c>
      <c r="E151" s="243" t="s">
        <v>1157</v>
      </c>
      <c r="F151" t="str">
        <f t="shared" si="4"/>
        <v>473 - Equipment Building</v>
      </c>
    </row>
    <row r="152" spans="2:6">
      <c r="B152" s="243">
        <v>473</v>
      </c>
      <c r="C152" t="s">
        <v>1911</v>
      </c>
      <c r="D152">
        <v>1</v>
      </c>
      <c r="E152" s="243" t="s">
        <v>1157</v>
      </c>
      <c r="F152" t="str">
        <f t="shared" si="4"/>
        <v>473 - Equipment Building</v>
      </c>
    </row>
    <row r="153" spans="2:6">
      <c r="B153" s="243">
        <v>474</v>
      </c>
      <c r="C153" t="s">
        <v>1925</v>
      </c>
      <c r="D153">
        <v>19</v>
      </c>
      <c r="E153" s="243" t="s">
        <v>1158</v>
      </c>
      <c r="F153" t="str">
        <f t="shared" si="4"/>
        <v>474 - Modular Office</v>
      </c>
    </row>
    <row r="154" spans="2:6">
      <c r="B154" s="243">
        <v>474</v>
      </c>
      <c r="C154" t="s">
        <v>1911</v>
      </c>
      <c r="D154">
        <v>4</v>
      </c>
      <c r="E154" s="243" t="s">
        <v>1158</v>
      </c>
      <c r="F154" t="str">
        <f t="shared" si="4"/>
        <v>474 - Modular Office</v>
      </c>
    </row>
    <row r="155" spans="2:6">
      <c r="B155" s="243">
        <v>480</v>
      </c>
      <c r="C155" t="s">
        <v>1925</v>
      </c>
      <c r="D155">
        <v>1</v>
      </c>
      <c r="E155" s="243" t="s">
        <v>1159</v>
      </c>
      <c r="F155" t="str">
        <f t="shared" si="4"/>
        <v>480 - Vegetable Building</v>
      </c>
    </row>
    <row r="156" spans="2:6">
      <c r="B156" s="243">
        <v>482</v>
      </c>
      <c r="C156" t="s">
        <v>1925</v>
      </c>
      <c r="D156">
        <v>3</v>
      </c>
      <c r="E156" s="243" t="s">
        <v>1160</v>
      </c>
      <c r="F156" t="str">
        <f t="shared" si="4"/>
        <v>482 - Convention Center</v>
      </c>
    </row>
    <row r="157" spans="2:6">
      <c r="B157" s="243">
        <v>483</v>
      </c>
      <c r="C157" t="s">
        <v>1925</v>
      </c>
      <c r="D157">
        <v>4</v>
      </c>
      <c r="E157" s="243" t="s">
        <v>1161</v>
      </c>
      <c r="F157" t="str">
        <f t="shared" si="4"/>
        <v>483 - Fitness Center</v>
      </c>
    </row>
    <row r="158" spans="2:6">
      <c r="B158" s="243">
        <v>499</v>
      </c>
      <c r="C158" t="s">
        <v>1925</v>
      </c>
      <c r="D158">
        <v>3</v>
      </c>
      <c r="E158" s="243" t="s">
        <v>1220</v>
      </c>
      <c r="F158" t="str">
        <f t="shared" si="4"/>
        <v>499 - Salvage</v>
      </c>
    </row>
    <row r="159" spans="2:6">
      <c r="B159" s="243">
        <v>500</v>
      </c>
      <c r="C159" t="s">
        <v>1925</v>
      </c>
      <c r="D159">
        <v>3</v>
      </c>
      <c r="E159" s="243" t="s">
        <v>1222</v>
      </c>
      <c r="F159" t="str">
        <f t="shared" si="4"/>
        <v>500 - R V Parks *CODE</v>
      </c>
    </row>
    <row r="160" spans="2:6">
      <c r="B160" s="243">
        <v>501</v>
      </c>
      <c r="C160" t="s">
        <v>1925</v>
      </c>
      <c r="D160">
        <v>13</v>
      </c>
      <c r="E160" s="243" t="s">
        <v>449</v>
      </c>
      <c r="F160" t="str">
        <f t="shared" si="4"/>
        <v>501 - Mini-Mart Convenience Stores</v>
      </c>
    </row>
    <row r="161" spans="2:6">
      <c r="B161" s="243">
        <v>501</v>
      </c>
      <c r="C161" t="s">
        <v>1911</v>
      </c>
      <c r="D161">
        <v>2</v>
      </c>
      <c r="E161" s="243" t="s">
        <v>1196</v>
      </c>
      <c r="F161" t="str">
        <f t="shared" si="4"/>
        <v>501 - Miscellaneous OB</v>
      </c>
    </row>
    <row r="162" spans="2:6">
      <c r="B162" s="243">
        <v>519</v>
      </c>
      <c r="C162" t="s">
        <v>1925</v>
      </c>
      <c r="D162">
        <v>1</v>
      </c>
      <c r="E162" s="243" t="s">
        <v>811</v>
      </c>
      <c r="F162" t="str">
        <f t="shared" si="4"/>
        <v>519 - Greenhouse Shade Shelters</v>
      </c>
    </row>
    <row r="163" spans="2:6">
      <c r="B163" s="243">
        <v>523</v>
      </c>
      <c r="C163" t="s">
        <v>1925</v>
      </c>
      <c r="D163">
        <v>1</v>
      </c>
      <c r="E163" s="243" t="s">
        <v>1162</v>
      </c>
      <c r="F163" t="str">
        <f t="shared" si="4"/>
        <v>523 - Golf Cart Storage Bldgs</v>
      </c>
    </row>
    <row r="164" spans="2:6">
      <c r="B164" s="243">
        <v>525</v>
      </c>
      <c r="C164" t="s">
        <v>1925</v>
      </c>
      <c r="D164">
        <v>1</v>
      </c>
      <c r="E164" s="243" t="s">
        <v>1163</v>
      </c>
      <c r="F164" t="str">
        <f t="shared" si="4"/>
        <v>525 - Mini Warehouse Hi-rise</v>
      </c>
    </row>
    <row r="165" spans="2:6">
      <c r="B165" s="243">
        <v>526</v>
      </c>
      <c r="C165" t="s">
        <v>1925</v>
      </c>
      <c r="D165">
        <v>3</v>
      </c>
      <c r="E165" s="243" t="s">
        <v>591</v>
      </c>
      <c r="F165" t="str">
        <f t="shared" si="4"/>
        <v>526 - Service Garage Sheds</v>
      </c>
    </row>
    <row r="166" spans="2:6">
      <c r="B166" s="243">
        <v>529</v>
      </c>
      <c r="C166" t="s">
        <v>1925</v>
      </c>
      <c r="D166">
        <v>1</v>
      </c>
      <c r="E166" s="243" t="s">
        <v>1164</v>
      </c>
      <c r="F166" t="str">
        <f t="shared" ref="F166:F197" si="5">B166&amp;" - "&amp;E166</f>
        <v>529 - Snack Bar</v>
      </c>
    </row>
    <row r="167" spans="2:6">
      <c r="B167" s="243">
        <v>531</v>
      </c>
      <c r="C167" t="s">
        <v>1925</v>
      </c>
      <c r="D167">
        <v>2</v>
      </c>
      <c r="E167" s="243" t="s">
        <v>1224</v>
      </c>
      <c r="F167" t="str">
        <f t="shared" si="5"/>
        <v>531 - Mobile Home Parks *CODE</v>
      </c>
    </row>
    <row r="168" spans="2:6">
      <c r="B168" s="243">
        <v>533</v>
      </c>
      <c r="C168" t="s">
        <v>1925</v>
      </c>
      <c r="D168">
        <v>2</v>
      </c>
      <c r="E168" s="243" t="s">
        <v>1165</v>
      </c>
      <c r="F168" t="str">
        <f t="shared" si="5"/>
        <v>533 - Warehouse Food Store</v>
      </c>
    </row>
    <row r="169" spans="2:6">
      <c r="B169" s="243">
        <v>534</v>
      </c>
      <c r="C169" t="s">
        <v>1925</v>
      </c>
      <c r="D169">
        <v>10</v>
      </c>
      <c r="E169" s="243" t="s">
        <v>1166</v>
      </c>
      <c r="F169" t="str">
        <f t="shared" si="5"/>
        <v>534 - Warehouse Showroom Store</v>
      </c>
    </row>
    <row r="170" spans="2:6">
      <c r="B170" s="243">
        <v>534</v>
      </c>
      <c r="C170" t="s">
        <v>1911</v>
      </c>
      <c r="D170">
        <v>1</v>
      </c>
      <c r="E170" s="243" t="s">
        <v>1166</v>
      </c>
      <c r="F170" t="str">
        <f t="shared" si="5"/>
        <v>534 - Warehouse Showroom Store</v>
      </c>
    </row>
    <row r="171" spans="2:6">
      <c r="B171" s="243">
        <v>540</v>
      </c>
      <c r="C171" t="s">
        <v>1925</v>
      </c>
      <c r="D171">
        <v>1</v>
      </c>
      <c r="E171" s="243" t="s">
        <v>353</v>
      </c>
      <c r="F171" t="str">
        <f t="shared" si="5"/>
        <v>540 - Motel Guest Rooms</v>
      </c>
    </row>
    <row r="172" spans="2:6">
      <c r="B172" s="243">
        <v>544</v>
      </c>
      <c r="C172" t="s">
        <v>1925</v>
      </c>
      <c r="D172">
        <v>4</v>
      </c>
      <c r="E172" s="243" t="s">
        <v>1167</v>
      </c>
      <c r="F172" t="str">
        <f t="shared" si="5"/>
        <v>544 - Office-Apartment</v>
      </c>
    </row>
    <row r="173" spans="2:6">
      <c r="B173" s="243">
        <v>557</v>
      </c>
      <c r="C173" t="s">
        <v>1925</v>
      </c>
      <c r="D173">
        <v>2</v>
      </c>
      <c r="E173" s="243" t="s">
        <v>1168</v>
      </c>
      <c r="F173" t="str">
        <f t="shared" si="5"/>
        <v>557 - Arch-Rib Quonset Utility</v>
      </c>
    </row>
    <row r="174" spans="2:6">
      <c r="B174" s="243">
        <v>558</v>
      </c>
      <c r="C174" t="s">
        <v>1925</v>
      </c>
      <c r="D174">
        <v>1</v>
      </c>
      <c r="E174" s="243" t="s">
        <v>1169</v>
      </c>
      <c r="F174" t="str">
        <f t="shared" si="5"/>
        <v>558 - Arch-Rib Quonset Farm Implement</v>
      </c>
    </row>
    <row r="175" spans="2:6">
      <c r="B175" s="243">
        <v>573</v>
      </c>
      <c r="C175" t="s">
        <v>1925</v>
      </c>
      <c r="D175">
        <v>1</v>
      </c>
      <c r="E175" s="243" t="s">
        <v>1170</v>
      </c>
      <c r="F175" t="str">
        <f t="shared" si="5"/>
        <v>573 - Arcade</v>
      </c>
    </row>
    <row r="176" spans="2:6">
      <c r="B176" s="243">
        <v>580</v>
      </c>
      <c r="C176" t="s">
        <v>1925</v>
      </c>
      <c r="D176">
        <v>2</v>
      </c>
      <c r="E176" s="243" t="s">
        <v>1171</v>
      </c>
      <c r="F176" t="str">
        <f t="shared" si="5"/>
        <v>580 - Truck Stop Restaurant</v>
      </c>
    </row>
    <row r="177" spans="2:6">
      <c r="B177" s="243">
        <v>582</v>
      </c>
      <c r="C177" t="s">
        <v>1925</v>
      </c>
      <c r="D177">
        <v>1</v>
      </c>
      <c r="E177" s="243" t="s">
        <v>1172</v>
      </c>
      <c r="F177" t="str">
        <f t="shared" si="5"/>
        <v>582 - Branch Post Office</v>
      </c>
    </row>
    <row r="178" spans="2:6">
      <c r="B178" s="243">
        <v>584</v>
      </c>
      <c r="C178" t="s">
        <v>1925</v>
      </c>
      <c r="D178">
        <v>56</v>
      </c>
      <c r="E178" s="243" t="s">
        <v>1173</v>
      </c>
      <c r="F178" t="str">
        <f t="shared" si="5"/>
        <v>584 - Mega Warehouse</v>
      </c>
    </row>
    <row r="179" spans="2:6">
      <c r="B179" s="243">
        <v>584</v>
      </c>
      <c r="C179" t="s">
        <v>1911</v>
      </c>
      <c r="D179">
        <v>21</v>
      </c>
      <c r="E179" s="243" t="s">
        <v>1173</v>
      </c>
      <c r="F179" t="str">
        <f t="shared" si="5"/>
        <v>584 - Mega Warehouse</v>
      </c>
    </row>
    <row r="180" spans="2:6">
      <c r="B180" s="243">
        <v>718</v>
      </c>
      <c r="C180" t="s">
        <v>1925</v>
      </c>
      <c r="D180">
        <v>3</v>
      </c>
      <c r="E180" s="243" t="s">
        <v>431</v>
      </c>
      <c r="F180" t="str">
        <f t="shared" si="5"/>
        <v>718 - Banquet Halls</v>
      </c>
    </row>
    <row r="181" spans="2:6">
      <c r="B181" s="243">
        <v>1104</v>
      </c>
      <c r="C181" t="s">
        <v>1925</v>
      </c>
      <c r="D181">
        <v>1</v>
      </c>
      <c r="E181" s="243" t="s">
        <v>1174</v>
      </c>
      <c r="F181" t="str">
        <f t="shared" si="5"/>
        <v>1104 - Light Commercial-Commodity Warehouse</v>
      </c>
    </row>
    <row r="182" spans="2:6">
      <c r="B182" s="243">
        <v>1104</v>
      </c>
      <c r="C182" t="s">
        <v>1911</v>
      </c>
      <c r="D182">
        <v>1</v>
      </c>
      <c r="E182" s="243" t="s">
        <v>1174</v>
      </c>
      <c r="F182" t="str">
        <f t="shared" si="5"/>
        <v>1104 - Light Commercial-Commodity Warehouse</v>
      </c>
    </row>
    <row r="183" spans="2:6">
      <c r="B183" s="243">
        <v>1111</v>
      </c>
      <c r="C183" t="s">
        <v>1925</v>
      </c>
      <c r="D183">
        <v>2</v>
      </c>
      <c r="E183" s="243" t="s">
        <v>1188</v>
      </c>
      <c r="F183" t="str">
        <f t="shared" si="5"/>
        <v>1111 - Parking Lot</v>
      </c>
    </row>
    <row r="184" spans="2:6">
      <c r="B184" s="243">
        <v>1112</v>
      </c>
      <c r="C184" t="s">
        <v>1925</v>
      </c>
      <c r="D184">
        <v>1</v>
      </c>
      <c r="E184" s="243" t="s">
        <v>1227</v>
      </c>
      <c r="F184" t="str">
        <f t="shared" si="5"/>
        <v>1112 - Parking Lot Income Producing</v>
      </c>
    </row>
    <row r="185" spans="2:6">
      <c r="B185" s="243">
        <v>1157</v>
      </c>
      <c r="C185" t="s">
        <v>1925</v>
      </c>
      <c r="D185">
        <v>2</v>
      </c>
      <c r="E185" s="243" t="s">
        <v>1007</v>
      </c>
      <c r="F185" t="str">
        <f t="shared" si="5"/>
        <v>1157 - Maintenance (Storage) Buildings</v>
      </c>
    </row>
    <row r="186" spans="2:6">
      <c r="B186" s="243">
        <v>1332</v>
      </c>
      <c r="C186" t="s">
        <v>1925</v>
      </c>
      <c r="D186">
        <v>39</v>
      </c>
      <c r="E186" s="243" t="s">
        <v>1175</v>
      </c>
      <c r="F186" t="str">
        <f t="shared" si="5"/>
        <v>1332 - Hotels - Limited Service</v>
      </c>
    </row>
    <row r="187" spans="2:6">
      <c r="B187" s="243">
        <v>1332</v>
      </c>
      <c r="C187" t="s">
        <v>1911</v>
      </c>
      <c r="D187">
        <v>1</v>
      </c>
      <c r="E187" s="243" t="s">
        <v>1175</v>
      </c>
      <c r="F187" t="str">
        <f t="shared" si="5"/>
        <v>1332 - Hotels - Limited Service</v>
      </c>
    </row>
    <row r="188" spans="2:6">
      <c r="B188" s="243">
        <v>1343</v>
      </c>
      <c r="C188" t="s">
        <v>1925</v>
      </c>
      <c r="D188">
        <v>4</v>
      </c>
      <c r="E188" s="243" t="s">
        <v>1176</v>
      </c>
      <c r="F188" t="str">
        <f t="shared" si="5"/>
        <v>1343 - Extended Stay Motels</v>
      </c>
    </row>
    <row r="189" spans="2:6">
      <c r="B189" s="243">
        <v>1344</v>
      </c>
      <c r="C189" t="s">
        <v>1925</v>
      </c>
      <c r="D189">
        <v>173</v>
      </c>
      <c r="E189" s="243" t="s">
        <v>1177</v>
      </c>
      <c r="F189" t="str">
        <f t="shared" si="5"/>
        <v>1344 - Office Building - Condo</v>
      </c>
    </row>
    <row r="190" spans="2:6">
      <c r="B190" s="243">
        <v>1353</v>
      </c>
      <c r="C190" t="s">
        <v>1925</v>
      </c>
      <c r="D190">
        <v>20</v>
      </c>
      <c r="E190" s="243" t="s">
        <v>1178</v>
      </c>
      <c r="F190" t="str">
        <f t="shared" si="5"/>
        <v>1353 - Retail Store - Condo</v>
      </c>
    </row>
    <row r="191" spans="2:6">
      <c r="B191" s="243">
        <v>1458</v>
      </c>
      <c r="C191" t="s">
        <v>1925</v>
      </c>
      <c r="D191">
        <v>8</v>
      </c>
      <c r="E191" s="243" t="s">
        <v>1179</v>
      </c>
      <c r="F191" t="str">
        <f t="shared" si="5"/>
        <v>1458 - Warehouse Discount Store</v>
      </c>
    </row>
    <row r="192" spans="2:6">
      <c r="B192" s="243">
        <v>1467</v>
      </c>
      <c r="C192" t="s">
        <v>1925</v>
      </c>
      <c r="D192">
        <v>2</v>
      </c>
      <c r="E192" s="243" t="s">
        <v>778</v>
      </c>
      <c r="F192" t="str">
        <f t="shared" si="5"/>
        <v>1467 - Boat Storage Buildings</v>
      </c>
    </row>
    <row r="193" spans="2:6">
      <c r="B193" s="243">
        <v>1468</v>
      </c>
      <c r="C193" t="s">
        <v>1925</v>
      </c>
      <c r="D193">
        <v>7</v>
      </c>
      <c r="E193" s="243" t="s">
        <v>769</v>
      </c>
      <c r="F193" t="str">
        <f t="shared" si="5"/>
        <v>1468 - Material Storage Sheds</v>
      </c>
    </row>
    <row r="194" spans="2:6">
      <c r="B194" s="243">
        <v>1468</v>
      </c>
      <c r="C194" t="s">
        <v>1911</v>
      </c>
      <c r="D194">
        <v>1</v>
      </c>
      <c r="E194" s="243" t="s">
        <v>769</v>
      </c>
      <c r="F194" t="str">
        <f t="shared" si="5"/>
        <v>1468 - Material Storage Sheds</v>
      </c>
    </row>
    <row r="195" spans="2:6">
      <c r="B195" s="243">
        <v>1471</v>
      </c>
      <c r="C195" t="s">
        <v>1925</v>
      </c>
      <c r="D195">
        <v>1</v>
      </c>
      <c r="E195" s="243" t="s">
        <v>1180</v>
      </c>
      <c r="F195" t="str">
        <f t="shared" si="5"/>
        <v>1471 - Light Commercial Utility</v>
      </c>
    </row>
    <row r="196" spans="2:6">
      <c r="B196" s="243">
        <v>1473</v>
      </c>
      <c r="C196" t="s">
        <v>1925</v>
      </c>
      <c r="D196">
        <v>5</v>
      </c>
      <c r="E196" s="243" t="s">
        <v>1181</v>
      </c>
      <c r="F196" t="str">
        <f t="shared" si="5"/>
        <v>1473 - Material Shelters</v>
      </c>
    </row>
    <row r="197" spans="2:6">
      <c r="B197" s="243">
        <v>1473</v>
      </c>
      <c r="C197" t="s">
        <v>1911</v>
      </c>
      <c r="D197">
        <v>1</v>
      </c>
      <c r="E197" s="243" t="s">
        <v>1181</v>
      </c>
      <c r="F197" t="str">
        <f t="shared" si="5"/>
        <v>1473 - Material Shelters</v>
      </c>
    </row>
    <row r="198" spans="2:6">
      <c r="B198" s="243">
        <v>1513</v>
      </c>
      <c r="C198" t="s">
        <v>1925</v>
      </c>
      <c r="D198">
        <v>4</v>
      </c>
      <c r="E198" s="243" t="s">
        <v>499</v>
      </c>
      <c r="F198" t="str">
        <f t="shared" ref="F198:F199" si="6">B198&amp;" - "&amp;E198</f>
        <v>1513 - Regional Discount Shopping Centers</v>
      </c>
    </row>
    <row r="199" spans="2:6">
      <c r="B199" s="243">
        <v>3441</v>
      </c>
      <c r="C199" t="s">
        <v>1925</v>
      </c>
      <c r="D199">
        <v>41</v>
      </c>
      <c r="E199" s="243" t="s">
        <v>1182</v>
      </c>
      <c r="F199" t="str">
        <f t="shared" si="6"/>
        <v>3441 - Office Conversion</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D6313-FC2C-4D90-B82E-E604875C934A}">
  <sheetPr>
    <tabColor rgb="FFD97706"/>
  </sheetPr>
  <dimension ref="B1:M108"/>
  <sheetViews>
    <sheetView workbookViewId="0">
      <pane xSplit="1" ySplit="4" topLeftCell="B5" activePane="bottomRight" state="frozen"/>
      <selection pane="topRight"/>
      <selection pane="bottomLeft"/>
      <selection pane="bottomRight"/>
    </sheetView>
  </sheetViews>
  <sheetFormatPr defaultColWidth="9" defaultRowHeight="10.5"/>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5.75">
      <c r="B1" s="124" t="s">
        <v>8531</v>
      </c>
    </row>
    <row r="2" spans="2:13" ht="39.950000000000003" customHeight="1">
      <c r="B2" s="519" t="s">
        <v>8532</v>
      </c>
      <c r="C2" s="514"/>
      <c r="D2" s="514"/>
      <c r="E2" s="514"/>
    </row>
    <row r="4" spans="2:13">
      <c r="B4" s="190" t="s">
        <v>8533</v>
      </c>
      <c r="D4" s="190" t="s">
        <v>8534</v>
      </c>
    </row>
    <row r="5" spans="2:13">
      <c r="D5" s="166" t="s">
        <v>1976</v>
      </c>
      <c r="E5" s="166" t="s">
        <v>1814</v>
      </c>
      <c r="F5" s="166" t="s">
        <v>2542</v>
      </c>
      <c r="G5" s="166" t="s">
        <v>1984</v>
      </c>
      <c r="H5" s="166" t="s">
        <v>2141</v>
      </c>
      <c r="I5" s="166" t="s">
        <v>2494</v>
      </c>
      <c r="J5" s="166" t="s">
        <v>1785</v>
      </c>
      <c r="K5" s="166" t="s">
        <v>1924</v>
      </c>
      <c r="L5" s="166" t="s">
        <v>1896</v>
      </c>
      <c r="M5" s="166" t="s">
        <v>1800</v>
      </c>
    </row>
    <row r="6" spans="2:13">
      <c r="B6" t="s">
        <v>3746</v>
      </c>
      <c r="D6" t="s">
        <v>3025</v>
      </c>
      <c r="E6" t="s">
        <v>3966</v>
      </c>
      <c r="F6" t="s">
        <v>3746</v>
      </c>
      <c r="G6" t="s">
        <v>3682</v>
      </c>
      <c r="H6" t="s">
        <v>2502</v>
      </c>
      <c r="I6" t="s">
        <v>2495</v>
      </c>
      <c r="J6" t="s">
        <v>1877</v>
      </c>
      <c r="K6" t="s">
        <v>3746</v>
      </c>
      <c r="L6" t="s">
        <v>2197</v>
      </c>
      <c r="M6" t="s">
        <v>2211</v>
      </c>
    </row>
    <row r="7" spans="2:13">
      <c r="B7" t="s">
        <v>3966</v>
      </c>
      <c r="D7" t="s">
        <v>1977</v>
      </c>
      <c r="E7" t="s">
        <v>4036</v>
      </c>
      <c r="F7" t="s">
        <v>3739</v>
      </c>
      <c r="G7" t="s">
        <v>2287</v>
      </c>
      <c r="H7" t="s">
        <v>2610</v>
      </c>
      <c r="I7" t="s">
        <v>3662</v>
      </c>
      <c r="J7" t="s">
        <v>2791</v>
      </c>
      <c r="K7" t="s">
        <v>1925</v>
      </c>
      <c r="L7" t="s">
        <v>4790</v>
      </c>
      <c r="M7" t="s">
        <v>2708</v>
      </c>
    </row>
    <row r="8" spans="2:13">
      <c r="B8" t="s">
        <v>2211</v>
      </c>
      <c r="D8" t="s">
        <v>3460</v>
      </c>
      <c r="E8" t="s">
        <v>2603</v>
      </c>
      <c r="G8" t="s">
        <v>2722</v>
      </c>
      <c r="H8" t="s">
        <v>2243</v>
      </c>
      <c r="J8" t="s">
        <v>2522</v>
      </c>
      <c r="L8" t="s">
        <v>2529</v>
      </c>
      <c r="M8" t="s">
        <v>3809</v>
      </c>
    </row>
    <row r="9" spans="2:13">
      <c r="B9" t="s">
        <v>3025</v>
      </c>
      <c r="E9" t="s">
        <v>5445</v>
      </c>
      <c r="G9" t="s">
        <v>2116</v>
      </c>
      <c r="H9" t="s">
        <v>3642</v>
      </c>
      <c r="J9" t="s">
        <v>4783</v>
      </c>
      <c r="L9" t="s">
        <v>3649</v>
      </c>
      <c r="M9" t="s">
        <v>1807</v>
      </c>
    </row>
    <row r="10" spans="2:13">
      <c r="B10" t="s">
        <v>4036</v>
      </c>
      <c r="E10" t="s">
        <v>3288</v>
      </c>
      <c r="G10" t="s">
        <v>3669</v>
      </c>
      <c r="H10" t="s">
        <v>2515</v>
      </c>
      <c r="J10" t="s">
        <v>2204</v>
      </c>
      <c r="L10" t="s">
        <v>2635</v>
      </c>
      <c r="M10" t="s">
        <v>2268</v>
      </c>
    </row>
    <row r="11" spans="2:13">
      <c r="B11" t="s">
        <v>2603</v>
      </c>
      <c r="E11" t="s">
        <v>1932</v>
      </c>
      <c r="G11" t="s">
        <v>2487</v>
      </c>
      <c r="H11" t="s">
        <v>2142</v>
      </c>
      <c r="J11" t="s">
        <v>3547</v>
      </c>
      <c r="L11" t="s">
        <v>1897</v>
      </c>
      <c r="M11" t="s">
        <v>3629</v>
      </c>
    </row>
    <row r="12" spans="2:13">
      <c r="B12" t="s">
        <v>8535</v>
      </c>
      <c r="E12" t="s">
        <v>2027</v>
      </c>
      <c r="G12" t="s">
        <v>1985</v>
      </c>
      <c r="H12" t="s">
        <v>2230</v>
      </c>
      <c r="J12" t="s">
        <v>2822</v>
      </c>
      <c r="L12" t="s">
        <v>5211</v>
      </c>
    </row>
    <row r="13" spans="2:13">
      <c r="B13" t="s">
        <v>7718</v>
      </c>
      <c r="E13" t="s">
        <v>1816</v>
      </c>
      <c r="G13" t="s">
        <v>2427</v>
      </c>
      <c r="H13" t="s">
        <v>2402</v>
      </c>
      <c r="J13" t="s">
        <v>1787</v>
      </c>
      <c r="L13" t="s">
        <v>3590</v>
      </c>
    </row>
    <row r="14" spans="2:13">
      <c r="B14" t="s">
        <v>8536</v>
      </c>
      <c r="E14" t="s">
        <v>2329</v>
      </c>
      <c r="G14" t="s">
        <v>4262</v>
      </c>
      <c r="H14" t="s">
        <v>1911</v>
      </c>
      <c r="J14" t="s">
        <v>3146</v>
      </c>
    </row>
    <row r="15" spans="2:13">
      <c r="B15" t="s">
        <v>8537</v>
      </c>
      <c r="E15" t="s">
        <v>2715</v>
      </c>
      <c r="H15" t="s">
        <v>3269</v>
      </c>
      <c r="J15" t="s">
        <v>4564</v>
      </c>
    </row>
    <row r="16" spans="2:13">
      <c r="B16" t="s">
        <v>8538</v>
      </c>
      <c r="E16" t="s">
        <v>2729</v>
      </c>
      <c r="H16" t="s">
        <v>3199</v>
      </c>
    </row>
    <row r="17" spans="2:2">
      <c r="B17" t="s">
        <v>3739</v>
      </c>
    </row>
    <row r="18" spans="2:2">
      <c r="B18" t="s">
        <v>3682</v>
      </c>
    </row>
    <row r="19" spans="2:2">
      <c r="B19" t="s">
        <v>2197</v>
      </c>
    </row>
    <row r="20" spans="2:2">
      <c r="B20" t="s">
        <v>1877</v>
      </c>
    </row>
    <row r="21" spans="2:2">
      <c r="B21" t="s">
        <v>2287</v>
      </c>
    </row>
    <row r="22" spans="2:2">
      <c r="B22" t="s">
        <v>2502</v>
      </c>
    </row>
    <row r="23" spans="2:2">
      <c r="B23" t="s">
        <v>2495</v>
      </c>
    </row>
    <row r="24" spans="2:2">
      <c r="B24" t="s">
        <v>2708</v>
      </c>
    </row>
    <row r="25" spans="2:2">
      <c r="B25" t="s">
        <v>2722</v>
      </c>
    </row>
    <row r="26" spans="2:2">
      <c r="B26" t="s">
        <v>2610</v>
      </c>
    </row>
    <row r="27" spans="2:2">
      <c r="B27" t="s">
        <v>2116</v>
      </c>
    </row>
    <row r="28" spans="2:2">
      <c r="B28" t="s">
        <v>2243</v>
      </c>
    </row>
    <row r="29" spans="2:2">
      <c r="B29" t="s">
        <v>2791</v>
      </c>
    </row>
    <row r="30" spans="2:2">
      <c r="B30" t="s">
        <v>2522</v>
      </c>
    </row>
    <row r="31" spans="2:2">
      <c r="B31" t="s">
        <v>4783</v>
      </c>
    </row>
    <row r="32" spans="2:2">
      <c r="B32" t="s">
        <v>8539</v>
      </c>
    </row>
    <row r="33" spans="2:2">
      <c r="B33" t="s">
        <v>8540</v>
      </c>
    </row>
    <row r="34" spans="2:2">
      <c r="B34" t="s">
        <v>8541</v>
      </c>
    </row>
    <row r="35" spans="2:2">
      <c r="B35" t="s">
        <v>8542</v>
      </c>
    </row>
    <row r="36" spans="2:2">
      <c r="B36" t="s">
        <v>8543</v>
      </c>
    </row>
    <row r="37" spans="2:2">
      <c r="B37" t="s">
        <v>3669</v>
      </c>
    </row>
    <row r="38" spans="2:2">
      <c r="B38" t="s">
        <v>6813</v>
      </c>
    </row>
    <row r="39" spans="2:2">
      <c r="B39" t="s">
        <v>4790</v>
      </c>
    </row>
    <row r="40" spans="2:2">
      <c r="B40" t="s">
        <v>3642</v>
      </c>
    </row>
    <row r="41" spans="2:2">
      <c r="B41" t="s">
        <v>1925</v>
      </c>
    </row>
    <row r="42" spans="2:2">
      <c r="B42" t="s">
        <v>2529</v>
      </c>
    </row>
    <row r="43" spans="2:2">
      <c r="B43" t="s">
        <v>8544</v>
      </c>
    </row>
    <row r="44" spans="2:2">
      <c r="B44" t="s">
        <v>2487</v>
      </c>
    </row>
    <row r="45" spans="2:2">
      <c r="B45" t="s">
        <v>5445</v>
      </c>
    </row>
    <row r="46" spans="2:2">
      <c r="B46" t="s">
        <v>8545</v>
      </c>
    </row>
    <row r="47" spans="2:2">
      <c r="B47" t="s">
        <v>8546</v>
      </c>
    </row>
    <row r="48" spans="2:2">
      <c r="B48" t="s">
        <v>3649</v>
      </c>
    </row>
    <row r="49" spans="2:2">
      <c r="B49" t="s">
        <v>3288</v>
      </c>
    </row>
    <row r="50" spans="2:2">
      <c r="B50" t="s">
        <v>3662</v>
      </c>
    </row>
    <row r="51" spans="2:2">
      <c r="B51" t="s">
        <v>8547</v>
      </c>
    </row>
    <row r="52" spans="2:2">
      <c r="B52" t="s">
        <v>8548</v>
      </c>
    </row>
    <row r="53" spans="2:2">
      <c r="B53" t="s">
        <v>1977</v>
      </c>
    </row>
    <row r="54" spans="2:2">
      <c r="B54" t="s">
        <v>1985</v>
      </c>
    </row>
    <row r="55" spans="2:2">
      <c r="B55" t="s">
        <v>2515</v>
      </c>
    </row>
    <row r="56" spans="2:2">
      <c r="B56" t="s">
        <v>2142</v>
      </c>
    </row>
    <row r="57" spans="2:2">
      <c r="B57" t="s">
        <v>3460</v>
      </c>
    </row>
    <row r="58" spans="2:2">
      <c r="B58" t="s">
        <v>2230</v>
      </c>
    </row>
    <row r="59" spans="2:2">
      <c r="B59" t="s">
        <v>2204</v>
      </c>
    </row>
    <row r="60" spans="2:2">
      <c r="B60" t="s">
        <v>2402</v>
      </c>
    </row>
    <row r="61" spans="2:2">
      <c r="B61" t="s">
        <v>8549</v>
      </c>
    </row>
    <row r="62" spans="2:2">
      <c r="B62" t="s">
        <v>8550</v>
      </c>
    </row>
    <row r="63" spans="2:2">
      <c r="B63" t="s">
        <v>8551</v>
      </c>
    </row>
    <row r="64" spans="2:2">
      <c r="B64" t="s">
        <v>8552</v>
      </c>
    </row>
    <row r="65" spans="2:2">
      <c r="B65" t="s">
        <v>8553</v>
      </c>
    </row>
    <row r="66" spans="2:2">
      <c r="B66" t="s">
        <v>6895</v>
      </c>
    </row>
    <row r="67" spans="2:2">
      <c r="B67" t="s">
        <v>7099</v>
      </c>
    </row>
    <row r="68" spans="2:2">
      <c r="B68" t="s">
        <v>6770</v>
      </c>
    </row>
    <row r="69" spans="2:2">
      <c r="B69" t="s">
        <v>7089</v>
      </c>
    </row>
    <row r="70" spans="2:2">
      <c r="B70" t="s">
        <v>1911</v>
      </c>
    </row>
    <row r="71" spans="2:2">
      <c r="B71" t="s">
        <v>1932</v>
      </c>
    </row>
    <row r="72" spans="2:2">
      <c r="B72" t="s">
        <v>3809</v>
      </c>
    </row>
    <row r="73" spans="2:2">
      <c r="B73" t="s">
        <v>2027</v>
      </c>
    </row>
    <row r="74" spans="2:2">
      <c r="B74" t="s">
        <v>1816</v>
      </c>
    </row>
    <row r="75" spans="2:2">
      <c r="B75" t="s">
        <v>8554</v>
      </c>
    </row>
    <row r="76" spans="2:2">
      <c r="B76" t="s">
        <v>3547</v>
      </c>
    </row>
    <row r="77" spans="2:2">
      <c r="B77" t="s">
        <v>2329</v>
      </c>
    </row>
    <row r="78" spans="2:2">
      <c r="B78" t="s">
        <v>2715</v>
      </c>
    </row>
    <row r="79" spans="2:2">
      <c r="B79" t="s">
        <v>2729</v>
      </c>
    </row>
    <row r="80" spans="2:2">
      <c r="B80" t="s">
        <v>8555</v>
      </c>
    </row>
    <row r="81" spans="2:2">
      <c r="B81" t="s">
        <v>8556</v>
      </c>
    </row>
    <row r="82" spans="2:2">
      <c r="B82" t="s">
        <v>2427</v>
      </c>
    </row>
    <row r="83" spans="2:2">
      <c r="B83" t="s">
        <v>3269</v>
      </c>
    </row>
    <row r="84" spans="2:2">
      <c r="B84" t="s">
        <v>2822</v>
      </c>
    </row>
    <row r="85" spans="2:2">
      <c r="B85" t="s">
        <v>1807</v>
      </c>
    </row>
    <row r="86" spans="2:2">
      <c r="B86" t="s">
        <v>2635</v>
      </c>
    </row>
    <row r="87" spans="2:2">
      <c r="B87" t="s">
        <v>1969</v>
      </c>
    </row>
    <row r="88" spans="2:2">
      <c r="B88" t="s">
        <v>1787</v>
      </c>
    </row>
    <row r="89" spans="2:2">
      <c r="B89" t="s">
        <v>3146</v>
      </c>
    </row>
    <row r="90" spans="2:2">
      <c r="B90" t="s">
        <v>4262</v>
      </c>
    </row>
    <row r="91" spans="2:2">
      <c r="B91" t="s">
        <v>3199</v>
      </c>
    </row>
    <row r="92" spans="2:2">
      <c r="B92" t="s">
        <v>4564</v>
      </c>
    </row>
    <row r="93" spans="2:2">
      <c r="B93" t="s">
        <v>8557</v>
      </c>
    </row>
    <row r="94" spans="2:2">
      <c r="B94" t="s">
        <v>8558</v>
      </c>
    </row>
    <row r="95" spans="2:2">
      <c r="B95" t="s">
        <v>8559</v>
      </c>
    </row>
    <row r="96" spans="2:2">
      <c r="B96" t="s">
        <v>8560</v>
      </c>
    </row>
    <row r="97" spans="2:2">
      <c r="B97" t="s">
        <v>6954</v>
      </c>
    </row>
    <row r="98" spans="2:2">
      <c r="B98" t="s">
        <v>1897</v>
      </c>
    </row>
    <row r="99" spans="2:2">
      <c r="B99" t="s">
        <v>3571</v>
      </c>
    </row>
    <row r="100" spans="2:2">
      <c r="B100" t="s">
        <v>2268</v>
      </c>
    </row>
    <row r="101" spans="2:2">
      <c r="B101" t="s">
        <v>5211</v>
      </c>
    </row>
    <row r="102" spans="2:2">
      <c r="B102" t="s">
        <v>3590</v>
      </c>
    </row>
    <row r="103" spans="2:2">
      <c r="B103" t="s">
        <v>8561</v>
      </c>
    </row>
    <row r="104" spans="2:2">
      <c r="B104" t="s">
        <v>8562</v>
      </c>
    </row>
    <row r="105" spans="2:2">
      <c r="B105" t="s">
        <v>8563</v>
      </c>
    </row>
    <row r="106" spans="2:2">
      <c r="B106" t="s">
        <v>8564</v>
      </c>
    </row>
    <row r="107" spans="2:2">
      <c r="B107" t="s">
        <v>3629</v>
      </c>
    </row>
    <row r="108" spans="2:2">
      <c r="B108" t="s">
        <v>7735</v>
      </c>
    </row>
  </sheetData>
  <mergeCells count="1">
    <mergeCell ref="B2:E2"/>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F8933-A815-4F88-8EE1-4348DC7C86FE}">
  <sheetPr>
    <tabColor rgb="FFC55A11"/>
  </sheetPr>
  <dimension ref="B1:Y56"/>
  <sheetViews>
    <sheetView workbookViewId="0">
      <pane ySplit="3" topLeftCell="A4" activePane="bottomLeft" state="frozen"/>
      <selection pane="bottomLeft"/>
    </sheetView>
  </sheetViews>
  <sheetFormatPr defaultColWidth="9" defaultRowHeight="10.5"/>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9.5">
      <c r="B1" s="304" t="s">
        <v>8565</v>
      </c>
    </row>
    <row r="2" spans="2:6" ht="52.5">
      <c r="B2" s="243" t="s">
        <v>8566</v>
      </c>
    </row>
    <row r="4" spans="2:6">
      <c r="B4" s="302" t="s">
        <v>8567</v>
      </c>
      <c r="C4" s="305"/>
      <c r="D4" s="305"/>
      <c r="E4" s="305"/>
      <c r="F4" s="305"/>
    </row>
    <row r="5" spans="2:6" ht="15.75">
      <c r="B5" s="166" t="s">
        <v>8568</v>
      </c>
      <c r="C5" s="306" t="s">
        <v>8569</v>
      </c>
      <c r="E5" t="str">
        <f>IF(Subj_Address="","", "Subject Property on file: "&amp;Subj_Address)</f>
        <v>Subject Property on file: 5775 Franklin Street</v>
      </c>
    </row>
    <row r="6" spans="2:6">
      <c r="B6" s="570" t="str">
        <f>INDEX(RES_MATRIX_NOTE,MATCH($C$5,RES_MATRIX_JUR,0))</f>
        <v>Use county land-use and permit resources only when the parcel is outside an incorporated city or town.</v>
      </c>
      <c r="C6" s="514"/>
      <c r="D6" s="514"/>
      <c r="E6" s="514"/>
      <c r="F6" s="514"/>
    </row>
    <row r="8" spans="2:6">
      <c r="B8" s="302" t="s">
        <v>8570</v>
      </c>
      <c r="C8" s="305"/>
      <c r="D8" s="305"/>
      <c r="E8" s="305"/>
      <c r="F8" s="305"/>
    </row>
    <row r="9" spans="2:6">
      <c r="B9" s="307" t="s">
        <v>8571</v>
      </c>
      <c r="C9" s="571" t="str">
        <f>HYPERLINK(INDEX(RES_MATRIX_C,MATCH($C$5,RES_MATRIX_JUR,0)),INDEX(RES_MATRIX_C,MATCH($C$5,RES_MATRIX_JUR,0)))</f>
        <v>https://adamscountyco.gov/</v>
      </c>
      <c r="D9" s="572"/>
      <c r="E9" s="572"/>
      <c r="F9" s="572"/>
    </row>
    <row r="10" spans="2:6">
      <c r="B10" s="307" t="s">
        <v>8572</v>
      </c>
      <c r="C10" s="571" t="str">
        <f>HYPERLINK(INDEX(RES_MATRIX_D,MATCH($C$5,RES_MATRIX_JUR,0)),INDEX(RES_MATRIX_D,MATCH($C$5,RES_MATRIX_JUR,0)))</f>
        <v>https://adamscountyco.gov/service/gis-interactive-maps/</v>
      </c>
      <c r="D10" s="572"/>
      <c r="E10" s="572"/>
      <c r="F10" s="572"/>
    </row>
    <row r="11" spans="2:6">
      <c r="B11" s="307" t="s">
        <v>8573</v>
      </c>
      <c r="C11" s="571" t="str">
        <f>HYPERLINK(INDEX(RES_MATRIX_E,MATCH($C$5,RES_MATRIX_JUR,0)),INDEX(RES_MATRIX_E,MATCH($C$5,RES_MATRIX_JUR,0)))</f>
        <v>https://adamscountyco.gov/our-county/community-economic-development/planning-development/development-standards-regulations/</v>
      </c>
      <c r="D11" s="572"/>
      <c r="E11" s="572"/>
      <c r="F11" s="572"/>
    </row>
    <row r="12" spans="2:6">
      <c r="B12" s="307" t="s">
        <v>8574</v>
      </c>
      <c r="C12" s="571" t="str">
        <f>HYPERLINK(INDEX(RES_MATRIX_F,MATCH($C$5,RES_MATRIX_JUR,0)),INDEX(RES_MATRIX_F,MATCH($C$5,RES_MATRIX_JUR,0)))</f>
        <v>https://adamscountyco.gov/our-county/community-economic-development/planning-development/</v>
      </c>
      <c r="D12" s="572"/>
      <c r="E12" s="572"/>
      <c r="F12" s="572"/>
    </row>
    <row r="13" spans="2:6">
      <c r="B13" s="307" t="s">
        <v>8575</v>
      </c>
      <c r="C13" s="571" t="str">
        <f>HYPERLINK(INDEX(RES_MATRIX_G,MATCH($C$5,RES_MATRIX_JUR,0)),INDEX(RES_MATRIX_G,MATCH($C$5,RES_MATRIX_JUR,0)))</f>
        <v>https://adamscountyco.gov/our-county/community-economic-development/planning-development/current-land-use-cases/</v>
      </c>
      <c r="D13" s="572"/>
      <c r="E13" s="572"/>
      <c r="F13" s="572"/>
    </row>
    <row r="14" spans="2:6">
      <c r="B14" s="307" t="s">
        <v>8576</v>
      </c>
      <c r="C14" s="571" t="str">
        <f>HYPERLINK(INDEX(RES_MATRIX_H,MATCH($C$5,RES_MATRIX_JUR,0)),INDEX(RES_MATRIX_H,MATCH($C$5,RES_MATRIX_JUR,0)))</f>
        <v>https://adamscountyco.gov/our-county/community-economic-development/building-safety/building-permit/</v>
      </c>
      <c r="D14" s="572"/>
      <c r="E14" s="572"/>
      <c r="F14" s="572"/>
    </row>
    <row r="15" spans="2:6">
      <c r="B15" s="307" t="s">
        <v>8577</v>
      </c>
      <c r="C15" s="571" t="str">
        <f>HYPERLINK(INDEX(RES_MATRIX_I,MATCH($C$5,RES_MATRIX_JUR,0)),INDEX(RES_MATRIX_I,MATCH($C$5,RES_MATRIX_JUR,0)))</f>
        <v>https://adamscountyco.gov/our-county/community-economic-development/advancing-adams/comprehensive-plan/</v>
      </c>
      <c r="D15" s="572"/>
      <c r="E15" s="572"/>
      <c r="F15" s="572"/>
    </row>
    <row r="16" spans="2:6">
      <c r="B16" s="307" t="s">
        <v>8578</v>
      </c>
      <c r="C16" s="571" t="str">
        <f>HYPERLINK(INDEX(RES_MATRIX_J,MATCH($C$5,RES_MATRIX_JUR,0)),INDEX(RES_MATRIX_J,MATCH($C$5,RES_MATRIX_JUR,0)))</f>
        <v>https://adamscountyco.gov/about-adams-county/public-meetings/</v>
      </c>
      <c r="D16" s="572"/>
      <c r="E16" s="572"/>
      <c r="F16" s="572"/>
    </row>
    <row r="17" spans="2:6">
      <c r="B17" s="307" t="s">
        <v>8579</v>
      </c>
      <c r="C17" s="571" t="str">
        <f>HYPERLINK(INDEX(RES_MATRIX_K,MATCH($C$5,RES_MATRIX_JUR,0)),INDEX(RES_MATRIX_K,MATCH($C$5,RES_MATRIX_JUR,0)))</f>
        <v>https://adamscountyco.gov/our-county/community-economic-development/planning-development/current-land-use-cases/</v>
      </c>
      <c r="D17" s="572"/>
      <c r="E17" s="572"/>
      <c r="F17" s="572"/>
    </row>
    <row r="18" spans="2:6">
      <c r="B18" s="307" t="s">
        <v>8580</v>
      </c>
      <c r="C18" s="571" t="str">
        <f>HYPERLINK(INDEX(RES_MATRIX_L,MATCH($C$5,RES_MATRIX_JUR,0)),INDEX(RES_MATRIX_L,MATCH($C$5,RES_MATRIX_JUR,0)))</f>
        <v>https://adamscountyco.gov/about-adams-county/news/</v>
      </c>
      <c r="D18" s="572"/>
      <c r="E18" s="572"/>
      <c r="F18" s="572"/>
    </row>
    <row r="20" spans="2:6">
      <c r="B20" s="302" t="s">
        <v>8581</v>
      </c>
      <c r="C20" s="305"/>
      <c r="D20" s="305"/>
      <c r="E20" s="305"/>
      <c r="F20" s="305"/>
    </row>
    <row r="21" spans="2:6">
      <c r="B21" s="307" t="s">
        <v>8582</v>
      </c>
      <c r="C21" s="571" t="s">
        <v>8583</v>
      </c>
      <c r="D21" s="572"/>
      <c r="E21" s="572"/>
      <c r="F21" s="572"/>
    </row>
    <row r="22" spans="2:6">
      <c r="B22" s="307" t="s">
        <v>8584</v>
      </c>
      <c r="C22" s="571" t="s">
        <v>8585</v>
      </c>
      <c r="D22" s="572"/>
      <c r="E22" s="572"/>
      <c r="F22" s="572"/>
    </row>
    <row r="23" spans="2:6">
      <c r="B23" s="307" t="s">
        <v>8586</v>
      </c>
      <c r="C23" s="571" t="s">
        <v>8587</v>
      </c>
      <c r="D23" s="572"/>
      <c r="E23" s="572"/>
      <c r="F23" s="572"/>
    </row>
    <row r="24" spans="2:6">
      <c r="B24" s="307" t="s">
        <v>8588</v>
      </c>
      <c r="C24" s="571" t="s">
        <v>8589</v>
      </c>
      <c r="D24" s="572"/>
      <c r="E24" s="572"/>
      <c r="F24" s="572"/>
    </row>
    <row r="25" spans="2:6">
      <c r="B25" s="307" t="s">
        <v>8590</v>
      </c>
      <c r="C25" s="571" t="s">
        <v>8591</v>
      </c>
      <c r="D25" s="572"/>
      <c r="E25" s="572"/>
      <c r="F25" s="572"/>
    </row>
    <row r="26" spans="2:6">
      <c r="B26" s="307" t="s">
        <v>8592</v>
      </c>
      <c r="C26" s="571" t="s">
        <v>8593</v>
      </c>
      <c r="D26" s="572"/>
      <c r="E26" s="572"/>
      <c r="F26" s="572"/>
    </row>
    <row r="27" spans="2:6">
      <c r="B27" s="307" t="s">
        <v>8594</v>
      </c>
      <c r="C27" s="571" t="s">
        <v>8595</v>
      </c>
      <c r="D27" s="572"/>
      <c r="E27" s="572"/>
      <c r="F27" s="572"/>
    </row>
    <row r="28" spans="2:6">
      <c r="B28" s="307" t="s">
        <v>8596</v>
      </c>
      <c r="C28" s="571" t="s">
        <v>8597</v>
      </c>
      <c r="D28" s="572"/>
      <c r="E28" s="572"/>
      <c r="F28" s="572"/>
    </row>
    <row r="29" spans="2:6">
      <c r="B29" s="307" t="s">
        <v>8598</v>
      </c>
      <c r="C29" s="571" t="s">
        <v>8599</v>
      </c>
      <c r="D29" s="572"/>
      <c r="E29" s="572"/>
      <c r="F29" s="572"/>
    </row>
    <row r="30" spans="2:6">
      <c r="B30" s="307" t="s">
        <v>8600</v>
      </c>
      <c r="C30" s="571" t="s">
        <v>8601</v>
      </c>
      <c r="D30" s="572"/>
      <c r="E30" s="572"/>
      <c r="F30" s="572"/>
    </row>
    <row r="32" spans="2:6">
      <c r="B32" s="302" t="s">
        <v>8602</v>
      </c>
      <c r="C32" s="305"/>
      <c r="D32" s="305"/>
      <c r="E32" s="305"/>
      <c r="F32" s="305"/>
    </row>
    <row r="33" spans="2:25">
      <c r="B33" s="307" t="s">
        <v>8603</v>
      </c>
      <c r="C33" s="571" t="s">
        <v>8604</v>
      </c>
      <c r="D33" s="572"/>
      <c r="E33" s="572"/>
      <c r="F33" s="572"/>
    </row>
    <row r="34" spans="2:25">
      <c r="B34" s="307" t="s">
        <v>8605</v>
      </c>
      <c r="C34" s="571" t="s">
        <v>8606</v>
      </c>
      <c r="D34" s="572"/>
      <c r="E34" s="572"/>
      <c r="F34" s="572"/>
    </row>
    <row r="35" spans="2:25">
      <c r="B35" s="307" t="s">
        <v>8607</v>
      </c>
      <c r="C35" s="571" t="s">
        <v>8606</v>
      </c>
      <c r="D35" s="572"/>
      <c r="E35" s="572"/>
      <c r="F35" s="572"/>
    </row>
    <row r="36" spans="2:25">
      <c r="B36" s="307" t="s">
        <v>8608</v>
      </c>
      <c r="C36" s="571" t="s">
        <v>8606</v>
      </c>
      <c r="D36" s="572"/>
      <c r="E36" s="572"/>
      <c r="F36" s="572"/>
    </row>
    <row r="37" spans="2:25">
      <c r="B37" s="307" t="s">
        <v>8609</v>
      </c>
      <c r="C37" s="571" t="s">
        <v>8610</v>
      </c>
      <c r="D37" s="572"/>
      <c r="E37" s="572"/>
      <c r="F37" s="572"/>
    </row>
    <row r="38" spans="2:25">
      <c r="B38" s="307" t="s">
        <v>8611</v>
      </c>
      <c r="C38" s="571" t="s">
        <v>8612</v>
      </c>
      <c r="D38" s="572"/>
      <c r="E38" s="572"/>
      <c r="F38" s="572"/>
    </row>
    <row r="39" spans="2:25">
      <c r="B39" s="307" t="s">
        <v>8613</v>
      </c>
      <c r="C39" s="571" t="s">
        <v>8614</v>
      </c>
      <c r="D39" s="572"/>
      <c r="E39" s="572"/>
      <c r="F39" s="572"/>
    </row>
    <row r="40" spans="2:25">
      <c r="B40" s="307" t="s">
        <v>8615</v>
      </c>
      <c r="C40" s="571" t="s">
        <v>8616</v>
      </c>
      <c r="D40" s="572"/>
      <c r="E40" s="572"/>
      <c r="F40" s="572"/>
    </row>
    <row r="41" spans="2:25">
      <c r="B41" s="307" t="s">
        <v>8617</v>
      </c>
      <c r="C41" s="571" t="s">
        <v>8618</v>
      </c>
      <c r="D41" s="572"/>
      <c r="E41" s="572"/>
      <c r="F41" s="572"/>
    </row>
    <row r="42" spans="2:25">
      <c r="B42" s="309" t="s">
        <v>8619</v>
      </c>
    </row>
    <row r="44" spans="2:25">
      <c r="B44" s="302" t="s">
        <v>8620</v>
      </c>
      <c r="C44" s="305"/>
      <c r="D44" s="305"/>
      <c r="E44" s="305"/>
      <c r="F44" s="305"/>
      <c r="G44" s="305"/>
      <c r="H44" s="305"/>
      <c r="I44" s="305"/>
      <c r="J44" s="305"/>
      <c r="K44" s="305"/>
      <c r="L44" s="305"/>
      <c r="M44" s="305"/>
    </row>
    <row r="45" spans="2:25">
      <c r="B45" s="303" t="s">
        <v>8621</v>
      </c>
      <c r="C45" s="303" t="s">
        <v>1257</v>
      </c>
      <c r="D45" s="303" t="s">
        <v>8622</v>
      </c>
      <c r="E45" s="303" t="s">
        <v>8623</v>
      </c>
      <c r="F45" s="303" t="s">
        <v>8624</v>
      </c>
      <c r="G45" s="303" t="s">
        <v>8625</v>
      </c>
      <c r="H45" s="303" t="s">
        <v>8626</v>
      </c>
      <c r="I45" s="303" t="s">
        <v>8576</v>
      </c>
      <c r="J45" s="303" t="s">
        <v>8627</v>
      </c>
      <c r="K45" s="303" t="s">
        <v>8628</v>
      </c>
      <c r="L45" s="303" t="s">
        <v>8629</v>
      </c>
      <c r="M45" s="303" t="s">
        <v>8580</v>
      </c>
      <c r="N45" s="303" t="s">
        <v>8630</v>
      </c>
      <c r="P45" s="310" t="s">
        <v>8631</v>
      </c>
    </row>
    <row r="46" spans="2:25" ht="21">
      <c r="B46" s="307" t="s">
        <v>8569</v>
      </c>
      <c r="C46" s="311" t="s">
        <v>8632</v>
      </c>
      <c r="D46" s="308" t="s">
        <v>8622</v>
      </c>
      <c r="E46" s="308" t="s">
        <v>8623</v>
      </c>
      <c r="F46" s="308" t="s">
        <v>8624</v>
      </c>
      <c r="G46" s="308" t="s">
        <v>8625</v>
      </c>
      <c r="H46" s="308" t="s">
        <v>8626</v>
      </c>
      <c r="I46" s="308" t="s">
        <v>8576</v>
      </c>
      <c r="J46" s="308" t="s">
        <v>8627</v>
      </c>
      <c r="K46" s="308" t="s">
        <v>8628</v>
      </c>
      <c r="L46" s="308" t="s">
        <v>8629</v>
      </c>
      <c r="M46" s="308" t="s">
        <v>8580</v>
      </c>
      <c r="N46" s="312" t="s">
        <v>8633</v>
      </c>
      <c r="P46" t="s">
        <v>8634</v>
      </c>
      <c r="Q46" t="s">
        <v>8587</v>
      </c>
      <c r="R46" t="s">
        <v>8635</v>
      </c>
      <c r="S46" t="s">
        <v>8597</v>
      </c>
      <c r="T46" t="s">
        <v>8599</v>
      </c>
      <c r="U46" t="s">
        <v>8601</v>
      </c>
      <c r="V46" t="s">
        <v>8636</v>
      </c>
      <c r="W46" t="s">
        <v>8637</v>
      </c>
      <c r="X46" t="s">
        <v>8599</v>
      </c>
      <c r="Y46" t="s">
        <v>8638</v>
      </c>
    </row>
    <row r="47" spans="2:25" ht="21">
      <c r="B47" s="307" t="s">
        <v>8484</v>
      </c>
      <c r="C47" s="311" t="s">
        <v>7</v>
      </c>
      <c r="D47" s="308" t="s">
        <v>8622</v>
      </c>
      <c r="E47" s="308" t="s">
        <v>8623</v>
      </c>
      <c r="F47" s="308" t="s">
        <v>8624</v>
      </c>
      <c r="G47" s="308" t="s">
        <v>8625</v>
      </c>
      <c r="H47" s="308" t="s">
        <v>8626</v>
      </c>
      <c r="I47" s="308" t="s">
        <v>8576</v>
      </c>
      <c r="J47" s="308" t="s">
        <v>8627</v>
      </c>
      <c r="K47" s="308" t="s">
        <v>8628</v>
      </c>
      <c r="L47" s="308" t="s">
        <v>8629</v>
      </c>
      <c r="M47" s="308" t="s">
        <v>8580</v>
      </c>
      <c r="N47" s="312" t="s">
        <v>8639</v>
      </c>
      <c r="P47" t="s">
        <v>8640</v>
      </c>
      <c r="Q47" t="s">
        <v>8641</v>
      </c>
      <c r="R47" t="s">
        <v>8642</v>
      </c>
      <c r="S47" t="s">
        <v>8643</v>
      </c>
      <c r="T47" t="s">
        <v>8644</v>
      </c>
      <c r="U47" t="s">
        <v>8645</v>
      </c>
      <c r="V47" t="s">
        <v>8646</v>
      </c>
      <c r="W47" t="s">
        <v>8647</v>
      </c>
      <c r="X47" t="s">
        <v>8648</v>
      </c>
      <c r="Y47" t="s">
        <v>8649</v>
      </c>
    </row>
    <row r="48" spans="2:25" ht="21">
      <c r="B48" s="307" t="s">
        <v>3966</v>
      </c>
      <c r="C48" s="311" t="s">
        <v>7</v>
      </c>
      <c r="D48" s="308" t="s">
        <v>8622</v>
      </c>
      <c r="E48" s="308" t="s">
        <v>8623</v>
      </c>
      <c r="F48" s="308" t="s">
        <v>8624</v>
      </c>
      <c r="G48" s="308" t="s">
        <v>8625</v>
      </c>
      <c r="H48" s="308" t="s">
        <v>8626</v>
      </c>
      <c r="I48" s="308" t="s">
        <v>8576</v>
      </c>
      <c r="J48" s="308" t="s">
        <v>8627</v>
      </c>
      <c r="K48" s="308" t="s">
        <v>8628</v>
      </c>
      <c r="L48" s="308" t="s">
        <v>8629</v>
      </c>
      <c r="M48" s="308" t="s">
        <v>8580</v>
      </c>
      <c r="N48" s="312" t="s">
        <v>8650</v>
      </c>
      <c r="P48" t="s">
        <v>8651</v>
      </c>
      <c r="Q48" t="s">
        <v>8652</v>
      </c>
      <c r="R48" t="s">
        <v>8653</v>
      </c>
      <c r="S48" t="s">
        <v>8654</v>
      </c>
      <c r="T48" t="s">
        <v>8655</v>
      </c>
      <c r="U48" t="s">
        <v>8656</v>
      </c>
      <c r="V48" t="s">
        <v>8657</v>
      </c>
      <c r="W48" t="s">
        <v>8658</v>
      </c>
      <c r="X48" t="s">
        <v>8659</v>
      </c>
      <c r="Y48" t="s">
        <v>8660</v>
      </c>
    </row>
    <row r="49" spans="2:25" ht="21">
      <c r="B49" s="307" t="s">
        <v>3739</v>
      </c>
      <c r="C49" s="311" t="s">
        <v>8661</v>
      </c>
      <c r="D49" s="308" t="s">
        <v>8622</v>
      </c>
      <c r="E49" s="308" t="s">
        <v>8623</v>
      </c>
      <c r="F49" s="308" t="s">
        <v>8624</v>
      </c>
      <c r="G49" s="308" t="s">
        <v>8625</v>
      </c>
      <c r="H49" s="308" t="s">
        <v>8626</v>
      </c>
      <c r="I49" s="308" t="s">
        <v>8576</v>
      </c>
      <c r="J49" s="308" t="s">
        <v>8627</v>
      </c>
      <c r="K49" s="308" t="s">
        <v>8628</v>
      </c>
      <c r="L49" s="308" t="s">
        <v>8629</v>
      </c>
      <c r="M49" s="308" t="s">
        <v>8580</v>
      </c>
      <c r="N49" s="312" t="s">
        <v>8662</v>
      </c>
      <c r="P49" t="s">
        <v>8663</v>
      </c>
      <c r="Q49" t="s">
        <v>8664</v>
      </c>
      <c r="R49" t="s">
        <v>8665</v>
      </c>
      <c r="S49" t="s">
        <v>8666</v>
      </c>
      <c r="T49" t="s">
        <v>8667</v>
      </c>
      <c r="U49" t="s">
        <v>8668</v>
      </c>
      <c r="V49" t="s">
        <v>8669</v>
      </c>
      <c r="W49" t="s">
        <v>8670</v>
      </c>
      <c r="X49" t="s">
        <v>8671</v>
      </c>
      <c r="Y49" t="s">
        <v>8672</v>
      </c>
    </row>
    <row r="50" spans="2:25" ht="21">
      <c r="B50" s="307" t="s">
        <v>3682</v>
      </c>
      <c r="C50" s="311" t="s">
        <v>7</v>
      </c>
      <c r="D50" s="308" t="s">
        <v>8622</v>
      </c>
      <c r="E50" s="308" t="s">
        <v>8623</v>
      </c>
      <c r="F50" s="308" t="s">
        <v>8624</v>
      </c>
      <c r="G50" s="308" t="s">
        <v>8625</v>
      </c>
      <c r="H50" s="308" t="s">
        <v>8626</v>
      </c>
      <c r="I50" s="308" t="s">
        <v>8576</v>
      </c>
      <c r="J50" s="308" t="s">
        <v>8627</v>
      </c>
      <c r="K50" s="308" t="s">
        <v>8628</v>
      </c>
      <c r="L50" s="308" t="s">
        <v>8629</v>
      </c>
      <c r="M50" s="308" t="s">
        <v>8580</v>
      </c>
      <c r="N50" s="312" t="s">
        <v>8673</v>
      </c>
      <c r="P50" t="s">
        <v>8674</v>
      </c>
      <c r="Q50" t="s">
        <v>8675</v>
      </c>
      <c r="R50" t="s">
        <v>8676</v>
      </c>
      <c r="S50" t="s">
        <v>8677</v>
      </c>
      <c r="T50" t="s">
        <v>8678</v>
      </c>
      <c r="U50" t="s">
        <v>8679</v>
      </c>
      <c r="V50" t="s">
        <v>8680</v>
      </c>
      <c r="W50" t="s">
        <v>8681</v>
      </c>
      <c r="X50" t="s">
        <v>8682</v>
      </c>
      <c r="Y50" t="s">
        <v>8683</v>
      </c>
    </row>
    <row r="51" spans="2:25" ht="31.5">
      <c r="B51" s="307" t="s">
        <v>3642</v>
      </c>
      <c r="C51" s="311" t="s">
        <v>7</v>
      </c>
      <c r="D51" s="308" t="s">
        <v>8622</v>
      </c>
      <c r="E51" s="308" t="s">
        <v>8623</v>
      </c>
      <c r="F51" s="308" t="s">
        <v>8624</v>
      </c>
      <c r="G51" s="308" t="s">
        <v>8625</v>
      </c>
      <c r="H51" s="308" t="s">
        <v>8626</v>
      </c>
      <c r="I51" s="308" t="s">
        <v>8576</v>
      </c>
      <c r="J51" s="308" t="s">
        <v>8627</v>
      </c>
      <c r="K51" s="308" t="s">
        <v>8628</v>
      </c>
      <c r="L51" s="308" t="s">
        <v>8629</v>
      </c>
      <c r="M51" s="308" t="s">
        <v>8580</v>
      </c>
      <c r="N51" s="312" t="s">
        <v>8684</v>
      </c>
      <c r="P51" t="s">
        <v>8685</v>
      </c>
      <c r="Q51" t="s">
        <v>8686</v>
      </c>
      <c r="R51" t="s">
        <v>8687</v>
      </c>
      <c r="S51" t="s">
        <v>8688</v>
      </c>
      <c r="T51" t="s">
        <v>8689</v>
      </c>
      <c r="U51" t="s">
        <v>8690</v>
      </c>
      <c r="V51" t="s">
        <v>8691</v>
      </c>
      <c r="W51" t="s">
        <v>8692</v>
      </c>
      <c r="X51" t="s">
        <v>8693</v>
      </c>
      <c r="Y51" t="s">
        <v>8694</v>
      </c>
    </row>
    <row r="52" spans="2:25" ht="21">
      <c r="B52" s="307" t="s">
        <v>3662</v>
      </c>
      <c r="C52" s="311" t="s">
        <v>7</v>
      </c>
      <c r="D52" s="308" t="s">
        <v>8622</v>
      </c>
      <c r="E52" s="308" t="s">
        <v>8623</v>
      </c>
      <c r="F52" s="308" t="s">
        <v>8624</v>
      </c>
      <c r="G52" s="308" t="s">
        <v>8625</v>
      </c>
      <c r="H52" s="308" t="s">
        <v>8626</v>
      </c>
      <c r="I52" s="308" t="s">
        <v>8576</v>
      </c>
      <c r="J52" s="308" t="s">
        <v>8627</v>
      </c>
      <c r="K52" s="308" t="s">
        <v>8628</v>
      </c>
      <c r="L52" s="308" t="s">
        <v>8629</v>
      </c>
      <c r="M52" s="308" t="s">
        <v>8580</v>
      </c>
      <c r="N52" s="312" t="s">
        <v>8695</v>
      </c>
      <c r="P52" t="s">
        <v>8696</v>
      </c>
      <c r="Q52" t="s">
        <v>8697</v>
      </c>
      <c r="R52" t="s">
        <v>8698</v>
      </c>
      <c r="S52" t="s">
        <v>8699</v>
      </c>
      <c r="T52" t="s">
        <v>8700</v>
      </c>
      <c r="U52" t="s">
        <v>8701</v>
      </c>
      <c r="V52" t="s">
        <v>8702</v>
      </c>
      <c r="W52" t="s">
        <v>8703</v>
      </c>
      <c r="X52" t="s">
        <v>8704</v>
      </c>
      <c r="Y52" t="s">
        <v>8705</v>
      </c>
    </row>
    <row r="53" spans="2:25" ht="21">
      <c r="B53" s="307" t="s">
        <v>8706</v>
      </c>
      <c r="C53" s="311" t="s">
        <v>8661</v>
      </c>
      <c r="D53" s="308" t="s">
        <v>8622</v>
      </c>
      <c r="E53" s="308" t="s">
        <v>8623</v>
      </c>
      <c r="F53" s="308" t="s">
        <v>8624</v>
      </c>
      <c r="G53" s="308" t="s">
        <v>8625</v>
      </c>
      <c r="H53" s="308" t="s">
        <v>8626</v>
      </c>
      <c r="I53" s="308" t="s">
        <v>8576</v>
      </c>
      <c r="J53" s="308" t="s">
        <v>8627</v>
      </c>
      <c r="K53" s="308" t="s">
        <v>8628</v>
      </c>
      <c r="L53" s="308" t="s">
        <v>8629</v>
      </c>
      <c r="M53" s="308" t="s">
        <v>8580</v>
      </c>
      <c r="N53" s="312" t="s">
        <v>8707</v>
      </c>
      <c r="P53" t="s">
        <v>8708</v>
      </c>
      <c r="Q53" t="s">
        <v>8709</v>
      </c>
      <c r="R53" t="s">
        <v>8710</v>
      </c>
      <c r="S53" t="s">
        <v>8711</v>
      </c>
      <c r="T53" t="s">
        <v>8712</v>
      </c>
      <c r="U53" t="s">
        <v>8713</v>
      </c>
      <c r="V53" t="s">
        <v>8714</v>
      </c>
      <c r="W53" t="s">
        <v>8715</v>
      </c>
      <c r="X53" t="s">
        <v>8716</v>
      </c>
      <c r="Y53" t="s">
        <v>8717</v>
      </c>
    </row>
    <row r="54" spans="2:25" ht="21">
      <c r="B54" s="307" t="s">
        <v>3547</v>
      </c>
      <c r="C54" s="311" t="s">
        <v>7</v>
      </c>
      <c r="D54" s="308" t="s">
        <v>8622</v>
      </c>
      <c r="E54" s="308" t="s">
        <v>8623</v>
      </c>
      <c r="F54" s="308" t="s">
        <v>8624</v>
      </c>
      <c r="G54" s="308" t="s">
        <v>8625</v>
      </c>
      <c r="H54" s="308" t="s">
        <v>8626</v>
      </c>
      <c r="I54" s="308" t="s">
        <v>8576</v>
      </c>
      <c r="J54" s="308" t="s">
        <v>8627</v>
      </c>
      <c r="K54" s="308" t="s">
        <v>8628</v>
      </c>
      <c r="L54" s="308" t="s">
        <v>8629</v>
      </c>
      <c r="M54" s="308" t="s">
        <v>8580</v>
      </c>
      <c r="N54" s="312" t="s">
        <v>8718</v>
      </c>
      <c r="P54" t="s">
        <v>8719</v>
      </c>
      <c r="Q54" t="s">
        <v>8720</v>
      </c>
      <c r="R54" t="s">
        <v>8721</v>
      </c>
      <c r="S54" t="s">
        <v>8722</v>
      </c>
      <c r="T54" t="s">
        <v>8723</v>
      </c>
      <c r="U54" t="s">
        <v>8724</v>
      </c>
      <c r="V54" t="s">
        <v>8725</v>
      </c>
      <c r="W54" t="s">
        <v>8726</v>
      </c>
      <c r="X54" t="s">
        <v>8726</v>
      </c>
      <c r="Y54" t="s">
        <v>8727</v>
      </c>
    </row>
    <row r="55" spans="2:25" ht="21">
      <c r="B55" s="307" t="s">
        <v>3590</v>
      </c>
      <c r="C55" s="311" t="s">
        <v>7</v>
      </c>
      <c r="D55" s="308" t="s">
        <v>8622</v>
      </c>
      <c r="E55" s="308" t="s">
        <v>8623</v>
      </c>
      <c r="F55" s="308" t="s">
        <v>8624</v>
      </c>
      <c r="G55" s="308" t="s">
        <v>8625</v>
      </c>
      <c r="H55" s="308" t="s">
        <v>8626</v>
      </c>
      <c r="I55" s="308" t="s">
        <v>8576</v>
      </c>
      <c r="J55" s="308" t="s">
        <v>8627</v>
      </c>
      <c r="K55" s="308" t="s">
        <v>8628</v>
      </c>
      <c r="L55" s="308" t="s">
        <v>8629</v>
      </c>
      <c r="M55" s="308" t="s">
        <v>8580</v>
      </c>
      <c r="N55" s="312" t="s">
        <v>8728</v>
      </c>
      <c r="P55" t="s">
        <v>8729</v>
      </c>
      <c r="Q55" t="s">
        <v>8730</v>
      </c>
      <c r="R55" t="s">
        <v>8731</v>
      </c>
      <c r="S55" t="s">
        <v>8732</v>
      </c>
      <c r="T55" t="s">
        <v>8733</v>
      </c>
      <c r="U55" t="s">
        <v>8734</v>
      </c>
      <c r="V55" t="s">
        <v>8735</v>
      </c>
      <c r="W55" t="s">
        <v>8736</v>
      </c>
      <c r="X55" t="s">
        <v>8737</v>
      </c>
      <c r="Y55" t="s">
        <v>8738</v>
      </c>
    </row>
    <row r="56" spans="2:25" ht="21">
      <c r="B56" s="307" t="s">
        <v>3629</v>
      </c>
      <c r="C56" s="311" t="s">
        <v>7</v>
      </c>
      <c r="D56" s="308" t="s">
        <v>8622</v>
      </c>
      <c r="E56" s="308" t="s">
        <v>8623</v>
      </c>
      <c r="F56" s="308" t="s">
        <v>8624</v>
      </c>
      <c r="G56" s="308" t="s">
        <v>8625</v>
      </c>
      <c r="H56" s="308" t="s">
        <v>8626</v>
      </c>
      <c r="I56" s="308" t="s">
        <v>8576</v>
      </c>
      <c r="J56" s="308" t="s">
        <v>8627</v>
      </c>
      <c r="K56" s="308" t="s">
        <v>8628</v>
      </c>
      <c r="L56" s="308" t="s">
        <v>8629</v>
      </c>
      <c r="M56" s="308" t="s">
        <v>8580</v>
      </c>
      <c r="N56" s="312" t="s">
        <v>8718</v>
      </c>
      <c r="P56" t="s">
        <v>8739</v>
      </c>
      <c r="Q56" t="s">
        <v>8740</v>
      </c>
      <c r="R56" t="s">
        <v>8741</v>
      </c>
      <c r="S56" t="s">
        <v>8742</v>
      </c>
      <c r="T56" t="s">
        <v>8743</v>
      </c>
      <c r="U56" t="s">
        <v>8744</v>
      </c>
      <c r="V56" t="s">
        <v>8745</v>
      </c>
      <c r="W56" t="s">
        <v>8746</v>
      </c>
      <c r="X56" t="s">
        <v>8747</v>
      </c>
      <c r="Y56" t="s">
        <v>8748</v>
      </c>
    </row>
  </sheetData>
  <mergeCells count="30">
    <mergeCell ref="C39:F39"/>
    <mergeCell ref="C38:F38"/>
    <mergeCell ref="C37:F37"/>
    <mergeCell ref="C28:F28"/>
    <mergeCell ref="C35:F35"/>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B6:F6"/>
    <mergeCell ref="C12:F12"/>
    <mergeCell ref="C21:F21"/>
    <mergeCell ref="C11:F11"/>
    <mergeCell ref="C27:F27"/>
    <mergeCell ref="C10:F10"/>
    <mergeCell ref="C25:F25"/>
    <mergeCell ref="C17:F17"/>
    <mergeCell ref="C23:F23"/>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76094-5503-4141-A7FA-56040A7E98AB}">
  <sheetPr>
    <tabColor rgb="FFC55A11"/>
  </sheetPr>
  <dimension ref="B1:J332"/>
  <sheetViews>
    <sheetView workbookViewId="0">
      <pane xSplit="1" ySplit="4" topLeftCell="B5" activePane="bottomRight" state="frozen"/>
      <selection pane="topRight"/>
      <selection pane="bottomLeft"/>
      <selection pane="bottomRight"/>
    </sheetView>
  </sheetViews>
  <sheetFormatPr defaultColWidth="9" defaultRowHeight="10.5"/>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9.5">
      <c r="B1" s="304" t="s">
        <v>8749</v>
      </c>
    </row>
    <row r="2" spans="2:8" ht="126">
      <c r="B2" s="243" t="s">
        <v>8750</v>
      </c>
    </row>
    <row r="4" spans="2:8">
      <c r="B4" s="303" t="s">
        <v>8751</v>
      </c>
      <c r="C4" s="303" t="s">
        <v>8752</v>
      </c>
      <c r="D4" s="303" t="s">
        <v>8753</v>
      </c>
      <c r="E4" s="303" t="s">
        <v>8754</v>
      </c>
      <c r="F4" s="303" t="s">
        <v>8755</v>
      </c>
      <c r="G4" s="303" t="s">
        <v>8756</v>
      </c>
      <c r="H4" s="303" t="s">
        <v>8757</v>
      </c>
    </row>
    <row r="5" spans="2:8" ht="31.5">
      <c r="B5" s="311" t="s">
        <v>8758</v>
      </c>
      <c r="C5" s="311" t="s">
        <v>8759</v>
      </c>
      <c r="D5" s="311" t="s">
        <v>8760</v>
      </c>
      <c r="E5" s="312" t="s">
        <v>8761</v>
      </c>
      <c r="F5" s="312" t="s">
        <v>8762</v>
      </c>
      <c r="G5" s="308" t="s">
        <v>8763</v>
      </c>
      <c r="H5" s="311" t="s">
        <v>8764</v>
      </c>
    </row>
    <row r="6" spans="2:8" ht="21">
      <c r="B6" s="311" t="s">
        <v>8758</v>
      </c>
      <c r="C6" s="311" t="s">
        <v>8765</v>
      </c>
      <c r="D6" s="311" t="s">
        <v>8766</v>
      </c>
      <c r="E6" s="312" t="s">
        <v>8767</v>
      </c>
      <c r="F6" s="312" t="s">
        <v>8768</v>
      </c>
      <c r="G6" s="308" t="s">
        <v>8583</v>
      </c>
      <c r="H6" s="311" t="s">
        <v>8764</v>
      </c>
    </row>
    <row r="7" spans="2:8" ht="21">
      <c r="B7" s="311" t="s">
        <v>8758</v>
      </c>
      <c r="C7" s="311" t="s">
        <v>8765</v>
      </c>
      <c r="D7" s="311" t="s">
        <v>8769</v>
      </c>
      <c r="E7" s="312" t="s">
        <v>8770</v>
      </c>
      <c r="F7" s="312" t="s">
        <v>8771</v>
      </c>
      <c r="G7" s="308" t="s">
        <v>8585</v>
      </c>
      <c r="H7" s="311" t="s">
        <v>8764</v>
      </c>
    </row>
    <row r="8" spans="2:8" ht="21">
      <c r="B8" s="311" t="s">
        <v>8758</v>
      </c>
      <c r="C8" s="311" t="s">
        <v>8772</v>
      </c>
      <c r="D8" s="311" t="s">
        <v>8773</v>
      </c>
      <c r="E8" s="312" t="s">
        <v>8774</v>
      </c>
      <c r="F8" s="312" t="s">
        <v>8775</v>
      </c>
      <c r="G8" s="308" t="s">
        <v>8776</v>
      </c>
      <c r="H8" s="311" t="s">
        <v>8777</v>
      </c>
    </row>
    <row r="9" spans="2:8" ht="21">
      <c r="B9" s="311" t="s">
        <v>8758</v>
      </c>
      <c r="C9" s="311" t="s">
        <v>8778</v>
      </c>
      <c r="D9" s="311" t="s">
        <v>8779</v>
      </c>
      <c r="E9" s="312" t="s">
        <v>8780</v>
      </c>
      <c r="F9" s="312" t="s">
        <v>8781</v>
      </c>
      <c r="G9" s="308" t="s">
        <v>8782</v>
      </c>
      <c r="H9" s="311" t="s">
        <v>8777</v>
      </c>
    </row>
    <row r="10" spans="2:8" ht="21">
      <c r="B10" s="311" t="s">
        <v>8758</v>
      </c>
      <c r="C10" s="311" t="s">
        <v>8778</v>
      </c>
      <c r="D10" s="311" t="s">
        <v>8783</v>
      </c>
      <c r="E10" s="312" t="s">
        <v>8784</v>
      </c>
      <c r="F10" s="312" t="s">
        <v>8785</v>
      </c>
      <c r="G10" s="308" t="s">
        <v>8587</v>
      </c>
      <c r="H10" s="311" t="s">
        <v>8764</v>
      </c>
    </row>
    <row r="11" spans="2:8" ht="21">
      <c r="B11" s="311" t="s">
        <v>8758</v>
      </c>
      <c r="C11" s="311" t="s">
        <v>8778</v>
      </c>
      <c r="D11" s="311" t="s">
        <v>8786</v>
      </c>
      <c r="E11" s="312" t="s">
        <v>8787</v>
      </c>
      <c r="F11" s="312" t="s">
        <v>8788</v>
      </c>
      <c r="G11" s="308" t="s">
        <v>8789</v>
      </c>
      <c r="H11" s="311" t="s">
        <v>8777</v>
      </c>
    </row>
    <row r="12" spans="2:8" ht="21">
      <c r="B12" s="311" t="s">
        <v>8758</v>
      </c>
      <c r="C12" s="311" t="s">
        <v>8790</v>
      </c>
      <c r="D12" s="311" t="s">
        <v>8791</v>
      </c>
      <c r="E12" s="312" t="s">
        <v>8792</v>
      </c>
      <c r="F12" s="312" t="s">
        <v>8793</v>
      </c>
      <c r="G12" s="308" t="s">
        <v>8794</v>
      </c>
      <c r="H12" s="311" t="s">
        <v>8764</v>
      </c>
    </row>
    <row r="13" spans="2:8" ht="21">
      <c r="B13" s="311" t="s">
        <v>8758</v>
      </c>
      <c r="C13" s="311" t="s">
        <v>8790</v>
      </c>
      <c r="D13" s="311" t="s">
        <v>8795</v>
      </c>
      <c r="E13" s="312" t="s">
        <v>8796</v>
      </c>
      <c r="F13" s="312" t="s">
        <v>8797</v>
      </c>
      <c r="G13" s="308" t="s">
        <v>8589</v>
      </c>
      <c r="H13" s="311" t="s">
        <v>8764</v>
      </c>
    </row>
    <row r="14" spans="2:8" ht="21">
      <c r="B14" s="311" t="s">
        <v>8758</v>
      </c>
      <c r="C14" s="311" t="s">
        <v>8790</v>
      </c>
      <c r="D14" s="311" t="s">
        <v>8798</v>
      </c>
      <c r="E14" s="312" t="s">
        <v>8799</v>
      </c>
      <c r="F14" s="312" t="s">
        <v>8800</v>
      </c>
      <c r="G14" s="308" t="s">
        <v>8801</v>
      </c>
      <c r="H14" s="311" t="s">
        <v>8777</v>
      </c>
    </row>
    <row r="15" spans="2:8" ht="21">
      <c r="B15" s="311" t="s">
        <v>8758</v>
      </c>
      <c r="C15" s="311" t="s">
        <v>8802</v>
      </c>
      <c r="D15" s="311" t="s">
        <v>8803</v>
      </c>
      <c r="E15" s="312" t="s">
        <v>8804</v>
      </c>
      <c r="F15" s="312" t="s">
        <v>8805</v>
      </c>
      <c r="G15" s="308" t="s">
        <v>8591</v>
      </c>
      <c r="H15" s="311" t="s">
        <v>8777</v>
      </c>
    </row>
    <row r="16" spans="2:8" ht="21">
      <c r="B16" s="311" t="s">
        <v>8758</v>
      </c>
      <c r="C16" s="311" t="s">
        <v>8806</v>
      </c>
      <c r="D16" s="311" t="s">
        <v>8807</v>
      </c>
      <c r="E16" s="312" t="s">
        <v>8808</v>
      </c>
      <c r="F16" s="312" t="s">
        <v>8809</v>
      </c>
      <c r="G16" s="308" t="s">
        <v>8810</v>
      </c>
      <c r="H16" s="311" t="s">
        <v>8811</v>
      </c>
    </row>
    <row r="17" spans="2:8" ht="21">
      <c r="B17" s="311" t="s">
        <v>8758</v>
      </c>
      <c r="C17" s="311" t="s">
        <v>8812</v>
      </c>
      <c r="D17" s="311" t="s">
        <v>8813</v>
      </c>
      <c r="E17" s="312" t="s">
        <v>8814</v>
      </c>
      <c r="F17" s="312" t="s">
        <v>8815</v>
      </c>
      <c r="G17" s="308" t="s">
        <v>8593</v>
      </c>
      <c r="H17" s="311" t="s">
        <v>8764</v>
      </c>
    </row>
    <row r="18" spans="2:8" ht="21">
      <c r="B18" s="311" t="s">
        <v>8758</v>
      </c>
      <c r="C18" s="311" t="s">
        <v>8812</v>
      </c>
      <c r="D18" s="311" t="s">
        <v>8816</v>
      </c>
      <c r="E18" s="312" t="s">
        <v>8817</v>
      </c>
      <c r="F18" s="312" t="s">
        <v>8818</v>
      </c>
      <c r="G18" s="308" t="s">
        <v>8819</v>
      </c>
      <c r="H18" s="311" t="s">
        <v>8777</v>
      </c>
    </row>
    <row r="19" spans="2:8" ht="21">
      <c r="B19" s="311" t="s">
        <v>8758</v>
      </c>
      <c r="C19" s="311" t="s">
        <v>8812</v>
      </c>
      <c r="D19" s="311" t="s">
        <v>8820</v>
      </c>
      <c r="E19" s="312" t="s">
        <v>8821</v>
      </c>
      <c r="F19" s="312" t="s">
        <v>8822</v>
      </c>
      <c r="G19" s="308" t="s">
        <v>8823</v>
      </c>
      <c r="H19" s="311" t="s">
        <v>8777</v>
      </c>
    </row>
    <row r="20" spans="2:8">
      <c r="B20" s="311" t="s">
        <v>8758</v>
      </c>
      <c r="C20" s="311" t="s">
        <v>8824</v>
      </c>
      <c r="D20" s="311" t="s">
        <v>8825</v>
      </c>
      <c r="E20" s="312" t="s">
        <v>8826</v>
      </c>
      <c r="F20" s="312" t="s">
        <v>8827</v>
      </c>
      <c r="G20" s="308" t="s">
        <v>8828</v>
      </c>
      <c r="H20" s="311" t="s">
        <v>8777</v>
      </c>
    </row>
    <row r="21" spans="2:8" ht="21">
      <c r="B21" s="311" t="s">
        <v>8758</v>
      </c>
      <c r="C21" s="311" t="s">
        <v>8824</v>
      </c>
      <c r="D21" s="311" t="s">
        <v>8829</v>
      </c>
      <c r="E21" s="312" t="s">
        <v>8830</v>
      </c>
      <c r="F21" s="312" t="s">
        <v>8831</v>
      </c>
      <c r="G21" s="308" t="s">
        <v>8832</v>
      </c>
      <c r="H21" s="311" t="s">
        <v>8777</v>
      </c>
    </row>
    <row r="22" spans="2:8" ht="21">
      <c r="B22" s="311" t="s">
        <v>8758</v>
      </c>
      <c r="C22" s="311" t="s">
        <v>8833</v>
      </c>
      <c r="D22" s="311" t="s">
        <v>8834</v>
      </c>
      <c r="E22" s="312" t="s">
        <v>8835</v>
      </c>
      <c r="F22" s="312" t="s">
        <v>8836</v>
      </c>
      <c r="G22" s="308" t="s">
        <v>8837</v>
      </c>
      <c r="H22" s="311" t="s">
        <v>8777</v>
      </c>
    </row>
    <row r="23" spans="2:8" ht="21">
      <c r="B23" s="311" t="s">
        <v>8758</v>
      </c>
      <c r="C23" s="311" t="s">
        <v>8833</v>
      </c>
      <c r="D23" s="311" t="s">
        <v>8838</v>
      </c>
      <c r="E23" s="312" t="s">
        <v>8839</v>
      </c>
      <c r="F23" s="312" t="s">
        <v>8840</v>
      </c>
      <c r="G23" s="308" t="s">
        <v>8595</v>
      </c>
      <c r="H23" s="311" t="s">
        <v>8764</v>
      </c>
    </row>
    <row r="24" spans="2:8">
      <c r="B24" s="311" t="s">
        <v>8758</v>
      </c>
      <c r="C24" s="311" t="s">
        <v>8833</v>
      </c>
      <c r="D24" s="311" t="s">
        <v>8841</v>
      </c>
      <c r="E24" s="312" t="s">
        <v>8842</v>
      </c>
      <c r="F24" s="312" t="s">
        <v>8843</v>
      </c>
      <c r="G24" s="308" t="s">
        <v>8844</v>
      </c>
      <c r="H24" s="311" t="s">
        <v>8777</v>
      </c>
    </row>
    <row r="25" spans="2:8" ht="21">
      <c r="B25" s="311" t="s">
        <v>8758</v>
      </c>
      <c r="C25" s="311" t="s">
        <v>8845</v>
      </c>
      <c r="D25" s="311" t="s">
        <v>8846</v>
      </c>
      <c r="E25" s="312" t="s">
        <v>8847</v>
      </c>
      <c r="F25" s="312" t="s">
        <v>8848</v>
      </c>
      <c r="G25" s="308" t="s">
        <v>8597</v>
      </c>
      <c r="H25" s="311" t="s">
        <v>8764</v>
      </c>
    </row>
    <row r="26" spans="2:8" ht="31.5">
      <c r="B26" s="311" t="s">
        <v>8758</v>
      </c>
      <c r="C26" s="311" t="s">
        <v>8845</v>
      </c>
      <c r="D26" s="311" t="s">
        <v>8849</v>
      </c>
      <c r="E26" s="312" t="s">
        <v>8850</v>
      </c>
      <c r="F26" s="312" t="s">
        <v>8851</v>
      </c>
      <c r="G26" s="308" t="s">
        <v>8635</v>
      </c>
      <c r="H26" s="311" t="s">
        <v>8764</v>
      </c>
    </row>
    <row r="27" spans="2:8" ht="21">
      <c r="B27" s="311" t="s">
        <v>8758</v>
      </c>
      <c r="C27" s="311" t="s">
        <v>8845</v>
      </c>
      <c r="D27" s="311" t="s">
        <v>8852</v>
      </c>
      <c r="E27" s="312" t="s">
        <v>8853</v>
      </c>
      <c r="F27" s="312" t="s">
        <v>8854</v>
      </c>
      <c r="G27" s="308" t="s">
        <v>8599</v>
      </c>
      <c r="H27" s="311" t="s">
        <v>8764</v>
      </c>
    </row>
    <row r="28" spans="2:8" ht="21">
      <c r="B28" s="311" t="s">
        <v>8758</v>
      </c>
      <c r="C28" s="311" t="s">
        <v>8855</v>
      </c>
      <c r="D28" s="311" t="s">
        <v>8856</v>
      </c>
      <c r="E28" s="312" t="s">
        <v>8857</v>
      </c>
      <c r="F28" s="312" t="s">
        <v>8858</v>
      </c>
      <c r="G28" s="308" t="s">
        <v>8636</v>
      </c>
      <c r="H28" s="311" t="s">
        <v>8777</v>
      </c>
    </row>
    <row r="29" spans="2:8" ht="21">
      <c r="B29" s="311" t="s">
        <v>8758</v>
      </c>
      <c r="C29" s="311" t="s">
        <v>8855</v>
      </c>
      <c r="D29" s="311" t="s">
        <v>8859</v>
      </c>
      <c r="E29" s="312" t="s">
        <v>8860</v>
      </c>
      <c r="F29" s="312" t="s">
        <v>8861</v>
      </c>
      <c r="G29" s="308" t="s">
        <v>8862</v>
      </c>
      <c r="H29" s="311" t="s">
        <v>8777</v>
      </c>
    </row>
    <row r="30" spans="2:8" ht="21">
      <c r="B30" s="311" t="s">
        <v>8758</v>
      </c>
      <c r="C30" s="311" t="s">
        <v>8576</v>
      </c>
      <c r="D30" s="311" t="s">
        <v>8863</v>
      </c>
      <c r="E30" s="312" t="s">
        <v>8864</v>
      </c>
      <c r="F30" s="312" t="s">
        <v>8865</v>
      </c>
      <c r="G30" s="308" t="s">
        <v>8866</v>
      </c>
      <c r="H30" s="311" t="s">
        <v>8764</v>
      </c>
    </row>
    <row r="31" spans="2:8" ht="21">
      <c r="B31" s="311" t="s">
        <v>8758</v>
      </c>
      <c r="C31" s="311" t="s">
        <v>8576</v>
      </c>
      <c r="D31" s="311" t="s">
        <v>8867</v>
      </c>
      <c r="E31" s="312" t="s">
        <v>8868</v>
      </c>
      <c r="F31" s="312" t="s">
        <v>8869</v>
      </c>
      <c r="G31" s="308" t="s">
        <v>8601</v>
      </c>
      <c r="H31" s="311" t="s">
        <v>8764</v>
      </c>
    </row>
    <row r="32" spans="2:8" ht="21">
      <c r="B32" s="311" t="s">
        <v>8758</v>
      </c>
      <c r="C32" s="311" t="s">
        <v>8576</v>
      </c>
      <c r="D32" s="311" t="s">
        <v>8870</v>
      </c>
      <c r="E32" s="312" t="s">
        <v>8871</v>
      </c>
      <c r="F32" s="312" t="s">
        <v>8872</v>
      </c>
      <c r="G32" s="308" t="s">
        <v>8873</v>
      </c>
      <c r="H32" s="311" t="s">
        <v>8777</v>
      </c>
    </row>
    <row r="33" spans="2:8" ht="21">
      <c r="B33" s="311" t="s">
        <v>8758</v>
      </c>
      <c r="C33" s="311" t="s">
        <v>8576</v>
      </c>
      <c r="D33" s="311" t="s">
        <v>8874</v>
      </c>
      <c r="E33" s="312" t="s">
        <v>8875</v>
      </c>
      <c r="F33" s="312" t="s">
        <v>8876</v>
      </c>
      <c r="G33" s="308" t="s">
        <v>8877</v>
      </c>
      <c r="H33" s="311" t="s">
        <v>8811</v>
      </c>
    </row>
    <row r="34" spans="2:8">
      <c r="B34" s="311" t="s">
        <v>8758</v>
      </c>
      <c r="C34" s="311" t="s">
        <v>8576</v>
      </c>
      <c r="D34" s="311" t="s">
        <v>8878</v>
      </c>
      <c r="E34" s="312" t="s">
        <v>8879</v>
      </c>
      <c r="F34" s="312" t="s">
        <v>8880</v>
      </c>
      <c r="G34" s="308" t="s">
        <v>8881</v>
      </c>
      <c r="H34" s="311" t="s">
        <v>8777</v>
      </c>
    </row>
    <row r="35" spans="2:8" ht="21">
      <c r="B35" s="311" t="s">
        <v>8758</v>
      </c>
      <c r="C35" s="311" t="s">
        <v>8882</v>
      </c>
      <c r="D35" s="311" t="s">
        <v>8883</v>
      </c>
      <c r="E35" s="312" t="s">
        <v>8884</v>
      </c>
      <c r="F35" s="312" t="s">
        <v>8885</v>
      </c>
      <c r="G35" s="308" t="s">
        <v>8886</v>
      </c>
      <c r="H35" s="311" t="s">
        <v>8777</v>
      </c>
    </row>
    <row r="36" spans="2:8" ht="21">
      <c r="B36" s="311" t="s">
        <v>8758</v>
      </c>
      <c r="C36" s="311" t="s">
        <v>8887</v>
      </c>
      <c r="D36" s="311" t="s">
        <v>8888</v>
      </c>
      <c r="E36" s="312" t="s">
        <v>8889</v>
      </c>
      <c r="F36" s="312" t="s">
        <v>8890</v>
      </c>
      <c r="G36" s="308" t="s">
        <v>8891</v>
      </c>
      <c r="H36" s="311" t="s">
        <v>8811</v>
      </c>
    </row>
    <row r="37" spans="2:8" ht="21">
      <c r="B37" s="311" t="s">
        <v>8758</v>
      </c>
      <c r="C37" s="311" t="s">
        <v>8892</v>
      </c>
      <c r="D37" s="311" t="s">
        <v>8893</v>
      </c>
      <c r="E37" s="312" t="s">
        <v>8894</v>
      </c>
      <c r="F37" s="312" t="s">
        <v>8895</v>
      </c>
      <c r="G37" s="308" t="s">
        <v>8896</v>
      </c>
      <c r="H37" s="311" t="s">
        <v>8777</v>
      </c>
    </row>
    <row r="38" spans="2:8" ht="21">
      <c r="B38" s="311" t="s">
        <v>8758</v>
      </c>
      <c r="C38" s="311" t="s">
        <v>8897</v>
      </c>
      <c r="D38" s="311" t="s">
        <v>8898</v>
      </c>
      <c r="E38" s="312" t="s">
        <v>8899</v>
      </c>
      <c r="F38" s="312" t="s">
        <v>8900</v>
      </c>
      <c r="G38" s="308" t="s">
        <v>8637</v>
      </c>
      <c r="H38" s="311" t="s">
        <v>8777</v>
      </c>
    </row>
    <row r="39" spans="2:8" ht="21">
      <c r="B39" s="311" t="s">
        <v>8758</v>
      </c>
      <c r="C39" s="311" t="s">
        <v>8897</v>
      </c>
      <c r="D39" s="311" t="s">
        <v>8901</v>
      </c>
      <c r="E39" s="312" t="s">
        <v>8902</v>
      </c>
      <c r="F39" s="312" t="s">
        <v>8903</v>
      </c>
      <c r="G39" s="308" t="s">
        <v>8904</v>
      </c>
      <c r="H39" s="311" t="s">
        <v>8777</v>
      </c>
    </row>
    <row r="40" spans="2:8" ht="21">
      <c r="B40" s="311" t="s">
        <v>8758</v>
      </c>
      <c r="C40" s="311" t="s">
        <v>8580</v>
      </c>
      <c r="D40" s="311" t="s">
        <v>8905</v>
      </c>
      <c r="E40" s="312" t="s">
        <v>8906</v>
      </c>
      <c r="F40" s="312" t="s">
        <v>8907</v>
      </c>
      <c r="G40" s="308" t="s">
        <v>8638</v>
      </c>
      <c r="H40" s="311" t="s">
        <v>8777</v>
      </c>
    </row>
    <row r="41" spans="2:8" ht="21">
      <c r="B41" s="311" t="s">
        <v>8758</v>
      </c>
      <c r="C41" s="311" t="s">
        <v>8580</v>
      </c>
      <c r="D41" s="311" t="s">
        <v>8908</v>
      </c>
      <c r="E41" s="312" t="s">
        <v>8909</v>
      </c>
      <c r="F41" s="312" t="s">
        <v>8910</v>
      </c>
      <c r="G41" s="308" t="s">
        <v>8911</v>
      </c>
      <c r="H41" s="311" t="s">
        <v>8777</v>
      </c>
    </row>
    <row r="42" spans="2:8">
      <c r="B42" s="311" t="s">
        <v>8484</v>
      </c>
      <c r="C42" s="311" t="s">
        <v>8912</v>
      </c>
      <c r="D42" s="311" t="s">
        <v>8913</v>
      </c>
      <c r="E42" s="312" t="s">
        <v>8914</v>
      </c>
      <c r="F42" s="312" t="s">
        <v>8915</v>
      </c>
      <c r="G42" s="308" t="s">
        <v>8640</v>
      </c>
      <c r="H42" s="311" t="s">
        <v>8916</v>
      </c>
    </row>
    <row r="43" spans="2:8">
      <c r="B43" s="311" t="s">
        <v>8484</v>
      </c>
      <c r="C43" s="311" t="s">
        <v>8917</v>
      </c>
      <c r="D43" s="311" t="s">
        <v>8918</v>
      </c>
      <c r="E43" s="312" t="s">
        <v>8919</v>
      </c>
      <c r="F43" s="312" t="s">
        <v>8920</v>
      </c>
      <c r="G43" s="308" t="s">
        <v>8641</v>
      </c>
      <c r="H43" s="311" t="s">
        <v>8764</v>
      </c>
    </row>
    <row r="44" spans="2:8">
      <c r="B44" s="311" t="s">
        <v>8484</v>
      </c>
      <c r="C44" s="311" t="s">
        <v>11</v>
      </c>
      <c r="D44" s="311" t="s">
        <v>11</v>
      </c>
      <c r="E44" s="312" t="s">
        <v>8921</v>
      </c>
      <c r="F44" s="312" t="s">
        <v>8922</v>
      </c>
      <c r="G44" s="308" t="s">
        <v>8642</v>
      </c>
      <c r="H44" s="311" t="s">
        <v>8764</v>
      </c>
    </row>
    <row r="45" spans="2:8" ht="21">
      <c r="B45" s="311" t="s">
        <v>8484</v>
      </c>
      <c r="C45" s="311" t="s">
        <v>8625</v>
      </c>
      <c r="D45" s="311" t="s">
        <v>8923</v>
      </c>
      <c r="E45" s="312" t="s">
        <v>8924</v>
      </c>
      <c r="F45" s="312" t="s">
        <v>8925</v>
      </c>
      <c r="G45" s="308" t="s">
        <v>8643</v>
      </c>
      <c r="H45" s="311" t="s">
        <v>8764</v>
      </c>
    </row>
    <row r="46" spans="2:8">
      <c r="B46" s="311" t="s">
        <v>8484</v>
      </c>
      <c r="C46" s="311" t="s">
        <v>8926</v>
      </c>
      <c r="D46" s="311" t="s">
        <v>8927</v>
      </c>
      <c r="E46" s="312" t="s">
        <v>8928</v>
      </c>
      <c r="F46" s="312" t="s">
        <v>8929</v>
      </c>
      <c r="G46" s="308" t="s">
        <v>8930</v>
      </c>
      <c r="H46" s="311" t="s">
        <v>8764</v>
      </c>
    </row>
    <row r="47" spans="2:8" ht="21">
      <c r="B47" s="311" t="s">
        <v>8484</v>
      </c>
      <c r="C47" s="311" t="s">
        <v>8931</v>
      </c>
      <c r="D47" s="311" t="s">
        <v>8932</v>
      </c>
      <c r="E47" s="312" t="s">
        <v>8933</v>
      </c>
      <c r="F47" s="312" t="s">
        <v>8934</v>
      </c>
      <c r="G47" s="308" t="s">
        <v>8644</v>
      </c>
      <c r="H47" s="311" t="s">
        <v>8777</v>
      </c>
    </row>
    <row r="48" spans="2:8">
      <c r="B48" s="311" t="s">
        <v>8484</v>
      </c>
      <c r="C48" s="311" t="s">
        <v>8931</v>
      </c>
      <c r="D48" s="311" t="s">
        <v>8935</v>
      </c>
      <c r="E48" s="312" t="s">
        <v>8936</v>
      </c>
      <c r="F48" s="312" t="s">
        <v>8937</v>
      </c>
      <c r="G48" s="308" t="s">
        <v>8938</v>
      </c>
      <c r="H48" s="311" t="s">
        <v>8777</v>
      </c>
    </row>
    <row r="49" spans="2:8" ht="21">
      <c r="B49" s="311" t="s">
        <v>8484</v>
      </c>
      <c r="C49" s="311" t="s">
        <v>8939</v>
      </c>
      <c r="D49" s="311" t="s">
        <v>8940</v>
      </c>
      <c r="E49" s="312" t="s">
        <v>8941</v>
      </c>
      <c r="F49" s="312" t="s">
        <v>8942</v>
      </c>
      <c r="G49" s="308" t="s">
        <v>8943</v>
      </c>
      <c r="H49" s="311" t="s">
        <v>8811</v>
      </c>
    </row>
    <row r="50" spans="2:8">
      <c r="B50" s="311" t="s">
        <v>8484</v>
      </c>
      <c r="C50" s="311" t="s">
        <v>8576</v>
      </c>
      <c r="D50" s="311" t="s">
        <v>8576</v>
      </c>
      <c r="E50" s="312" t="s">
        <v>8944</v>
      </c>
      <c r="F50" s="312" t="s">
        <v>8945</v>
      </c>
      <c r="G50" s="308" t="s">
        <v>8645</v>
      </c>
      <c r="H50" s="311" t="s">
        <v>8777</v>
      </c>
    </row>
    <row r="51" spans="2:8">
      <c r="B51" s="311" t="s">
        <v>8484</v>
      </c>
      <c r="C51" s="311" t="s">
        <v>8576</v>
      </c>
      <c r="D51" s="311" t="s">
        <v>8946</v>
      </c>
      <c r="E51" s="312" t="s">
        <v>8947</v>
      </c>
      <c r="F51" s="312" t="s">
        <v>8948</v>
      </c>
      <c r="G51" s="308" t="s">
        <v>8949</v>
      </c>
      <c r="H51" s="311" t="s">
        <v>8764</v>
      </c>
    </row>
    <row r="52" spans="2:8">
      <c r="B52" s="311" t="s">
        <v>8484</v>
      </c>
      <c r="C52" s="311" t="s">
        <v>8576</v>
      </c>
      <c r="D52" s="311" t="s">
        <v>8950</v>
      </c>
      <c r="E52" s="312" t="s">
        <v>8951</v>
      </c>
      <c r="F52" s="312" t="s">
        <v>8952</v>
      </c>
      <c r="G52" s="308" t="s">
        <v>8953</v>
      </c>
      <c r="H52" s="311" t="s">
        <v>8777</v>
      </c>
    </row>
    <row r="53" spans="2:8">
      <c r="B53" s="311" t="s">
        <v>8484</v>
      </c>
      <c r="C53" s="311" t="s">
        <v>8954</v>
      </c>
      <c r="D53" s="311" t="s">
        <v>8955</v>
      </c>
      <c r="E53" s="312" t="s">
        <v>8956</v>
      </c>
      <c r="F53" s="312" t="s">
        <v>8957</v>
      </c>
      <c r="G53" s="308" t="s">
        <v>8958</v>
      </c>
      <c r="H53" s="311" t="s">
        <v>8777</v>
      </c>
    </row>
    <row r="54" spans="2:8">
      <c r="B54" s="311" t="s">
        <v>8484</v>
      </c>
      <c r="C54" s="311" t="s">
        <v>8855</v>
      </c>
      <c r="D54" s="311" t="s">
        <v>8959</v>
      </c>
      <c r="E54" s="312" t="s">
        <v>8960</v>
      </c>
      <c r="F54" s="312" t="s">
        <v>8961</v>
      </c>
      <c r="G54" s="308" t="s">
        <v>8646</v>
      </c>
      <c r="H54" s="311" t="s">
        <v>8777</v>
      </c>
    </row>
    <row r="55" spans="2:8">
      <c r="B55" s="311" t="s">
        <v>8484</v>
      </c>
      <c r="C55" s="311" t="s">
        <v>8962</v>
      </c>
      <c r="D55" s="311" t="s">
        <v>8963</v>
      </c>
      <c r="E55" s="312" t="s">
        <v>8964</v>
      </c>
      <c r="F55" s="312" t="s">
        <v>8965</v>
      </c>
      <c r="G55" s="308" t="s">
        <v>8966</v>
      </c>
      <c r="H55" s="311" t="s">
        <v>8811</v>
      </c>
    </row>
    <row r="56" spans="2:8" ht="21">
      <c r="B56" s="311" t="s">
        <v>8484</v>
      </c>
      <c r="C56" s="311" t="s">
        <v>8897</v>
      </c>
      <c r="D56" s="311" t="s">
        <v>8967</v>
      </c>
      <c r="E56" s="312" t="s">
        <v>8968</v>
      </c>
      <c r="F56" s="312" t="s">
        <v>8969</v>
      </c>
      <c r="G56" s="308" t="s">
        <v>8970</v>
      </c>
      <c r="H56" s="311" t="s">
        <v>8777</v>
      </c>
    </row>
    <row r="57" spans="2:8">
      <c r="B57" s="311" t="s">
        <v>8484</v>
      </c>
      <c r="C57" s="311" t="s">
        <v>8897</v>
      </c>
      <c r="D57" s="311" t="s">
        <v>8971</v>
      </c>
      <c r="E57" s="312" t="s">
        <v>8972</v>
      </c>
      <c r="F57" s="312" t="s">
        <v>8973</v>
      </c>
      <c r="G57" s="308" t="s">
        <v>8647</v>
      </c>
      <c r="H57" s="311" t="s">
        <v>8777</v>
      </c>
    </row>
    <row r="58" spans="2:8">
      <c r="B58" s="311" t="s">
        <v>8484</v>
      </c>
      <c r="C58" s="311" t="s">
        <v>8629</v>
      </c>
      <c r="D58" s="311" t="s">
        <v>8974</v>
      </c>
      <c r="E58" s="312" t="s">
        <v>8975</v>
      </c>
      <c r="F58" s="312" t="s">
        <v>8976</v>
      </c>
      <c r="G58" s="308" t="s">
        <v>8648</v>
      </c>
      <c r="H58" s="311" t="s">
        <v>8777</v>
      </c>
    </row>
    <row r="59" spans="2:8" ht="21">
      <c r="B59" s="311" t="s">
        <v>8484</v>
      </c>
      <c r="C59" s="311" t="s">
        <v>8580</v>
      </c>
      <c r="D59" s="311" t="s">
        <v>8977</v>
      </c>
      <c r="E59" s="312" t="s">
        <v>8978</v>
      </c>
      <c r="F59" s="312" t="s">
        <v>8979</v>
      </c>
      <c r="G59" s="308" t="s">
        <v>8649</v>
      </c>
      <c r="H59" s="311" t="s">
        <v>8811</v>
      </c>
    </row>
    <row r="60" spans="2:8">
      <c r="B60" s="311" t="s">
        <v>8484</v>
      </c>
      <c r="C60" s="311" t="s">
        <v>8980</v>
      </c>
      <c r="D60" s="311" t="s">
        <v>8981</v>
      </c>
      <c r="E60" s="312" t="s">
        <v>8982</v>
      </c>
      <c r="F60" s="312" t="s">
        <v>8983</v>
      </c>
      <c r="G60" s="308" t="s">
        <v>8984</v>
      </c>
      <c r="H60" s="311" t="s">
        <v>8777</v>
      </c>
    </row>
    <row r="61" spans="2:8">
      <c r="B61" s="311" t="s">
        <v>3966</v>
      </c>
      <c r="C61" s="311" t="s">
        <v>8912</v>
      </c>
      <c r="D61" s="311" t="s">
        <v>8985</v>
      </c>
      <c r="E61" s="312" t="s">
        <v>8986</v>
      </c>
      <c r="F61" s="312" t="s">
        <v>8987</v>
      </c>
      <c r="G61" s="308" t="s">
        <v>8651</v>
      </c>
      <c r="H61" s="311" t="s">
        <v>8916</v>
      </c>
    </row>
    <row r="62" spans="2:8" ht="21">
      <c r="B62" s="311" t="s">
        <v>3966</v>
      </c>
      <c r="C62" s="311" t="s">
        <v>8917</v>
      </c>
      <c r="D62" s="311" t="s">
        <v>8988</v>
      </c>
      <c r="E62" s="312" t="s">
        <v>8989</v>
      </c>
      <c r="F62" s="312" t="s">
        <v>8990</v>
      </c>
      <c r="G62" s="308" t="s">
        <v>8652</v>
      </c>
      <c r="H62" s="311" t="s">
        <v>8764</v>
      </c>
    </row>
    <row r="63" spans="2:8">
      <c r="B63" s="311" t="s">
        <v>3966</v>
      </c>
      <c r="C63" s="311" t="s">
        <v>8991</v>
      </c>
      <c r="D63" s="311" t="s">
        <v>8992</v>
      </c>
      <c r="E63" s="312" t="s">
        <v>8993</v>
      </c>
      <c r="F63" s="312" t="s">
        <v>8994</v>
      </c>
      <c r="G63" s="308" t="s">
        <v>8995</v>
      </c>
      <c r="H63" s="311" t="s">
        <v>8811</v>
      </c>
    </row>
    <row r="64" spans="2:8">
      <c r="B64" s="311" t="s">
        <v>3966</v>
      </c>
      <c r="C64" s="311" t="s">
        <v>11</v>
      </c>
      <c r="D64" s="311" t="s">
        <v>8996</v>
      </c>
      <c r="E64" s="312" t="s">
        <v>8997</v>
      </c>
      <c r="F64" s="312" t="s">
        <v>8998</v>
      </c>
      <c r="G64" s="308" t="s">
        <v>8653</v>
      </c>
      <c r="H64" s="311" t="s">
        <v>8764</v>
      </c>
    </row>
    <row r="65" spans="2:8" ht="21">
      <c r="B65" s="311" t="s">
        <v>3966</v>
      </c>
      <c r="C65" s="311" t="s">
        <v>8625</v>
      </c>
      <c r="D65" s="311" t="s">
        <v>8625</v>
      </c>
      <c r="E65" s="312" t="s">
        <v>8999</v>
      </c>
      <c r="F65" s="312" t="s">
        <v>9000</v>
      </c>
      <c r="G65" s="308" t="s">
        <v>8654</v>
      </c>
      <c r="H65" s="311" t="s">
        <v>8764</v>
      </c>
    </row>
    <row r="66" spans="2:8" ht="21">
      <c r="B66" s="311" t="s">
        <v>3966</v>
      </c>
      <c r="C66" s="311" t="s">
        <v>8625</v>
      </c>
      <c r="D66" s="311" t="s">
        <v>9001</v>
      </c>
      <c r="E66" s="312" t="s">
        <v>9002</v>
      </c>
      <c r="F66" s="312" t="s">
        <v>9003</v>
      </c>
      <c r="G66" s="308" t="s">
        <v>9004</v>
      </c>
      <c r="H66" s="311" t="s">
        <v>8777</v>
      </c>
    </row>
    <row r="67" spans="2:8" ht="21">
      <c r="B67" s="311" t="s">
        <v>3966</v>
      </c>
      <c r="C67" s="311" t="s">
        <v>8926</v>
      </c>
      <c r="D67" s="311" t="s">
        <v>9005</v>
      </c>
      <c r="E67" s="312" t="s">
        <v>9006</v>
      </c>
      <c r="F67" s="312" t="s">
        <v>9007</v>
      </c>
      <c r="G67" s="308" t="s">
        <v>9008</v>
      </c>
      <c r="H67" s="311" t="s">
        <v>8764</v>
      </c>
    </row>
    <row r="68" spans="2:8">
      <c r="B68" s="311" t="s">
        <v>3966</v>
      </c>
      <c r="C68" s="311" t="s">
        <v>8882</v>
      </c>
      <c r="D68" s="311" t="s">
        <v>9009</v>
      </c>
      <c r="E68" s="312" t="s">
        <v>9010</v>
      </c>
      <c r="F68" s="312" t="s">
        <v>9011</v>
      </c>
      <c r="G68" s="308" t="s">
        <v>9012</v>
      </c>
      <c r="H68" s="311" t="s">
        <v>8777</v>
      </c>
    </row>
    <row r="69" spans="2:8">
      <c r="B69" s="311" t="s">
        <v>3966</v>
      </c>
      <c r="C69" s="311" t="s">
        <v>8931</v>
      </c>
      <c r="D69" s="311" t="s">
        <v>9013</v>
      </c>
      <c r="E69" s="312" t="s">
        <v>9014</v>
      </c>
      <c r="F69" s="312" t="s">
        <v>9015</v>
      </c>
      <c r="G69" s="308" t="s">
        <v>8655</v>
      </c>
      <c r="H69" s="311" t="s">
        <v>8764</v>
      </c>
    </row>
    <row r="70" spans="2:8">
      <c r="B70" s="311" t="s">
        <v>3966</v>
      </c>
      <c r="C70" s="311" t="s">
        <v>8931</v>
      </c>
      <c r="D70" s="311" t="s">
        <v>9016</v>
      </c>
      <c r="E70" s="312" t="s">
        <v>9017</v>
      </c>
      <c r="F70" s="312" t="s">
        <v>9018</v>
      </c>
      <c r="G70" s="308" t="s">
        <v>9019</v>
      </c>
      <c r="H70" s="311" t="s">
        <v>8777</v>
      </c>
    </row>
    <row r="71" spans="2:8">
      <c r="B71" s="311" t="s">
        <v>3966</v>
      </c>
      <c r="C71" s="311" t="s">
        <v>8931</v>
      </c>
      <c r="D71" s="311" t="s">
        <v>9020</v>
      </c>
      <c r="E71" s="312" t="s">
        <v>9021</v>
      </c>
      <c r="F71" s="312" t="s">
        <v>9022</v>
      </c>
      <c r="G71" s="308" t="s">
        <v>9023</v>
      </c>
      <c r="H71" s="311" t="s">
        <v>8777</v>
      </c>
    </row>
    <row r="72" spans="2:8">
      <c r="B72" s="311" t="s">
        <v>3966</v>
      </c>
      <c r="C72" s="311" t="s">
        <v>8855</v>
      </c>
      <c r="D72" s="311" t="s">
        <v>9024</v>
      </c>
      <c r="E72" s="312" t="s">
        <v>9025</v>
      </c>
      <c r="F72" s="312" t="s">
        <v>9026</v>
      </c>
      <c r="G72" s="308" t="s">
        <v>8657</v>
      </c>
      <c r="H72" s="311" t="s">
        <v>8777</v>
      </c>
    </row>
    <row r="73" spans="2:8">
      <c r="B73" s="311" t="s">
        <v>3966</v>
      </c>
      <c r="C73" s="311" t="s">
        <v>9027</v>
      </c>
      <c r="D73" s="311" t="s">
        <v>9027</v>
      </c>
      <c r="E73" s="312" t="s">
        <v>9028</v>
      </c>
      <c r="F73" s="312" t="s">
        <v>9029</v>
      </c>
      <c r="G73" s="308" t="s">
        <v>9030</v>
      </c>
      <c r="H73" s="311" t="s">
        <v>8811</v>
      </c>
    </row>
    <row r="74" spans="2:8">
      <c r="B74" s="311" t="s">
        <v>3966</v>
      </c>
      <c r="C74" s="311" t="s">
        <v>8576</v>
      </c>
      <c r="D74" s="311" t="s">
        <v>8946</v>
      </c>
      <c r="E74" s="312" t="s">
        <v>9031</v>
      </c>
      <c r="F74" s="312" t="s">
        <v>9032</v>
      </c>
      <c r="G74" s="308" t="s">
        <v>8656</v>
      </c>
      <c r="H74" s="311" t="s">
        <v>8764</v>
      </c>
    </row>
    <row r="75" spans="2:8">
      <c r="B75" s="311" t="s">
        <v>3966</v>
      </c>
      <c r="C75" s="311" t="s">
        <v>8576</v>
      </c>
      <c r="D75" s="311" t="s">
        <v>9033</v>
      </c>
      <c r="E75" s="312" t="s">
        <v>9034</v>
      </c>
      <c r="F75" s="312" t="s">
        <v>9035</v>
      </c>
      <c r="G75" s="308" t="s">
        <v>9036</v>
      </c>
      <c r="H75" s="311" t="s">
        <v>8777</v>
      </c>
    </row>
    <row r="76" spans="2:8">
      <c r="B76" s="311" t="s">
        <v>3966</v>
      </c>
      <c r="C76" s="311" t="s">
        <v>9037</v>
      </c>
      <c r="D76" s="311" t="s">
        <v>9038</v>
      </c>
      <c r="E76" s="312" t="s">
        <v>9039</v>
      </c>
      <c r="F76" s="312" t="s">
        <v>9040</v>
      </c>
      <c r="G76" s="308" t="s">
        <v>9041</v>
      </c>
      <c r="H76" s="311" t="s">
        <v>8777</v>
      </c>
    </row>
    <row r="77" spans="2:8" ht="21">
      <c r="B77" s="311" t="s">
        <v>3966</v>
      </c>
      <c r="C77" s="311" t="s">
        <v>8897</v>
      </c>
      <c r="D77" s="311" t="s">
        <v>9042</v>
      </c>
      <c r="E77" s="312" t="s">
        <v>9043</v>
      </c>
      <c r="F77" s="312" t="s">
        <v>9044</v>
      </c>
      <c r="G77" s="308" t="s">
        <v>9045</v>
      </c>
      <c r="H77" s="311" t="s">
        <v>8777</v>
      </c>
    </row>
    <row r="78" spans="2:8">
      <c r="B78" s="311" t="s">
        <v>3966</v>
      </c>
      <c r="C78" s="311" t="s">
        <v>8897</v>
      </c>
      <c r="D78" s="311" t="s">
        <v>9046</v>
      </c>
      <c r="E78" s="312" t="s">
        <v>9047</v>
      </c>
      <c r="F78" s="312" t="s">
        <v>9048</v>
      </c>
      <c r="G78" s="308" t="s">
        <v>8658</v>
      </c>
      <c r="H78" s="311" t="s">
        <v>8777</v>
      </c>
    </row>
    <row r="79" spans="2:8" ht="21">
      <c r="B79" s="311" t="s">
        <v>3966</v>
      </c>
      <c r="C79" s="311" t="s">
        <v>8629</v>
      </c>
      <c r="D79" s="311" t="s">
        <v>9049</v>
      </c>
      <c r="E79" s="312" t="s">
        <v>9050</v>
      </c>
      <c r="F79" s="312" t="s">
        <v>9051</v>
      </c>
      <c r="G79" s="308" t="s">
        <v>8659</v>
      </c>
      <c r="H79" s="311" t="s">
        <v>8777</v>
      </c>
    </row>
    <row r="80" spans="2:8" ht="21">
      <c r="B80" s="311" t="s">
        <v>3966</v>
      </c>
      <c r="C80" s="311" t="s">
        <v>8980</v>
      </c>
      <c r="D80" s="311" t="s">
        <v>8980</v>
      </c>
      <c r="E80" s="312" t="s">
        <v>9052</v>
      </c>
      <c r="F80" s="312" t="s">
        <v>9053</v>
      </c>
      <c r="G80" s="308" t="s">
        <v>9054</v>
      </c>
      <c r="H80" s="311" t="s">
        <v>8777</v>
      </c>
    </row>
    <row r="81" spans="2:8">
      <c r="B81" s="311" t="s">
        <v>3966</v>
      </c>
      <c r="C81" s="311" t="s">
        <v>8580</v>
      </c>
      <c r="D81" s="311" t="s">
        <v>9055</v>
      </c>
      <c r="E81" s="312" t="s">
        <v>9056</v>
      </c>
      <c r="F81" s="312" t="s">
        <v>9057</v>
      </c>
      <c r="G81" s="308" t="s">
        <v>8660</v>
      </c>
      <c r="H81" s="311" t="s">
        <v>8811</v>
      </c>
    </row>
    <row r="82" spans="2:8">
      <c r="B82" s="311" t="s">
        <v>3739</v>
      </c>
      <c r="C82" s="311" t="s">
        <v>8912</v>
      </c>
      <c r="D82" s="311" t="s">
        <v>9058</v>
      </c>
      <c r="E82" s="312" t="s">
        <v>9059</v>
      </c>
      <c r="F82" s="312" t="s">
        <v>9060</v>
      </c>
      <c r="G82" s="308" t="s">
        <v>8663</v>
      </c>
      <c r="H82" s="311" t="s">
        <v>8916</v>
      </c>
    </row>
    <row r="83" spans="2:8">
      <c r="B83" s="311" t="s">
        <v>3739</v>
      </c>
      <c r="C83" s="311" t="s">
        <v>11</v>
      </c>
      <c r="D83" s="311" t="s">
        <v>9061</v>
      </c>
      <c r="E83" s="312" t="s">
        <v>9062</v>
      </c>
      <c r="F83" s="312" t="s">
        <v>9063</v>
      </c>
      <c r="G83" s="308" t="s">
        <v>8664</v>
      </c>
      <c r="H83" s="311" t="s">
        <v>8764</v>
      </c>
    </row>
    <row r="84" spans="2:8">
      <c r="B84" s="311" t="s">
        <v>3739</v>
      </c>
      <c r="C84" s="311" t="s">
        <v>8625</v>
      </c>
      <c r="D84" s="311" t="s">
        <v>9064</v>
      </c>
      <c r="E84" s="312" t="s">
        <v>9065</v>
      </c>
      <c r="F84" s="312" t="s">
        <v>9066</v>
      </c>
      <c r="G84" s="308" t="s">
        <v>8666</v>
      </c>
      <c r="H84" s="311" t="s">
        <v>8764</v>
      </c>
    </row>
    <row r="85" spans="2:8" ht="21">
      <c r="B85" s="311" t="s">
        <v>3739</v>
      </c>
      <c r="C85" s="311" t="s">
        <v>8625</v>
      </c>
      <c r="D85" s="311" t="s">
        <v>9067</v>
      </c>
      <c r="E85" s="312" t="s">
        <v>9068</v>
      </c>
      <c r="F85" s="312" t="s">
        <v>9069</v>
      </c>
      <c r="G85" s="308" t="s">
        <v>9070</v>
      </c>
      <c r="H85" s="311" t="s">
        <v>8777</v>
      </c>
    </row>
    <row r="86" spans="2:8" ht="21">
      <c r="B86" s="311" t="s">
        <v>3739</v>
      </c>
      <c r="C86" s="311" t="s">
        <v>8926</v>
      </c>
      <c r="D86" s="311" t="s">
        <v>9071</v>
      </c>
      <c r="E86" s="312" t="s">
        <v>9072</v>
      </c>
      <c r="F86" s="312" t="s">
        <v>9073</v>
      </c>
      <c r="G86" s="308" t="s">
        <v>8665</v>
      </c>
      <c r="H86" s="311" t="s">
        <v>8764</v>
      </c>
    </row>
    <row r="87" spans="2:8">
      <c r="B87" s="311" t="s">
        <v>3739</v>
      </c>
      <c r="C87" s="311" t="s">
        <v>8931</v>
      </c>
      <c r="D87" s="311" t="s">
        <v>9074</v>
      </c>
      <c r="E87" s="312" t="s">
        <v>9075</v>
      </c>
      <c r="F87" s="312" t="s">
        <v>9076</v>
      </c>
      <c r="G87" s="308" t="s">
        <v>9077</v>
      </c>
      <c r="H87" s="311" t="s">
        <v>8777</v>
      </c>
    </row>
    <row r="88" spans="2:8">
      <c r="B88" s="311" t="s">
        <v>3739</v>
      </c>
      <c r="C88" s="311" t="s">
        <v>8931</v>
      </c>
      <c r="D88" s="311" t="s">
        <v>9078</v>
      </c>
      <c r="E88" s="312" t="s">
        <v>9079</v>
      </c>
      <c r="F88" s="312" t="s">
        <v>9080</v>
      </c>
      <c r="G88" s="308" t="s">
        <v>8667</v>
      </c>
      <c r="H88" s="311" t="s">
        <v>8777</v>
      </c>
    </row>
    <row r="89" spans="2:8">
      <c r="B89" s="311" t="s">
        <v>3739</v>
      </c>
      <c r="C89" s="311" t="s">
        <v>8931</v>
      </c>
      <c r="D89" s="311" t="s">
        <v>9081</v>
      </c>
      <c r="E89" s="312" t="s">
        <v>9082</v>
      </c>
      <c r="F89" s="312" t="s">
        <v>9083</v>
      </c>
      <c r="G89" s="308" t="s">
        <v>9084</v>
      </c>
      <c r="H89" s="311" t="s">
        <v>8777</v>
      </c>
    </row>
    <row r="90" spans="2:8">
      <c r="B90" s="311" t="s">
        <v>3739</v>
      </c>
      <c r="C90" s="311" t="s">
        <v>8576</v>
      </c>
      <c r="D90" s="311" t="s">
        <v>9085</v>
      </c>
      <c r="E90" s="312" t="s">
        <v>9086</v>
      </c>
      <c r="F90" s="312" t="s">
        <v>9087</v>
      </c>
      <c r="G90" s="308" t="s">
        <v>9088</v>
      </c>
      <c r="H90" s="311" t="s">
        <v>8777</v>
      </c>
    </row>
    <row r="91" spans="2:8">
      <c r="B91" s="311" t="s">
        <v>3739</v>
      </c>
      <c r="C91" s="311" t="s">
        <v>8576</v>
      </c>
      <c r="D91" s="311" t="s">
        <v>9089</v>
      </c>
      <c r="E91" s="312" t="s">
        <v>9090</v>
      </c>
      <c r="F91" s="312" t="s">
        <v>9091</v>
      </c>
      <c r="G91" s="308" t="s">
        <v>8668</v>
      </c>
      <c r="H91" s="311" t="s">
        <v>8764</v>
      </c>
    </row>
    <row r="92" spans="2:8">
      <c r="B92" s="311" t="s">
        <v>3739</v>
      </c>
      <c r="C92" s="311" t="s">
        <v>8576</v>
      </c>
      <c r="D92" s="311" t="s">
        <v>9092</v>
      </c>
      <c r="E92" s="312" t="s">
        <v>9093</v>
      </c>
      <c r="F92" s="312" t="s">
        <v>9094</v>
      </c>
      <c r="G92" s="308" t="s">
        <v>9095</v>
      </c>
      <c r="H92" s="311" t="s">
        <v>8777</v>
      </c>
    </row>
    <row r="93" spans="2:8">
      <c r="B93" s="311" t="s">
        <v>3739</v>
      </c>
      <c r="C93" s="311" t="s">
        <v>8855</v>
      </c>
      <c r="D93" s="311" t="s">
        <v>9096</v>
      </c>
      <c r="E93" s="312" t="s">
        <v>9097</v>
      </c>
      <c r="F93" s="312" t="s">
        <v>9098</v>
      </c>
      <c r="G93" s="308" t="s">
        <v>8669</v>
      </c>
      <c r="H93" s="311" t="s">
        <v>8777</v>
      </c>
    </row>
    <row r="94" spans="2:8">
      <c r="B94" s="311" t="s">
        <v>3739</v>
      </c>
      <c r="C94" s="311" t="s">
        <v>8897</v>
      </c>
      <c r="D94" s="311" t="s">
        <v>9042</v>
      </c>
      <c r="E94" s="312" t="s">
        <v>9099</v>
      </c>
      <c r="F94" s="312" t="s">
        <v>9100</v>
      </c>
      <c r="G94" s="308" t="s">
        <v>9101</v>
      </c>
      <c r="H94" s="311" t="s">
        <v>8777</v>
      </c>
    </row>
    <row r="95" spans="2:8">
      <c r="B95" s="311" t="s">
        <v>3739</v>
      </c>
      <c r="C95" s="311" t="s">
        <v>8897</v>
      </c>
      <c r="D95" s="311" t="s">
        <v>9102</v>
      </c>
      <c r="E95" s="312" t="s">
        <v>9103</v>
      </c>
      <c r="F95" s="312" t="s">
        <v>9104</v>
      </c>
      <c r="G95" s="308" t="s">
        <v>8670</v>
      </c>
      <c r="H95" s="311" t="s">
        <v>8777</v>
      </c>
    </row>
    <row r="96" spans="2:8">
      <c r="B96" s="311" t="s">
        <v>3739</v>
      </c>
      <c r="C96" s="311" t="s">
        <v>8980</v>
      </c>
      <c r="D96" s="311" t="s">
        <v>8980</v>
      </c>
      <c r="E96" s="312" t="s">
        <v>9105</v>
      </c>
      <c r="F96" s="312" t="s">
        <v>9106</v>
      </c>
      <c r="G96" s="308" t="s">
        <v>8671</v>
      </c>
      <c r="H96" s="311" t="s">
        <v>8777</v>
      </c>
    </row>
    <row r="97" spans="2:8" ht="21">
      <c r="B97" s="311" t="s">
        <v>3739</v>
      </c>
      <c r="C97" s="311" t="s">
        <v>8580</v>
      </c>
      <c r="D97" s="311" t="s">
        <v>9107</v>
      </c>
      <c r="E97" s="312" t="s">
        <v>9108</v>
      </c>
      <c r="F97" s="312" t="s">
        <v>9109</v>
      </c>
      <c r="G97" s="308" t="s">
        <v>8672</v>
      </c>
      <c r="H97" s="311" t="s">
        <v>8777</v>
      </c>
    </row>
    <row r="98" spans="2:8">
      <c r="B98" s="311" t="s">
        <v>3682</v>
      </c>
      <c r="C98" s="311" t="s">
        <v>8912</v>
      </c>
      <c r="D98" s="311" t="s">
        <v>9110</v>
      </c>
      <c r="E98" s="312" t="s">
        <v>8986</v>
      </c>
      <c r="F98" s="312" t="s">
        <v>9111</v>
      </c>
      <c r="G98" s="308" t="s">
        <v>8674</v>
      </c>
      <c r="H98" s="311" t="s">
        <v>8916</v>
      </c>
    </row>
    <row r="99" spans="2:8" ht="21">
      <c r="B99" s="311" t="s">
        <v>3682</v>
      </c>
      <c r="C99" s="311" t="s">
        <v>8917</v>
      </c>
      <c r="D99" s="311" t="s">
        <v>8786</v>
      </c>
      <c r="E99" s="312" t="s">
        <v>9112</v>
      </c>
      <c r="F99" s="312" t="s">
        <v>9113</v>
      </c>
      <c r="G99" s="308" t="s">
        <v>8675</v>
      </c>
      <c r="H99" s="311" t="s">
        <v>8764</v>
      </c>
    </row>
    <row r="100" spans="2:8">
      <c r="B100" s="311" t="s">
        <v>3682</v>
      </c>
      <c r="C100" s="311" t="s">
        <v>9114</v>
      </c>
      <c r="D100" s="311" t="s">
        <v>9115</v>
      </c>
      <c r="E100" s="312" t="s">
        <v>9116</v>
      </c>
      <c r="F100" s="312" t="s">
        <v>9117</v>
      </c>
      <c r="G100" s="308" t="s">
        <v>8677</v>
      </c>
      <c r="H100" s="311" t="s">
        <v>8764</v>
      </c>
    </row>
    <row r="101" spans="2:8" ht="21">
      <c r="B101" s="311" t="s">
        <v>3682</v>
      </c>
      <c r="C101" s="311" t="s">
        <v>8926</v>
      </c>
      <c r="D101" s="311" t="s">
        <v>9118</v>
      </c>
      <c r="E101" s="312" t="s">
        <v>9119</v>
      </c>
      <c r="F101" s="312" t="s">
        <v>9120</v>
      </c>
      <c r="G101" s="308" t="s">
        <v>8676</v>
      </c>
      <c r="H101" s="311" t="s">
        <v>8764</v>
      </c>
    </row>
    <row r="102" spans="2:8">
      <c r="B102" s="311" t="s">
        <v>3682</v>
      </c>
      <c r="C102" s="311" t="s">
        <v>8931</v>
      </c>
      <c r="D102" s="311" t="s">
        <v>9121</v>
      </c>
      <c r="E102" s="312" t="s">
        <v>9122</v>
      </c>
      <c r="F102" s="312" t="s">
        <v>9123</v>
      </c>
      <c r="G102" s="308" t="s">
        <v>9124</v>
      </c>
      <c r="H102" s="311" t="s">
        <v>8777</v>
      </c>
    </row>
    <row r="103" spans="2:8">
      <c r="B103" s="311" t="s">
        <v>3682</v>
      </c>
      <c r="C103" s="311" t="s">
        <v>8931</v>
      </c>
      <c r="D103" s="311" t="s">
        <v>9125</v>
      </c>
      <c r="E103" s="312" t="s">
        <v>9126</v>
      </c>
      <c r="F103" s="312" t="s">
        <v>9127</v>
      </c>
      <c r="G103" s="308" t="s">
        <v>8678</v>
      </c>
      <c r="H103" s="311" t="s">
        <v>8764</v>
      </c>
    </row>
    <row r="104" spans="2:8" ht="21">
      <c r="B104" s="311" t="s">
        <v>3682</v>
      </c>
      <c r="C104" s="311" t="s">
        <v>8931</v>
      </c>
      <c r="D104" s="311" t="s">
        <v>9128</v>
      </c>
      <c r="E104" s="312" t="s">
        <v>9129</v>
      </c>
      <c r="F104" s="312" t="s">
        <v>9130</v>
      </c>
      <c r="G104" s="308" t="s">
        <v>9131</v>
      </c>
      <c r="H104" s="311" t="s">
        <v>8777</v>
      </c>
    </row>
    <row r="105" spans="2:8">
      <c r="B105" s="311" t="s">
        <v>3682</v>
      </c>
      <c r="C105" s="311" t="s">
        <v>8576</v>
      </c>
      <c r="D105" s="311" t="s">
        <v>9132</v>
      </c>
      <c r="E105" s="312" t="s">
        <v>9133</v>
      </c>
      <c r="F105" s="312" t="s">
        <v>9134</v>
      </c>
      <c r="G105" s="308" t="s">
        <v>8679</v>
      </c>
      <c r="H105" s="311" t="s">
        <v>8764</v>
      </c>
    </row>
    <row r="106" spans="2:8">
      <c r="B106" s="311" t="s">
        <v>3682</v>
      </c>
      <c r="C106" s="311" t="s">
        <v>8882</v>
      </c>
      <c r="D106" s="311" t="s">
        <v>8882</v>
      </c>
      <c r="E106" s="312" t="s">
        <v>9135</v>
      </c>
      <c r="F106" s="312" t="s">
        <v>9136</v>
      </c>
      <c r="G106" s="308" t="s">
        <v>9137</v>
      </c>
      <c r="H106" s="311" t="s">
        <v>8777</v>
      </c>
    </row>
    <row r="107" spans="2:8">
      <c r="B107" s="311" t="s">
        <v>3682</v>
      </c>
      <c r="C107" s="311" t="s">
        <v>8855</v>
      </c>
      <c r="D107" s="311" t="s">
        <v>8859</v>
      </c>
      <c r="E107" s="312" t="s">
        <v>9138</v>
      </c>
      <c r="F107" s="312" t="s">
        <v>9139</v>
      </c>
      <c r="G107" s="308" t="s">
        <v>8680</v>
      </c>
      <c r="H107" s="311" t="s">
        <v>8777</v>
      </c>
    </row>
    <row r="108" spans="2:8">
      <c r="B108" s="311" t="s">
        <v>3682</v>
      </c>
      <c r="C108" s="311" t="s">
        <v>8897</v>
      </c>
      <c r="D108" s="311" t="s">
        <v>8967</v>
      </c>
      <c r="E108" s="312" t="s">
        <v>9140</v>
      </c>
      <c r="F108" s="312" t="s">
        <v>9044</v>
      </c>
      <c r="G108" s="308" t="s">
        <v>9141</v>
      </c>
      <c r="H108" s="311" t="s">
        <v>8777</v>
      </c>
    </row>
    <row r="109" spans="2:8">
      <c r="B109" s="311" t="s">
        <v>3682</v>
      </c>
      <c r="C109" s="311" t="s">
        <v>8897</v>
      </c>
      <c r="D109" s="311" t="s">
        <v>8971</v>
      </c>
      <c r="E109" s="312" t="s">
        <v>9142</v>
      </c>
      <c r="F109" s="312" t="s">
        <v>9143</v>
      </c>
      <c r="G109" s="308" t="s">
        <v>8681</v>
      </c>
      <c r="H109" s="311" t="s">
        <v>8777</v>
      </c>
    </row>
    <row r="110" spans="2:8">
      <c r="B110" s="311" t="s">
        <v>3682</v>
      </c>
      <c r="C110" s="311" t="s">
        <v>8629</v>
      </c>
      <c r="D110" s="311" t="s">
        <v>9144</v>
      </c>
      <c r="E110" s="312" t="s">
        <v>9145</v>
      </c>
      <c r="F110" s="312" t="s">
        <v>9146</v>
      </c>
      <c r="G110" s="308" t="s">
        <v>8682</v>
      </c>
      <c r="H110" s="311" t="s">
        <v>8777</v>
      </c>
    </row>
    <row r="111" spans="2:8">
      <c r="B111" s="311" t="s">
        <v>3682</v>
      </c>
      <c r="C111" s="311" t="s">
        <v>8580</v>
      </c>
      <c r="D111" s="311" t="s">
        <v>9147</v>
      </c>
      <c r="E111" s="312" t="s">
        <v>9056</v>
      </c>
      <c r="F111" s="312" t="s">
        <v>9148</v>
      </c>
      <c r="G111" s="308" t="s">
        <v>8683</v>
      </c>
      <c r="H111" s="311" t="s">
        <v>8811</v>
      </c>
    </row>
    <row r="112" spans="2:8">
      <c r="B112" s="311" t="s">
        <v>3682</v>
      </c>
      <c r="C112" s="311" t="s">
        <v>9149</v>
      </c>
      <c r="D112" s="311" t="s">
        <v>9150</v>
      </c>
      <c r="E112" s="312" t="s">
        <v>9151</v>
      </c>
      <c r="F112" s="312" t="s">
        <v>9152</v>
      </c>
      <c r="G112" s="308" t="s">
        <v>9153</v>
      </c>
      <c r="H112" s="311" t="s">
        <v>8811</v>
      </c>
    </row>
    <row r="113" spans="2:8">
      <c r="B113" s="311" t="s">
        <v>3642</v>
      </c>
      <c r="C113" s="311" t="s">
        <v>8912</v>
      </c>
      <c r="D113" s="311" t="s">
        <v>3642</v>
      </c>
      <c r="E113" s="312" t="s">
        <v>8986</v>
      </c>
      <c r="F113" s="312" t="s">
        <v>8987</v>
      </c>
      <c r="G113" s="308" t="s">
        <v>8685</v>
      </c>
      <c r="H113" s="311" t="s">
        <v>8916</v>
      </c>
    </row>
    <row r="114" spans="2:8" ht="21">
      <c r="B114" s="311" t="s">
        <v>3642</v>
      </c>
      <c r="C114" s="311" t="s">
        <v>8917</v>
      </c>
      <c r="D114" s="311" t="s">
        <v>9154</v>
      </c>
      <c r="E114" s="312" t="s">
        <v>9155</v>
      </c>
      <c r="F114" s="312" t="s">
        <v>9156</v>
      </c>
      <c r="G114" s="308" t="s">
        <v>8686</v>
      </c>
      <c r="H114" s="311" t="s">
        <v>8764</v>
      </c>
    </row>
    <row r="115" spans="2:8" ht="21">
      <c r="B115" s="311" t="s">
        <v>3642</v>
      </c>
      <c r="C115" s="311" t="s">
        <v>8926</v>
      </c>
      <c r="D115" s="311" t="s">
        <v>8927</v>
      </c>
      <c r="E115" s="312" t="s">
        <v>9157</v>
      </c>
      <c r="F115" s="312" t="s">
        <v>9158</v>
      </c>
      <c r="G115" s="308" t="s">
        <v>8687</v>
      </c>
      <c r="H115" s="311" t="s">
        <v>8764</v>
      </c>
    </row>
    <row r="116" spans="2:8" ht="21">
      <c r="B116" s="311" t="s">
        <v>3642</v>
      </c>
      <c r="C116" s="311" t="s">
        <v>8926</v>
      </c>
      <c r="D116" s="311" t="s">
        <v>9159</v>
      </c>
      <c r="E116" s="312" t="s">
        <v>9160</v>
      </c>
      <c r="F116" s="312" t="s">
        <v>9161</v>
      </c>
      <c r="G116" s="308" t="s">
        <v>9162</v>
      </c>
      <c r="H116" s="311" t="s">
        <v>8777</v>
      </c>
    </row>
    <row r="117" spans="2:8">
      <c r="B117" s="311" t="s">
        <v>3642</v>
      </c>
      <c r="C117" s="311" t="s">
        <v>9163</v>
      </c>
      <c r="D117" s="311" t="s">
        <v>9164</v>
      </c>
      <c r="E117" s="312" t="s">
        <v>9165</v>
      </c>
      <c r="F117" s="312" t="s">
        <v>9166</v>
      </c>
      <c r="G117" s="308" t="s">
        <v>9167</v>
      </c>
      <c r="H117" s="311" t="s">
        <v>8764</v>
      </c>
    </row>
    <row r="118" spans="2:8" ht="21">
      <c r="B118" s="311" t="s">
        <v>3642</v>
      </c>
      <c r="C118" s="311" t="s">
        <v>8625</v>
      </c>
      <c r="D118" s="311" t="s">
        <v>9168</v>
      </c>
      <c r="E118" s="312" t="s">
        <v>9169</v>
      </c>
      <c r="F118" s="312" t="s">
        <v>9170</v>
      </c>
      <c r="G118" s="308" t="s">
        <v>8688</v>
      </c>
      <c r="H118" s="311" t="s">
        <v>8777</v>
      </c>
    </row>
    <row r="119" spans="2:8">
      <c r="B119" s="311" t="s">
        <v>3642</v>
      </c>
      <c r="C119" s="311" t="s">
        <v>8931</v>
      </c>
      <c r="D119" s="311" t="s">
        <v>9171</v>
      </c>
      <c r="E119" s="312" t="s">
        <v>9172</v>
      </c>
      <c r="F119" s="312" t="s">
        <v>9173</v>
      </c>
      <c r="G119" s="308" t="s">
        <v>9174</v>
      </c>
      <c r="H119" s="311" t="s">
        <v>8777</v>
      </c>
    </row>
    <row r="120" spans="2:8">
      <c r="B120" s="311" t="s">
        <v>3642</v>
      </c>
      <c r="C120" s="311" t="s">
        <v>8931</v>
      </c>
      <c r="D120" s="311" t="s">
        <v>9175</v>
      </c>
      <c r="E120" s="312" t="s">
        <v>9176</v>
      </c>
      <c r="F120" s="312" t="s">
        <v>9177</v>
      </c>
      <c r="G120" s="308" t="s">
        <v>9178</v>
      </c>
      <c r="H120" s="311" t="s">
        <v>8777</v>
      </c>
    </row>
    <row r="121" spans="2:8">
      <c r="B121" s="311" t="s">
        <v>3642</v>
      </c>
      <c r="C121" s="311" t="s">
        <v>8931</v>
      </c>
      <c r="D121" s="311" t="s">
        <v>9179</v>
      </c>
      <c r="E121" s="312" t="s">
        <v>9180</v>
      </c>
      <c r="F121" s="312" t="s">
        <v>9181</v>
      </c>
      <c r="G121" s="308" t="s">
        <v>8689</v>
      </c>
      <c r="H121" s="311" t="s">
        <v>8764</v>
      </c>
    </row>
    <row r="122" spans="2:8">
      <c r="B122" s="311" t="s">
        <v>3642</v>
      </c>
      <c r="C122" s="311" t="s">
        <v>8576</v>
      </c>
      <c r="D122" s="311" t="s">
        <v>9182</v>
      </c>
      <c r="E122" s="312" t="s">
        <v>9183</v>
      </c>
      <c r="F122" s="312" t="s">
        <v>9184</v>
      </c>
      <c r="G122" s="308" t="s">
        <v>8690</v>
      </c>
      <c r="H122" s="311" t="s">
        <v>8764</v>
      </c>
    </row>
    <row r="123" spans="2:8">
      <c r="B123" s="311" t="s">
        <v>3642</v>
      </c>
      <c r="C123" s="311" t="s">
        <v>9037</v>
      </c>
      <c r="D123" s="311" t="s">
        <v>9185</v>
      </c>
      <c r="E123" s="312" t="s">
        <v>9186</v>
      </c>
      <c r="F123" s="312" t="s">
        <v>8952</v>
      </c>
      <c r="G123" s="308" t="s">
        <v>9187</v>
      </c>
      <c r="H123" s="311" t="s">
        <v>8777</v>
      </c>
    </row>
    <row r="124" spans="2:8">
      <c r="B124" s="311" t="s">
        <v>3642</v>
      </c>
      <c r="C124" s="311" t="s">
        <v>8855</v>
      </c>
      <c r="D124" s="311" t="s">
        <v>9024</v>
      </c>
      <c r="E124" s="312" t="s">
        <v>9188</v>
      </c>
      <c r="F124" s="312" t="s">
        <v>9189</v>
      </c>
      <c r="G124" s="308" t="s">
        <v>8691</v>
      </c>
      <c r="H124" s="311" t="s">
        <v>8777</v>
      </c>
    </row>
    <row r="125" spans="2:8">
      <c r="B125" s="311" t="s">
        <v>3642</v>
      </c>
      <c r="C125" s="311" t="s">
        <v>8897</v>
      </c>
      <c r="D125" s="311" t="s">
        <v>8967</v>
      </c>
      <c r="E125" s="312" t="s">
        <v>9190</v>
      </c>
      <c r="F125" s="312" t="s">
        <v>9100</v>
      </c>
      <c r="G125" s="308" t="s">
        <v>9191</v>
      </c>
      <c r="H125" s="311" t="s">
        <v>8777</v>
      </c>
    </row>
    <row r="126" spans="2:8">
      <c r="B126" s="311" t="s">
        <v>3642</v>
      </c>
      <c r="C126" s="311" t="s">
        <v>8897</v>
      </c>
      <c r="D126" s="311" t="s">
        <v>9192</v>
      </c>
      <c r="E126" s="312" t="s">
        <v>9193</v>
      </c>
      <c r="F126" s="312" t="s">
        <v>9194</v>
      </c>
      <c r="G126" s="308" t="s">
        <v>8692</v>
      </c>
      <c r="H126" s="311" t="s">
        <v>8777</v>
      </c>
    </row>
    <row r="127" spans="2:8" ht="21">
      <c r="B127" s="311" t="s">
        <v>3642</v>
      </c>
      <c r="C127" s="311" t="s">
        <v>8629</v>
      </c>
      <c r="D127" s="311" t="s">
        <v>9195</v>
      </c>
      <c r="E127" s="312" t="s">
        <v>9196</v>
      </c>
      <c r="F127" s="312" t="s">
        <v>9197</v>
      </c>
      <c r="G127" s="308" t="s">
        <v>8693</v>
      </c>
      <c r="H127" s="311" t="s">
        <v>8777</v>
      </c>
    </row>
    <row r="128" spans="2:8">
      <c r="B128" s="311" t="s">
        <v>3642</v>
      </c>
      <c r="C128" s="311" t="s">
        <v>8580</v>
      </c>
      <c r="D128" s="311" t="s">
        <v>9198</v>
      </c>
      <c r="E128" s="312" t="s">
        <v>9056</v>
      </c>
      <c r="F128" s="312" t="s">
        <v>9199</v>
      </c>
      <c r="G128" s="308" t="s">
        <v>8694</v>
      </c>
      <c r="H128" s="311" t="s">
        <v>8811</v>
      </c>
    </row>
    <row r="129" spans="2:8">
      <c r="B129" s="311" t="s">
        <v>3662</v>
      </c>
      <c r="C129" s="311" t="s">
        <v>8912</v>
      </c>
      <c r="D129" s="311" t="s">
        <v>9200</v>
      </c>
      <c r="E129" s="312" t="s">
        <v>8986</v>
      </c>
      <c r="F129" s="312" t="s">
        <v>9111</v>
      </c>
      <c r="G129" s="308" t="s">
        <v>8696</v>
      </c>
      <c r="H129" s="311" t="s">
        <v>8916</v>
      </c>
    </row>
    <row r="130" spans="2:8">
      <c r="B130" s="311" t="s">
        <v>3662</v>
      </c>
      <c r="C130" s="311" t="s">
        <v>8917</v>
      </c>
      <c r="D130" s="311" t="s">
        <v>9201</v>
      </c>
      <c r="E130" s="312" t="s">
        <v>9202</v>
      </c>
      <c r="F130" s="312" t="s">
        <v>9203</v>
      </c>
      <c r="G130" s="308" t="s">
        <v>8697</v>
      </c>
      <c r="H130" s="311" t="s">
        <v>8764</v>
      </c>
    </row>
    <row r="131" spans="2:8">
      <c r="B131" s="311" t="s">
        <v>3662</v>
      </c>
      <c r="C131" s="311" t="s">
        <v>11</v>
      </c>
      <c r="D131" s="311" t="s">
        <v>9204</v>
      </c>
      <c r="E131" s="312" t="s">
        <v>9205</v>
      </c>
      <c r="F131" s="312" t="s">
        <v>9206</v>
      </c>
      <c r="G131" s="308" t="s">
        <v>8698</v>
      </c>
      <c r="H131" s="311" t="s">
        <v>8764</v>
      </c>
    </row>
    <row r="132" spans="2:8">
      <c r="B132" s="311" t="s">
        <v>3662</v>
      </c>
      <c r="C132" s="311" t="s">
        <v>8625</v>
      </c>
      <c r="D132" s="311" t="s">
        <v>8625</v>
      </c>
      <c r="E132" s="312" t="s">
        <v>9207</v>
      </c>
      <c r="F132" s="312" t="s">
        <v>9208</v>
      </c>
      <c r="G132" s="308" t="s">
        <v>8699</v>
      </c>
      <c r="H132" s="311" t="s">
        <v>8764</v>
      </c>
    </row>
    <row r="133" spans="2:8">
      <c r="B133" s="311" t="s">
        <v>3662</v>
      </c>
      <c r="C133" s="311" t="s">
        <v>8926</v>
      </c>
      <c r="D133" s="311" t="s">
        <v>9209</v>
      </c>
      <c r="E133" s="312" t="s">
        <v>9210</v>
      </c>
      <c r="F133" s="312" t="s">
        <v>9211</v>
      </c>
      <c r="G133" s="308" t="s">
        <v>9212</v>
      </c>
      <c r="H133" s="311" t="s">
        <v>8777</v>
      </c>
    </row>
    <row r="134" spans="2:8">
      <c r="B134" s="311" t="s">
        <v>3662</v>
      </c>
      <c r="C134" s="311" t="s">
        <v>8576</v>
      </c>
      <c r="D134" s="311" t="s">
        <v>9089</v>
      </c>
      <c r="E134" s="312" t="s">
        <v>9213</v>
      </c>
      <c r="F134" s="312" t="s">
        <v>9214</v>
      </c>
      <c r="G134" s="308" t="s">
        <v>8701</v>
      </c>
      <c r="H134" s="311" t="s">
        <v>8764</v>
      </c>
    </row>
    <row r="135" spans="2:8">
      <c r="B135" s="311" t="s">
        <v>3662</v>
      </c>
      <c r="C135" s="311" t="s">
        <v>8576</v>
      </c>
      <c r="D135" s="311" t="s">
        <v>9215</v>
      </c>
      <c r="E135" s="312" t="s">
        <v>9216</v>
      </c>
      <c r="F135" s="312" t="s">
        <v>9217</v>
      </c>
      <c r="G135" s="308" t="s">
        <v>9218</v>
      </c>
      <c r="H135" s="311" t="s">
        <v>8777</v>
      </c>
    </row>
    <row r="136" spans="2:8">
      <c r="B136" s="311" t="s">
        <v>3662</v>
      </c>
      <c r="C136" s="311" t="s">
        <v>8954</v>
      </c>
      <c r="D136" s="311" t="s">
        <v>9219</v>
      </c>
      <c r="E136" s="312" t="s">
        <v>9220</v>
      </c>
      <c r="F136" s="312" t="s">
        <v>9221</v>
      </c>
      <c r="G136" s="308" t="s">
        <v>8700</v>
      </c>
      <c r="H136" s="311" t="s">
        <v>8777</v>
      </c>
    </row>
    <row r="137" spans="2:8">
      <c r="B137" s="311" t="s">
        <v>3662</v>
      </c>
      <c r="C137" s="311" t="s">
        <v>8855</v>
      </c>
      <c r="D137" s="311" t="s">
        <v>9024</v>
      </c>
      <c r="E137" s="312" t="s">
        <v>9222</v>
      </c>
      <c r="F137" s="312" t="s">
        <v>9223</v>
      </c>
      <c r="G137" s="308" t="s">
        <v>8702</v>
      </c>
      <c r="H137" s="311" t="s">
        <v>8777</v>
      </c>
    </row>
    <row r="138" spans="2:8">
      <c r="B138" s="311" t="s">
        <v>3662</v>
      </c>
      <c r="C138" s="311" t="s">
        <v>8897</v>
      </c>
      <c r="D138" s="311" t="s">
        <v>9224</v>
      </c>
      <c r="E138" s="312" t="s">
        <v>9225</v>
      </c>
      <c r="F138" s="312" t="s">
        <v>9226</v>
      </c>
      <c r="G138" s="308" t="s">
        <v>8703</v>
      </c>
      <c r="H138" s="311" t="s">
        <v>8777</v>
      </c>
    </row>
    <row r="139" spans="2:8" ht="21">
      <c r="B139" s="311" t="s">
        <v>3662</v>
      </c>
      <c r="C139" s="311" t="s">
        <v>8980</v>
      </c>
      <c r="D139" s="311" t="s">
        <v>8980</v>
      </c>
      <c r="E139" s="312" t="s">
        <v>9227</v>
      </c>
      <c r="F139" s="312" t="s">
        <v>9228</v>
      </c>
      <c r="G139" s="308" t="s">
        <v>8704</v>
      </c>
      <c r="H139" s="311" t="s">
        <v>8777</v>
      </c>
    </row>
    <row r="140" spans="2:8">
      <c r="B140" s="311" t="s">
        <v>3662</v>
      </c>
      <c r="C140" s="311" t="s">
        <v>8580</v>
      </c>
      <c r="D140" s="311" t="s">
        <v>9229</v>
      </c>
      <c r="E140" s="312" t="s">
        <v>9230</v>
      </c>
      <c r="F140" s="312" t="s">
        <v>9231</v>
      </c>
      <c r="G140" s="308" t="s">
        <v>8705</v>
      </c>
      <c r="H140" s="311" t="s">
        <v>8811</v>
      </c>
    </row>
    <row r="141" spans="2:8">
      <c r="B141" s="311" t="s">
        <v>3662</v>
      </c>
      <c r="C141" s="311" t="s">
        <v>9232</v>
      </c>
      <c r="D141" s="311" t="s">
        <v>9233</v>
      </c>
      <c r="E141" s="312" t="s">
        <v>9234</v>
      </c>
      <c r="F141" s="312" t="s">
        <v>9235</v>
      </c>
      <c r="G141" s="308" t="s">
        <v>9236</v>
      </c>
      <c r="H141" s="311" t="s">
        <v>8811</v>
      </c>
    </row>
    <row r="142" spans="2:8">
      <c r="B142" s="311" t="s">
        <v>8706</v>
      </c>
      <c r="C142" s="311" t="s">
        <v>8912</v>
      </c>
      <c r="D142" s="311" t="s">
        <v>9237</v>
      </c>
      <c r="E142" s="312" t="s">
        <v>9059</v>
      </c>
      <c r="F142" s="312" t="s">
        <v>9060</v>
      </c>
      <c r="G142" s="308" t="s">
        <v>8708</v>
      </c>
      <c r="H142" s="311" t="s">
        <v>8916</v>
      </c>
    </row>
    <row r="143" spans="2:8">
      <c r="B143" s="311" t="s">
        <v>8706</v>
      </c>
      <c r="C143" s="311" t="s">
        <v>8917</v>
      </c>
      <c r="D143" s="311" t="s">
        <v>9238</v>
      </c>
      <c r="E143" s="312" t="s">
        <v>9239</v>
      </c>
      <c r="F143" s="312" t="s">
        <v>9240</v>
      </c>
      <c r="G143" s="308" t="s">
        <v>8709</v>
      </c>
      <c r="H143" s="311" t="s">
        <v>8764</v>
      </c>
    </row>
    <row r="144" spans="2:8">
      <c r="B144" s="311" t="s">
        <v>8706</v>
      </c>
      <c r="C144" s="311" t="s">
        <v>9241</v>
      </c>
      <c r="D144" s="311" t="s">
        <v>9242</v>
      </c>
      <c r="E144" s="312" t="s">
        <v>9243</v>
      </c>
      <c r="F144" s="312" t="s">
        <v>9244</v>
      </c>
      <c r="G144" s="308" t="s">
        <v>9245</v>
      </c>
      <c r="H144" s="311" t="s">
        <v>8777</v>
      </c>
    </row>
    <row r="145" spans="2:8">
      <c r="B145" s="311" t="s">
        <v>8706</v>
      </c>
      <c r="C145" s="311" t="s">
        <v>11</v>
      </c>
      <c r="D145" s="311" t="s">
        <v>9246</v>
      </c>
      <c r="E145" s="312" t="s">
        <v>9062</v>
      </c>
      <c r="F145" s="312" t="s">
        <v>9247</v>
      </c>
      <c r="G145" s="308" t="s">
        <v>8710</v>
      </c>
      <c r="H145" s="311" t="s">
        <v>8764</v>
      </c>
    </row>
    <row r="146" spans="2:8">
      <c r="B146" s="311" t="s">
        <v>8706</v>
      </c>
      <c r="C146" s="311" t="s">
        <v>8625</v>
      </c>
      <c r="D146" s="311" t="s">
        <v>9248</v>
      </c>
      <c r="E146" s="312" t="s">
        <v>9249</v>
      </c>
      <c r="F146" s="312" t="s">
        <v>9250</v>
      </c>
      <c r="G146" s="308" t="s">
        <v>8711</v>
      </c>
      <c r="H146" s="311" t="s">
        <v>8764</v>
      </c>
    </row>
    <row r="147" spans="2:8">
      <c r="B147" s="311" t="s">
        <v>8706</v>
      </c>
      <c r="C147" s="311" t="s">
        <v>8625</v>
      </c>
      <c r="D147" s="311" t="s">
        <v>9168</v>
      </c>
      <c r="E147" s="312" t="s">
        <v>9251</v>
      </c>
      <c r="F147" s="312" t="s">
        <v>9252</v>
      </c>
      <c r="G147" s="308" t="s">
        <v>9253</v>
      </c>
      <c r="H147" s="311" t="s">
        <v>8777</v>
      </c>
    </row>
    <row r="148" spans="2:8">
      <c r="B148" s="311" t="s">
        <v>8706</v>
      </c>
      <c r="C148" s="311" t="s">
        <v>8931</v>
      </c>
      <c r="D148" s="311" t="s">
        <v>9254</v>
      </c>
      <c r="E148" s="312" t="s">
        <v>9255</v>
      </c>
      <c r="F148" s="312" t="s">
        <v>9256</v>
      </c>
      <c r="G148" s="308" t="s">
        <v>9257</v>
      </c>
      <c r="H148" s="311" t="s">
        <v>8777</v>
      </c>
    </row>
    <row r="149" spans="2:8">
      <c r="B149" s="311" t="s">
        <v>8706</v>
      </c>
      <c r="C149" s="311" t="s">
        <v>8931</v>
      </c>
      <c r="D149" s="311" t="s">
        <v>9128</v>
      </c>
      <c r="E149" s="312" t="s">
        <v>9258</v>
      </c>
      <c r="F149" s="312" t="s">
        <v>9259</v>
      </c>
      <c r="G149" s="308" t="s">
        <v>9260</v>
      </c>
      <c r="H149" s="311" t="s">
        <v>8777</v>
      </c>
    </row>
    <row r="150" spans="2:8">
      <c r="B150" s="311" t="s">
        <v>8706</v>
      </c>
      <c r="C150" s="311" t="s">
        <v>8931</v>
      </c>
      <c r="D150" s="311" t="s">
        <v>9078</v>
      </c>
      <c r="E150" s="312" t="s">
        <v>9261</v>
      </c>
      <c r="F150" s="312" t="s">
        <v>9262</v>
      </c>
      <c r="G150" s="308" t="s">
        <v>8712</v>
      </c>
      <c r="H150" s="311" t="s">
        <v>8777</v>
      </c>
    </row>
    <row r="151" spans="2:8">
      <c r="B151" s="311" t="s">
        <v>8706</v>
      </c>
      <c r="C151" s="311" t="s">
        <v>8576</v>
      </c>
      <c r="D151" s="311" t="s">
        <v>9263</v>
      </c>
      <c r="E151" s="312" t="s">
        <v>9264</v>
      </c>
      <c r="F151" s="312" t="s">
        <v>9091</v>
      </c>
      <c r="G151" s="308" t="s">
        <v>8713</v>
      </c>
      <c r="H151" s="311" t="s">
        <v>8764</v>
      </c>
    </row>
    <row r="152" spans="2:8" ht="21">
      <c r="B152" s="311" t="s">
        <v>8706</v>
      </c>
      <c r="C152" s="311" t="s">
        <v>8855</v>
      </c>
      <c r="D152" s="311" t="s">
        <v>9265</v>
      </c>
      <c r="E152" s="312" t="s">
        <v>9266</v>
      </c>
      <c r="F152" s="312" t="s">
        <v>9026</v>
      </c>
      <c r="G152" s="308" t="s">
        <v>8714</v>
      </c>
      <c r="H152" s="311" t="s">
        <v>8777</v>
      </c>
    </row>
    <row r="153" spans="2:8">
      <c r="B153" s="311" t="s">
        <v>8706</v>
      </c>
      <c r="C153" s="311" t="s">
        <v>8855</v>
      </c>
      <c r="D153" s="311" t="s">
        <v>8855</v>
      </c>
      <c r="E153" s="312" t="s">
        <v>9267</v>
      </c>
      <c r="F153" s="312" t="s">
        <v>9268</v>
      </c>
      <c r="G153" s="308" t="s">
        <v>9269</v>
      </c>
      <c r="H153" s="311" t="s">
        <v>8777</v>
      </c>
    </row>
    <row r="154" spans="2:8">
      <c r="B154" s="311" t="s">
        <v>8706</v>
      </c>
      <c r="C154" s="311" t="s">
        <v>8926</v>
      </c>
      <c r="D154" s="311" t="s">
        <v>9270</v>
      </c>
      <c r="E154" s="312" t="s">
        <v>9271</v>
      </c>
      <c r="F154" s="312" t="s">
        <v>9272</v>
      </c>
      <c r="G154" s="308" t="s">
        <v>9273</v>
      </c>
      <c r="H154" s="311" t="s">
        <v>8777</v>
      </c>
    </row>
    <row r="155" spans="2:8">
      <c r="B155" s="311" t="s">
        <v>8706</v>
      </c>
      <c r="C155" s="311" t="s">
        <v>8897</v>
      </c>
      <c r="D155" s="311" t="s">
        <v>9274</v>
      </c>
      <c r="E155" s="312" t="s">
        <v>9275</v>
      </c>
      <c r="F155" s="312" t="s">
        <v>9276</v>
      </c>
      <c r="G155" s="308" t="s">
        <v>8715</v>
      </c>
      <c r="H155" s="311" t="s">
        <v>8777</v>
      </c>
    </row>
    <row r="156" spans="2:8">
      <c r="B156" s="311" t="s">
        <v>8706</v>
      </c>
      <c r="C156" s="311" t="s">
        <v>8629</v>
      </c>
      <c r="D156" s="311" t="s">
        <v>8629</v>
      </c>
      <c r="E156" s="312" t="s">
        <v>9277</v>
      </c>
      <c r="F156" s="312" t="s">
        <v>9278</v>
      </c>
      <c r="G156" s="308" t="s">
        <v>8716</v>
      </c>
      <c r="H156" s="311" t="s">
        <v>8777</v>
      </c>
    </row>
    <row r="157" spans="2:8">
      <c r="B157" s="311" t="s">
        <v>8706</v>
      </c>
      <c r="C157" s="311" t="s">
        <v>8580</v>
      </c>
      <c r="D157" s="311" t="s">
        <v>9107</v>
      </c>
      <c r="E157" s="312" t="s">
        <v>9279</v>
      </c>
      <c r="F157" s="312" t="s">
        <v>9280</v>
      </c>
      <c r="G157" s="308" t="s">
        <v>8717</v>
      </c>
      <c r="H157" s="311" t="s">
        <v>8811</v>
      </c>
    </row>
    <row r="158" spans="2:8">
      <c r="B158" s="311" t="s">
        <v>8706</v>
      </c>
      <c r="C158" s="311" t="s">
        <v>9149</v>
      </c>
      <c r="D158" s="311" t="s">
        <v>9281</v>
      </c>
      <c r="E158" s="312" t="s">
        <v>9282</v>
      </c>
      <c r="F158" s="312" t="s">
        <v>9283</v>
      </c>
      <c r="G158" s="308" t="s">
        <v>9284</v>
      </c>
      <c r="H158" s="311" t="s">
        <v>8811</v>
      </c>
    </row>
    <row r="159" spans="2:8">
      <c r="B159" s="311" t="s">
        <v>3547</v>
      </c>
      <c r="C159" s="311" t="s">
        <v>8912</v>
      </c>
      <c r="D159" s="311" t="s">
        <v>9285</v>
      </c>
      <c r="E159" s="312" t="s">
        <v>8986</v>
      </c>
      <c r="F159" s="312" t="s">
        <v>9111</v>
      </c>
      <c r="G159" s="308" t="s">
        <v>8719</v>
      </c>
      <c r="H159" s="311" t="s">
        <v>8916</v>
      </c>
    </row>
    <row r="160" spans="2:8" ht="21">
      <c r="B160" s="311" t="s">
        <v>3547</v>
      </c>
      <c r="C160" s="311" t="s">
        <v>8625</v>
      </c>
      <c r="D160" s="311" t="s">
        <v>8846</v>
      </c>
      <c r="E160" s="312" t="s">
        <v>9286</v>
      </c>
      <c r="F160" s="312" t="s">
        <v>9170</v>
      </c>
      <c r="G160" s="308" t="s">
        <v>8722</v>
      </c>
      <c r="H160" s="311" t="s">
        <v>8764</v>
      </c>
    </row>
    <row r="161" spans="2:8">
      <c r="B161" s="311" t="s">
        <v>3547</v>
      </c>
      <c r="C161" s="311" t="s">
        <v>11</v>
      </c>
      <c r="D161" s="311" t="s">
        <v>9287</v>
      </c>
      <c r="E161" s="312" t="s">
        <v>9288</v>
      </c>
      <c r="F161" s="312" t="s">
        <v>9289</v>
      </c>
      <c r="G161" s="308" t="s">
        <v>9290</v>
      </c>
      <c r="H161" s="311" t="s">
        <v>8764</v>
      </c>
    </row>
    <row r="162" spans="2:8">
      <c r="B162" s="311" t="s">
        <v>3547</v>
      </c>
      <c r="C162" s="311" t="s">
        <v>9291</v>
      </c>
      <c r="D162" s="311" t="s">
        <v>9246</v>
      </c>
      <c r="E162" s="312" t="s">
        <v>9292</v>
      </c>
      <c r="F162" s="312" t="s">
        <v>9293</v>
      </c>
      <c r="G162" s="308" t="s">
        <v>9294</v>
      </c>
      <c r="H162" s="311" t="s">
        <v>8764</v>
      </c>
    </row>
    <row r="163" spans="2:8">
      <c r="B163" s="311" t="s">
        <v>3547</v>
      </c>
      <c r="C163" s="311" t="s">
        <v>8917</v>
      </c>
      <c r="D163" s="311" t="s">
        <v>9295</v>
      </c>
      <c r="E163" s="312" t="s">
        <v>9296</v>
      </c>
      <c r="F163" s="312" t="s">
        <v>9297</v>
      </c>
      <c r="G163" s="308" t="s">
        <v>8720</v>
      </c>
      <c r="H163" s="311" t="s">
        <v>8764</v>
      </c>
    </row>
    <row r="164" spans="2:8" ht="21">
      <c r="B164" s="311" t="s">
        <v>3547</v>
      </c>
      <c r="C164" s="311" t="s">
        <v>8926</v>
      </c>
      <c r="D164" s="311" t="s">
        <v>9005</v>
      </c>
      <c r="E164" s="312" t="s">
        <v>9298</v>
      </c>
      <c r="F164" s="312" t="s">
        <v>9299</v>
      </c>
      <c r="G164" s="308" t="s">
        <v>8721</v>
      </c>
      <c r="H164" s="311" t="s">
        <v>8764</v>
      </c>
    </row>
    <row r="165" spans="2:8">
      <c r="B165" s="311" t="s">
        <v>3547</v>
      </c>
      <c r="C165" s="311" t="s">
        <v>8931</v>
      </c>
      <c r="D165" s="311" t="s">
        <v>9254</v>
      </c>
      <c r="E165" s="312" t="s">
        <v>9300</v>
      </c>
      <c r="F165" s="312" t="s">
        <v>9301</v>
      </c>
      <c r="G165" s="308" t="s">
        <v>9302</v>
      </c>
      <c r="H165" s="311" t="s">
        <v>8777</v>
      </c>
    </row>
    <row r="166" spans="2:8">
      <c r="B166" s="311" t="s">
        <v>3547</v>
      </c>
      <c r="C166" s="311" t="s">
        <v>8931</v>
      </c>
      <c r="D166" s="311" t="s">
        <v>8935</v>
      </c>
      <c r="E166" s="312" t="s">
        <v>9303</v>
      </c>
      <c r="F166" s="312" t="s">
        <v>9304</v>
      </c>
      <c r="G166" s="308" t="s">
        <v>9305</v>
      </c>
      <c r="H166" s="311" t="s">
        <v>8777</v>
      </c>
    </row>
    <row r="167" spans="2:8">
      <c r="B167" s="311" t="s">
        <v>3547</v>
      </c>
      <c r="C167" s="311" t="s">
        <v>8931</v>
      </c>
      <c r="D167" s="311" t="s">
        <v>9306</v>
      </c>
      <c r="E167" s="312" t="s">
        <v>9307</v>
      </c>
      <c r="F167" s="312" t="s">
        <v>9308</v>
      </c>
      <c r="G167" s="308" t="s">
        <v>8723</v>
      </c>
      <c r="H167" s="311" t="s">
        <v>8777</v>
      </c>
    </row>
    <row r="168" spans="2:8">
      <c r="B168" s="311" t="s">
        <v>3547</v>
      </c>
      <c r="C168" s="311" t="s">
        <v>8576</v>
      </c>
      <c r="D168" s="311" t="s">
        <v>9309</v>
      </c>
      <c r="E168" s="312" t="s">
        <v>9310</v>
      </c>
      <c r="F168" s="312" t="s">
        <v>9311</v>
      </c>
      <c r="G168" s="308" t="s">
        <v>9312</v>
      </c>
      <c r="H168" s="311" t="s">
        <v>8777</v>
      </c>
    </row>
    <row r="169" spans="2:8">
      <c r="B169" s="311" t="s">
        <v>3547</v>
      </c>
      <c r="C169" s="311" t="s">
        <v>8576</v>
      </c>
      <c r="D169" s="311" t="s">
        <v>9313</v>
      </c>
      <c r="E169" s="312" t="s">
        <v>9314</v>
      </c>
      <c r="F169" s="312" t="s">
        <v>9315</v>
      </c>
      <c r="G169" s="308" t="s">
        <v>8724</v>
      </c>
      <c r="H169" s="311" t="s">
        <v>8764</v>
      </c>
    </row>
    <row r="170" spans="2:8">
      <c r="B170" s="311" t="s">
        <v>3547</v>
      </c>
      <c r="C170" s="311" t="s">
        <v>8855</v>
      </c>
      <c r="D170" s="311" t="s">
        <v>9024</v>
      </c>
      <c r="E170" s="312" t="s">
        <v>9316</v>
      </c>
      <c r="F170" s="312" t="s">
        <v>9189</v>
      </c>
      <c r="G170" s="308" t="s">
        <v>8725</v>
      </c>
      <c r="H170" s="311" t="s">
        <v>8777</v>
      </c>
    </row>
    <row r="171" spans="2:8">
      <c r="B171" s="311" t="s">
        <v>3547</v>
      </c>
      <c r="C171" s="311" t="s">
        <v>8962</v>
      </c>
      <c r="D171" s="311" t="s">
        <v>9317</v>
      </c>
      <c r="E171" s="312" t="s">
        <v>9318</v>
      </c>
      <c r="F171" s="312" t="s">
        <v>9319</v>
      </c>
      <c r="G171" s="308" t="s">
        <v>9320</v>
      </c>
      <c r="H171" s="311" t="s">
        <v>8811</v>
      </c>
    </row>
    <row r="172" spans="2:8">
      <c r="B172" s="311" t="s">
        <v>3547</v>
      </c>
      <c r="C172" s="311" t="s">
        <v>8897</v>
      </c>
      <c r="D172" s="311" t="s">
        <v>8967</v>
      </c>
      <c r="E172" s="312" t="s">
        <v>9140</v>
      </c>
      <c r="F172" s="312" t="s">
        <v>9044</v>
      </c>
      <c r="G172" s="308" t="s">
        <v>9321</v>
      </c>
      <c r="H172" s="311" t="s">
        <v>8777</v>
      </c>
    </row>
    <row r="173" spans="2:8" ht="21">
      <c r="B173" s="311" t="s">
        <v>3547</v>
      </c>
      <c r="C173" s="311" t="s">
        <v>9322</v>
      </c>
      <c r="D173" s="311" t="s">
        <v>9323</v>
      </c>
      <c r="E173" s="312" t="s">
        <v>9324</v>
      </c>
      <c r="F173" s="312" t="s">
        <v>9325</v>
      </c>
      <c r="G173" s="308" t="s">
        <v>8726</v>
      </c>
      <c r="H173" s="311" t="s">
        <v>8777</v>
      </c>
    </row>
    <row r="174" spans="2:8">
      <c r="B174" s="311" t="s">
        <v>3547</v>
      </c>
      <c r="C174" s="311" t="s">
        <v>8580</v>
      </c>
      <c r="D174" s="311" t="s">
        <v>9326</v>
      </c>
      <c r="E174" s="312" t="s">
        <v>9056</v>
      </c>
      <c r="F174" s="312" t="s">
        <v>9327</v>
      </c>
      <c r="G174" s="308" t="s">
        <v>8727</v>
      </c>
      <c r="H174" s="311" t="s">
        <v>8811</v>
      </c>
    </row>
    <row r="175" spans="2:8" ht="21">
      <c r="B175" s="311" t="s">
        <v>3547</v>
      </c>
      <c r="C175" s="311" t="s">
        <v>9149</v>
      </c>
      <c r="D175" s="311" t="s">
        <v>9328</v>
      </c>
      <c r="E175" s="312" t="s">
        <v>9329</v>
      </c>
      <c r="F175" s="312" t="s">
        <v>9330</v>
      </c>
      <c r="G175" s="308" t="s">
        <v>9331</v>
      </c>
      <c r="H175" s="311" t="s">
        <v>8811</v>
      </c>
    </row>
    <row r="176" spans="2:8">
      <c r="B176" s="311" t="s">
        <v>3590</v>
      </c>
      <c r="C176" s="311" t="s">
        <v>8912</v>
      </c>
      <c r="D176" s="311" t="s">
        <v>9332</v>
      </c>
      <c r="E176" s="312" t="s">
        <v>8986</v>
      </c>
      <c r="F176" s="312" t="s">
        <v>9111</v>
      </c>
      <c r="G176" s="308" t="s">
        <v>8729</v>
      </c>
      <c r="H176" s="311" t="s">
        <v>8916</v>
      </c>
    </row>
    <row r="177" spans="2:8" ht="21">
      <c r="B177" s="311" t="s">
        <v>3590</v>
      </c>
      <c r="C177" s="311" t="s">
        <v>8625</v>
      </c>
      <c r="D177" s="311" t="s">
        <v>9333</v>
      </c>
      <c r="E177" s="312" t="s">
        <v>9334</v>
      </c>
      <c r="F177" s="312" t="s">
        <v>9335</v>
      </c>
      <c r="G177" s="308" t="s">
        <v>8732</v>
      </c>
      <c r="H177" s="311" t="s">
        <v>8764</v>
      </c>
    </row>
    <row r="178" spans="2:8" ht="21">
      <c r="B178" s="311" t="s">
        <v>3590</v>
      </c>
      <c r="C178" s="311" t="s">
        <v>11</v>
      </c>
      <c r="D178" s="311" t="s">
        <v>9336</v>
      </c>
      <c r="E178" s="312" t="s">
        <v>9337</v>
      </c>
      <c r="F178" s="312" t="s">
        <v>9338</v>
      </c>
      <c r="G178" s="308" t="s">
        <v>9339</v>
      </c>
      <c r="H178" s="311" t="s">
        <v>8764</v>
      </c>
    </row>
    <row r="179" spans="2:8">
      <c r="B179" s="311" t="s">
        <v>3590</v>
      </c>
      <c r="C179" s="311" t="s">
        <v>11</v>
      </c>
      <c r="D179" s="311" t="s">
        <v>9340</v>
      </c>
      <c r="E179" s="312" t="s">
        <v>9341</v>
      </c>
      <c r="F179" s="312" t="s">
        <v>9342</v>
      </c>
      <c r="G179" s="308" t="s">
        <v>8731</v>
      </c>
      <c r="H179" s="311" t="s">
        <v>8764</v>
      </c>
    </row>
    <row r="180" spans="2:8" ht="21">
      <c r="B180" s="311" t="s">
        <v>3590</v>
      </c>
      <c r="C180" s="311" t="s">
        <v>8917</v>
      </c>
      <c r="D180" s="311" t="s">
        <v>9343</v>
      </c>
      <c r="E180" s="312" t="s">
        <v>9344</v>
      </c>
      <c r="F180" s="312" t="s">
        <v>9345</v>
      </c>
      <c r="G180" s="308" t="s">
        <v>8730</v>
      </c>
      <c r="H180" s="311" t="s">
        <v>8764</v>
      </c>
    </row>
    <row r="181" spans="2:8">
      <c r="B181" s="311" t="s">
        <v>3590</v>
      </c>
      <c r="C181" s="311" t="s">
        <v>8991</v>
      </c>
      <c r="D181" s="311" t="s">
        <v>9346</v>
      </c>
      <c r="E181" s="312" t="s">
        <v>9347</v>
      </c>
      <c r="F181" s="312" t="s">
        <v>9348</v>
      </c>
      <c r="G181" s="308" t="s">
        <v>9349</v>
      </c>
      <c r="H181" s="311" t="s">
        <v>8811</v>
      </c>
    </row>
    <row r="182" spans="2:8">
      <c r="B182" s="311" t="s">
        <v>3590</v>
      </c>
      <c r="C182" s="311" t="s">
        <v>8931</v>
      </c>
      <c r="D182" s="311" t="s">
        <v>9350</v>
      </c>
      <c r="E182" s="312" t="s">
        <v>9351</v>
      </c>
      <c r="F182" s="312" t="s">
        <v>9352</v>
      </c>
      <c r="G182" s="308" t="s">
        <v>9353</v>
      </c>
      <c r="H182" s="311" t="s">
        <v>8764</v>
      </c>
    </row>
    <row r="183" spans="2:8">
      <c r="B183" s="311" t="s">
        <v>3590</v>
      </c>
      <c r="C183" s="311" t="s">
        <v>8931</v>
      </c>
      <c r="D183" s="311" t="s">
        <v>9354</v>
      </c>
      <c r="E183" s="312" t="s">
        <v>9355</v>
      </c>
      <c r="F183" s="312" t="s">
        <v>9356</v>
      </c>
      <c r="G183" s="308" t="s">
        <v>8733</v>
      </c>
      <c r="H183" s="311" t="s">
        <v>8764</v>
      </c>
    </row>
    <row r="184" spans="2:8">
      <c r="B184" s="311" t="s">
        <v>3590</v>
      </c>
      <c r="C184" s="311" t="s">
        <v>8931</v>
      </c>
      <c r="D184" s="311" t="s">
        <v>9357</v>
      </c>
      <c r="E184" s="312" t="s">
        <v>9358</v>
      </c>
      <c r="F184" s="312" t="s">
        <v>9359</v>
      </c>
      <c r="G184" s="308" t="s">
        <v>9360</v>
      </c>
      <c r="H184" s="311" t="s">
        <v>8777</v>
      </c>
    </row>
    <row r="185" spans="2:8" ht="21">
      <c r="B185" s="311" t="s">
        <v>3590</v>
      </c>
      <c r="C185" s="311" t="s">
        <v>8931</v>
      </c>
      <c r="D185" s="311" t="s">
        <v>9361</v>
      </c>
      <c r="E185" s="312" t="s">
        <v>9362</v>
      </c>
      <c r="F185" s="312" t="s">
        <v>9363</v>
      </c>
      <c r="G185" s="308" t="s">
        <v>9364</v>
      </c>
      <c r="H185" s="311" t="s">
        <v>8777</v>
      </c>
    </row>
    <row r="186" spans="2:8">
      <c r="B186" s="311" t="s">
        <v>3590</v>
      </c>
      <c r="C186" s="311" t="s">
        <v>8576</v>
      </c>
      <c r="D186" s="311" t="s">
        <v>9182</v>
      </c>
      <c r="E186" s="312" t="s">
        <v>9365</v>
      </c>
      <c r="F186" s="312" t="s">
        <v>9366</v>
      </c>
      <c r="G186" s="308" t="s">
        <v>8734</v>
      </c>
      <c r="H186" s="311" t="s">
        <v>8764</v>
      </c>
    </row>
    <row r="187" spans="2:8">
      <c r="B187" s="311" t="s">
        <v>3590</v>
      </c>
      <c r="C187" s="311" t="s">
        <v>8576</v>
      </c>
      <c r="D187" s="311" t="s">
        <v>9367</v>
      </c>
      <c r="E187" s="312" t="s">
        <v>9368</v>
      </c>
      <c r="F187" s="312" t="s">
        <v>9369</v>
      </c>
      <c r="G187" s="308" t="s">
        <v>9370</v>
      </c>
      <c r="H187" s="311" t="s">
        <v>8764</v>
      </c>
    </row>
    <row r="188" spans="2:8">
      <c r="B188" s="311" t="s">
        <v>3590</v>
      </c>
      <c r="C188" s="311" t="s">
        <v>9037</v>
      </c>
      <c r="D188" s="311" t="s">
        <v>9371</v>
      </c>
      <c r="E188" s="312" t="s">
        <v>9372</v>
      </c>
      <c r="F188" s="312" t="s">
        <v>9373</v>
      </c>
      <c r="G188" s="308" t="s">
        <v>9374</v>
      </c>
      <c r="H188" s="311" t="s">
        <v>8777</v>
      </c>
    </row>
    <row r="189" spans="2:8">
      <c r="B189" s="311" t="s">
        <v>3590</v>
      </c>
      <c r="C189" s="311" t="s">
        <v>8855</v>
      </c>
      <c r="D189" s="311" t="s">
        <v>8859</v>
      </c>
      <c r="E189" s="312" t="s">
        <v>9375</v>
      </c>
      <c r="F189" s="312" t="s">
        <v>9376</v>
      </c>
      <c r="G189" s="308" t="s">
        <v>9377</v>
      </c>
      <c r="H189" s="311" t="s">
        <v>8777</v>
      </c>
    </row>
    <row r="190" spans="2:8">
      <c r="B190" s="311" t="s">
        <v>3590</v>
      </c>
      <c r="C190" s="311" t="s">
        <v>8855</v>
      </c>
      <c r="D190" s="311" t="s">
        <v>9378</v>
      </c>
      <c r="E190" s="312" t="s">
        <v>9379</v>
      </c>
      <c r="F190" s="312" t="s">
        <v>9380</v>
      </c>
      <c r="G190" s="308" t="s">
        <v>8735</v>
      </c>
      <c r="H190" s="311" t="s">
        <v>8777</v>
      </c>
    </row>
    <row r="191" spans="2:8">
      <c r="B191" s="311" t="s">
        <v>3590</v>
      </c>
      <c r="C191" s="311" t="s">
        <v>8855</v>
      </c>
      <c r="D191" s="311" t="s">
        <v>9381</v>
      </c>
      <c r="E191" s="312" t="s">
        <v>9382</v>
      </c>
      <c r="F191" s="312" t="s">
        <v>9383</v>
      </c>
      <c r="G191" s="308" t="s">
        <v>9384</v>
      </c>
      <c r="H191" s="311" t="s">
        <v>8777</v>
      </c>
    </row>
    <row r="192" spans="2:8">
      <c r="B192" s="311" t="s">
        <v>3590</v>
      </c>
      <c r="C192" s="311" t="s">
        <v>8897</v>
      </c>
      <c r="D192" s="311" t="s">
        <v>9385</v>
      </c>
      <c r="E192" s="312" t="s">
        <v>9386</v>
      </c>
      <c r="F192" s="312" t="s">
        <v>9387</v>
      </c>
      <c r="G192" s="308" t="s">
        <v>9388</v>
      </c>
      <c r="H192" s="311" t="s">
        <v>8777</v>
      </c>
    </row>
    <row r="193" spans="2:8">
      <c r="B193" s="311" t="s">
        <v>3590</v>
      </c>
      <c r="C193" s="311" t="s">
        <v>8897</v>
      </c>
      <c r="D193" s="311" t="s">
        <v>9274</v>
      </c>
      <c r="E193" s="312" t="s">
        <v>9389</v>
      </c>
      <c r="F193" s="312" t="s">
        <v>9390</v>
      </c>
      <c r="G193" s="308" t="s">
        <v>8736</v>
      </c>
      <c r="H193" s="311" t="s">
        <v>8777</v>
      </c>
    </row>
    <row r="194" spans="2:8" ht="21">
      <c r="B194" s="311" t="s">
        <v>3590</v>
      </c>
      <c r="C194" s="311" t="s">
        <v>8629</v>
      </c>
      <c r="D194" s="311" t="s">
        <v>8629</v>
      </c>
      <c r="E194" s="312" t="s">
        <v>9391</v>
      </c>
      <c r="F194" s="312" t="s">
        <v>9392</v>
      </c>
      <c r="G194" s="308" t="s">
        <v>8737</v>
      </c>
      <c r="H194" s="311" t="s">
        <v>8777</v>
      </c>
    </row>
    <row r="195" spans="2:8">
      <c r="B195" s="311" t="s">
        <v>3590</v>
      </c>
      <c r="C195" s="311" t="s">
        <v>8580</v>
      </c>
      <c r="D195" s="311" t="s">
        <v>9393</v>
      </c>
      <c r="E195" s="312" t="s">
        <v>9394</v>
      </c>
      <c r="F195" s="312" t="s">
        <v>9395</v>
      </c>
      <c r="G195" s="308" t="s">
        <v>8738</v>
      </c>
      <c r="H195" s="311" t="s">
        <v>8811</v>
      </c>
    </row>
    <row r="196" spans="2:8" ht="21">
      <c r="B196" s="311" t="s">
        <v>3590</v>
      </c>
      <c r="C196" s="311" t="s">
        <v>9149</v>
      </c>
      <c r="D196" s="311" t="s">
        <v>9396</v>
      </c>
      <c r="E196" s="312" t="s">
        <v>9397</v>
      </c>
      <c r="F196" s="312" t="s">
        <v>9398</v>
      </c>
      <c r="G196" s="308" t="s">
        <v>9399</v>
      </c>
      <c r="H196" s="311" t="s">
        <v>8811</v>
      </c>
    </row>
    <row r="197" spans="2:8">
      <c r="B197" s="311" t="s">
        <v>3629</v>
      </c>
      <c r="C197" s="311" t="s">
        <v>8912</v>
      </c>
      <c r="D197" s="311" t="s">
        <v>9400</v>
      </c>
      <c r="E197" s="312" t="s">
        <v>8986</v>
      </c>
      <c r="F197" s="312" t="s">
        <v>9111</v>
      </c>
      <c r="G197" s="308" t="s">
        <v>8739</v>
      </c>
      <c r="H197" s="311" t="s">
        <v>8916</v>
      </c>
    </row>
    <row r="198" spans="2:8">
      <c r="B198" s="311" t="s">
        <v>3629</v>
      </c>
      <c r="C198" s="311" t="s">
        <v>8917</v>
      </c>
      <c r="D198" s="311" t="s">
        <v>9242</v>
      </c>
      <c r="E198" s="312" t="s">
        <v>9401</v>
      </c>
      <c r="F198" s="312" t="s">
        <v>9402</v>
      </c>
      <c r="G198" s="308" t="s">
        <v>8740</v>
      </c>
      <c r="H198" s="311" t="s">
        <v>8764</v>
      </c>
    </row>
    <row r="199" spans="2:8">
      <c r="B199" s="311" t="s">
        <v>3629</v>
      </c>
      <c r="C199" s="311" t="s">
        <v>11</v>
      </c>
      <c r="D199" s="311" t="s">
        <v>11</v>
      </c>
      <c r="E199" s="312" t="s">
        <v>9403</v>
      </c>
      <c r="F199" s="312" t="s">
        <v>9404</v>
      </c>
      <c r="G199" s="308" t="s">
        <v>8741</v>
      </c>
      <c r="H199" s="311" t="s">
        <v>8764</v>
      </c>
    </row>
    <row r="200" spans="2:8">
      <c r="B200" s="311" t="s">
        <v>3629</v>
      </c>
      <c r="C200" s="311" t="s">
        <v>8625</v>
      </c>
      <c r="D200" s="311" t="s">
        <v>8625</v>
      </c>
      <c r="E200" s="312" t="s">
        <v>9405</v>
      </c>
      <c r="F200" s="312" t="s">
        <v>9066</v>
      </c>
      <c r="G200" s="308" t="s">
        <v>8742</v>
      </c>
      <c r="H200" s="311" t="s">
        <v>8764</v>
      </c>
    </row>
    <row r="201" spans="2:8">
      <c r="B201" s="311" t="s">
        <v>3629</v>
      </c>
      <c r="C201" s="311" t="s">
        <v>8931</v>
      </c>
      <c r="D201" s="311" t="s">
        <v>9406</v>
      </c>
      <c r="E201" s="312" t="s">
        <v>9407</v>
      </c>
      <c r="F201" s="312" t="s">
        <v>9408</v>
      </c>
      <c r="G201" s="308" t="s">
        <v>9409</v>
      </c>
      <c r="H201" s="311" t="s">
        <v>8777</v>
      </c>
    </row>
    <row r="202" spans="2:8">
      <c r="B202" s="311" t="s">
        <v>3629</v>
      </c>
      <c r="C202" s="311" t="s">
        <v>8931</v>
      </c>
      <c r="D202" s="311" t="s">
        <v>9410</v>
      </c>
      <c r="E202" s="312" t="s">
        <v>9411</v>
      </c>
      <c r="F202" s="312" t="s">
        <v>9412</v>
      </c>
      <c r="G202" s="308" t="s">
        <v>8743</v>
      </c>
      <c r="H202" s="311" t="s">
        <v>8764</v>
      </c>
    </row>
    <row r="203" spans="2:8">
      <c r="B203" s="311" t="s">
        <v>3629</v>
      </c>
      <c r="C203" s="311" t="s">
        <v>8931</v>
      </c>
      <c r="D203" s="311" t="s">
        <v>9413</v>
      </c>
      <c r="E203" s="312" t="s">
        <v>9414</v>
      </c>
      <c r="F203" s="312" t="s">
        <v>9415</v>
      </c>
      <c r="G203" s="308" t="s">
        <v>9416</v>
      </c>
      <c r="H203" s="311" t="s">
        <v>8777</v>
      </c>
    </row>
    <row r="204" spans="2:8">
      <c r="B204" s="311" t="s">
        <v>3629</v>
      </c>
      <c r="C204" s="311" t="s">
        <v>8576</v>
      </c>
      <c r="D204" s="311" t="s">
        <v>9417</v>
      </c>
      <c r="E204" s="312" t="s">
        <v>9418</v>
      </c>
      <c r="F204" s="312" t="s">
        <v>9419</v>
      </c>
      <c r="G204" s="308" t="s">
        <v>9420</v>
      </c>
      <c r="H204" s="311" t="s">
        <v>8777</v>
      </c>
    </row>
    <row r="205" spans="2:8">
      <c r="B205" s="311" t="s">
        <v>3629</v>
      </c>
      <c r="C205" s="311" t="s">
        <v>8576</v>
      </c>
      <c r="D205" s="311" t="s">
        <v>9421</v>
      </c>
      <c r="E205" s="312" t="s">
        <v>9422</v>
      </c>
      <c r="F205" s="312" t="s">
        <v>9423</v>
      </c>
      <c r="G205" s="308" t="s">
        <v>8744</v>
      </c>
      <c r="H205" s="311" t="s">
        <v>8764</v>
      </c>
    </row>
    <row r="206" spans="2:8">
      <c r="B206" s="311" t="s">
        <v>3629</v>
      </c>
      <c r="C206" s="311" t="s">
        <v>8855</v>
      </c>
      <c r="D206" s="311" t="s">
        <v>9424</v>
      </c>
      <c r="E206" s="312" t="s">
        <v>9425</v>
      </c>
      <c r="F206" s="312" t="s">
        <v>9426</v>
      </c>
      <c r="G206" s="308" t="s">
        <v>8745</v>
      </c>
      <c r="H206" s="311" t="s">
        <v>8777</v>
      </c>
    </row>
    <row r="207" spans="2:8" ht="21">
      <c r="B207" s="311" t="s">
        <v>3629</v>
      </c>
      <c r="C207" s="311" t="s">
        <v>9427</v>
      </c>
      <c r="D207" s="311" t="s">
        <v>9428</v>
      </c>
      <c r="E207" s="312" t="s">
        <v>9429</v>
      </c>
      <c r="F207" s="312" t="s">
        <v>9430</v>
      </c>
      <c r="G207" s="308" t="s">
        <v>9431</v>
      </c>
      <c r="H207" s="311" t="s">
        <v>8777</v>
      </c>
    </row>
    <row r="208" spans="2:8">
      <c r="B208" s="311" t="s">
        <v>3629</v>
      </c>
      <c r="C208" s="311" t="s">
        <v>9432</v>
      </c>
      <c r="D208" s="311" t="s">
        <v>9432</v>
      </c>
      <c r="E208" s="312" t="s">
        <v>9433</v>
      </c>
      <c r="F208" s="312" t="s">
        <v>9434</v>
      </c>
      <c r="G208" s="308" t="s">
        <v>9435</v>
      </c>
      <c r="H208" s="311" t="s">
        <v>8811</v>
      </c>
    </row>
    <row r="209" spans="2:8">
      <c r="B209" s="311" t="s">
        <v>3629</v>
      </c>
      <c r="C209" s="311" t="s">
        <v>8897</v>
      </c>
      <c r="D209" s="311" t="s">
        <v>8967</v>
      </c>
      <c r="E209" s="312" t="s">
        <v>9190</v>
      </c>
      <c r="F209" s="312" t="s">
        <v>9044</v>
      </c>
      <c r="G209" s="308" t="s">
        <v>9436</v>
      </c>
      <c r="H209" s="311" t="s">
        <v>8777</v>
      </c>
    </row>
    <row r="210" spans="2:8">
      <c r="B210" s="311" t="s">
        <v>3629</v>
      </c>
      <c r="C210" s="311" t="s">
        <v>8897</v>
      </c>
      <c r="D210" s="311" t="s">
        <v>8971</v>
      </c>
      <c r="E210" s="312" t="s">
        <v>9437</v>
      </c>
      <c r="F210" s="312" t="s">
        <v>9438</v>
      </c>
      <c r="G210" s="308" t="s">
        <v>8746</v>
      </c>
      <c r="H210" s="311" t="s">
        <v>8777</v>
      </c>
    </row>
    <row r="211" spans="2:8">
      <c r="B211" s="311" t="s">
        <v>3629</v>
      </c>
      <c r="C211" s="311" t="s">
        <v>8629</v>
      </c>
      <c r="D211" s="311" t="s">
        <v>8629</v>
      </c>
      <c r="E211" s="312" t="s">
        <v>9439</v>
      </c>
      <c r="F211" s="312" t="s">
        <v>9440</v>
      </c>
      <c r="G211" s="308" t="s">
        <v>8747</v>
      </c>
      <c r="H211" s="311" t="s">
        <v>8777</v>
      </c>
    </row>
    <row r="212" spans="2:8">
      <c r="B212" s="311" t="s">
        <v>3629</v>
      </c>
      <c r="C212" s="311" t="s">
        <v>8580</v>
      </c>
      <c r="D212" s="311" t="s">
        <v>9147</v>
      </c>
      <c r="E212" s="312" t="s">
        <v>9441</v>
      </c>
      <c r="F212" s="312" t="s">
        <v>9442</v>
      </c>
      <c r="G212" s="308" t="s">
        <v>8748</v>
      </c>
      <c r="H212" s="311" t="s">
        <v>8811</v>
      </c>
    </row>
    <row r="213" spans="2:8">
      <c r="B213" s="311" t="s">
        <v>3629</v>
      </c>
      <c r="C213" s="311" t="s">
        <v>8980</v>
      </c>
      <c r="D213" s="311" t="s">
        <v>9443</v>
      </c>
      <c r="E213" s="312" t="s">
        <v>9444</v>
      </c>
      <c r="F213" s="312" t="s">
        <v>9445</v>
      </c>
      <c r="G213" s="308" t="s">
        <v>9446</v>
      </c>
      <c r="H213" s="311" t="s">
        <v>8777</v>
      </c>
    </row>
    <row r="214" spans="2:8" ht="21">
      <c r="B214" s="311" t="s">
        <v>8758</v>
      </c>
      <c r="C214" s="311" t="s">
        <v>9447</v>
      </c>
      <c r="D214" s="311" t="s">
        <v>9448</v>
      </c>
      <c r="E214" s="312" t="s">
        <v>9449</v>
      </c>
      <c r="F214" s="312" t="s">
        <v>9450</v>
      </c>
      <c r="G214" s="308" t="s">
        <v>8637</v>
      </c>
      <c r="H214" s="311" t="s">
        <v>8764</v>
      </c>
    </row>
    <row r="215" spans="2:8" ht="21">
      <c r="B215" s="311" t="s">
        <v>8758</v>
      </c>
      <c r="C215" s="311" t="s">
        <v>9451</v>
      </c>
      <c r="D215" s="311" t="s">
        <v>8852</v>
      </c>
      <c r="E215" s="312" t="s">
        <v>9452</v>
      </c>
      <c r="F215" s="312" t="s">
        <v>9453</v>
      </c>
      <c r="G215" s="308" t="s">
        <v>8599</v>
      </c>
      <c r="H215" s="311" t="s">
        <v>8764</v>
      </c>
    </row>
    <row r="216" spans="2:8">
      <c r="B216" s="311" t="s">
        <v>8758</v>
      </c>
      <c r="C216" s="311" t="s">
        <v>9454</v>
      </c>
      <c r="D216" s="311" t="s">
        <v>8901</v>
      </c>
      <c r="E216" s="312" t="s">
        <v>9455</v>
      </c>
      <c r="F216" s="312" t="s">
        <v>9456</v>
      </c>
      <c r="G216" s="308" t="s">
        <v>8904</v>
      </c>
      <c r="H216" s="311" t="s">
        <v>8764</v>
      </c>
    </row>
    <row r="217" spans="2:8" ht="21">
      <c r="B217" s="311" t="s">
        <v>8758</v>
      </c>
      <c r="C217" s="311" t="s">
        <v>9457</v>
      </c>
      <c r="D217" s="311" t="s">
        <v>9458</v>
      </c>
      <c r="E217" s="312" t="s">
        <v>9459</v>
      </c>
      <c r="F217" s="312" t="s">
        <v>9460</v>
      </c>
      <c r="G217" s="308" t="s">
        <v>9461</v>
      </c>
      <c r="H217" s="311" t="s">
        <v>8777</v>
      </c>
    </row>
    <row r="218" spans="2:8" ht="21">
      <c r="B218" s="311" t="s">
        <v>8758</v>
      </c>
      <c r="C218" s="311" t="s">
        <v>9462</v>
      </c>
      <c r="D218" s="311" t="s">
        <v>8905</v>
      </c>
      <c r="E218" s="312" t="s">
        <v>9463</v>
      </c>
      <c r="F218" s="312" t="s">
        <v>9464</v>
      </c>
      <c r="G218" s="308" t="s">
        <v>8638</v>
      </c>
      <c r="H218" s="311" t="s">
        <v>8777</v>
      </c>
    </row>
    <row r="219" spans="2:8" ht="21">
      <c r="B219" s="311" t="s">
        <v>8758</v>
      </c>
      <c r="C219" s="311" t="s">
        <v>9465</v>
      </c>
      <c r="D219" s="311" t="s">
        <v>9466</v>
      </c>
      <c r="E219" s="312" t="s">
        <v>9467</v>
      </c>
      <c r="F219" s="312" t="s">
        <v>9468</v>
      </c>
      <c r="G219" s="308" t="s">
        <v>8911</v>
      </c>
      <c r="H219" s="311" t="s">
        <v>8777</v>
      </c>
    </row>
    <row r="220" spans="2:8">
      <c r="B220" s="311" t="s">
        <v>8758</v>
      </c>
      <c r="C220" s="311" t="s">
        <v>9469</v>
      </c>
      <c r="D220" s="311" t="s">
        <v>8807</v>
      </c>
      <c r="E220" s="312" t="s">
        <v>9470</v>
      </c>
      <c r="F220" s="312" t="s">
        <v>9471</v>
      </c>
      <c r="G220" s="308" t="s">
        <v>8810</v>
      </c>
      <c r="H220" s="311" t="s">
        <v>8811</v>
      </c>
    </row>
    <row r="221" spans="2:8" ht="21">
      <c r="B221" s="311" t="s">
        <v>8484</v>
      </c>
      <c r="C221" s="311" t="s">
        <v>9454</v>
      </c>
      <c r="D221" s="311" t="s">
        <v>8971</v>
      </c>
      <c r="E221" s="312" t="s">
        <v>9472</v>
      </c>
      <c r="F221" s="312" t="s">
        <v>9473</v>
      </c>
      <c r="G221" s="308" t="s">
        <v>8647</v>
      </c>
      <c r="H221" s="311" t="s">
        <v>8777</v>
      </c>
    </row>
    <row r="222" spans="2:8">
      <c r="B222" s="311" t="s">
        <v>8484</v>
      </c>
      <c r="C222" s="311" t="s">
        <v>9474</v>
      </c>
      <c r="D222" s="311" t="s">
        <v>8974</v>
      </c>
      <c r="E222" s="312" t="s">
        <v>9475</v>
      </c>
      <c r="F222" s="312" t="s">
        <v>9476</v>
      </c>
      <c r="G222" s="308" t="s">
        <v>8648</v>
      </c>
      <c r="H222" s="311" t="s">
        <v>8777</v>
      </c>
    </row>
    <row r="223" spans="2:8">
      <c r="B223" s="311" t="s">
        <v>8484</v>
      </c>
      <c r="C223" s="311" t="s">
        <v>9462</v>
      </c>
      <c r="D223" s="311" t="s">
        <v>8977</v>
      </c>
      <c r="E223" s="312" t="s">
        <v>9477</v>
      </c>
      <c r="F223" s="312" t="s">
        <v>9478</v>
      </c>
      <c r="G223" s="308" t="s">
        <v>8649</v>
      </c>
      <c r="H223" s="311" t="s">
        <v>8811</v>
      </c>
    </row>
    <row r="224" spans="2:8" ht="21">
      <c r="B224" s="311" t="s">
        <v>3966</v>
      </c>
      <c r="C224" s="311" t="s">
        <v>9479</v>
      </c>
      <c r="D224" s="311" t="s">
        <v>9042</v>
      </c>
      <c r="E224" s="312" t="s">
        <v>9480</v>
      </c>
      <c r="F224" s="312" t="s">
        <v>9481</v>
      </c>
      <c r="G224" s="308" t="s">
        <v>9045</v>
      </c>
      <c r="H224" s="311" t="s">
        <v>8777</v>
      </c>
    </row>
    <row r="225" spans="2:8">
      <c r="B225" s="311" t="s">
        <v>3966</v>
      </c>
      <c r="C225" s="311" t="s">
        <v>9482</v>
      </c>
      <c r="D225" s="311" t="s">
        <v>9046</v>
      </c>
      <c r="E225" s="312" t="s">
        <v>9483</v>
      </c>
      <c r="F225" s="312" t="s">
        <v>9484</v>
      </c>
      <c r="G225" s="308" t="s">
        <v>8658</v>
      </c>
      <c r="H225" s="311" t="s">
        <v>8777</v>
      </c>
    </row>
    <row r="226" spans="2:8">
      <c r="B226" s="311" t="s">
        <v>3966</v>
      </c>
      <c r="C226" s="311" t="s">
        <v>9485</v>
      </c>
      <c r="D226" s="311" t="s">
        <v>9049</v>
      </c>
      <c r="E226" s="312" t="s">
        <v>9486</v>
      </c>
      <c r="F226" s="312" t="s">
        <v>9487</v>
      </c>
      <c r="G226" s="308" t="s">
        <v>8659</v>
      </c>
      <c r="H226" s="311" t="s">
        <v>8764</v>
      </c>
    </row>
    <row r="227" spans="2:8">
      <c r="B227" s="311" t="s">
        <v>3966</v>
      </c>
      <c r="C227" s="311" t="s">
        <v>9462</v>
      </c>
      <c r="D227" s="311" t="s">
        <v>9055</v>
      </c>
      <c r="E227" s="312" t="s">
        <v>9488</v>
      </c>
      <c r="F227" s="312" t="s">
        <v>9489</v>
      </c>
      <c r="G227" s="308" t="s">
        <v>8660</v>
      </c>
      <c r="H227" s="311" t="s">
        <v>8811</v>
      </c>
    </row>
    <row r="228" spans="2:8">
      <c r="B228" s="311" t="s">
        <v>3739</v>
      </c>
      <c r="C228" s="311" t="s">
        <v>9490</v>
      </c>
      <c r="D228" s="311" t="s">
        <v>9102</v>
      </c>
      <c r="E228" s="312" t="s">
        <v>9491</v>
      </c>
      <c r="F228" s="312" t="s">
        <v>9492</v>
      </c>
      <c r="G228" s="308" t="s">
        <v>8670</v>
      </c>
      <c r="H228" s="311" t="s">
        <v>8777</v>
      </c>
    </row>
    <row r="229" spans="2:8">
      <c r="B229" s="311" t="s">
        <v>3739</v>
      </c>
      <c r="C229" s="311" t="s">
        <v>9479</v>
      </c>
      <c r="D229" s="311" t="s">
        <v>9042</v>
      </c>
      <c r="E229" s="312" t="s">
        <v>9493</v>
      </c>
      <c r="F229" s="312" t="s">
        <v>9494</v>
      </c>
      <c r="G229" s="308" t="s">
        <v>9101</v>
      </c>
      <c r="H229" s="311" t="s">
        <v>8777</v>
      </c>
    </row>
    <row r="230" spans="2:8">
      <c r="B230" s="311" t="s">
        <v>3739</v>
      </c>
      <c r="C230" s="311" t="s">
        <v>9462</v>
      </c>
      <c r="D230" s="311" t="s">
        <v>9107</v>
      </c>
      <c r="E230" s="312" t="s">
        <v>9495</v>
      </c>
      <c r="F230" s="312" t="s">
        <v>9496</v>
      </c>
      <c r="G230" s="308" t="s">
        <v>8672</v>
      </c>
      <c r="H230" s="311" t="s">
        <v>8777</v>
      </c>
    </row>
    <row r="231" spans="2:8">
      <c r="B231" s="311" t="s">
        <v>3682</v>
      </c>
      <c r="C231" s="311" t="s">
        <v>9454</v>
      </c>
      <c r="D231" s="311" t="s">
        <v>8971</v>
      </c>
      <c r="E231" s="312" t="s">
        <v>9497</v>
      </c>
      <c r="F231" s="312" t="s">
        <v>9498</v>
      </c>
      <c r="G231" s="308" t="s">
        <v>8681</v>
      </c>
      <c r="H231" s="311" t="s">
        <v>8777</v>
      </c>
    </row>
    <row r="232" spans="2:8">
      <c r="B232" s="311" t="s">
        <v>3682</v>
      </c>
      <c r="C232" s="311" t="s">
        <v>9474</v>
      </c>
      <c r="D232" s="311" t="s">
        <v>9144</v>
      </c>
      <c r="E232" s="312" t="s">
        <v>9499</v>
      </c>
      <c r="F232" s="312" t="s">
        <v>9500</v>
      </c>
      <c r="G232" s="308" t="s">
        <v>8682</v>
      </c>
      <c r="H232" s="311" t="s">
        <v>8764</v>
      </c>
    </row>
    <row r="233" spans="2:8">
      <c r="B233" s="311" t="s">
        <v>3682</v>
      </c>
      <c r="C233" s="311" t="s">
        <v>9462</v>
      </c>
      <c r="D233" s="311" t="s">
        <v>9147</v>
      </c>
      <c r="E233" s="312" t="s">
        <v>9477</v>
      </c>
      <c r="F233" s="312" t="s">
        <v>9501</v>
      </c>
      <c r="G233" s="308" t="s">
        <v>8683</v>
      </c>
      <c r="H233" s="311" t="s">
        <v>8811</v>
      </c>
    </row>
    <row r="234" spans="2:8">
      <c r="B234" s="311" t="s">
        <v>3682</v>
      </c>
      <c r="C234" s="311" t="s">
        <v>9502</v>
      </c>
      <c r="D234" s="311" t="s">
        <v>9150</v>
      </c>
      <c r="E234" s="312" t="s">
        <v>9503</v>
      </c>
      <c r="F234" s="312" t="s">
        <v>9504</v>
      </c>
      <c r="G234" s="308" t="s">
        <v>9153</v>
      </c>
      <c r="H234" s="311" t="s">
        <v>8811</v>
      </c>
    </row>
    <row r="235" spans="2:8">
      <c r="B235" s="311" t="s">
        <v>3642</v>
      </c>
      <c r="C235" s="311" t="s">
        <v>9454</v>
      </c>
      <c r="D235" s="311" t="s">
        <v>9192</v>
      </c>
      <c r="E235" s="312" t="s">
        <v>9505</v>
      </c>
      <c r="F235" s="312" t="s">
        <v>9506</v>
      </c>
      <c r="G235" s="308" t="s">
        <v>8692</v>
      </c>
      <c r="H235" s="311" t="s">
        <v>8777</v>
      </c>
    </row>
    <row r="236" spans="2:8">
      <c r="B236" s="311" t="s">
        <v>3642</v>
      </c>
      <c r="C236" s="311" t="s">
        <v>9474</v>
      </c>
      <c r="D236" s="311" t="s">
        <v>9195</v>
      </c>
      <c r="E236" s="312" t="s">
        <v>9507</v>
      </c>
      <c r="F236" s="312" t="s">
        <v>9508</v>
      </c>
      <c r="G236" s="308" t="s">
        <v>8693</v>
      </c>
      <c r="H236" s="311" t="s">
        <v>8764</v>
      </c>
    </row>
    <row r="237" spans="2:8">
      <c r="B237" s="311" t="s">
        <v>3642</v>
      </c>
      <c r="C237" s="311" t="s">
        <v>9462</v>
      </c>
      <c r="D237" s="311" t="s">
        <v>9198</v>
      </c>
      <c r="E237" s="312" t="s">
        <v>9488</v>
      </c>
      <c r="F237" s="312" t="s">
        <v>9509</v>
      </c>
      <c r="G237" s="308" t="s">
        <v>8694</v>
      </c>
      <c r="H237" s="311" t="s">
        <v>8811</v>
      </c>
    </row>
    <row r="238" spans="2:8">
      <c r="B238" s="311" t="s">
        <v>3662</v>
      </c>
      <c r="C238" s="311" t="s">
        <v>9490</v>
      </c>
      <c r="D238" s="311" t="s">
        <v>9224</v>
      </c>
      <c r="E238" s="312" t="s">
        <v>9510</v>
      </c>
      <c r="F238" s="312" t="s">
        <v>9511</v>
      </c>
      <c r="G238" s="308" t="s">
        <v>8703</v>
      </c>
      <c r="H238" s="311" t="s">
        <v>8777</v>
      </c>
    </row>
    <row r="239" spans="2:8">
      <c r="B239" s="311" t="s">
        <v>3662</v>
      </c>
      <c r="C239" s="311" t="s">
        <v>9462</v>
      </c>
      <c r="D239" s="311" t="s">
        <v>9229</v>
      </c>
      <c r="E239" s="312" t="s">
        <v>9512</v>
      </c>
      <c r="F239" s="312" t="s">
        <v>9513</v>
      </c>
      <c r="G239" s="308" t="s">
        <v>8705</v>
      </c>
      <c r="H239" s="311" t="s">
        <v>8811</v>
      </c>
    </row>
    <row r="240" spans="2:8">
      <c r="B240" s="311" t="s">
        <v>3662</v>
      </c>
      <c r="C240" s="311" t="s">
        <v>9514</v>
      </c>
      <c r="D240" s="311" t="s">
        <v>9515</v>
      </c>
      <c r="E240" s="312" t="s">
        <v>9516</v>
      </c>
      <c r="F240" s="312" t="s">
        <v>9517</v>
      </c>
      <c r="G240" s="308" t="s">
        <v>9236</v>
      </c>
      <c r="H240" s="311" t="s">
        <v>8811</v>
      </c>
    </row>
    <row r="241" spans="2:8">
      <c r="B241" s="311" t="s">
        <v>8706</v>
      </c>
      <c r="C241" s="311" t="s">
        <v>9490</v>
      </c>
      <c r="D241" s="311" t="s">
        <v>9274</v>
      </c>
      <c r="E241" s="312" t="s">
        <v>9518</v>
      </c>
      <c r="F241" s="312" t="s">
        <v>9519</v>
      </c>
      <c r="G241" s="308" t="s">
        <v>8715</v>
      </c>
      <c r="H241" s="311" t="s">
        <v>8777</v>
      </c>
    </row>
    <row r="242" spans="2:8">
      <c r="B242" s="311" t="s">
        <v>8706</v>
      </c>
      <c r="C242" s="311" t="s">
        <v>9520</v>
      </c>
      <c r="D242" s="311" t="s">
        <v>8629</v>
      </c>
      <c r="E242" s="312" t="s">
        <v>9521</v>
      </c>
      <c r="F242" s="312" t="s">
        <v>9522</v>
      </c>
      <c r="G242" s="308" t="s">
        <v>8716</v>
      </c>
      <c r="H242" s="311" t="s">
        <v>8764</v>
      </c>
    </row>
    <row r="243" spans="2:8">
      <c r="B243" s="311" t="s">
        <v>8706</v>
      </c>
      <c r="C243" s="311" t="s">
        <v>9462</v>
      </c>
      <c r="D243" s="311" t="s">
        <v>9107</v>
      </c>
      <c r="E243" s="312" t="s">
        <v>9523</v>
      </c>
      <c r="F243" s="312" t="s">
        <v>9524</v>
      </c>
      <c r="G243" s="308" t="s">
        <v>8717</v>
      </c>
      <c r="H243" s="311" t="s">
        <v>8811</v>
      </c>
    </row>
    <row r="244" spans="2:8" ht="21">
      <c r="B244" s="311" t="s">
        <v>3547</v>
      </c>
      <c r="C244" s="311" t="s">
        <v>9525</v>
      </c>
      <c r="D244" s="311" t="s">
        <v>9323</v>
      </c>
      <c r="E244" s="312" t="s">
        <v>9526</v>
      </c>
      <c r="F244" s="312" t="s">
        <v>9527</v>
      </c>
      <c r="G244" s="308" t="s">
        <v>8726</v>
      </c>
      <c r="H244" s="311" t="s">
        <v>8764</v>
      </c>
    </row>
    <row r="245" spans="2:8">
      <c r="B245" s="311" t="s">
        <v>3547</v>
      </c>
      <c r="C245" s="311" t="s">
        <v>9462</v>
      </c>
      <c r="D245" s="311" t="s">
        <v>9326</v>
      </c>
      <c r="E245" s="312" t="s">
        <v>9488</v>
      </c>
      <c r="F245" s="312" t="s">
        <v>9528</v>
      </c>
      <c r="G245" s="308" t="s">
        <v>8727</v>
      </c>
      <c r="H245" s="311" t="s">
        <v>8811</v>
      </c>
    </row>
    <row r="246" spans="2:8">
      <c r="B246" s="311" t="s">
        <v>3547</v>
      </c>
      <c r="C246" s="311" t="s">
        <v>9529</v>
      </c>
      <c r="D246" s="311" t="s">
        <v>9530</v>
      </c>
      <c r="E246" s="312" t="s">
        <v>9531</v>
      </c>
      <c r="F246" s="312" t="s">
        <v>9532</v>
      </c>
      <c r="G246" s="308" t="s">
        <v>9331</v>
      </c>
      <c r="H246" s="311" t="s">
        <v>8811</v>
      </c>
    </row>
    <row r="247" spans="2:8">
      <c r="B247" s="311" t="s">
        <v>3590</v>
      </c>
      <c r="C247" s="311" t="s">
        <v>9490</v>
      </c>
      <c r="D247" s="311" t="s">
        <v>9274</v>
      </c>
      <c r="E247" s="312" t="s">
        <v>9533</v>
      </c>
      <c r="F247" s="312" t="s">
        <v>9534</v>
      </c>
      <c r="G247" s="308" t="s">
        <v>8736</v>
      </c>
      <c r="H247" s="311" t="s">
        <v>8777</v>
      </c>
    </row>
    <row r="248" spans="2:8" ht="21">
      <c r="B248" s="311" t="s">
        <v>3590</v>
      </c>
      <c r="C248" s="311" t="s">
        <v>9520</v>
      </c>
      <c r="D248" s="311" t="s">
        <v>8629</v>
      </c>
      <c r="E248" s="312" t="s">
        <v>9535</v>
      </c>
      <c r="F248" s="312" t="s">
        <v>9536</v>
      </c>
      <c r="G248" s="308" t="s">
        <v>8737</v>
      </c>
      <c r="H248" s="311" t="s">
        <v>8764</v>
      </c>
    </row>
    <row r="249" spans="2:8" ht="21">
      <c r="B249" s="311" t="s">
        <v>3590</v>
      </c>
      <c r="C249" s="311" t="s">
        <v>9462</v>
      </c>
      <c r="D249" s="311" t="s">
        <v>9393</v>
      </c>
      <c r="E249" s="312" t="s">
        <v>9537</v>
      </c>
      <c r="F249" s="312" t="s">
        <v>9538</v>
      </c>
      <c r="G249" s="308" t="s">
        <v>8738</v>
      </c>
      <c r="H249" s="311" t="s">
        <v>8811</v>
      </c>
    </row>
    <row r="250" spans="2:8" ht="21">
      <c r="B250" s="311" t="s">
        <v>3590</v>
      </c>
      <c r="C250" s="311" t="s">
        <v>9502</v>
      </c>
      <c r="D250" s="311" t="s">
        <v>9396</v>
      </c>
      <c r="E250" s="312" t="s">
        <v>9539</v>
      </c>
      <c r="F250" s="312" t="s">
        <v>9540</v>
      </c>
      <c r="G250" s="308" t="s">
        <v>9399</v>
      </c>
      <c r="H250" s="311" t="s">
        <v>8811</v>
      </c>
    </row>
    <row r="251" spans="2:8">
      <c r="B251" s="311" t="s">
        <v>3629</v>
      </c>
      <c r="C251" s="311" t="s">
        <v>9454</v>
      </c>
      <c r="D251" s="311" t="s">
        <v>8971</v>
      </c>
      <c r="E251" s="312" t="s">
        <v>9497</v>
      </c>
      <c r="F251" s="312" t="s">
        <v>9541</v>
      </c>
      <c r="G251" s="308" t="s">
        <v>8746</v>
      </c>
      <c r="H251" s="311" t="s">
        <v>8777</v>
      </c>
    </row>
    <row r="252" spans="2:8" ht="21">
      <c r="B252" s="311" t="s">
        <v>3629</v>
      </c>
      <c r="C252" s="311" t="s">
        <v>9520</v>
      </c>
      <c r="D252" s="311" t="s">
        <v>8629</v>
      </c>
      <c r="E252" s="312" t="s">
        <v>9542</v>
      </c>
      <c r="F252" s="312" t="s">
        <v>9543</v>
      </c>
      <c r="G252" s="308" t="s">
        <v>8747</v>
      </c>
      <c r="H252" s="311" t="s">
        <v>8764</v>
      </c>
    </row>
    <row r="253" spans="2:8" ht="21">
      <c r="B253" s="311" t="s">
        <v>3629</v>
      </c>
      <c r="C253" s="311" t="s">
        <v>9462</v>
      </c>
      <c r="D253" s="311" t="s">
        <v>9147</v>
      </c>
      <c r="E253" s="312" t="s">
        <v>9488</v>
      </c>
      <c r="F253" s="312" t="s">
        <v>9544</v>
      </c>
      <c r="G253" s="308" t="s">
        <v>8748</v>
      </c>
      <c r="H253" s="311" t="s">
        <v>8811</v>
      </c>
    </row>
    <row r="254" spans="2:8" ht="21">
      <c r="B254" s="311" t="s">
        <v>9545</v>
      </c>
      <c r="C254" s="311" t="s">
        <v>9546</v>
      </c>
      <c r="D254" s="311" t="s">
        <v>9547</v>
      </c>
      <c r="E254" s="312" t="s">
        <v>9548</v>
      </c>
      <c r="F254" s="312" t="s">
        <v>9549</v>
      </c>
      <c r="G254" s="308" t="s">
        <v>9550</v>
      </c>
      <c r="H254" s="311" t="s">
        <v>8811</v>
      </c>
    </row>
    <row r="255" spans="2:8" ht="21">
      <c r="B255" s="311" t="s">
        <v>9551</v>
      </c>
      <c r="C255" s="311" t="s">
        <v>9546</v>
      </c>
      <c r="D255" s="311" t="s">
        <v>9552</v>
      </c>
      <c r="E255" s="312" t="s">
        <v>9553</v>
      </c>
      <c r="F255" s="312" t="s">
        <v>9554</v>
      </c>
      <c r="G255" s="308" t="s">
        <v>9555</v>
      </c>
      <c r="H255" s="311" t="s">
        <v>8811</v>
      </c>
    </row>
    <row r="256" spans="2:8" ht="21">
      <c r="B256" s="311" t="s">
        <v>8484</v>
      </c>
      <c r="C256" s="311" t="s">
        <v>9546</v>
      </c>
      <c r="D256" s="311" t="s">
        <v>9556</v>
      </c>
      <c r="E256" s="312" t="s">
        <v>9557</v>
      </c>
      <c r="F256" s="312" t="s">
        <v>9558</v>
      </c>
      <c r="G256" s="308" t="s">
        <v>9559</v>
      </c>
      <c r="H256" s="311" t="s">
        <v>8811</v>
      </c>
    </row>
    <row r="257" spans="2:8" ht="21">
      <c r="B257" s="311" t="s">
        <v>9560</v>
      </c>
      <c r="C257" s="311" t="s">
        <v>9546</v>
      </c>
      <c r="D257" s="311" t="s">
        <v>9561</v>
      </c>
      <c r="E257" s="312" t="s">
        <v>9562</v>
      </c>
      <c r="F257" s="312" t="s">
        <v>9563</v>
      </c>
      <c r="G257" s="308" t="s">
        <v>9564</v>
      </c>
      <c r="H257" s="311" t="s">
        <v>8811</v>
      </c>
    </row>
    <row r="258" spans="2:8" ht="21">
      <c r="B258" s="311" t="s">
        <v>3629</v>
      </c>
      <c r="C258" s="311" t="s">
        <v>9546</v>
      </c>
      <c r="D258" s="311" t="s">
        <v>9565</v>
      </c>
      <c r="E258" s="312" t="s">
        <v>9566</v>
      </c>
      <c r="F258" s="312" t="s">
        <v>9567</v>
      </c>
      <c r="G258" s="308" t="s">
        <v>9568</v>
      </c>
      <c r="H258" s="311" t="s">
        <v>8811</v>
      </c>
    </row>
    <row r="259" spans="2:8" ht="21">
      <c r="B259" s="311" t="s">
        <v>9569</v>
      </c>
      <c r="C259" s="311" t="s">
        <v>9570</v>
      </c>
      <c r="D259" s="311" t="s">
        <v>9571</v>
      </c>
      <c r="E259" s="312" t="s">
        <v>9572</v>
      </c>
      <c r="F259" s="312" t="s">
        <v>9573</v>
      </c>
      <c r="G259" s="308" t="s">
        <v>8604</v>
      </c>
      <c r="H259" s="311" t="s">
        <v>8777</v>
      </c>
    </row>
    <row r="260" spans="2:8" ht="21">
      <c r="B260" s="311" t="s">
        <v>9569</v>
      </c>
      <c r="C260" s="311" t="s">
        <v>9574</v>
      </c>
      <c r="D260" s="311" t="s">
        <v>9575</v>
      </c>
      <c r="E260" s="312" t="s">
        <v>9576</v>
      </c>
      <c r="F260" s="312" t="s">
        <v>9577</v>
      </c>
      <c r="G260" s="308" t="s">
        <v>9578</v>
      </c>
      <c r="H260" s="311" t="s">
        <v>8777</v>
      </c>
    </row>
    <row r="261" spans="2:8" ht="21">
      <c r="B261" s="311" t="s">
        <v>9579</v>
      </c>
      <c r="C261" s="311" t="s">
        <v>9580</v>
      </c>
      <c r="D261" s="311" t="s">
        <v>9581</v>
      </c>
      <c r="E261" s="312" t="s">
        <v>9582</v>
      </c>
      <c r="F261" s="312" t="s">
        <v>9583</v>
      </c>
      <c r="G261" s="308" t="s">
        <v>8606</v>
      </c>
      <c r="H261" s="311" t="s">
        <v>8764</v>
      </c>
    </row>
    <row r="262" spans="2:8" ht="21">
      <c r="B262" s="311" t="s">
        <v>9579</v>
      </c>
      <c r="C262" s="311" t="s">
        <v>9584</v>
      </c>
      <c r="D262" s="311" t="s">
        <v>9585</v>
      </c>
      <c r="E262" s="312" t="s">
        <v>9586</v>
      </c>
      <c r="F262" s="312" t="s">
        <v>9587</v>
      </c>
      <c r="G262" s="308" t="s">
        <v>9588</v>
      </c>
      <c r="H262" s="311" t="s">
        <v>8777</v>
      </c>
    </row>
    <row r="263" spans="2:8" ht="21">
      <c r="B263" s="311" t="s">
        <v>9579</v>
      </c>
      <c r="C263" s="311" t="s">
        <v>9589</v>
      </c>
      <c r="D263" s="311" t="s">
        <v>9590</v>
      </c>
      <c r="E263" s="312" t="s">
        <v>9591</v>
      </c>
      <c r="F263" s="312" t="s">
        <v>9592</v>
      </c>
      <c r="G263" s="308" t="s">
        <v>9593</v>
      </c>
      <c r="H263" s="311" t="s">
        <v>8777</v>
      </c>
    </row>
    <row r="264" spans="2:8" ht="21">
      <c r="B264" s="311" t="s">
        <v>9579</v>
      </c>
      <c r="C264" s="311" t="s">
        <v>9594</v>
      </c>
      <c r="D264" s="311" t="s">
        <v>9595</v>
      </c>
      <c r="E264" s="312" t="s">
        <v>9596</v>
      </c>
      <c r="F264" s="312" t="s">
        <v>9597</v>
      </c>
      <c r="G264" s="308" t="s">
        <v>9598</v>
      </c>
      <c r="H264" s="311" t="s">
        <v>8764</v>
      </c>
    </row>
    <row r="265" spans="2:8" ht="21">
      <c r="B265" s="311" t="s">
        <v>9579</v>
      </c>
      <c r="C265" s="311" t="s">
        <v>9599</v>
      </c>
      <c r="D265" s="311" t="s">
        <v>9600</v>
      </c>
      <c r="E265" s="312" t="s">
        <v>9601</v>
      </c>
      <c r="F265" s="312" t="s">
        <v>9602</v>
      </c>
      <c r="G265" s="308" t="s">
        <v>9603</v>
      </c>
      <c r="H265" s="311" t="s">
        <v>8811</v>
      </c>
    </row>
    <row r="266" spans="2:8">
      <c r="B266" s="311" t="s">
        <v>9604</v>
      </c>
      <c r="C266" s="311" t="s">
        <v>9605</v>
      </c>
      <c r="D266" s="311" t="s">
        <v>9606</v>
      </c>
      <c r="E266" s="312" t="s">
        <v>9607</v>
      </c>
      <c r="F266" s="312" t="s">
        <v>9608</v>
      </c>
      <c r="G266" s="308" t="s">
        <v>9609</v>
      </c>
      <c r="H266" s="311" t="s">
        <v>8811</v>
      </c>
    </row>
    <row r="267" spans="2:8" ht="21">
      <c r="B267" s="311" t="s">
        <v>9610</v>
      </c>
      <c r="C267" s="311" t="s">
        <v>8991</v>
      </c>
      <c r="D267" s="311" t="s">
        <v>9610</v>
      </c>
      <c r="E267" s="312" t="s">
        <v>9611</v>
      </c>
      <c r="F267" s="312" t="s">
        <v>9612</v>
      </c>
      <c r="G267" s="308" t="s">
        <v>9613</v>
      </c>
      <c r="H267" s="311" t="s">
        <v>8777</v>
      </c>
    </row>
    <row r="268" spans="2:8">
      <c r="B268" s="311" t="s">
        <v>9614</v>
      </c>
      <c r="C268" s="311" t="s">
        <v>9615</v>
      </c>
      <c r="D268" s="311" t="s">
        <v>9616</v>
      </c>
      <c r="E268" s="312" t="s">
        <v>9617</v>
      </c>
      <c r="F268" s="312" t="s">
        <v>9618</v>
      </c>
      <c r="G268" s="308" t="s">
        <v>9619</v>
      </c>
      <c r="H268" s="311" t="s">
        <v>8811</v>
      </c>
    </row>
    <row r="269" spans="2:8" ht="21">
      <c r="B269" s="311" t="s">
        <v>9620</v>
      </c>
      <c r="C269" s="311" t="s">
        <v>9621</v>
      </c>
      <c r="D269" s="311" t="s">
        <v>9622</v>
      </c>
      <c r="E269" s="312" t="s">
        <v>9623</v>
      </c>
      <c r="F269" s="312" t="s">
        <v>9624</v>
      </c>
      <c r="G269" s="308" t="s">
        <v>9625</v>
      </c>
      <c r="H269" s="311" t="s">
        <v>8777</v>
      </c>
    </row>
    <row r="270" spans="2:8" ht="21">
      <c r="B270" s="311" t="s">
        <v>9626</v>
      </c>
      <c r="C270" s="311" t="s">
        <v>9627</v>
      </c>
      <c r="D270" s="311" t="s">
        <v>9628</v>
      </c>
      <c r="E270" s="312" t="s">
        <v>9629</v>
      </c>
      <c r="F270" s="312" t="s">
        <v>9630</v>
      </c>
      <c r="G270" s="308" t="s">
        <v>9631</v>
      </c>
      <c r="H270" s="311" t="s">
        <v>8764</v>
      </c>
    </row>
    <row r="271" spans="2:8">
      <c r="B271" s="311" t="s">
        <v>9626</v>
      </c>
      <c r="C271" s="311" t="s">
        <v>9632</v>
      </c>
      <c r="D271" s="311" t="s">
        <v>9633</v>
      </c>
      <c r="E271" s="312" t="s">
        <v>9634</v>
      </c>
      <c r="F271" s="312" t="s">
        <v>9635</v>
      </c>
      <c r="G271" s="308" t="s">
        <v>9636</v>
      </c>
      <c r="H271" s="311" t="s">
        <v>8764</v>
      </c>
    </row>
    <row r="272" spans="2:8" ht="21">
      <c r="B272" s="311" t="s">
        <v>9637</v>
      </c>
      <c r="C272" s="311" t="s">
        <v>9638</v>
      </c>
      <c r="D272" s="311" t="s">
        <v>9639</v>
      </c>
      <c r="E272" s="312" t="s">
        <v>9640</v>
      </c>
      <c r="F272" s="312" t="s">
        <v>9641</v>
      </c>
      <c r="G272" s="308" t="s">
        <v>8610</v>
      </c>
      <c r="H272" s="311" t="s">
        <v>8764</v>
      </c>
    </row>
    <row r="273" spans="2:8">
      <c r="B273" s="311" t="s">
        <v>9637</v>
      </c>
      <c r="C273" s="311" t="s">
        <v>9642</v>
      </c>
      <c r="D273" s="311" t="s">
        <v>9643</v>
      </c>
      <c r="E273" s="312" t="s">
        <v>9644</v>
      </c>
      <c r="F273" s="312" t="s">
        <v>9645</v>
      </c>
      <c r="G273" s="308" t="s">
        <v>9646</v>
      </c>
      <c r="H273" s="311" t="s">
        <v>8777</v>
      </c>
    </row>
    <row r="274" spans="2:8" ht="21">
      <c r="B274" s="311" t="s">
        <v>9647</v>
      </c>
      <c r="C274" s="311" t="s">
        <v>9648</v>
      </c>
      <c r="D274" s="311" t="s">
        <v>9649</v>
      </c>
      <c r="E274" s="312" t="s">
        <v>9650</v>
      </c>
      <c r="F274" s="312" t="s">
        <v>9651</v>
      </c>
      <c r="G274" s="308" t="s">
        <v>8614</v>
      </c>
      <c r="H274" s="311" t="s">
        <v>8764</v>
      </c>
    </row>
    <row r="275" spans="2:8" ht="21">
      <c r="B275" s="311" t="s">
        <v>9647</v>
      </c>
      <c r="C275" s="311" t="s">
        <v>9652</v>
      </c>
      <c r="D275" s="311" t="s">
        <v>9653</v>
      </c>
      <c r="E275" s="312" t="s">
        <v>9654</v>
      </c>
      <c r="F275" s="312" t="s">
        <v>9655</v>
      </c>
      <c r="G275" s="308" t="s">
        <v>9656</v>
      </c>
      <c r="H275" s="311" t="s">
        <v>8764</v>
      </c>
    </row>
    <row r="276" spans="2:8" ht="21">
      <c r="B276" s="311" t="s">
        <v>9647</v>
      </c>
      <c r="C276" s="311" t="s">
        <v>9652</v>
      </c>
      <c r="D276" s="311" t="s">
        <v>9657</v>
      </c>
      <c r="E276" s="312" t="s">
        <v>9658</v>
      </c>
      <c r="F276" s="312" t="s">
        <v>9659</v>
      </c>
      <c r="G276" s="308" t="s">
        <v>9660</v>
      </c>
      <c r="H276" s="311" t="s">
        <v>8777</v>
      </c>
    </row>
    <row r="277" spans="2:8" ht="21">
      <c r="B277" s="311" t="s">
        <v>9647</v>
      </c>
      <c r="C277" s="311" t="s">
        <v>9661</v>
      </c>
      <c r="D277" s="311" t="s">
        <v>9662</v>
      </c>
      <c r="E277" s="312" t="s">
        <v>9663</v>
      </c>
      <c r="F277" s="312" t="s">
        <v>9664</v>
      </c>
      <c r="G277" s="308" t="s">
        <v>9665</v>
      </c>
      <c r="H277" s="311" t="s">
        <v>8777</v>
      </c>
    </row>
    <row r="278" spans="2:8">
      <c r="B278" s="311" t="s">
        <v>9647</v>
      </c>
      <c r="C278" s="311" t="s">
        <v>9666</v>
      </c>
      <c r="D278" s="311" t="s">
        <v>9667</v>
      </c>
      <c r="E278" s="312" t="s">
        <v>9668</v>
      </c>
      <c r="F278" s="312" t="s">
        <v>9669</v>
      </c>
      <c r="G278" s="308" t="s">
        <v>9670</v>
      </c>
      <c r="H278" s="311" t="s">
        <v>8811</v>
      </c>
    </row>
    <row r="279" spans="2:8">
      <c r="B279" s="311" t="s">
        <v>9671</v>
      </c>
      <c r="C279" s="311" t="s">
        <v>9672</v>
      </c>
      <c r="D279" s="311" t="s">
        <v>9673</v>
      </c>
      <c r="E279" s="312" t="s">
        <v>9674</v>
      </c>
      <c r="F279" s="312" t="s">
        <v>9675</v>
      </c>
      <c r="G279" s="308" t="s">
        <v>8612</v>
      </c>
      <c r="H279" s="311" t="s">
        <v>8764</v>
      </c>
    </row>
    <row r="280" spans="2:8" ht="21">
      <c r="B280" s="311" t="s">
        <v>9671</v>
      </c>
      <c r="C280" s="311" t="s">
        <v>9672</v>
      </c>
      <c r="D280" s="311" t="s">
        <v>9676</v>
      </c>
      <c r="E280" s="312" t="s">
        <v>9677</v>
      </c>
      <c r="F280" s="312" t="s">
        <v>9678</v>
      </c>
      <c r="G280" s="308" t="s">
        <v>9679</v>
      </c>
      <c r="H280" s="311" t="s">
        <v>8764</v>
      </c>
    </row>
    <row r="281" spans="2:8">
      <c r="B281" s="311" t="s">
        <v>9671</v>
      </c>
      <c r="C281" s="311" t="s">
        <v>9680</v>
      </c>
      <c r="D281" s="311" t="s">
        <v>9681</v>
      </c>
      <c r="E281" s="312" t="s">
        <v>9682</v>
      </c>
      <c r="F281" s="312" t="s">
        <v>9683</v>
      </c>
      <c r="G281" s="308" t="s">
        <v>9684</v>
      </c>
      <c r="H281" s="311" t="s">
        <v>8777</v>
      </c>
    </row>
    <row r="282" spans="2:8">
      <c r="B282" s="311" t="s">
        <v>9685</v>
      </c>
      <c r="C282" s="311" t="s">
        <v>9648</v>
      </c>
      <c r="D282" s="311" t="s">
        <v>9686</v>
      </c>
      <c r="E282" s="312" t="s">
        <v>9687</v>
      </c>
      <c r="F282" s="312" t="s">
        <v>9688</v>
      </c>
      <c r="G282" s="308" t="s">
        <v>9689</v>
      </c>
      <c r="H282" s="311" t="s">
        <v>8764</v>
      </c>
    </row>
    <row r="283" spans="2:8">
      <c r="B283" s="311" t="s">
        <v>9685</v>
      </c>
      <c r="C283" s="311" t="s">
        <v>9648</v>
      </c>
      <c r="D283" s="311" t="s">
        <v>9690</v>
      </c>
      <c r="E283" s="312" t="s">
        <v>9691</v>
      </c>
      <c r="F283" s="312" t="s">
        <v>9692</v>
      </c>
      <c r="G283" s="308" t="s">
        <v>9693</v>
      </c>
      <c r="H283" s="311" t="s">
        <v>8777</v>
      </c>
    </row>
    <row r="284" spans="2:8" ht="21">
      <c r="B284" s="311" t="s">
        <v>9685</v>
      </c>
      <c r="C284" s="311" t="s">
        <v>9694</v>
      </c>
      <c r="D284" s="311" t="s">
        <v>9695</v>
      </c>
      <c r="E284" s="312" t="s">
        <v>9696</v>
      </c>
      <c r="F284" s="312" t="s">
        <v>9697</v>
      </c>
      <c r="G284" s="308" t="s">
        <v>9698</v>
      </c>
      <c r="H284" s="311" t="s">
        <v>8777</v>
      </c>
    </row>
    <row r="285" spans="2:8" ht="21">
      <c r="B285" s="311" t="s">
        <v>9699</v>
      </c>
      <c r="C285" s="311" t="s">
        <v>9700</v>
      </c>
      <c r="D285" s="311" t="s">
        <v>9701</v>
      </c>
      <c r="E285" s="312" t="s">
        <v>9702</v>
      </c>
      <c r="F285" s="312" t="s">
        <v>9703</v>
      </c>
      <c r="G285" s="308" t="s">
        <v>8616</v>
      </c>
      <c r="H285" s="311" t="s">
        <v>8764</v>
      </c>
    </row>
    <row r="286" spans="2:8" ht="21">
      <c r="B286" s="311" t="s">
        <v>9704</v>
      </c>
      <c r="C286" s="311" t="s">
        <v>9705</v>
      </c>
      <c r="D286" s="311" t="s">
        <v>9706</v>
      </c>
      <c r="E286" s="312" t="s">
        <v>9707</v>
      </c>
      <c r="F286" s="312" t="s">
        <v>9708</v>
      </c>
      <c r="G286" s="308" t="s">
        <v>9709</v>
      </c>
      <c r="H286" s="311" t="s">
        <v>8777</v>
      </c>
    </row>
    <row r="287" spans="2:8" ht="21">
      <c r="B287" s="311" t="s">
        <v>9710</v>
      </c>
      <c r="C287" s="311" t="s">
        <v>9711</v>
      </c>
      <c r="D287" s="311" t="s">
        <v>9712</v>
      </c>
      <c r="E287" s="312" t="s">
        <v>9713</v>
      </c>
      <c r="F287" s="312" t="s">
        <v>9714</v>
      </c>
      <c r="G287" s="308" t="s">
        <v>8618</v>
      </c>
      <c r="H287" s="311" t="s">
        <v>8764</v>
      </c>
    </row>
    <row r="288" spans="2:8" ht="21">
      <c r="B288" s="311" t="s">
        <v>9710</v>
      </c>
      <c r="C288" s="311" t="s">
        <v>9711</v>
      </c>
      <c r="D288" s="311" t="s">
        <v>9715</v>
      </c>
      <c r="E288" s="312" t="s">
        <v>9716</v>
      </c>
      <c r="F288" s="312" t="s">
        <v>9717</v>
      </c>
      <c r="G288" s="308" t="s">
        <v>9718</v>
      </c>
      <c r="H288" s="311" t="s">
        <v>8777</v>
      </c>
    </row>
    <row r="289" spans="2:10">
      <c r="B289" s="311" t="s">
        <v>9710</v>
      </c>
      <c r="C289" s="311" t="s">
        <v>9719</v>
      </c>
      <c r="D289" s="311" t="s">
        <v>9720</v>
      </c>
      <c r="E289" s="312" t="s">
        <v>9721</v>
      </c>
      <c r="F289" s="312" t="s">
        <v>9722</v>
      </c>
      <c r="G289" s="308" t="s">
        <v>9723</v>
      </c>
      <c r="H289" s="311" t="s">
        <v>8777</v>
      </c>
    </row>
    <row r="290" spans="2:10" ht="21">
      <c r="B290" s="311" t="s">
        <v>9724</v>
      </c>
      <c r="C290" s="311" t="s">
        <v>9725</v>
      </c>
      <c r="D290" s="311" t="s">
        <v>9726</v>
      </c>
      <c r="E290" s="312" t="s">
        <v>9727</v>
      </c>
      <c r="F290" s="312" t="s">
        <v>9728</v>
      </c>
      <c r="G290" s="308" t="s">
        <v>9729</v>
      </c>
      <c r="H290" s="311" t="s">
        <v>8777</v>
      </c>
    </row>
    <row r="291" spans="2:10">
      <c r="B291" s="311" t="s">
        <v>9724</v>
      </c>
      <c r="C291" s="311" t="s">
        <v>9725</v>
      </c>
      <c r="D291" s="311" t="s">
        <v>9730</v>
      </c>
      <c r="E291" s="312" t="s">
        <v>9731</v>
      </c>
      <c r="F291" s="312" t="s">
        <v>9732</v>
      </c>
      <c r="G291" s="308" t="s">
        <v>9733</v>
      </c>
      <c r="H291" s="311" t="s">
        <v>8777</v>
      </c>
    </row>
    <row r="292" spans="2:10" ht="21">
      <c r="B292" s="311" t="s">
        <v>9734</v>
      </c>
      <c r="C292" s="311" t="s">
        <v>9735</v>
      </c>
      <c r="D292" s="311" t="s">
        <v>9736</v>
      </c>
      <c r="E292" s="312" t="s">
        <v>9737</v>
      </c>
      <c r="F292" s="312" t="s">
        <v>9738</v>
      </c>
      <c r="G292" s="308" t="s">
        <v>9739</v>
      </c>
      <c r="H292" s="311" t="s">
        <v>8777</v>
      </c>
    </row>
    <row r="293" spans="2:10" ht="21">
      <c r="B293" s="311" t="s">
        <v>9734</v>
      </c>
      <c r="C293" s="311" t="s">
        <v>9735</v>
      </c>
      <c r="D293" s="311" t="s">
        <v>9740</v>
      </c>
      <c r="E293" s="312" t="s">
        <v>9741</v>
      </c>
      <c r="F293" s="312" t="s">
        <v>9742</v>
      </c>
      <c r="G293" s="308" t="s">
        <v>9743</v>
      </c>
      <c r="H293" s="311" t="s">
        <v>8777</v>
      </c>
    </row>
    <row r="294" spans="2:10" ht="21">
      <c r="B294" s="311" t="s">
        <v>9744</v>
      </c>
      <c r="C294" s="311" t="s">
        <v>9745</v>
      </c>
      <c r="D294" s="311" t="s">
        <v>9746</v>
      </c>
      <c r="E294" s="312" t="s">
        <v>9747</v>
      </c>
      <c r="F294" s="312" t="s">
        <v>9748</v>
      </c>
      <c r="G294" s="308" t="s">
        <v>9749</v>
      </c>
      <c r="H294" s="311" t="s">
        <v>8811</v>
      </c>
    </row>
    <row r="295" spans="2:10" ht="21">
      <c r="B295" s="311" t="s">
        <v>9750</v>
      </c>
      <c r="C295" s="311" t="s">
        <v>9751</v>
      </c>
      <c r="D295" s="311" t="s">
        <v>9752</v>
      </c>
      <c r="E295" s="312" t="s">
        <v>9753</v>
      </c>
      <c r="F295" s="312" t="s">
        <v>9754</v>
      </c>
      <c r="G295" s="308" t="s">
        <v>9755</v>
      </c>
      <c r="H295" s="311" t="s">
        <v>8811</v>
      </c>
    </row>
    <row r="296" spans="2:10">
      <c r="B296" s="311" t="s">
        <v>9756</v>
      </c>
      <c r="C296" s="311" t="s">
        <v>9757</v>
      </c>
      <c r="D296" s="311" t="s">
        <v>9758</v>
      </c>
      <c r="E296" s="312" t="s">
        <v>9759</v>
      </c>
      <c r="F296" s="312" t="s">
        <v>9760</v>
      </c>
      <c r="G296" s="308" t="s">
        <v>9761</v>
      </c>
      <c r="H296" s="311" t="s">
        <v>8811</v>
      </c>
    </row>
    <row r="299" spans="2:10">
      <c r="B299" s="302" t="s">
        <v>9762</v>
      </c>
      <c r="C299" s="305"/>
      <c r="D299" s="305"/>
      <c r="E299" s="305"/>
      <c r="F299" s="305"/>
      <c r="G299" s="305"/>
      <c r="H299" s="305"/>
      <c r="I299" s="305"/>
    </row>
    <row r="300" spans="2:10">
      <c r="B300" s="303" t="s">
        <v>9763</v>
      </c>
      <c r="C300" s="303" t="s">
        <v>9764</v>
      </c>
      <c r="D300" s="303" t="s">
        <v>9765</v>
      </c>
      <c r="E300" s="303" t="s">
        <v>9766</v>
      </c>
      <c r="F300" s="303" t="s">
        <v>8756</v>
      </c>
      <c r="G300" s="303" t="s">
        <v>9767</v>
      </c>
      <c r="H300" s="303" t="s">
        <v>9768</v>
      </c>
      <c r="I300" s="303" t="s">
        <v>9769</v>
      </c>
      <c r="J300" s="303" t="s">
        <v>1654</v>
      </c>
    </row>
    <row r="301" spans="2:10" ht="73.5">
      <c r="B301" s="311">
        <v>1</v>
      </c>
      <c r="C301" s="311" t="s">
        <v>9770</v>
      </c>
      <c r="D301" s="312" t="s">
        <v>9771</v>
      </c>
      <c r="E301" s="312" t="s">
        <v>9772</v>
      </c>
      <c r="F301" s="308" t="s">
        <v>9773</v>
      </c>
      <c r="G301" s="312" t="s">
        <v>9774</v>
      </c>
      <c r="H301" s="312" t="s">
        <v>9775</v>
      </c>
      <c r="I301" s="311" t="s">
        <v>9776</v>
      </c>
      <c r="J301" s="311"/>
    </row>
    <row r="302" spans="2:10" ht="63">
      <c r="B302" s="311">
        <v>2</v>
      </c>
      <c r="C302" s="311" t="s">
        <v>8621</v>
      </c>
      <c r="D302" s="312" t="s">
        <v>9777</v>
      </c>
      <c r="E302" s="312" t="s">
        <v>9778</v>
      </c>
      <c r="F302" s="308" t="s">
        <v>9773</v>
      </c>
      <c r="G302" s="312" t="s">
        <v>9779</v>
      </c>
      <c r="H302" s="312" t="s">
        <v>9780</v>
      </c>
      <c r="I302" s="311" t="s">
        <v>9776</v>
      </c>
      <c r="J302" s="311"/>
    </row>
    <row r="303" spans="2:10" ht="52.5">
      <c r="B303" s="311">
        <v>3</v>
      </c>
      <c r="C303" s="311" t="s">
        <v>9781</v>
      </c>
      <c r="D303" s="312" t="s">
        <v>9782</v>
      </c>
      <c r="E303" s="312" t="s">
        <v>9783</v>
      </c>
      <c r="F303" s="308" t="s">
        <v>9773</v>
      </c>
      <c r="G303" s="312" t="s">
        <v>9784</v>
      </c>
      <c r="H303" s="312" t="s">
        <v>9785</v>
      </c>
      <c r="I303" s="311" t="s">
        <v>9776</v>
      </c>
      <c r="J303" s="311"/>
    </row>
    <row r="304" spans="2:10" ht="63">
      <c r="B304" s="311">
        <v>4</v>
      </c>
      <c r="C304" s="311" t="s">
        <v>9786</v>
      </c>
      <c r="D304" s="312" t="s">
        <v>9787</v>
      </c>
      <c r="E304" s="312" t="s">
        <v>9788</v>
      </c>
      <c r="F304" s="308" t="s">
        <v>9773</v>
      </c>
      <c r="G304" s="312" t="s">
        <v>9789</v>
      </c>
      <c r="H304" s="312" t="s">
        <v>9790</v>
      </c>
      <c r="I304" s="311" t="s">
        <v>9776</v>
      </c>
      <c r="J304" s="311"/>
    </row>
    <row r="305" spans="2:10" ht="84">
      <c r="B305" s="311">
        <v>5</v>
      </c>
      <c r="C305" s="311" t="s">
        <v>9791</v>
      </c>
      <c r="D305" s="312" t="s">
        <v>9792</v>
      </c>
      <c r="E305" s="312" t="s">
        <v>9788</v>
      </c>
      <c r="F305" s="308" t="s">
        <v>9773</v>
      </c>
      <c r="G305" s="312" t="s">
        <v>9793</v>
      </c>
      <c r="H305" s="312" t="s">
        <v>9794</v>
      </c>
      <c r="I305" s="311" t="s">
        <v>9776</v>
      </c>
      <c r="J305" s="311"/>
    </row>
    <row r="306" spans="2:10" ht="73.5">
      <c r="B306" s="311">
        <v>6</v>
      </c>
      <c r="C306" s="311" t="s">
        <v>9795</v>
      </c>
      <c r="D306" s="312" t="s">
        <v>9796</v>
      </c>
      <c r="E306" s="312" t="s">
        <v>9797</v>
      </c>
      <c r="F306" s="308" t="s">
        <v>9773</v>
      </c>
      <c r="G306" s="312" t="s">
        <v>9798</v>
      </c>
      <c r="H306" s="312" t="s">
        <v>9799</v>
      </c>
      <c r="I306" s="311" t="s">
        <v>9776</v>
      </c>
      <c r="J306" s="311"/>
    </row>
    <row r="307" spans="2:10" ht="84">
      <c r="B307" s="311">
        <v>7</v>
      </c>
      <c r="C307" s="311" t="s">
        <v>9800</v>
      </c>
      <c r="D307" s="312" t="s">
        <v>9801</v>
      </c>
      <c r="E307" s="312" t="s">
        <v>9802</v>
      </c>
      <c r="F307" s="311"/>
      <c r="G307" s="312" t="s">
        <v>9803</v>
      </c>
      <c r="H307" s="312" t="s">
        <v>9804</v>
      </c>
      <c r="I307" s="311" t="s">
        <v>9776</v>
      </c>
      <c r="J307" s="311"/>
    </row>
    <row r="308" spans="2:10" ht="42">
      <c r="B308" s="311">
        <v>8</v>
      </c>
      <c r="C308" s="311" t="s">
        <v>9805</v>
      </c>
      <c r="D308" s="312" t="s">
        <v>9806</v>
      </c>
      <c r="E308" s="312" t="s">
        <v>8813</v>
      </c>
      <c r="F308" s="308" t="s">
        <v>9773</v>
      </c>
      <c r="G308" s="312" t="s">
        <v>9807</v>
      </c>
      <c r="H308" s="312" t="s">
        <v>9808</v>
      </c>
      <c r="I308" s="311" t="s">
        <v>9776</v>
      </c>
      <c r="J308" s="311"/>
    </row>
    <row r="309" spans="2:10" ht="63">
      <c r="B309" s="311">
        <v>9</v>
      </c>
      <c r="C309" s="311" t="s">
        <v>9809</v>
      </c>
      <c r="D309" s="312" t="s">
        <v>9810</v>
      </c>
      <c r="E309" s="312" t="s">
        <v>9811</v>
      </c>
      <c r="F309" s="308" t="s">
        <v>9773</v>
      </c>
      <c r="G309" s="312" t="s">
        <v>9812</v>
      </c>
      <c r="H309" s="312" t="s">
        <v>9813</v>
      </c>
      <c r="I309" s="311" t="s">
        <v>9776</v>
      </c>
      <c r="J309" s="311"/>
    </row>
    <row r="310" spans="2:10" ht="73.5">
      <c r="B310" s="311">
        <v>10</v>
      </c>
      <c r="C310" s="311" t="s">
        <v>8833</v>
      </c>
      <c r="D310" s="312" t="s">
        <v>9814</v>
      </c>
      <c r="E310" s="312" t="s">
        <v>9815</v>
      </c>
      <c r="F310" s="308" t="s">
        <v>9773</v>
      </c>
      <c r="G310" s="312" t="s">
        <v>9816</v>
      </c>
      <c r="H310" s="312" t="s">
        <v>9817</v>
      </c>
      <c r="I310" s="311" t="s">
        <v>9776</v>
      </c>
      <c r="J310" s="311"/>
    </row>
    <row r="311" spans="2:10" ht="73.5">
      <c r="B311" s="311">
        <v>11</v>
      </c>
      <c r="C311" s="311" t="s">
        <v>9818</v>
      </c>
      <c r="D311" s="312" t="s">
        <v>9819</v>
      </c>
      <c r="E311" s="312" t="s">
        <v>9820</v>
      </c>
      <c r="F311" s="308" t="s">
        <v>9773</v>
      </c>
      <c r="G311" s="312" t="s">
        <v>9821</v>
      </c>
      <c r="H311" s="312" t="s">
        <v>9822</v>
      </c>
      <c r="I311" s="311" t="s">
        <v>9776</v>
      </c>
      <c r="J311" s="311"/>
    </row>
    <row r="312" spans="2:10" ht="73.5">
      <c r="B312" s="311">
        <v>12</v>
      </c>
      <c r="C312" s="311" t="s">
        <v>9823</v>
      </c>
      <c r="D312" s="312" t="s">
        <v>9824</v>
      </c>
      <c r="E312" s="312" t="s">
        <v>9825</v>
      </c>
      <c r="F312" s="311"/>
      <c r="G312" s="312" t="s">
        <v>9826</v>
      </c>
      <c r="H312" s="312" t="s">
        <v>9827</v>
      </c>
      <c r="I312" s="311" t="s">
        <v>9776</v>
      </c>
      <c r="J312" s="311"/>
    </row>
    <row r="313" spans="2:10" ht="63">
      <c r="B313" s="311">
        <v>13</v>
      </c>
      <c r="C313" s="311" t="s">
        <v>9828</v>
      </c>
      <c r="D313" s="312" t="s">
        <v>9829</v>
      </c>
      <c r="E313" s="312" t="s">
        <v>9830</v>
      </c>
      <c r="F313" s="311"/>
      <c r="G313" s="312" t="s">
        <v>9831</v>
      </c>
      <c r="H313" s="312" t="s">
        <v>9832</v>
      </c>
      <c r="I313" s="311" t="s">
        <v>9776</v>
      </c>
      <c r="J313" s="311"/>
    </row>
    <row r="314" spans="2:10" ht="52.5">
      <c r="B314" s="311">
        <v>14</v>
      </c>
      <c r="C314" s="311" t="s">
        <v>9833</v>
      </c>
      <c r="D314" s="312" t="s">
        <v>9834</v>
      </c>
      <c r="E314" s="312" t="s">
        <v>9835</v>
      </c>
      <c r="F314" s="311"/>
      <c r="G314" s="312" t="s">
        <v>9836</v>
      </c>
      <c r="H314" s="312" t="s">
        <v>9837</v>
      </c>
      <c r="I314" s="311" t="s">
        <v>9776</v>
      </c>
      <c r="J314" s="311"/>
    </row>
    <row r="315" spans="2:10" ht="52.5">
      <c r="B315" s="311">
        <v>15</v>
      </c>
      <c r="C315" s="311" t="s">
        <v>9838</v>
      </c>
      <c r="D315" s="312" t="s">
        <v>9839</v>
      </c>
      <c r="E315" s="312" t="s">
        <v>9840</v>
      </c>
      <c r="F315" s="311"/>
      <c r="G315" s="312" t="s">
        <v>9841</v>
      </c>
      <c r="H315" s="312" t="s">
        <v>9842</v>
      </c>
      <c r="I315" s="311" t="s">
        <v>9776</v>
      </c>
      <c r="J315" s="311"/>
    </row>
    <row r="316" spans="2:10" ht="84">
      <c r="B316" s="311">
        <v>16</v>
      </c>
      <c r="C316" s="311" t="s">
        <v>9843</v>
      </c>
      <c r="D316" s="312" t="s">
        <v>9844</v>
      </c>
      <c r="E316" s="312" t="s">
        <v>9845</v>
      </c>
      <c r="F316" s="311"/>
      <c r="G316" s="312" t="s">
        <v>9846</v>
      </c>
      <c r="H316" s="312" t="s">
        <v>9847</v>
      </c>
      <c r="I316" s="311" t="s">
        <v>9776</v>
      </c>
      <c r="J316" s="311"/>
    </row>
    <row r="317" spans="2:10" ht="94.5">
      <c r="B317" s="311">
        <v>17</v>
      </c>
      <c r="C317" s="311" t="s">
        <v>9848</v>
      </c>
      <c r="D317" s="312" t="s">
        <v>9849</v>
      </c>
      <c r="E317" s="312" t="s">
        <v>9850</v>
      </c>
      <c r="F317" s="311"/>
      <c r="G317" s="312" t="s">
        <v>9851</v>
      </c>
      <c r="H317" s="312" t="s">
        <v>9852</v>
      </c>
      <c r="I317" s="311" t="s">
        <v>9776</v>
      </c>
      <c r="J317" s="311"/>
    </row>
    <row r="318" spans="2:10" ht="73.5">
      <c r="B318" s="311">
        <v>18</v>
      </c>
      <c r="C318" s="311" t="s">
        <v>9853</v>
      </c>
      <c r="D318" s="312" t="s">
        <v>9854</v>
      </c>
      <c r="E318" s="312" t="s">
        <v>9855</v>
      </c>
      <c r="F318" s="311"/>
      <c r="G318" s="312" t="s">
        <v>9856</v>
      </c>
      <c r="H318" s="312" t="s">
        <v>9857</v>
      </c>
      <c r="I318" s="311" t="s">
        <v>9776</v>
      </c>
      <c r="J318" s="311"/>
    </row>
    <row r="319" spans="2:10" ht="73.5">
      <c r="B319" s="311">
        <v>19</v>
      </c>
      <c r="C319" s="311" t="s">
        <v>9858</v>
      </c>
      <c r="D319" s="312" t="s">
        <v>9859</v>
      </c>
      <c r="E319" s="312" t="s">
        <v>9860</v>
      </c>
      <c r="F319" s="311"/>
      <c r="G319" s="312" t="s">
        <v>9861</v>
      </c>
      <c r="H319" s="312" t="s">
        <v>9862</v>
      </c>
      <c r="I319" s="311" t="s">
        <v>9776</v>
      </c>
      <c r="J319" s="311"/>
    </row>
    <row r="320" spans="2:10" ht="73.5">
      <c r="B320" s="311">
        <v>20</v>
      </c>
      <c r="C320" s="311" t="s">
        <v>9863</v>
      </c>
      <c r="D320" s="312" t="s">
        <v>9864</v>
      </c>
      <c r="E320" s="312" t="s">
        <v>9865</v>
      </c>
      <c r="F320" s="311"/>
      <c r="G320" s="312" t="s">
        <v>9866</v>
      </c>
      <c r="H320" s="312" t="s">
        <v>9867</v>
      </c>
      <c r="I320" s="311" t="s">
        <v>9776</v>
      </c>
      <c r="J320" s="311"/>
    </row>
    <row r="321" spans="2:10" ht="63">
      <c r="B321" s="311">
        <v>21</v>
      </c>
      <c r="C321" s="311" t="s">
        <v>9868</v>
      </c>
      <c r="D321" s="312" t="s">
        <v>9869</v>
      </c>
      <c r="E321" s="312" t="s">
        <v>9581</v>
      </c>
      <c r="F321" s="308" t="s">
        <v>9773</v>
      </c>
      <c r="G321" s="312" t="s">
        <v>9870</v>
      </c>
      <c r="H321" s="312" t="s">
        <v>9871</v>
      </c>
      <c r="I321" s="311" t="s">
        <v>9776</v>
      </c>
      <c r="J321" s="311"/>
    </row>
    <row r="322" spans="2:10" ht="63">
      <c r="B322" s="311">
        <v>22</v>
      </c>
      <c r="C322" s="311" t="s">
        <v>9872</v>
      </c>
      <c r="D322" s="312" t="s">
        <v>9873</v>
      </c>
      <c r="E322" s="312" t="s">
        <v>9874</v>
      </c>
      <c r="F322" s="308" t="s">
        <v>9773</v>
      </c>
      <c r="G322" s="312" t="s">
        <v>9875</v>
      </c>
      <c r="H322" s="312" t="s">
        <v>9876</v>
      </c>
      <c r="I322" s="311" t="s">
        <v>9776</v>
      </c>
      <c r="J322" s="311"/>
    </row>
    <row r="323" spans="2:10" ht="84">
      <c r="B323" s="311">
        <v>23</v>
      </c>
      <c r="C323" s="311" t="s">
        <v>9877</v>
      </c>
      <c r="D323" s="312" t="s">
        <v>9878</v>
      </c>
      <c r="E323" s="312" t="s">
        <v>9879</v>
      </c>
      <c r="F323" s="308" t="s">
        <v>9773</v>
      </c>
      <c r="G323" s="312" t="s">
        <v>9880</v>
      </c>
      <c r="H323" s="312" t="s">
        <v>9881</v>
      </c>
      <c r="I323" s="311" t="s">
        <v>9776</v>
      </c>
      <c r="J323" s="311"/>
    </row>
    <row r="324" spans="2:10" ht="63">
      <c r="B324" s="311">
        <v>24</v>
      </c>
      <c r="C324" s="311" t="s">
        <v>9882</v>
      </c>
      <c r="D324" s="312" t="s">
        <v>9883</v>
      </c>
      <c r="E324" s="312" t="s">
        <v>9884</v>
      </c>
      <c r="F324" s="308" t="s">
        <v>9773</v>
      </c>
      <c r="G324" s="312" t="s">
        <v>9885</v>
      </c>
      <c r="H324" s="312" t="s">
        <v>9886</v>
      </c>
      <c r="I324" s="311" t="s">
        <v>9776</v>
      </c>
      <c r="J324" s="311"/>
    </row>
    <row r="325" spans="2:10" ht="63">
      <c r="B325" s="311">
        <v>25</v>
      </c>
      <c r="C325" s="311" t="s">
        <v>9887</v>
      </c>
      <c r="D325" s="312" t="s">
        <v>9888</v>
      </c>
      <c r="E325" s="312" t="s">
        <v>9889</v>
      </c>
      <c r="F325" s="308" t="s">
        <v>9773</v>
      </c>
      <c r="G325" s="312" t="s">
        <v>9890</v>
      </c>
      <c r="H325" s="312" t="s">
        <v>9891</v>
      </c>
      <c r="I325" s="311" t="s">
        <v>9776</v>
      </c>
      <c r="J325" s="311"/>
    </row>
    <row r="326" spans="2:10" ht="73.5">
      <c r="B326" s="311">
        <v>26</v>
      </c>
      <c r="C326" s="311" t="s">
        <v>9648</v>
      </c>
      <c r="D326" s="312" t="s">
        <v>9892</v>
      </c>
      <c r="E326" s="312" t="s">
        <v>9893</v>
      </c>
      <c r="F326" s="308" t="s">
        <v>9773</v>
      </c>
      <c r="G326" s="312" t="s">
        <v>9894</v>
      </c>
      <c r="H326" s="312" t="s">
        <v>9895</v>
      </c>
      <c r="I326" s="311" t="s">
        <v>9776</v>
      </c>
      <c r="J326" s="311"/>
    </row>
    <row r="327" spans="2:10" ht="84">
      <c r="B327" s="311">
        <v>27</v>
      </c>
      <c r="C327" s="311" t="s">
        <v>9896</v>
      </c>
      <c r="D327" s="312" t="s">
        <v>9897</v>
      </c>
      <c r="E327" s="312" t="s">
        <v>9639</v>
      </c>
      <c r="F327" s="308" t="s">
        <v>9773</v>
      </c>
      <c r="G327" s="312" t="s">
        <v>9898</v>
      </c>
      <c r="H327" s="312" t="s">
        <v>9899</v>
      </c>
      <c r="I327" s="311" t="s">
        <v>9776</v>
      </c>
      <c r="J327" s="311"/>
    </row>
    <row r="328" spans="2:10" ht="94.5">
      <c r="B328" s="311">
        <v>28</v>
      </c>
      <c r="C328" s="311" t="s">
        <v>9900</v>
      </c>
      <c r="D328" s="312" t="s">
        <v>9901</v>
      </c>
      <c r="E328" s="312" t="s">
        <v>9902</v>
      </c>
      <c r="F328" s="308" t="s">
        <v>9773</v>
      </c>
      <c r="G328" s="312" t="s">
        <v>9903</v>
      </c>
      <c r="H328" s="312" t="s">
        <v>9904</v>
      </c>
      <c r="I328" s="311" t="s">
        <v>9776</v>
      </c>
      <c r="J328" s="311"/>
    </row>
    <row r="329" spans="2:10" ht="63">
      <c r="B329" s="311">
        <v>29</v>
      </c>
      <c r="C329" s="311" t="s">
        <v>9905</v>
      </c>
      <c r="D329" s="312" t="s">
        <v>9906</v>
      </c>
      <c r="E329" s="312" t="s">
        <v>9907</v>
      </c>
      <c r="F329" s="308" t="s">
        <v>9773</v>
      </c>
      <c r="G329" s="312" t="s">
        <v>9908</v>
      </c>
      <c r="H329" s="312" t="s">
        <v>9909</v>
      </c>
      <c r="I329" s="311" t="s">
        <v>9776</v>
      </c>
      <c r="J329" s="311"/>
    </row>
    <row r="330" spans="2:10" ht="73.5">
      <c r="B330" s="311">
        <v>30</v>
      </c>
      <c r="C330" s="311" t="s">
        <v>9910</v>
      </c>
      <c r="D330" s="312" t="s">
        <v>9911</v>
      </c>
      <c r="E330" s="312" t="s">
        <v>9912</v>
      </c>
      <c r="F330" s="308" t="s">
        <v>9773</v>
      </c>
      <c r="G330" s="312" t="s">
        <v>9913</v>
      </c>
      <c r="H330" s="312" t="s">
        <v>9914</v>
      </c>
      <c r="I330" s="311" t="s">
        <v>9776</v>
      </c>
      <c r="J330" s="311"/>
    </row>
    <row r="331" spans="2:10" ht="73.5">
      <c r="B331" s="311">
        <v>31</v>
      </c>
      <c r="C331" s="311" t="s">
        <v>9915</v>
      </c>
      <c r="D331" s="312" t="s">
        <v>9916</v>
      </c>
      <c r="E331" s="312" t="s">
        <v>9917</v>
      </c>
      <c r="F331" s="308" t="s">
        <v>9773</v>
      </c>
      <c r="G331" s="312" t="s">
        <v>9918</v>
      </c>
      <c r="H331" s="312" t="s">
        <v>9919</v>
      </c>
      <c r="I331" s="311" t="s">
        <v>9776</v>
      </c>
      <c r="J331" s="311"/>
    </row>
    <row r="332" spans="2:10" ht="63">
      <c r="B332" s="311">
        <v>32</v>
      </c>
      <c r="C332" s="311" t="s">
        <v>9920</v>
      </c>
      <c r="D332" s="312" t="s">
        <v>9921</v>
      </c>
      <c r="E332" s="312" t="s">
        <v>9922</v>
      </c>
      <c r="F332" s="311"/>
      <c r="G332" s="312" t="s">
        <v>9923</v>
      </c>
      <c r="H332" s="312" t="s">
        <v>9924</v>
      </c>
      <c r="I332" s="311" t="s">
        <v>9776</v>
      </c>
      <c r="J332" s="311"/>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8D637-B7F5-4D91-87F8-9B62FA1F9F97}">
  <sheetPr>
    <tabColor rgb="FFD97706"/>
  </sheetPr>
  <dimension ref="A1:Q10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3" t="s">
        <v>9925</v>
      </c>
      <c r="B1" s="514"/>
      <c r="C1" s="514"/>
      <c r="D1" s="514"/>
      <c r="E1" s="514"/>
      <c r="F1" s="514"/>
      <c r="G1" s="514"/>
      <c r="H1" s="514"/>
      <c r="I1" s="514"/>
      <c r="J1" s="514"/>
      <c r="K1" s="514"/>
      <c r="L1" s="514"/>
      <c r="M1" s="514"/>
      <c r="N1" s="514"/>
    </row>
    <row r="2" spans="1:17" ht="15.95" customHeight="1">
      <c r="A2" s="513" t="s">
        <v>9926</v>
      </c>
      <c r="B2" s="514"/>
      <c r="C2" s="514"/>
      <c r="D2" s="514"/>
      <c r="E2" s="514"/>
      <c r="F2" s="514"/>
      <c r="G2" s="514"/>
      <c r="H2" s="514"/>
      <c r="I2" s="514"/>
      <c r="J2" s="514"/>
      <c r="K2" s="514"/>
      <c r="L2" s="514"/>
      <c r="M2" s="514"/>
      <c r="N2" s="514"/>
    </row>
    <row r="3" spans="1:17" ht="30" customHeight="1">
      <c r="A3" s="278" t="s">
        <v>9927</v>
      </c>
      <c r="B3" s="229" t="s">
        <v>9928</v>
      </c>
      <c r="C3" s="229" t="s">
        <v>9929</v>
      </c>
      <c r="D3" s="279" t="s">
        <v>24</v>
      </c>
      <c r="E3" s="278" t="s">
        <v>7</v>
      </c>
      <c r="F3" s="278" t="s">
        <v>9930</v>
      </c>
      <c r="G3" s="278" t="s">
        <v>63</v>
      </c>
      <c r="H3" s="279" t="s">
        <v>9931</v>
      </c>
      <c r="I3" s="278" t="s">
        <v>9932</v>
      </c>
      <c r="J3" s="278" t="s">
        <v>25</v>
      </c>
      <c r="K3" s="278" t="s">
        <v>9933</v>
      </c>
      <c r="L3" s="278" t="s">
        <v>9934</v>
      </c>
      <c r="M3" s="278" t="s">
        <v>9935</v>
      </c>
      <c r="N3" s="279" t="s">
        <v>9936</v>
      </c>
      <c r="O3" s="278" t="s">
        <v>9937</v>
      </c>
      <c r="P3" s="279" t="s">
        <v>1654</v>
      </c>
      <c r="Q3" s="190" t="s">
        <v>9938</v>
      </c>
    </row>
    <row r="4" spans="1:17" ht="42" customHeight="1">
      <c r="A4" s="148" t="s">
        <v>9939</v>
      </c>
      <c r="B4" s="149">
        <v>407</v>
      </c>
      <c r="C4" s="150" t="s">
        <v>9940</v>
      </c>
      <c r="D4" s="148" t="s">
        <v>9941</v>
      </c>
      <c r="E4" s="148" t="s">
        <v>3642</v>
      </c>
      <c r="F4" s="148" t="s">
        <v>9942</v>
      </c>
      <c r="G4" s="148" t="s">
        <v>8499</v>
      </c>
      <c r="H4" s="148" t="s">
        <v>1136</v>
      </c>
      <c r="I4" s="151">
        <v>1988</v>
      </c>
      <c r="J4" s="151">
        <v>21000</v>
      </c>
      <c r="K4" s="151">
        <v>66700</v>
      </c>
      <c r="L4" s="148" t="s">
        <v>9943</v>
      </c>
      <c r="M4" s="148" t="s">
        <v>9944</v>
      </c>
      <c r="N4" s="148" t="s">
        <v>9945</v>
      </c>
      <c r="O4" s="148" t="s">
        <v>9946</v>
      </c>
      <c r="P4" s="148" t="s">
        <v>9947</v>
      </c>
      <c r="Q4" s="230" t="str">
        <f t="shared" ref="Q4:Q35" si="0">IF(B4="","",IFERROR(INDEX(OCC_TABLE_DESC,MATCH(B4,OCC_TABLE_CODE,0)),"Unrecognized code"))</f>
        <v>Distribution Warehouse</v>
      </c>
    </row>
    <row r="5" spans="1:17" ht="39.950000000000003" customHeight="1">
      <c r="A5" s="148" t="s">
        <v>9948</v>
      </c>
      <c r="B5" s="149">
        <v>344</v>
      </c>
      <c r="C5" s="150" t="s">
        <v>9949</v>
      </c>
      <c r="D5" s="148" t="s">
        <v>9950</v>
      </c>
      <c r="E5" s="148" t="s">
        <v>8758</v>
      </c>
      <c r="F5" s="148" t="s">
        <v>9942</v>
      </c>
      <c r="G5" s="148" t="s">
        <v>9951</v>
      </c>
      <c r="H5" s="148" t="s">
        <v>9952</v>
      </c>
      <c r="I5" s="148"/>
      <c r="J5" s="148"/>
      <c r="K5" s="148"/>
      <c r="L5" s="148" t="s">
        <v>9949</v>
      </c>
      <c r="M5" s="148" t="s">
        <v>9953</v>
      </c>
      <c r="N5" s="148" t="s">
        <v>9954</v>
      </c>
      <c r="O5" s="148" t="s">
        <v>9946</v>
      </c>
      <c r="P5" s="148" t="s">
        <v>9955</v>
      </c>
      <c r="Q5" s="230" t="str">
        <f t="shared" si="0"/>
        <v>Office Building</v>
      </c>
    </row>
    <row r="6" spans="1:17" ht="39.950000000000003" customHeight="1">
      <c r="A6" s="148" t="s">
        <v>9956</v>
      </c>
      <c r="B6" s="149">
        <v>344</v>
      </c>
      <c r="C6" s="150" t="s">
        <v>9957</v>
      </c>
      <c r="D6" s="148" t="s">
        <v>9958</v>
      </c>
      <c r="E6" s="148" t="s">
        <v>3629</v>
      </c>
      <c r="F6" s="148" t="s">
        <v>9942</v>
      </c>
      <c r="G6" s="148" t="s">
        <v>9959</v>
      </c>
      <c r="H6" s="148" t="s">
        <v>9960</v>
      </c>
      <c r="I6" s="148"/>
      <c r="J6" s="151">
        <v>49479</v>
      </c>
      <c r="K6" s="148"/>
      <c r="L6" s="148" t="s">
        <v>9957</v>
      </c>
      <c r="M6" s="148" t="s">
        <v>9961</v>
      </c>
      <c r="N6" s="148" t="s">
        <v>9962</v>
      </c>
      <c r="O6" s="148" t="s">
        <v>9946</v>
      </c>
      <c r="P6" s="148" t="s">
        <v>9963</v>
      </c>
      <c r="Q6" s="230" t="str">
        <f t="shared" si="0"/>
        <v>Office Building</v>
      </c>
    </row>
    <row r="7" spans="1:17" ht="39.950000000000003" customHeight="1">
      <c r="A7" s="148" t="s">
        <v>9964</v>
      </c>
      <c r="B7" s="149">
        <v>412</v>
      </c>
      <c r="C7" s="150" t="s">
        <v>9965</v>
      </c>
      <c r="D7" s="148" t="s">
        <v>9966</v>
      </c>
      <c r="E7" s="148" t="s">
        <v>8758</v>
      </c>
      <c r="F7" s="148" t="s">
        <v>9942</v>
      </c>
      <c r="G7" s="148" t="s">
        <v>9967</v>
      </c>
      <c r="H7" s="148" t="s">
        <v>9968</v>
      </c>
      <c r="I7" s="148"/>
      <c r="J7" s="151">
        <v>65850</v>
      </c>
      <c r="K7" s="148"/>
      <c r="L7" s="148" t="s">
        <v>9965</v>
      </c>
      <c r="M7" s="148" t="s">
        <v>9969</v>
      </c>
      <c r="N7" s="148" t="s">
        <v>9970</v>
      </c>
      <c r="O7" s="148" t="s">
        <v>9946</v>
      </c>
      <c r="P7" s="148" t="s">
        <v>9971</v>
      </c>
      <c r="Q7" s="230" t="str">
        <f t="shared" si="0"/>
        <v>Neighborhood Shopping Center</v>
      </c>
    </row>
    <row r="8" spans="1:17" ht="39.950000000000003" customHeight="1">
      <c r="A8" s="148" t="s">
        <v>9972</v>
      </c>
      <c r="B8" s="149">
        <v>344</v>
      </c>
      <c r="C8" s="150" t="s">
        <v>3588</v>
      </c>
      <c r="D8" s="148" t="s">
        <v>9973</v>
      </c>
      <c r="E8" s="148" t="s">
        <v>3590</v>
      </c>
      <c r="F8" s="148" t="s">
        <v>9942</v>
      </c>
      <c r="G8" s="148" t="s">
        <v>9959</v>
      </c>
      <c r="H8" s="148" t="s">
        <v>9974</v>
      </c>
      <c r="I8" s="148"/>
      <c r="J8" s="151">
        <v>91646</v>
      </c>
      <c r="K8" s="148"/>
      <c r="L8" s="148" t="s">
        <v>3588</v>
      </c>
      <c r="M8" s="148" t="s">
        <v>9975</v>
      </c>
      <c r="N8" s="148" t="s">
        <v>9976</v>
      </c>
      <c r="O8" s="148" t="s">
        <v>9946</v>
      </c>
      <c r="P8" s="148" t="s">
        <v>9977</v>
      </c>
      <c r="Q8" s="230" t="str">
        <f t="shared" si="0"/>
        <v>Office Building</v>
      </c>
    </row>
    <row r="9" spans="1:17" ht="39.950000000000003" customHeight="1">
      <c r="A9" s="148" t="s">
        <v>9978</v>
      </c>
      <c r="B9" s="149">
        <v>210</v>
      </c>
      <c r="C9" s="150" t="s">
        <v>9979</v>
      </c>
      <c r="D9" s="148" t="s">
        <v>9980</v>
      </c>
      <c r="E9" s="148" t="s">
        <v>3629</v>
      </c>
      <c r="F9" s="148" t="s">
        <v>9942</v>
      </c>
      <c r="G9" s="148" t="s">
        <v>9981</v>
      </c>
      <c r="H9" s="148" t="s">
        <v>9952</v>
      </c>
      <c r="I9" s="148"/>
      <c r="J9" s="151">
        <v>37078</v>
      </c>
      <c r="K9" s="148"/>
      <c r="L9" s="148" t="s">
        <v>9979</v>
      </c>
      <c r="M9" s="148" t="s">
        <v>9949</v>
      </c>
      <c r="N9" s="148" t="s">
        <v>9982</v>
      </c>
      <c r="O9" s="148" t="s">
        <v>9946</v>
      </c>
      <c r="P9" s="148" t="s">
        <v>9983</v>
      </c>
      <c r="Q9" s="230" t="str">
        <f t="shared" si="0"/>
        <v>Industrial Flex Mall Building</v>
      </c>
    </row>
    <row r="10" spans="1:17" ht="39.950000000000003" customHeight="1">
      <c r="A10" s="148" t="s">
        <v>9984</v>
      </c>
      <c r="B10" s="149">
        <v>341</v>
      </c>
      <c r="C10" s="150" t="s">
        <v>9985</v>
      </c>
      <c r="D10" s="148" t="s">
        <v>9986</v>
      </c>
      <c r="E10" s="148" t="s">
        <v>8758</v>
      </c>
      <c r="F10" s="148" t="s">
        <v>9942</v>
      </c>
      <c r="G10" s="148" t="s">
        <v>8507</v>
      </c>
      <c r="H10" s="148" t="s">
        <v>9952</v>
      </c>
      <c r="I10" s="148"/>
      <c r="J10" s="151">
        <v>19430</v>
      </c>
      <c r="K10" s="148"/>
      <c r="L10" s="148" t="s">
        <v>9985</v>
      </c>
      <c r="M10" s="148" t="s">
        <v>9987</v>
      </c>
      <c r="N10" s="148" t="s">
        <v>9988</v>
      </c>
      <c r="O10" s="148" t="s">
        <v>9946</v>
      </c>
      <c r="P10" s="148" t="s">
        <v>9989</v>
      </c>
      <c r="Q10" s="230" t="str">
        <f t="shared" si="0"/>
        <v>Medical Offices</v>
      </c>
    </row>
    <row r="11" spans="1:17" ht="39.950000000000003" customHeight="1">
      <c r="A11" s="148" t="s">
        <v>9990</v>
      </c>
      <c r="B11" s="149">
        <v>210</v>
      </c>
      <c r="C11" s="150" t="s">
        <v>9991</v>
      </c>
      <c r="D11" s="148" t="s">
        <v>9992</v>
      </c>
      <c r="E11" s="148" t="s">
        <v>8758</v>
      </c>
      <c r="F11" s="148" t="s">
        <v>9942</v>
      </c>
      <c r="G11" s="148" t="s">
        <v>1911</v>
      </c>
      <c r="H11" s="148" t="s">
        <v>9993</v>
      </c>
      <c r="I11" s="148"/>
      <c r="J11" s="151">
        <v>330935</v>
      </c>
      <c r="K11" s="148"/>
      <c r="L11" s="148" t="s">
        <v>9991</v>
      </c>
      <c r="M11" s="148" t="s">
        <v>9994</v>
      </c>
      <c r="N11" s="148" t="s">
        <v>9970</v>
      </c>
      <c r="O11" s="148" t="s">
        <v>9946</v>
      </c>
      <c r="P11" s="148" t="s">
        <v>9995</v>
      </c>
      <c r="Q11" s="230" t="str">
        <f t="shared" si="0"/>
        <v>Industrial Flex Mall Building</v>
      </c>
    </row>
    <row r="12" spans="1:17" ht="39.950000000000003" customHeight="1">
      <c r="A12" s="148" t="s">
        <v>9996</v>
      </c>
      <c r="B12" s="149">
        <v>407</v>
      </c>
      <c r="C12" s="150" t="s">
        <v>9997</v>
      </c>
      <c r="D12" s="148" t="s">
        <v>9998</v>
      </c>
      <c r="E12" s="148" t="s">
        <v>8758</v>
      </c>
      <c r="F12" s="148" t="s">
        <v>9942</v>
      </c>
      <c r="G12" s="148" t="s">
        <v>1911</v>
      </c>
      <c r="H12" s="148" t="s">
        <v>9999</v>
      </c>
      <c r="I12" s="148"/>
      <c r="J12" s="148"/>
      <c r="K12" s="148"/>
      <c r="L12" s="148" t="s">
        <v>9997</v>
      </c>
      <c r="M12" s="148" t="s">
        <v>10000</v>
      </c>
      <c r="N12" s="148" t="s">
        <v>10001</v>
      </c>
      <c r="O12" s="148" t="s">
        <v>9946</v>
      </c>
      <c r="P12" s="148" t="s">
        <v>10002</v>
      </c>
      <c r="Q12" s="230" t="str">
        <f t="shared" si="0"/>
        <v>Distribution Warehouse</v>
      </c>
    </row>
    <row r="13" spans="1:17" ht="39.950000000000003" customHeight="1">
      <c r="A13" s="148" t="s">
        <v>10003</v>
      </c>
      <c r="B13" s="149">
        <v>210</v>
      </c>
      <c r="C13" s="150" t="s">
        <v>10004</v>
      </c>
      <c r="D13" s="148" t="s">
        <v>10005</v>
      </c>
      <c r="E13" s="148" t="s">
        <v>1304</v>
      </c>
      <c r="F13" s="148" t="s">
        <v>9942</v>
      </c>
      <c r="G13" s="148" t="s">
        <v>10006</v>
      </c>
      <c r="H13" s="148" t="s">
        <v>10007</v>
      </c>
      <c r="I13" s="148"/>
      <c r="J13" s="151">
        <v>105000</v>
      </c>
      <c r="K13" s="148"/>
      <c r="L13" s="148" t="s">
        <v>10004</v>
      </c>
      <c r="M13" s="148" t="s">
        <v>10008</v>
      </c>
      <c r="N13" s="148" t="s">
        <v>9988</v>
      </c>
      <c r="O13" s="148" t="s">
        <v>9946</v>
      </c>
      <c r="P13" s="148" t="s">
        <v>10009</v>
      </c>
      <c r="Q13" s="230" t="str">
        <f t="shared" si="0"/>
        <v>Industrial Flex Mall Building</v>
      </c>
    </row>
    <row r="14" spans="1:17" ht="39.950000000000003" customHeight="1">
      <c r="A14" s="148" t="s">
        <v>10010</v>
      </c>
      <c r="B14" s="149">
        <v>210</v>
      </c>
      <c r="C14" s="150" t="s">
        <v>10011</v>
      </c>
      <c r="D14" s="148" t="s">
        <v>10012</v>
      </c>
      <c r="E14" s="148" t="s">
        <v>8758</v>
      </c>
      <c r="F14" s="148" t="s">
        <v>9942</v>
      </c>
      <c r="G14" s="148" t="s">
        <v>10013</v>
      </c>
      <c r="H14" s="148" t="s">
        <v>9952</v>
      </c>
      <c r="I14" s="148"/>
      <c r="J14" s="148"/>
      <c r="K14" s="148"/>
      <c r="L14" s="148" t="s">
        <v>10011</v>
      </c>
      <c r="M14" s="148" t="s">
        <v>9949</v>
      </c>
      <c r="N14" s="148" t="s">
        <v>10014</v>
      </c>
      <c r="O14" s="148" t="s">
        <v>9946</v>
      </c>
      <c r="P14" s="148" t="s">
        <v>10015</v>
      </c>
      <c r="Q14" s="230" t="str">
        <f t="shared" si="0"/>
        <v>Industrial Flex Mall Building</v>
      </c>
    </row>
    <row r="15" spans="1:17" ht="39.950000000000003" customHeight="1">
      <c r="A15" s="148" t="s">
        <v>10016</v>
      </c>
      <c r="B15" s="149">
        <v>344</v>
      </c>
      <c r="C15" s="150" t="s">
        <v>10017</v>
      </c>
      <c r="D15" s="148" t="s">
        <v>10018</v>
      </c>
      <c r="E15" s="148" t="s">
        <v>8758</v>
      </c>
      <c r="F15" s="148" t="s">
        <v>9942</v>
      </c>
      <c r="G15" s="148" t="s">
        <v>9959</v>
      </c>
      <c r="H15" s="148" t="s">
        <v>9952</v>
      </c>
      <c r="I15" s="148"/>
      <c r="J15" s="151">
        <v>20170</v>
      </c>
      <c r="K15" s="148"/>
      <c r="L15" s="148" t="s">
        <v>10017</v>
      </c>
      <c r="M15" s="148" t="s">
        <v>9949</v>
      </c>
      <c r="N15" s="148" t="s">
        <v>10019</v>
      </c>
      <c r="O15" s="148" t="s">
        <v>9946</v>
      </c>
      <c r="P15" s="148" t="s">
        <v>10020</v>
      </c>
      <c r="Q15" s="230" t="str">
        <f t="shared" si="0"/>
        <v>Office Building</v>
      </c>
    </row>
    <row r="16" spans="1:17" ht="39.950000000000003" customHeight="1">
      <c r="A16" s="148" t="s">
        <v>10021</v>
      </c>
      <c r="B16" s="149">
        <v>353</v>
      </c>
      <c r="C16" s="150" t="s">
        <v>10022</v>
      </c>
      <c r="D16" s="148" t="s">
        <v>10023</v>
      </c>
      <c r="E16" s="148" t="s">
        <v>8758</v>
      </c>
      <c r="F16" s="148" t="s">
        <v>9942</v>
      </c>
      <c r="G16" s="148" t="s">
        <v>10024</v>
      </c>
      <c r="H16" s="148" t="s">
        <v>9952</v>
      </c>
      <c r="I16" s="151">
        <v>2023</v>
      </c>
      <c r="J16" s="148"/>
      <c r="K16" s="148"/>
      <c r="L16" s="148" t="s">
        <v>10022</v>
      </c>
      <c r="M16" s="148" t="s">
        <v>9949</v>
      </c>
      <c r="N16" s="148" t="s">
        <v>10025</v>
      </c>
      <c r="O16" s="148" t="s">
        <v>9946</v>
      </c>
      <c r="P16" s="148" t="s">
        <v>10026</v>
      </c>
      <c r="Q16" s="230" t="str">
        <f t="shared" si="0"/>
        <v>Retail Store</v>
      </c>
    </row>
    <row r="17" spans="1:17" ht="39.950000000000003" customHeight="1">
      <c r="A17" s="148" t="s">
        <v>10027</v>
      </c>
      <c r="B17" s="149">
        <v>407</v>
      </c>
      <c r="C17" s="150" t="s">
        <v>10028</v>
      </c>
      <c r="D17" s="148" t="s">
        <v>10029</v>
      </c>
      <c r="E17" s="148" t="s">
        <v>3966</v>
      </c>
      <c r="F17" s="148" t="s">
        <v>9942</v>
      </c>
      <c r="G17" s="148" t="s">
        <v>10030</v>
      </c>
      <c r="H17" s="148" t="s">
        <v>10031</v>
      </c>
      <c r="I17" s="148"/>
      <c r="J17" s="151">
        <v>555840</v>
      </c>
      <c r="K17" s="148"/>
      <c r="L17" s="148" t="s">
        <v>10028</v>
      </c>
      <c r="M17" s="148" t="s">
        <v>10032</v>
      </c>
      <c r="N17" s="148" t="s">
        <v>10033</v>
      </c>
      <c r="O17" s="148" t="s">
        <v>9946</v>
      </c>
      <c r="P17" s="148" t="s">
        <v>10034</v>
      </c>
      <c r="Q17" s="230" t="str">
        <f t="shared" si="0"/>
        <v>Distribution Warehouse</v>
      </c>
    </row>
    <row r="18" spans="1:17" ht="12.75">
      <c r="A18" s="280" t="s">
        <v>10035</v>
      </c>
      <c r="B18" s="149">
        <v>407</v>
      </c>
      <c r="C18" s="150" t="s">
        <v>5443</v>
      </c>
      <c r="D18" s="281" t="s">
        <v>10036</v>
      </c>
      <c r="E18" s="280" t="s">
        <v>3966</v>
      </c>
      <c r="F18" s="280" t="s">
        <v>9942</v>
      </c>
      <c r="G18" s="280" t="s">
        <v>1911</v>
      </c>
      <c r="H18" s="281" t="s">
        <v>10037</v>
      </c>
      <c r="I18" s="280">
        <v>2019</v>
      </c>
      <c r="J18" s="280">
        <v>163386</v>
      </c>
      <c r="K18" s="280"/>
      <c r="L18" s="280" t="s">
        <v>5443</v>
      </c>
      <c r="M18" s="280"/>
      <c r="N18" s="281" t="s">
        <v>10038</v>
      </c>
      <c r="O18" s="280" t="s">
        <v>9946</v>
      </c>
      <c r="P18" s="281" t="s">
        <v>10039</v>
      </c>
      <c r="Q18" s="230" t="str">
        <f t="shared" si="0"/>
        <v>Distribution Warehouse</v>
      </c>
    </row>
    <row r="19" spans="1:17" ht="12.75">
      <c r="A19" s="152" t="s">
        <v>10040</v>
      </c>
      <c r="B19" s="149">
        <v>584</v>
      </c>
      <c r="C19" s="150" t="s">
        <v>10041</v>
      </c>
      <c r="D19" s="265" t="s">
        <v>10042</v>
      </c>
      <c r="E19" s="152" t="s">
        <v>3966</v>
      </c>
      <c r="F19" s="152" t="s">
        <v>9942</v>
      </c>
      <c r="G19" s="152" t="s">
        <v>1911</v>
      </c>
      <c r="H19" s="265" t="s">
        <v>10043</v>
      </c>
      <c r="I19" s="152">
        <v>1983</v>
      </c>
      <c r="J19" s="152">
        <v>384953</v>
      </c>
      <c r="K19" s="152"/>
      <c r="L19" s="152" t="s">
        <v>10041</v>
      </c>
      <c r="M19" s="152"/>
      <c r="N19" s="265" t="s">
        <v>10044</v>
      </c>
      <c r="O19" s="152" t="s">
        <v>9946</v>
      </c>
      <c r="P19" s="265" t="s">
        <v>10045</v>
      </c>
      <c r="Q19" s="230" t="str">
        <f t="shared" si="0"/>
        <v>Mega Warehouse</v>
      </c>
    </row>
    <row r="20" spans="1:17" ht="12.75">
      <c r="A20" s="280" t="s">
        <v>10046</v>
      </c>
      <c r="B20" s="149">
        <v>210</v>
      </c>
      <c r="C20" s="150" t="s">
        <v>10047</v>
      </c>
      <c r="D20" s="281" t="s">
        <v>10048</v>
      </c>
      <c r="E20" s="280" t="s">
        <v>1304</v>
      </c>
      <c r="F20" s="280" t="s">
        <v>9942</v>
      </c>
      <c r="G20" s="280" t="s">
        <v>1911</v>
      </c>
      <c r="H20" s="281" t="s">
        <v>10049</v>
      </c>
      <c r="I20" s="280">
        <v>1972</v>
      </c>
      <c r="J20" s="280">
        <v>63348</v>
      </c>
      <c r="K20" s="280"/>
      <c r="L20" s="280" t="s">
        <v>10047</v>
      </c>
      <c r="M20" s="280"/>
      <c r="N20" s="281" t="s">
        <v>10044</v>
      </c>
      <c r="O20" s="280" t="s">
        <v>9946</v>
      </c>
      <c r="P20" s="281" t="s">
        <v>10050</v>
      </c>
      <c r="Q20" s="230" t="str">
        <f t="shared" si="0"/>
        <v>Industrial Flex Mall Building</v>
      </c>
    </row>
    <row r="21" spans="1:17" ht="12.75">
      <c r="A21" s="152" t="s">
        <v>10051</v>
      </c>
      <c r="B21" s="149">
        <v>406</v>
      </c>
      <c r="C21" s="150" t="s">
        <v>10052</v>
      </c>
      <c r="D21" s="265" t="s">
        <v>10053</v>
      </c>
      <c r="E21" s="152" t="s">
        <v>1304</v>
      </c>
      <c r="F21" s="152" t="s">
        <v>9942</v>
      </c>
      <c r="G21" s="152" t="s">
        <v>1911</v>
      </c>
      <c r="H21" s="265" t="s">
        <v>10054</v>
      </c>
      <c r="I21" s="152">
        <v>2004</v>
      </c>
      <c r="J21" s="152">
        <v>18720</v>
      </c>
      <c r="K21" s="152"/>
      <c r="L21" s="152" t="s">
        <v>10052</v>
      </c>
      <c r="M21" s="152"/>
      <c r="N21" s="265" t="s">
        <v>10055</v>
      </c>
      <c r="O21" s="152" t="s">
        <v>9946</v>
      </c>
      <c r="P21" s="265" t="s">
        <v>10056</v>
      </c>
      <c r="Q21" s="230" t="str">
        <f t="shared" si="0"/>
        <v>Storage Warehouse</v>
      </c>
    </row>
    <row r="22" spans="1:17" ht="12.75">
      <c r="A22" s="280" t="s">
        <v>10057</v>
      </c>
      <c r="B22" s="149">
        <v>407</v>
      </c>
      <c r="C22" s="150" t="s">
        <v>10058</v>
      </c>
      <c r="D22" s="281" t="s">
        <v>10059</v>
      </c>
      <c r="E22" s="280" t="s">
        <v>3642</v>
      </c>
      <c r="F22" s="280" t="s">
        <v>9942</v>
      </c>
      <c r="G22" s="280" t="s">
        <v>1911</v>
      </c>
      <c r="H22" s="281" t="s">
        <v>10060</v>
      </c>
      <c r="I22" s="280">
        <v>2021</v>
      </c>
      <c r="J22" s="280">
        <v>329940</v>
      </c>
      <c r="K22" s="280"/>
      <c r="L22" s="280" t="s">
        <v>10058</v>
      </c>
      <c r="M22" s="280"/>
      <c r="N22" s="281" t="s">
        <v>10061</v>
      </c>
      <c r="O22" s="280" t="s">
        <v>9946</v>
      </c>
      <c r="P22" s="281" t="s">
        <v>10062</v>
      </c>
      <c r="Q22" s="230" t="str">
        <f t="shared" si="0"/>
        <v>Distribution Warehouse</v>
      </c>
    </row>
    <row r="23" spans="1:17" ht="25.5">
      <c r="A23" s="152" t="s">
        <v>10063</v>
      </c>
      <c r="B23" s="149">
        <v>584</v>
      </c>
      <c r="C23" s="150" t="s">
        <v>5763</v>
      </c>
      <c r="D23" s="265" t="s">
        <v>10064</v>
      </c>
      <c r="E23" s="152" t="s">
        <v>3642</v>
      </c>
      <c r="F23" s="152" t="s">
        <v>9942</v>
      </c>
      <c r="G23" s="152" t="s">
        <v>1911</v>
      </c>
      <c r="H23" s="265" t="s">
        <v>10065</v>
      </c>
      <c r="I23" s="152">
        <v>2021</v>
      </c>
      <c r="J23" s="152">
        <v>999780</v>
      </c>
      <c r="K23" s="152"/>
      <c r="L23" s="152" t="s">
        <v>5763</v>
      </c>
      <c r="M23" s="152"/>
      <c r="N23" s="265" t="s">
        <v>10038</v>
      </c>
      <c r="O23" s="152" t="s">
        <v>9946</v>
      </c>
      <c r="P23" s="265" t="s">
        <v>10066</v>
      </c>
      <c r="Q23" s="230" t="str">
        <f t="shared" si="0"/>
        <v>Mega Warehouse</v>
      </c>
    </row>
    <row r="24" spans="1:17" ht="12.75">
      <c r="A24" s="280" t="s">
        <v>10067</v>
      </c>
      <c r="B24" s="149">
        <v>210</v>
      </c>
      <c r="C24" s="150" t="s">
        <v>10068</v>
      </c>
      <c r="D24" s="281" t="s">
        <v>10069</v>
      </c>
      <c r="E24" s="280" t="s">
        <v>3642</v>
      </c>
      <c r="F24" s="280" t="s">
        <v>9942</v>
      </c>
      <c r="G24" s="280" t="s">
        <v>1911</v>
      </c>
      <c r="H24" s="281" t="s">
        <v>10070</v>
      </c>
      <c r="I24" s="280">
        <v>1999</v>
      </c>
      <c r="J24" s="280">
        <v>90000</v>
      </c>
      <c r="K24" s="280"/>
      <c r="L24" s="280" t="s">
        <v>10068</v>
      </c>
      <c r="M24" s="280"/>
      <c r="N24" s="281" t="s">
        <v>10071</v>
      </c>
      <c r="O24" s="280" t="s">
        <v>10072</v>
      </c>
      <c r="P24" s="281" t="s">
        <v>10073</v>
      </c>
      <c r="Q24" s="230" t="str">
        <f t="shared" si="0"/>
        <v>Industrial Flex Mall Building</v>
      </c>
    </row>
    <row r="25" spans="1:17" ht="25.5">
      <c r="A25" s="152" t="s">
        <v>10074</v>
      </c>
      <c r="B25" s="149">
        <v>210</v>
      </c>
      <c r="C25" s="150" t="s">
        <v>10075</v>
      </c>
      <c r="D25" s="265" t="s">
        <v>10076</v>
      </c>
      <c r="E25" s="152" t="s">
        <v>3966</v>
      </c>
      <c r="F25" s="152" t="s">
        <v>9942</v>
      </c>
      <c r="G25" s="152" t="s">
        <v>1911</v>
      </c>
      <c r="H25" s="265" t="s">
        <v>10077</v>
      </c>
      <c r="I25" s="152"/>
      <c r="J25" s="152"/>
      <c r="K25" s="152"/>
      <c r="L25" s="152" t="s">
        <v>10075</v>
      </c>
      <c r="M25" s="152"/>
      <c r="N25" s="265" t="s">
        <v>10078</v>
      </c>
      <c r="O25" s="152" t="s">
        <v>10072</v>
      </c>
      <c r="P25" s="265" t="s">
        <v>10079</v>
      </c>
      <c r="Q25" s="230" t="str">
        <f t="shared" si="0"/>
        <v>Industrial Flex Mall Building</v>
      </c>
    </row>
    <row r="26" spans="1:17" ht="25.5">
      <c r="A26" s="280" t="s">
        <v>10080</v>
      </c>
      <c r="B26" s="149">
        <v>407</v>
      </c>
      <c r="C26" s="150" t="s">
        <v>10081</v>
      </c>
      <c r="D26" s="281" t="s">
        <v>10082</v>
      </c>
      <c r="E26" s="280" t="s">
        <v>3966</v>
      </c>
      <c r="F26" s="280" t="s">
        <v>9942</v>
      </c>
      <c r="G26" s="280" t="s">
        <v>1911</v>
      </c>
      <c r="H26" s="281" t="s">
        <v>10083</v>
      </c>
      <c r="I26" s="280"/>
      <c r="J26" s="280">
        <v>155033</v>
      </c>
      <c r="K26" s="280"/>
      <c r="L26" s="280" t="s">
        <v>10081</v>
      </c>
      <c r="M26" s="280"/>
      <c r="N26" s="281" t="s">
        <v>10078</v>
      </c>
      <c r="O26" s="280" t="s">
        <v>10072</v>
      </c>
      <c r="P26" s="281" t="s">
        <v>10084</v>
      </c>
      <c r="Q26" s="230" t="str">
        <f t="shared" si="0"/>
        <v>Distribution Warehouse</v>
      </c>
    </row>
    <row r="27" spans="1:17" ht="25.5">
      <c r="A27" s="152" t="s">
        <v>10085</v>
      </c>
      <c r="B27" s="149">
        <v>407</v>
      </c>
      <c r="C27" s="150" t="s">
        <v>10086</v>
      </c>
      <c r="D27" s="265" t="s">
        <v>10087</v>
      </c>
      <c r="E27" s="152" t="s">
        <v>3966</v>
      </c>
      <c r="F27" s="152" t="s">
        <v>9942</v>
      </c>
      <c r="G27" s="152" t="s">
        <v>1911</v>
      </c>
      <c r="H27" s="265" t="s">
        <v>10083</v>
      </c>
      <c r="I27" s="152"/>
      <c r="J27" s="152">
        <v>200000</v>
      </c>
      <c r="K27" s="152"/>
      <c r="L27" s="152" t="s">
        <v>10086</v>
      </c>
      <c r="M27" s="152"/>
      <c r="N27" s="265" t="s">
        <v>10078</v>
      </c>
      <c r="O27" s="152" t="s">
        <v>10072</v>
      </c>
      <c r="P27" s="265" t="s">
        <v>10088</v>
      </c>
      <c r="Q27" s="230" t="str">
        <f t="shared" si="0"/>
        <v>Distribution Warehouse</v>
      </c>
    </row>
    <row r="28" spans="1:17" ht="12.75">
      <c r="A28" s="280" t="s">
        <v>10089</v>
      </c>
      <c r="B28" s="149">
        <v>210</v>
      </c>
      <c r="C28" s="150" t="s">
        <v>10090</v>
      </c>
      <c r="D28" s="281" t="s">
        <v>10091</v>
      </c>
      <c r="E28" s="280" t="s">
        <v>3966</v>
      </c>
      <c r="F28" s="280" t="s">
        <v>9942</v>
      </c>
      <c r="G28" s="280" t="s">
        <v>1911</v>
      </c>
      <c r="H28" s="281" t="s">
        <v>10092</v>
      </c>
      <c r="I28" s="280"/>
      <c r="J28" s="280">
        <v>159047</v>
      </c>
      <c r="K28" s="280"/>
      <c r="L28" s="280" t="s">
        <v>10090</v>
      </c>
      <c r="M28" s="280"/>
      <c r="N28" s="281" t="s">
        <v>10078</v>
      </c>
      <c r="O28" s="280" t="s">
        <v>10072</v>
      </c>
      <c r="P28" s="281" t="s">
        <v>10093</v>
      </c>
      <c r="Q28" s="230" t="str">
        <f t="shared" si="0"/>
        <v>Industrial Flex Mall Building</v>
      </c>
    </row>
    <row r="29" spans="1:17" ht="25.5">
      <c r="A29" s="152" t="s">
        <v>10094</v>
      </c>
      <c r="B29" s="149">
        <v>406</v>
      </c>
      <c r="C29" s="150" t="s">
        <v>3084</v>
      </c>
      <c r="D29" s="265" t="s">
        <v>10095</v>
      </c>
      <c r="E29" s="152" t="s">
        <v>3642</v>
      </c>
      <c r="F29" s="152" t="s">
        <v>9942</v>
      </c>
      <c r="G29" s="152" t="s">
        <v>1911</v>
      </c>
      <c r="H29" s="265" t="s">
        <v>10096</v>
      </c>
      <c r="I29" s="152"/>
      <c r="J29" s="152">
        <v>29512</v>
      </c>
      <c r="K29" s="152"/>
      <c r="L29" s="152" t="s">
        <v>3084</v>
      </c>
      <c r="M29" s="152"/>
      <c r="N29" s="265" t="s">
        <v>10097</v>
      </c>
      <c r="O29" s="152" t="s">
        <v>10072</v>
      </c>
      <c r="P29" s="265" t="s">
        <v>10098</v>
      </c>
      <c r="Q29" s="230" t="str">
        <f t="shared" si="0"/>
        <v>Storage Warehouse</v>
      </c>
    </row>
    <row r="30" spans="1:17" ht="12.75">
      <c r="A30" s="280" t="s">
        <v>10099</v>
      </c>
      <c r="B30" s="149">
        <v>407</v>
      </c>
      <c r="C30" s="150" t="s">
        <v>10100</v>
      </c>
      <c r="D30" s="281" t="s">
        <v>10101</v>
      </c>
      <c r="E30" s="280" t="s">
        <v>3642</v>
      </c>
      <c r="F30" s="280" t="s">
        <v>9942</v>
      </c>
      <c r="G30" s="280" t="s">
        <v>1911</v>
      </c>
      <c r="H30" s="281" t="s">
        <v>10102</v>
      </c>
      <c r="I30" s="280">
        <v>2001</v>
      </c>
      <c r="J30" s="280">
        <v>200094</v>
      </c>
      <c r="K30" s="280"/>
      <c r="L30" s="280" t="s">
        <v>10100</v>
      </c>
      <c r="M30" s="280"/>
      <c r="N30" s="281" t="s">
        <v>10103</v>
      </c>
      <c r="O30" s="280" t="s">
        <v>10072</v>
      </c>
      <c r="P30" s="281" t="s">
        <v>10104</v>
      </c>
      <c r="Q30" s="230" t="str">
        <f t="shared" si="0"/>
        <v>Distribution Warehouse</v>
      </c>
    </row>
    <row r="31" spans="1:17" ht="12.75">
      <c r="A31" s="152" t="s">
        <v>10105</v>
      </c>
      <c r="B31" s="149">
        <v>407</v>
      </c>
      <c r="C31" s="150" t="s">
        <v>10106</v>
      </c>
      <c r="D31" s="265" t="s">
        <v>10107</v>
      </c>
      <c r="E31" s="152" t="s">
        <v>3642</v>
      </c>
      <c r="F31" s="152" t="s">
        <v>9942</v>
      </c>
      <c r="G31" s="152" t="s">
        <v>1911</v>
      </c>
      <c r="H31" s="265" t="s">
        <v>10102</v>
      </c>
      <c r="I31" s="152">
        <v>1997</v>
      </c>
      <c r="J31" s="152">
        <v>177736</v>
      </c>
      <c r="K31" s="152"/>
      <c r="L31" s="152" t="s">
        <v>10106</v>
      </c>
      <c r="M31" s="152"/>
      <c r="N31" s="265" t="s">
        <v>10103</v>
      </c>
      <c r="O31" s="152" t="s">
        <v>10072</v>
      </c>
      <c r="P31" s="265" t="s">
        <v>10104</v>
      </c>
      <c r="Q31" s="230" t="str">
        <f t="shared" si="0"/>
        <v>Distribution Warehouse</v>
      </c>
    </row>
    <row r="32" spans="1:17" ht="12.75">
      <c r="A32" s="280" t="s">
        <v>10108</v>
      </c>
      <c r="B32" s="149">
        <v>407</v>
      </c>
      <c r="C32" s="150" t="s">
        <v>10109</v>
      </c>
      <c r="D32" s="281" t="s">
        <v>10110</v>
      </c>
      <c r="E32" s="280" t="s">
        <v>3642</v>
      </c>
      <c r="F32" s="280" t="s">
        <v>9942</v>
      </c>
      <c r="G32" s="280" t="s">
        <v>1911</v>
      </c>
      <c r="H32" s="281" t="s">
        <v>10102</v>
      </c>
      <c r="I32" s="280">
        <v>1997</v>
      </c>
      <c r="J32" s="280">
        <v>200371</v>
      </c>
      <c r="K32" s="280"/>
      <c r="L32" s="280" t="s">
        <v>10109</v>
      </c>
      <c r="M32" s="280"/>
      <c r="N32" s="281" t="s">
        <v>10103</v>
      </c>
      <c r="O32" s="280" t="s">
        <v>10072</v>
      </c>
      <c r="P32" s="281" t="s">
        <v>10104</v>
      </c>
      <c r="Q32" s="230" t="str">
        <f t="shared" si="0"/>
        <v>Distribution Warehouse</v>
      </c>
    </row>
    <row r="33" spans="1:17" ht="12.75">
      <c r="A33" s="152" t="s">
        <v>10111</v>
      </c>
      <c r="B33" s="149">
        <v>584</v>
      </c>
      <c r="C33" s="150" t="s">
        <v>10112</v>
      </c>
      <c r="D33" s="265" t="s">
        <v>10113</v>
      </c>
      <c r="E33" s="152" t="s">
        <v>3642</v>
      </c>
      <c r="F33" s="152" t="s">
        <v>9942</v>
      </c>
      <c r="G33" s="152" t="s">
        <v>1911</v>
      </c>
      <c r="H33" s="265" t="s">
        <v>10043</v>
      </c>
      <c r="I33" s="152">
        <v>2021</v>
      </c>
      <c r="J33" s="152">
        <v>548510</v>
      </c>
      <c r="K33" s="152"/>
      <c r="L33" s="152" t="s">
        <v>10112</v>
      </c>
      <c r="M33" s="152"/>
      <c r="N33" s="265" t="s">
        <v>10103</v>
      </c>
      <c r="O33" s="152" t="s">
        <v>10072</v>
      </c>
      <c r="P33" s="265" t="s">
        <v>10114</v>
      </c>
      <c r="Q33" s="230" t="str">
        <f t="shared" si="0"/>
        <v>Mega Warehouse</v>
      </c>
    </row>
    <row r="34" spans="1:17" ht="12.75">
      <c r="A34" s="280" t="s">
        <v>10115</v>
      </c>
      <c r="B34" s="149">
        <v>407</v>
      </c>
      <c r="C34" s="150" t="s">
        <v>10116</v>
      </c>
      <c r="D34" s="281" t="s">
        <v>10117</v>
      </c>
      <c r="E34" s="280" t="s">
        <v>3642</v>
      </c>
      <c r="F34" s="280" t="s">
        <v>9942</v>
      </c>
      <c r="G34" s="280" t="s">
        <v>1911</v>
      </c>
      <c r="H34" s="281" t="s">
        <v>10102</v>
      </c>
      <c r="I34" s="280">
        <v>2000</v>
      </c>
      <c r="J34" s="280">
        <v>149175</v>
      </c>
      <c r="K34" s="280"/>
      <c r="L34" s="280" t="s">
        <v>10116</v>
      </c>
      <c r="M34" s="280"/>
      <c r="N34" s="281" t="s">
        <v>10103</v>
      </c>
      <c r="O34" s="280" t="s">
        <v>10072</v>
      </c>
      <c r="P34" s="281" t="s">
        <v>10118</v>
      </c>
      <c r="Q34" s="230" t="str">
        <f t="shared" si="0"/>
        <v>Distribution Warehouse</v>
      </c>
    </row>
    <row r="35" spans="1:17" ht="12.75">
      <c r="A35" s="152" t="s">
        <v>10119</v>
      </c>
      <c r="B35" s="149">
        <v>407</v>
      </c>
      <c r="C35" s="150" t="s">
        <v>10120</v>
      </c>
      <c r="D35" s="265" t="s">
        <v>10121</v>
      </c>
      <c r="E35" s="152" t="s">
        <v>3642</v>
      </c>
      <c r="F35" s="152" t="s">
        <v>9942</v>
      </c>
      <c r="G35" s="152" t="s">
        <v>1911</v>
      </c>
      <c r="H35" s="265" t="s">
        <v>10102</v>
      </c>
      <c r="I35" s="152">
        <v>1999</v>
      </c>
      <c r="J35" s="152">
        <v>279640</v>
      </c>
      <c r="K35" s="152"/>
      <c r="L35" s="152" t="s">
        <v>10120</v>
      </c>
      <c r="M35" s="152"/>
      <c r="N35" s="265" t="s">
        <v>10103</v>
      </c>
      <c r="O35" s="152" t="s">
        <v>10072</v>
      </c>
      <c r="P35" s="265" t="s">
        <v>10104</v>
      </c>
      <c r="Q35" s="230" t="str">
        <f t="shared" si="0"/>
        <v>Distribution Warehouse</v>
      </c>
    </row>
    <row r="36" spans="1:17" ht="12.75">
      <c r="A36" s="280" t="s">
        <v>10122</v>
      </c>
      <c r="B36" s="149">
        <v>407</v>
      </c>
      <c r="C36" s="150" t="s">
        <v>10123</v>
      </c>
      <c r="D36" s="281" t="s">
        <v>10124</v>
      </c>
      <c r="E36" s="280" t="s">
        <v>3642</v>
      </c>
      <c r="F36" s="280" t="s">
        <v>9942</v>
      </c>
      <c r="G36" s="280" t="s">
        <v>1911</v>
      </c>
      <c r="H36" s="281" t="s">
        <v>10102</v>
      </c>
      <c r="I36" s="280">
        <v>2002</v>
      </c>
      <c r="J36" s="280">
        <v>280098</v>
      </c>
      <c r="K36" s="280"/>
      <c r="L36" s="280" t="s">
        <v>10123</v>
      </c>
      <c r="M36" s="280"/>
      <c r="N36" s="281" t="s">
        <v>10103</v>
      </c>
      <c r="O36" s="280" t="s">
        <v>10072</v>
      </c>
      <c r="P36" s="281" t="s">
        <v>10104</v>
      </c>
      <c r="Q36" s="230" t="str">
        <f t="shared" ref="Q36:Q67" si="1">IF(B36="","",IFERROR(INDEX(OCC_TABLE_DESC,MATCH(B36,OCC_TABLE_CODE,0)),"Unrecognized code"))</f>
        <v>Distribution Warehouse</v>
      </c>
    </row>
    <row r="37" spans="1:17" ht="12.75">
      <c r="A37" s="152" t="s">
        <v>10125</v>
      </c>
      <c r="B37" s="149">
        <v>407</v>
      </c>
      <c r="C37" s="150" t="s">
        <v>10126</v>
      </c>
      <c r="D37" s="265" t="s">
        <v>10127</v>
      </c>
      <c r="E37" s="152" t="s">
        <v>3642</v>
      </c>
      <c r="F37" s="152" t="s">
        <v>9942</v>
      </c>
      <c r="G37" s="152" t="s">
        <v>1911</v>
      </c>
      <c r="H37" s="265" t="s">
        <v>10102</v>
      </c>
      <c r="I37" s="152">
        <v>2008</v>
      </c>
      <c r="J37" s="152">
        <v>215461</v>
      </c>
      <c r="K37" s="152"/>
      <c r="L37" s="152" t="s">
        <v>10126</v>
      </c>
      <c r="M37" s="152"/>
      <c r="N37" s="265" t="s">
        <v>10103</v>
      </c>
      <c r="O37" s="152" t="s">
        <v>10072</v>
      </c>
      <c r="P37" s="265" t="s">
        <v>10104</v>
      </c>
      <c r="Q37" s="230" t="str">
        <f t="shared" si="1"/>
        <v>Distribution Warehouse</v>
      </c>
    </row>
    <row r="38" spans="1:17" ht="12.75">
      <c r="A38" s="280" t="s">
        <v>10128</v>
      </c>
      <c r="B38" s="149">
        <v>407</v>
      </c>
      <c r="C38" s="150" t="s">
        <v>10129</v>
      </c>
      <c r="D38" s="281" t="s">
        <v>10130</v>
      </c>
      <c r="E38" s="280" t="s">
        <v>3642</v>
      </c>
      <c r="F38" s="280" t="s">
        <v>9942</v>
      </c>
      <c r="G38" s="280" t="s">
        <v>1911</v>
      </c>
      <c r="H38" s="281" t="s">
        <v>10102</v>
      </c>
      <c r="I38" s="280">
        <v>2007</v>
      </c>
      <c r="J38" s="280">
        <v>215560</v>
      </c>
      <c r="K38" s="280"/>
      <c r="L38" s="280" t="s">
        <v>10129</v>
      </c>
      <c r="M38" s="280"/>
      <c r="N38" s="281" t="s">
        <v>10103</v>
      </c>
      <c r="O38" s="280" t="s">
        <v>10072</v>
      </c>
      <c r="P38" s="281" t="s">
        <v>10104</v>
      </c>
      <c r="Q38" s="230" t="str">
        <f t="shared" si="1"/>
        <v>Distribution Warehouse</v>
      </c>
    </row>
    <row r="39" spans="1:17" ht="12.75">
      <c r="A39" s="152" t="s">
        <v>10131</v>
      </c>
      <c r="B39" s="149">
        <v>407</v>
      </c>
      <c r="C39" s="150" t="s">
        <v>10132</v>
      </c>
      <c r="D39" s="265" t="s">
        <v>10133</v>
      </c>
      <c r="E39" s="152" t="s">
        <v>3642</v>
      </c>
      <c r="F39" s="152" t="s">
        <v>9942</v>
      </c>
      <c r="G39" s="152" t="s">
        <v>1911</v>
      </c>
      <c r="H39" s="265" t="s">
        <v>10102</v>
      </c>
      <c r="I39" s="152">
        <v>2007</v>
      </c>
      <c r="J39" s="152">
        <v>202091</v>
      </c>
      <c r="K39" s="152"/>
      <c r="L39" s="152" t="s">
        <v>10132</v>
      </c>
      <c r="M39" s="152"/>
      <c r="N39" s="265" t="s">
        <v>10103</v>
      </c>
      <c r="O39" s="152" t="s">
        <v>10072</v>
      </c>
      <c r="P39" s="265" t="s">
        <v>10104</v>
      </c>
      <c r="Q39" s="230" t="str">
        <f t="shared" si="1"/>
        <v>Distribution Warehouse</v>
      </c>
    </row>
    <row r="40" spans="1:17" ht="12.75">
      <c r="A40" s="280" t="s">
        <v>10134</v>
      </c>
      <c r="B40" s="149">
        <v>407</v>
      </c>
      <c r="C40" s="150" t="s">
        <v>10135</v>
      </c>
      <c r="D40" s="281" t="s">
        <v>10136</v>
      </c>
      <c r="E40" s="280" t="s">
        <v>3642</v>
      </c>
      <c r="F40" s="280" t="s">
        <v>9942</v>
      </c>
      <c r="G40" s="280" t="s">
        <v>1911</v>
      </c>
      <c r="H40" s="281" t="s">
        <v>10102</v>
      </c>
      <c r="I40" s="280">
        <v>2001</v>
      </c>
      <c r="J40" s="280">
        <v>150027</v>
      </c>
      <c r="K40" s="280"/>
      <c r="L40" s="280" t="s">
        <v>10135</v>
      </c>
      <c r="M40" s="280"/>
      <c r="N40" s="281" t="s">
        <v>10103</v>
      </c>
      <c r="O40" s="280" t="s">
        <v>10072</v>
      </c>
      <c r="P40" s="281" t="s">
        <v>10104</v>
      </c>
      <c r="Q40" s="230" t="str">
        <f t="shared" si="1"/>
        <v>Distribution Warehouse</v>
      </c>
    </row>
    <row r="41" spans="1:17" ht="12.75">
      <c r="A41" s="152" t="s">
        <v>10137</v>
      </c>
      <c r="B41" s="149">
        <v>584</v>
      </c>
      <c r="C41" s="150" t="s">
        <v>10138</v>
      </c>
      <c r="D41" s="265" t="s">
        <v>10139</v>
      </c>
      <c r="E41" s="152" t="s">
        <v>3642</v>
      </c>
      <c r="F41" s="152" t="s">
        <v>9942</v>
      </c>
      <c r="G41" s="152" t="s">
        <v>1911</v>
      </c>
      <c r="H41" s="265" t="s">
        <v>10043</v>
      </c>
      <c r="I41" s="152">
        <v>2013</v>
      </c>
      <c r="J41" s="152">
        <v>500358</v>
      </c>
      <c r="K41" s="152"/>
      <c r="L41" s="152" t="s">
        <v>10138</v>
      </c>
      <c r="M41" s="152"/>
      <c r="N41" s="265" t="s">
        <v>10103</v>
      </c>
      <c r="O41" s="152" t="s">
        <v>10072</v>
      </c>
      <c r="P41" s="265" t="s">
        <v>10104</v>
      </c>
      <c r="Q41" s="230" t="str">
        <f t="shared" si="1"/>
        <v>Mega Warehouse</v>
      </c>
    </row>
    <row r="42" spans="1:17" ht="12.75">
      <c r="A42" s="280" t="s">
        <v>10140</v>
      </c>
      <c r="B42" s="149">
        <v>584</v>
      </c>
      <c r="C42" s="150" t="s">
        <v>10141</v>
      </c>
      <c r="D42" s="281" t="s">
        <v>10142</v>
      </c>
      <c r="E42" s="280" t="s">
        <v>3642</v>
      </c>
      <c r="F42" s="280" t="s">
        <v>9942</v>
      </c>
      <c r="G42" s="280" t="s">
        <v>1911</v>
      </c>
      <c r="H42" s="281" t="s">
        <v>10043</v>
      </c>
      <c r="I42" s="280">
        <v>2017</v>
      </c>
      <c r="J42" s="280">
        <v>522120</v>
      </c>
      <c r="K42" s="280"/>
      <c r="L42" s="280" t="s">
        <v>10141</v>
      </c>
      <c r="M42" s="280"/>
      <c r="N42" s="281" t="s">
        <v>10103</v>
      </c>
      <c r="O42" s="280" t="s">
        <v>10072</v>
      </c>
      <c r="P42" s="281" t="s">
        <v>10104</v>
      </c>
      <c r="Q42" s="230" t="str">
        <f t="shared" si="1"/>
        <v>Mega Warehouse</v>
      </c>
    </row>
    <row r="43" spans="1:17" ht="12.75">
      <c r="A43" s="152" t="s">
        <v>10143</v>
      </c>
      <c r="B43" s="149">
        <v>407</v>
      </c>
      <c r="C43" s="150" t="s">
        <v>10144</v>
      </c>
      <c r="D43" s="265" t="s">
        <v>10145</v>
      </c>
      <c r="E43" s="152" t="s">
        <v>10146</v>
      </c>
      <c r="F43" s="152" t="s">
        <v>9942</v>
      </c>
      <c r="G43" s="152" t="s">
        <v>1911</v>
      </c>
      <c r="H43" s="265" t="s">
        <v>10147</v>
      </c>
      <c r="I43" s="152"/>
      <c r="J43" s="152"/>
      <c r="K43" s="152"/>
      <c r="L43" s="152" t="s">
        <v>10144</v>
      </c>
      <c r="M43" s="152" t="s">
        <v>10148</v>
      </c>
      <c r="N43" s="265" t="s">
        <v>10149</v>
      </c>
      <c r="O43" s="152" t="s">
        <v>10072</v>
      </c>
      <c r="P43" s="265" t="s">
        <v>10150</v>
      </c>
      <c r="Q43" s="230" t="str">
        <f t="shared" si="1"/>
        <v>Distribution Warehouse</v>
      </c>
    </row>
    <row r="44" spans="1:17" ht="12.75">
      <c r="A44" s="280" t="s">
        <v>10151</v>
      </c>
      <c r="B44" s="149">
        <v>386</v>
      </c>
      <c r="C44" s="150" t="s">
        <v>10152</v>
      </c>
      <c r="D44" s="281" t="s">
        <v>10153</v>
      </c>
      <c r="E44" s="280" t="s">
        <v>3590</v>
      </c>
      <c r="F44" s="280" t="s">
        <v>9942</v>
      </c>
      <c r="G44" s="280" t="s">
        <v>10154</v>
      </c>
      <c r="H44" s="281" t="s">
        <v>10155</v>
      </c>
      <c r="I44" s="280"/>
      <c r="J44" s="280">
        <v>65766</v>
      </c>
      <c r="K44" s="280"/>
      <c r="L44" s="280" t="s">
        <v>10152</v>
      </c>
      <c r="M44" s="280"/>
      <c r="N44" s="281" t="s">
        <v>10156</v>
      </c>
      <c r="O44" s="280" t="s">
        <v>10072</v>
      </c>
      <c r="P44" s="281" t="s">
        <v>10157</v>
      </c>
      <c r="Q44" s="230" t="str">
        <f t="shared" si="1"/>
        <v>Mini Warehouse</v>
      </c>
    </row>
    <row r="45" spans="1:17" ht="12.75">
      <c r="A45" s="152" t="s">
        <v>10158</v>
      </c>
      <c r="B45" s="149">
        <v>386</v>
      </c>
      <c r="C45" s="150" t="s">
        <v>10159</v>
      </c>
      <c r="D45" s="265" t="s">
        <v>10160</v>
      </c>
      <c r="E45" s="152" t="s">
        <v>3547</v>
      </c>
      <c r="F45" s="152" t="s">
        <v>9942</v>
      </c>
      <c r="G45" s="152" t="s">
        <v>10154</v>
      </c>
      <c r="H45" s="265" t="s">
        <v>10155</v>
      </c>
      <c r="I45" s="152"/>
      <c r="J45" s="152">
        <v>79950</v>
      </c>
      <c r="K45" s="152"/>
      <c r="L45" s="152" t="s">
        <v>10159</v>
      </c>
      <c r="M45" s="152"/>
      <c r="N45" s="265" t="s">
        <v>10156</v>
      </c>
      <c r="O45" s="152" t="s">
        <v>10072</v>
      </c>
      <c r="P45" s="265" t="s">
        <v>10161</v>
      </c>
      <c r="Q45" s="230" t="str">
        <f t="shared" si="1"/>
        <v>Mini Warehouse</v>
      </c>
    </row>
    <row r="46" spans="1:17" ht="12.75">
      <c r="A46" s="280" t="s">
        <v>10162</v>
      </c>
      <c r="B46" s="149">
        <v>386</v>
      </c>
      <c r="C46" s="150" t="s">
        <v>10163</v>
      </c>
      <c r="D46" s="281" t="s">
        <v>10164</v>
      </c>
      <c r="E46" s="280" t="s">
        <v>3547</v>
      </c>
      <c r="F46" s="280" t="s">
        <v>9942</v>
      </c>
      <c r="G46" s="280" t="s">
        <v>10154</v>
      </c>
      <c r="H46" s="281" t="s">
        <v>10165</v>
      </c>
      <c r="I46" s="280"/>
      <c r="J46" s="280">
        <v>83756</v>
      </c>
      <c r="K46" s="280"/>
      <c r="L46" s="280" t="s">
        <v>10163</v>
      </c>
      <c r="M46" s="280"/>
      <c r="N46" s="281" t="s">
        <v>10156</v>
      </c>
      <c r="O46" s="280" t="s">
        <v>10072</v>
      </c>
      <c r="P46" s="281" t="s">
        <v>10166</v>
      </c>
      <c r="Q46" s="230" t="str">
        <f t="shared" si="1"/>
        <v>Mini Warehouse</v>
      </c>
    </row>
    <row r="47" spans="1:17" ht="12.75">
      <c r="A47" s="152" t="s">
        <v>10167</v>
      </c>
      <c r="B47" s="149">
        <v>386</v>
      </c>
      <c r="C47" s="150" t="s">
        <v>10168</v>
      </c>
      <c r="D47" s="265" t="s">
        <v>10169</v>
      </c>
      <c r="E47" s="152" t="s">
        <v>3590</v>
      </c>
      <c r="F47" s="152" t="s">
        <v>9942</v>
      </c>
      <c r="G47" s="152" t="s">
        <v>10154</v>
      </c>
      <c r="H47" s="265" t="s">
        <v>10165</v>
      </c>
      <c r="I47" s="152"/>
      <c r="J47" s="152">
        <v>71909</v>
      </c>
      <c r="K47" s="152"/>
      <c r="L47" s="152" t="s">
        <v>10168</v>
      </c>
      <c r="M47" s="152"/>
      <c r="N47" s="265" t="s">
        <v>10156</v>
      </c>
      <c r="O47" s="152" t="s">
        <v>10072</v>
      </c>
      <c r="P47" s="265" t="s">
        <v>10170</v>
      </c>
      <c r="Q47" s="230" t="str">
        <f t="shared" si="1"/>
        <v>Mini Warehouse</v>
      </c>
    </row>
    <row r="48" spans="1:17" ht="12.75">
      <c r="A48" s="280" t="s">
        <v>10171</v>
      </c>
      <c r="B48" s="149">
        <v>386</v>
      </c>
      <c r="C48" s="150" t="s">
        <v>10172</v>
      </c>
      <c r="D48" s="281" t="s">
        <v>10173</v>
      </c>
      <c r="E48" s="280" t="s">
        <v>3590</v>
      </c>
      <c r="F48" s="280" t="s">
        <v>9942</v>
      </c>
      <c r="G48" s="280" t="s">
        <v>10154</v>
      </c>
      <c r="H48" s="281" t="s">
        <v>10165</v>
      </c>
      <c r="I48" s="280"/>
      <c r="J48" s="280">
        <v>41900</v>
      </c>
      <c r="K48" s="280"/>
      <c r="L48" s="280" t="s">
        <v>10172</v>
      </c>
      <c r="M48" s="280"/>
      <c r="N48" s="281" t="s">
        <v>10174</v>
      </c>
      <c r="O48" s="280" t="s">
        <v>10072</v>
      </c>
      <c r="P48" s="281" t="s">
        <v>10175</v>
      </c>
      <c r="Q48" s="230" t="str">
        <f t="shared" si="1"/>
        <v>Mini Warehouse</v>
      </c>
    </row>
    <row r="49" spans="1:17" ht="12.75">
      <c r="A49" s="152" t="s">
        <v>10176</v>
      </c>
      <c r="B49" s="149">
        <v>386</v>
      </c>
      <c r="C49" s="150" t="s">
        <v>5672</v>
      </c>
      <c r="D49" s="265" t="s">
        <v>10177</v>
      </c>
      <c r="E49" s="152" t="s">
        <v>8758</v>
      </c>
      <c r="F49" s="152" t="s">
        <v>9942</v>
      </c>
      <c r="G49" s="152" t="s">
        <v>10154</v>
      </c>
      <c r="H49" s="265" t="s">
        <v>10155</v>
      </c>
      <c r="I49" s="152"/>
      <c r="J49" s="152">
        <v>94736</v>
      </c>
      <c r="K49" s="152"/>
      <c r="L49" s="152" t="s">
        <v>5672</v>
      </c>
      <c r="M49" s="152"/>
      <c r="N49" s="265" t="s">
        <v>10178</v>
      </c>
      <c r="O49" s="152" t="s">
        <v>10072</v>
      </c>
      <c r="P49" s="265" t="s">
        <v>10179</v>
      </c>
      <c r="Q49" s="230" t="str">
        <f t="shared" si="1"/>
        <v>Mini Warehouse</v>
      </c>
    </row>
    <row r="50" spans="1:17" ht="12.75">
      <c r="A50" s="280" t="s">
        <v>10180</v>
      </c>
      <c r="B50" s="149">
        <v>386</v>
      </c>
      <c r="C50" s="150" t="s">
        <v>10181</v>
      </c>
      <c r="D50" s="281" t="s">
        <v>10182</v>
      </c>
      <c r="E50" s="280" t="s">
        <v>8758</v>
      </c>
      <c r="F50" s="280" t="s">
        <v>9942</v>
      </c>
      <c r="G50" s="280" t="s">
        <v>10154</v>
      </c>
      <c r="H50" s="281" t="s">
        <v>10165</v>
      </c>
      <c r="I50" s="280"/>
      <c r="J50" s="280">
        <v>73500</v>
      </c>
      <c r="K50" s="280"/>
      <c r="L50" s="280" t="s">
        <v>10181</v>
      </c>
      <c r="M50" s="280"/>
      <c r="N50" s="281" t="s">
        <v>10178</v>
      </c>
      <c r="O50" s="280" t="s">
        <v>10072</v>
      </c>
      <c r="P50" s="281" t="s">
        <v>10183</v>
      </c>
      <c r="Q50" s="230" t="str">
        <f t="shared" si="1"/>
        <v>Mini Warehouse</v>
      </c>
    </row>
    <row r="51" spans="1:17" ht="12.75">
      <c r="A51" s="152" t="s">
        <v>10184</v>
      </c>
      <c r="B51" s="149">
        <v>386</v>
      </c>
      <c r="C51" s="150" t="s">
        <v>10185</v>
      </c>
      <c r="D51" s="265" t="s">
        <v>10186</v>
      </c>
      <c r="E51" s="152" t="s">
        <v>8758</v>
      </c>
      <c r="F51" s="152" t="s">
        <v>9942</v>
      </c>
      <c r="G51" s="152" t="s">
        <v>10154</v>
      </c>
      <c r="H51" s="265" t="s">
        <v>10165</v>
      </c>
      <c r="I51" s="152"/>
      <c r="J51" s="152">
        <v>44975</v>
      </c>
      <c r="K51" s="152"/>
      <c r="L51" s="152" t="s">
        <v>10185</v>
      </c>
      <c r="M51" s="152"/>
      <c r="N51" s="265" t="s">
        <v>10178</v>
      </c>
      <c r="O51" s="152" t="s">
        <v>10072</v>
      </c>
      <c r="P51" s="265" t="s">
        <v>10187</v>
      </c>
      <c r="Q51" s="230" t="str">
        <f t="shared" si="1"/>
        <v>Mini Warehouse</v>
      </c>
    </row>
    <row r="52" spans="1:17" ht="12.75">
      <c r="A52" s="280" t="s">
        <v>10188</v>
      </c>
      <c r="B52" s="149">
        <v>386</v>
      </c>
      <c r="C52" s="150" t="s">
        <v>10189</v>
      </c>
      <c r="D52" s="281" t="s">
        <v>10190</v>
      </c>
      <c r="E52" s="280" t="s">
        <v>3966</v>
      </c>
      <c r="F52" s="280" t="s">
        <v>9942</v>
      </c>
      <c r="G52" s="280" t="s">
        <v>10154</v>
      </c>
      <c r="H52" s="281" t="s">
        <v>10155</v>
      </c>
      <c r="I52" s="280"/>
      <c r="J52" s="280">
        <v>94797</v>
      </c>
      <c r="K52" s="280"/>
      <c r="L52" s="280" t="s">
        <v>10189</v>
      </c>
      <c r="M52" s="280"/>
      <c r="N52" s="281" t="s">
        <v>10178</v>
      </c>
      <c r="O52" s="280" t="s">
        <v>10072</v>
      </c>
      <c r="P52" s="281" t="s">
        <v>10191</v>
      </c>
      <c r="Q52" s="230" t="str">
        <f t="shared" si="1"/>
        <v>Mini Warehouse</v>
      </c>
    </row>
    <row r="53" spans="1:17" ht="12.75">
      <c r="A53" s="152" t="s">
        <v>10192</v>
      </c>
      <c r="B53" s="149">
        <v>386</v>
      </c>
      <c r="C53" s="150" t="s">
        <v>10193</v>
      </c>
      <c r="D53" s="265" t="s">
        <v>10194</v>
      </c>
      <c r="E53" s="152" t="s">
        <v>8758</v>
      </c>
      <c r="F53" s="152" t="s">
        <v>9942</v>
      </c>
      <c r="G53" s="152" t="s">
        <v>10154</v>
      </c>
      <c r="H53" s="265" t="s">
        <v>10165</v>
      </c>
      <c r="I53" s="152"/>
      <c r="J53" s="152">
        <v>39525</v>
      </c>
      <c r="K53" s="152"/>
      <c r="L53" s="152" t="s">
        <v>10193</v>
      </c>
      <c r="M53" s="152"/>
      <c r="N53" s="265" t="s">
        <v>10178</v>
      </c>
      <c r="O53" s="152" t="s">
        <v>10072</v>
      </c>
      <c r="P53" s="265" t="s">
        <v>10195</v>
      </c>
      <c r="Q53" s="230" t="str">
        <f t="shared" si="1"/>
        <v>Mini Warehouse</v>
      </c>
    </row>
    <row r="54" spans="1:17" ht="12.75">
      <c r="A54" s="280" t="s">
        <v>10196</v>
      </c>
      <c r="B54" s="149">
        <v>386</v>
      </c>
      <c r="C54" s="150" t="s">
        <v>10197</v>
      </c>
      <c r="D54" s="281" t="s">
        <v>10198</v>
      </c>
      <c r="E54" s="280" t="s">
        <v>8758</v>
      </c>
      <c r="F54" s="280" t="s">
        <v>9942</v>
      </c>
      <c r="G54" s="280" t="s">
        <v>10154</v>
      </c>
      <c r="H54" s="281" t="s">
        <v>10199</v>
      </c>
      <c r="I54" s="280"/>
      <c r="J54" s="280">
        <v>45980</v>
      </c>
      <c r="K54" s="280"/>
      <c r="L54" s="280" t="s">
        <v>10197</v>
      </c>
      <c r="M54" s="280"/>
      <c r="N54" s="281" t="s">
        <v>10178</v>
      </c>
      <c r="O54" s="280" t="s">
        <v>10072</v>
      </c>
      <c r="P54" s="281" t="s">
        <v>10200</v>
      </c>
      <c r="Q54" s="230" t="str">
        <f t="shared" si="1"/>
        <v>Mini Warehouse</v>
      </c>
    </row>
    <row r="55" spans="1:17" ht="12.75">
      <c r="A55" s="152" t="s">
        <v>10201</v>
      </c>
      <c r="B55" s="149">
        <v>386</v>
      </c>
      <c r="C55" s="150" t="s">
        <v>10202</v>
      </c>
      <c r="D55" s="265" t="s">
        <v>10203</v>
      </c>
      <c r="E55" s="152" t="s">
        <v>8758</v>
      </c>
      <c r="F55" s="152" t="s">
        <v>9942</v>
      </c>
      <c r="G55" s="152" t="s">
        <v>10154</v>
      </c>
      <c r="H55" s="265" t="s">
        <v>10165</v>
      </c>
      <c r="I55" s="152"/>
      <c r="J55" s="152">
        <v>88043</v>
      </c>
      <c r="K55" s="152"/>
      <c r="L55" s="152" t="s">
        <v>10202</v>
      </c>
      <c r="M55" s="152"/>
      <c r="N55" s="265" t="s">
        <v>10178</v>
      </c>
      <c r="O55" s="152" t="s">
        <v>10072</v>
      </c>
      <c r="P55" s="265" t="s">
        <v>10204</v>
      </c>
      <c r="Q55" s="230" t="str">
        <f t="shared" si="1"/>
        <v>Mini Warehouse</v>
      </c>
    </row>
    <row r="56" spans="1:17" ht="12.75">
      <c r="A56" s="280" t="s">
        <v>10205</v>
      </c>
      <c r="B56" s="149">
        <v>386</v>
      </c>
      <c r="C56" s="150" t="s">
        <v>10206</v>
      </c>
      <c r="D56" s="281" t="s">
        <v>10207</v>
      </c>
      <c r="E56" s="280" t="s">
        <v>8758</v>
      </c>
      <c r="F56" s="280" t="s">
        <v>9942</v>
      </c>
      <c r="G56" s="280" t="s">
        <v>10154</v>
      </c>
      <c r="H56" s="281" t="s">
        <v>10165</v>
      </c>
      <c r="I56" s="280"/>
      <c r="J56" s="280">
        <v>41764</v>
      </c>
      <c r="K56" s="280"/>
      <c r="L56" s="280" t="s">
        <v>10206</v>
      </c>
      <c r="M56" s="280"/>
      <c r="N56" s="281" t="s">
        <v>10178</v>
      </c>
      <c r="O56" s="280" t="s">
        <v>10072</v>
      </c>
      <c r="P56" s="281" t="s">
        <v>10208</v>
      </c>
      <c r="Q56" s="230" t="str">
        <f t="shared" si="1"/>
        <v>Mini Warehouse</v>
      </c>
    </row>
    <row r="57" spans="1:17" ht="25.5">
      <c r="A57" s="280" t="s">
        <v>10209</v>
      </c>
      <c r="B57" s="149">
        <v>210</v>
      </c>
      <c r="C57" s="150" t="s">
        <v>5480</v>
      </c>
      <c r="D57" s="281" t="s">
        <v>10210</v>
      </c>
      <c r="E57" s="280" t="s">
        <v>3966</v>
      </c>
      <c r="F57" s="280" t="s">
        <v>9942</v>
      </c>
      <c r="G57" s="280" t="s">
        <v>1911</v>
      </c>
      <c r="H57" s="281" t="s">
        <v>10211</v>
      </c>
      <c r="I57" s="280"/>
      <c r="J57" s="280"/>
      <c r="K57" s="280"/>
      <c r="L57" s="280" t="s">
        <v>5480</v>
      </c>
      <c r="M57" s="280" t="s">
        <v>10212</v>
      </c>
      <c r="N57" s="281" t="s">
        <v>10213</v>
      </c>
      <c r="O57" s="280" t="s">
        <v>10072</v>
      </c>
      <c r="P57" s="281" t="s">
        <v>10214</v>
      </c>
      <c r="Q57" s="230" t="str">
        <f t="shared" si="1"/>
        <v>Industrial Flex Mall Building</v>
      </c>
    </row>
    <row r="58" spans="1:17" ht="25.5">
      <c r="A58" s="152" t="s">
        <v>10215</v>
      </c>
      <c r="B58" s="149">
        <v>407</v>
      </c>
      <c r="C58" s="150" t="s">
        <v>10216</v>
      </c>
      <c r="D58" s="265" t="s">
        <v>10217</v>
      </c>
      <c r="E58" s="152" t="s">
        <v>3966</v>
      </c>
      <c r="F58" s="152" t="s">
        <v>9942</v>
      </c>
      <c r="G58" s="152" t="s">
        <v>1911</v>
      </c>
      <c r="H58" s="265" t="s">
        <v>10218</v>
      </c>
      <c r="I58" s="152"/>
      <c r="J58" s="152"/>
      <c r="K58" s="152"/>
      <c r="L58" s="152" t="s">
        <v>10216</v>
      </c>
      <c r="M58" s="152" t="s">
        <v>10219</v>
      </c>
      <c r="N58" s="265" t="s">
        <v>10213</v>
      </c>
      <c r="O58" s="152" t="s">
        <v>10072</v>
      </c>
      <c r="P58" s="265" t="s">
        <v>10220</v>
      </c>
      <c r="Q58" s="230" t="str">
        <f t="shared" si="1"/>
        <v>Distribution Warehouse</v>
      </c>
    </row>
    <row r="59" spans="1:17" ht="25.5">
      <c r="A59" s="280" t="s">
        <v>10221</v>
      </c>
      <c r="B59" s="149">
        <v>407</v>
      </c>
      <c r="C59" s="150" t="s">
        <v>10222</v>
      </c>
      <c r="D59" s="281" t="s">
        <v>10223</v>
      </c>
      <c r="E59" s="280" t="s">
        <v>3590</v>
      </c>
      <c r="F59" s="280" t="s">
        <v>9942</v>
      </c>
      <c r="G59" s="280" t="s">
        <v>1911</v>
      </c>
      <c r="H59" s="281" t="s">
        <v>10060</v>
      </c>
      <c r="I59" s="280">
        <v>2022</v>
      </c>
      <c r="J59" s="280"/>
      <c r="K59" s="280"/>
      <c r="L59" s="280" t="s">
        <v>10222</v>
      </c>
      <c r="M59" s="280" t="s">
        <v>10224</v>
      </c>
      <c r="N59" s="281" t="s">
        <v>10213</v>
      </c>
      <c r="O59" s="280" t="s">
        <v>10072</v>
      </c>
      <c r="P59" s="281" t="s">
        <v>10225</v>
      </c>
      <c r="Q59" s="230" t="str">
        <f t="shared" si="1"/>
        <v>Distribution Warehouse</v>
      </c>
    </row>
    <row r="60" spans="1:17" ht="25.5">
      <c r="A60" s="152" t="s">
        <v>10226</v>
      </c>
      <c r="B60" s="149">
        <v>407</v>
      </c>
      <c r="C60" s="150" t="s">
        <v>10227</v>
      </c>
      <c r="D60" s="265" t="s">
        <v>10228</v>
      </c>
      <c r="E60" s="152" t="s">
        <v>3590</v>
      </c>
      <c r="F60" s="152" t="s">
        <v>9942</v>
      </c>
      <c r="G60" s="152" t="s">
        <v>1911</v>
      </c>
      <c r="H60" s="265" t="s">
        <v>10060</v>
      </c>
      <c r="I60" s="152">
        <v>2022</v>
      </c>
      <c r="J60" s="152"/>
      <c r="K60" s="152"/>
      <c r="L60" s="152" t="s">
        <v>10227</v>
      </c>
      <c r="M60" s="152" t="s">
        <v>10224</v>
      </c>
      <c r="N60" s="265" t="s">
        <v>10213</v>
      </c>
      <c r="O60" s="152" t="s">
        <v>10072</v>
      </c>
      <c r="P60" s="265" t="s">
        <v>10225</v>
      </c>
      <c r="Q60" s="230" t="str">
        <f t="shared" si="1"/>
        <v>Distribution Warehouse</v>
      </c>
    </row>
    <row r="61" spans="1:17" ht="12.75">
      <c r="A61" s="280" t="s">
        <v>10229</v>
      </c>
      <c r="B61" s="149">
        <v>407</v>
      </c>
      <c r="C61" s="150" t="s">
        <v>10230</v>
      </c>
      <c r="D61" s="281" t="s">
        <v>10231</v>
      </c>
      <c r="E61" s="280" t="s">
        <v>3966</v>
      </c>
      <c r="F61" s="280" t="s">
        <v>9942</v>
      </c>
      <c r="G61" s="280" t="s">
        <v>1911</v>
      </c>
      <c r="H61" s="281" t="s">
        <v>10232</v>
      </c>
      <c r="I61" s="280">
        <v>1995</v>
      </c>
      <c r="J61" s="280">
        <v>32600</v>
      </c>
      <c r="K61" s="280"/>
      <c r="L61" s="280" t="s">
        <v>10230</v>
      </c>
      <c r="M61" s="280"/>
      <c r="N61" s="281" t="s">
        <v>10213</v>
      </c>
      <c r="O61" s="280" t="s">
        <v>10072</v>
      </c>
      <c r="P61" s="281" t="s">
        <v>10233</v>
      </c>
      <c r="Q61" s="230" t="str">
        <f t="shared" si="1"/>
        <v>Distribution Warehouse</v>
      </c>
    </row>
    <row r="62" spans="1:17" ht="25.5">
      <c r="A62" s="152" t="s">
        <v>10234</v>
      </c>
      <c r="B62" s="149">
        <v>407</v>
      </c>
      <c r="C62" s="150" t="s">
        <v>10235</v>
      </c>
      <c r="D62" s="265" t="s">
        <v>10236</v>
      </c>
      <c r="E62" s="152" t="s">
        <v>3966</v>
      </c>
      <c r="F62" s="152" t="s">
        <v>9942</v>
      </c>
      <c r="G62" s="152" t="s">
        <v>1911</v>
      </c>
      <c r="H62" s="265" t="s">
        <v>10232</v>
      </c>
      <c r="I62" s="152"/>
      <c r="J62" s="152"/>
      <c r="K62" s="152"/>
      <c r="L62" s="152" t="s">
        <v>10235</v>
      </c>
      <c r="M62" s="152"/>
      <c r="N62" s="265" t="s">
        <v>10213</v>
      </c>
      <c r="O62" s="152" t="s">
        <v>10072</v>
      </c>
      <c r="P62" s="265" t="s">
        <v>10237</v>
      </c>
      <c r="Q62" s="230" t="str">
        <f t="shared" si="1"/>
        <v>Distribution Warehouse</v>
      </c>
    </row>
    <row r="63" spans="1:17" ht="12.75">
      <c r="A63" s="280" t="s">
        <v>10238</v>
      </c>
      <c r="B63" s="149">
        <v>407</v>
      </c>
      <c r="C63" s="150" t="s">
        <v>10239</v>
      </c>
      <c r="D63" s="281" t="s">
        <v>10240</v>
      </c>
      <c r="E63" s="280" t="s">
        <v>3966</v>
      </c>
      <c r="F63" s="280" t="s">
        <v>9942</v>
      </c>
      <c r="G63" s="280" t="s">
        <v>1911</v>
      </c>
      <c r="H63" s="281" t="s">
        <v>10232</v>
      </c>
      <c r="I63" s="280"/>
      <c r="J63" s="280"/>
      <c r="K63" s="280"/>
      <c r="L63" s="280" t="s">
        <v>10239</v>
      </c>
      <c r="M63" s="280"/>
      <c r="N63" s="281" t="s">
        <v>10213</v>
      </c>
      <c r="O63" s="280" t="s">
        <v>10072</v>
      </c>
      <c r="P63" s="281" t="s">
        <v>10241</v>
      </c>
      <c r="Q63" s="230" t="str">
        <f t="shared" si="1"/>
        <v>Distribution Warehouse</v>
      </c>
    </row>
    <row r="64" spans="1:17" ht="25.5">
      <c r="A64" s="152" t="s">
        <v>10242</v>
      </c>
      <c r="B64" s="149">
        <v>584</v>
      </c>
      <c r="C64" s="150" t="s">
        <v>10243</v>
      </c>
      <c r="D64" s="265" t="s">
        <v>10244</v>
      </c>
      <c r="E64" s="152" t="s">
        <v>3966</v>
      </c>
      <c r="F64" s="152" t="s">
        <v>9942</v>
      </c>
      <c r="G64" s="152" t="s">
        <v>1911</v>
      </c>
      <c r="H64" s="265" t="s">
        <v>10043</v>
      </c>
      <c r="I64" s="152"/>
      <c r="J64" s="152">
        <v>278538</v>
      </c>
      <c r="K64" s="152"/>
      <c r="L64" s="152" t="s">
        <v>10243</v>
      </c>
      <c r="M64" s="152" t="s">
        <v>10245</v>
      </c>
      <c r="N64" s="265" t="s">
        <v>10246</v>
      </c>
      <c r="O64" s="152" t="s">
        <v>10072</v>
      </c>
      <c r="P64" s="265" t="s">
        <v>10247</v>
      </c>
      <c r="Q64" s="230" t="str">
        <f t="shared" si="1"/>
        <v>Mega Warehouse</v>
      </c>
    </row>
    <row r="65" spans="1:17" ht="25.5">
      <c r="A65" s="280" t="s">
        <v>10248</v>
      </c>
      <c r="B65" s="149">
        <v>407</v>
      </c>
      <c r="C65" s="150" t="s">
        <v>10249</v>
      </c>
      <c r="D65" s="281" t="s">
        <v>10250</v>
      </c>
      <c r="E65" s="280" t="s">
        <v>3966</v>
      </c>
      <c r="F65" s="280" t="s">
        <v>9942</v>
      </c>
      <c r="G65" s="280" t="s">
        <v>1911</v>
      </c>
      <c r="H65" s="281" t="s">
        <v>10083</v>
      </c>
      <c r="I65" s="280">
        <v>2019</v>
      </c>
      <c r="J65" s="280">
        <v>36212</v>
      </c>
      <c r="K65" s="280"/>
      <c r="L65" s="280" t="s">
        <v>10249</v>
      </c>
      <c r="M65" s="280" t="s">
        <v>10251</v>
      </c>
      <c r="N65" s="281" t="s">
        <v>10252</v>
      </c>
      <c r="O65" s="280" t="s">
        <v>10072</v>
      </c>
      <c r="P65" s="281" t="s">
        <v>10253</v>
      </c>
      <c r="Q65" s="230" t="str">
        <f t="shared" si="1"/>
        <v>Distribution Warehouse</v>
      </c>
    </row>
    <row r="66" spans="1:17" ht="12.75">
      <c r="A66" s="152" t="s">
        <v>10254</v>
      </c>
      <c r="B66" s="149">
        <v>344</v>
      </c>
      <c r="C66" s="150" t="s">
        <v>2583</v>
      </c>
      <c r="D66" s="265" t="s">
        <v>10255</v>
      </c>
      <c r="E66" s="152" t="s">
        <v>3590</v>
      </c>
      <c r="F66" s="152" t="s">
        <v>9942</v>
      </c>
      <c r="G66" s="152" t="s">
        <v>9959</v>
      </c>
      <c r="H66" s="265" t="s">
        <v>10256</v>
      </c>
      <c r="I66" s="152"/>
      <c r="J66" s="152">
        <v>19764</v>
      </c>
      <c r="K66" s="152"/>
      <c r="L66" s="152" t="s">
        <v>2583</v>
      </c>
      <c r="M66" s="152"/>
      <c r="N66" s="265" t="s">
        <v>10257</v>
      </c>
      <c r="O66" s="152" t="s">
        <v>10072</v>
      </c>
      <c r="P66" s="265" t="s">
        <v>10258</v>
      </c>
      <c r="Q66" s="230" t="str">
        <f t="shared" si="1"/>
        <v>Office Building</v>
      </c>
    </row>
    <row r="67" spans="1:17" ht="12.75">
      <c r="A67" s="280" t="s">
        <v>10259</v>
      </c>
      <c r="B67" s="149">
        <v>344</v>
      </c>
      <c r="C67" s="150" t="s">
        <v>3588</v>
      </c>
      <c r="D67" s="281" t="s">
        <v>10260</v>
      </c>
      <c r="E67" s="280" t="s">
        <v>3590</v>
      </c>
      <c r="F67" s="280" t="s">
        <v>9942</v>
      </c>
      <c r="G67" s="280" t="s">
        <v>9959</v>
      </c>
      <c r="H67" s="281" t="s">
        <v>10256</v>
      </c>
      <c r="I67" s="280"/>
      <c r="J67" s="280"/>
      <c r="K67" s="280"/>
      <c r="L67" s="280" t="s">
        <v>3588</v>
      </c>
      <c r="M67" s="280" t="s">
        <v>10261</v>
      </c>
      <c r="N67" s="281" t="s">
        <v>10257</v>
      </c>
      <c r="O67" s="280" t="s">
        <v>10072</v>
      </c>
      <c r="P67" s="281" t="s">
        <v>10262</v>
      </c>
      <c r="Q67" s="230" t="str">
        <f t="shared" si="1"/>
        <v>Office Building</v>
      </c>
    </row>
    <row r="68" spans="1:17" ht="12.75">
      <c r="A68" s="152" t="s">
        <v>10263</v>
      </c>
      <c r="B68" s="149">
        <v>344</v>
      </c>
      <c r="C68" s="150" t="s">
        <v>10264</v>
      </c>
      <c r="D68" s="265" t="s">
        <v>10265</v>
      </c>
      <c r="E68" s="152" t="s">
        <v>1304</v>
      </c>
      <c r="F68" s="152" t="s">
        <v>9942</v>
      </c>
      <c r="G68" s="152" t="s">
        <v>9959</v>
      </c>
      <c r="H68" s="265" t="s">
        <v>10256</v>
      </c>
      <c r="I68" s="152"/>
      <c r="J68" s="152">
        <v>114843</v>
      </c>
      <c r="K68" s="152"/>
      <c r="L68" s="152" t="s">
        <v>10264</v>
      </c>
      <c r="M68" s="152"/>
      <c r="N68" s="265" t="s">
        <v>10257</v>
      </c>
      <c r="O68" s="152" t="s">
        <v>10072</v>
      </c>
      <c r="P68" s="265" t="s">
        <v>10266</v>
      </c>
      <c r="Q68" s="230" t="str">
        <f t="shared" ref="Q68:Q99" si="2">IF(B68="","",IFERROR(INDEX(OCC_TABLE_DESC,MATCH(B68,OCC_TABLE_CODE,0)),"Unrecognized code"))</f>
        <v>Office Building</v>
      </c>
    </row>
    <row r="69" spans="1:17" ht="12.75">
      <c r="A69" s="280" t="s">
        <v>10267</v>
      </c>
      <c r="B69" s="149">
        <v>344</v>
      </c>
      <c r="C69" s="150" t="s">
        <v>10268</v>
      </c>
      <c r="D69" s="281" t="s">
        <v>10269</v>
      </c>
      <c r="E69" s="280" t="s">
        <v>3642</v>
      </c>
      <c r="F69" s="280" t="s">
        <v>9942</v>
      </c>
      <c r="G69" s="280" t="s">
        <v>9959</v>
      </c>
      <c r="H69" s="281" t="s">
        <v>10256</v>
      </c>
      <c r="I69" s="280"/>
      <c r="J69" s="280">
        <v>8218</v>
      </c>
      <c r="K69" s="280"/>
      <c r="L69" s="280" t="s">
        <v>10268</v>
      </c>
      <c r="M69" s="280"/>
      <c r="N69" s="281" t="s">
        <v>10257</v>
      </c>
      <c r="O69" s="280" t="s">
        <v>10072</v>
      </c>
      <c r="P69" s="281" t="s">
        <v>10270</v>
      </c>
      <c r="Q69" s="230" t="str">
        <f t="shared" si="2"/>
        <v>Office Building</v>
      </c>
    </row>
    <row r="70" spans="1:17" ht="12.75">
      <c r="A70" s="152" t="s">
        <v>10271</v>
      </c>
      <c r="B70" s="149">
        <v>344</v>
      </c>
      <c r="C70" s="150" t="s">
        <v>10272</v>
      </c>
      <c r="D70" s="265" t="s">
        <v>10273</v>
      </c>
      <c r="E70" s="152" t="s">
        <v>3966</v>
      </c>
      <c r="F70" s="152" t="s">
        <v>9942</v>
      </c>
      <c r="G70" s="152" t="s">
        <v>9959</v>
      </c>
      <c r="H70" s="265" t="s">
        <v>10256</v>
      </c>
      <c r="I70" s="152"/>
      <c r="J70" s="152"/>
      <c r="K70" s="152"/>
      <c r="L70" s="152" t="s">
        <v>10272</v>
      </c>
      <c r="M70" s="152"/>
      <c r="N70" s="265" t="s">
        <v>10257</v>
      </c>
      <c r="O70" s="152" t="s">
        <v>10072</v>
      </c>
      <c r="P70" s="265" t="s">
        <v>10274</v>
      </c>
      <c r="Q70" s="230" t="str">
        <f t="shared" si="2"/>
        <v>Office Building</v>
      </c>
    </row>
    <row r="71" spans="1:17" ht="25.5">
      <c r="A71" s="280" t="s">
        <v>10275</v>
      </c>
      <c r="B71" s="149">
        <v>344</v>
      </c>
      <c r="C71" s="150" t="s">
        <v>10276</v>
      </c>
      <c r="D71" s="281" t="s">
        <v>10277</v>
      </c>
      <c r="E71" s="280" t="s">
        <v>1304</v>
      </c>
      <c r="F71" s="280" t="s">
        <v>9942</v>
      </c>
      <c r="G71" s="280" t="s">
        <v>9959</v>
      </c>
      <c r="H71" s="281" t="s">
        <v>10278</v>
      </c>
      <c r="I71" s="280"/>
      <c r="J71" s="280">
        <v>41979</v>
      </c>
      <c r="K71" s="280"/>
      <c r="L71" s="280" t="s">
        <v>10276</v>
      </c>
      <c r="M71" s="280"/>
      <c r="N71" s="281" t="s">
        <v>10257</v>
      </c>
      <c r="O71" s="280" t="s">
        <v>10072</v>
      </c>
      <c r="P71" s="281" t="s">
        <v>10279</v>
      </c>
      <c r="Q71" s="230" t="str">
        <f t="shared" si="2"/>
        <v>Office Building</v>
      </c>
    </row>
    <row r="72" spans="1:17" ht="25.5">
      <c r="A72" s="152" t="s">
        <v>10280</v>
      </c>
      <c r="B72" s="149">
        <v>210</v>
      </c>
      <c r="C72" s="150" t="s">
        <v>10281</v>
      </c>
      <c r="D72" s="265" t="s">
        <v>10282</v>
      </c>
      <c r="E72" s="152" t="s">
        <v>3642</v>
      </c>
      <c r="F72" s="152" t="s">
        <v>9942</v>
      </c>
      <c r="G72" s="152" t="s">
        <v>10283</v>
      </c>
      <c r="H72" s="265" t="s">
        <v>10284</v>
      </c>
      <c r="I72" s="152"/>
      <c r="J72" s="152">
        <v>278538</v>
      </c>
      <c r="K72" s="152"/>
      <c r="L72" s="152" t="s">
        <v>10281</v>
      </c>
      <c r="M72" s="152"/>
      <c r="N72" s="265" t="s">
        <v>10257</v>
      </c>
      <c r="O72" s="152" t="s">
        <v>10072</v>
      </c>
      <c r="P72" s="265" t="s">
        <v>10285</v>
      </c>
      <c r="Q72" s="230" t="str">
        <f t="shared" si="2"/>
        <v>Industrial Flex Mall Building</v>
      </c>
    </row>
    <row r="73" spans="1:17" ht="25.5">
      <c r="A73" s="280" t="s">
        <v>10286</v>
      </c>
      <c r="B73" s="149">
        <v>210</v>
      </c>
      <c r="C73" s="150" t="s">
        <v>10287</v>
      </c>
      <c r="D73" s="281" t="s">
        <v>10288</v>
      </c>
      <c r="E73" s="280" t="s">
        <v>3966</v>
      </c>
      <c r="F73" s="280" t="s">
        <v>9942</v>
      </c>
      <c r="G73" s="280" t="s">
        <v>1911</v>
      </c>
      <c r="H73" s="281" t="s">
        <v>10092</v>
      </c>
      <c r="I73" s="280"/>
      <c r="J73" s="280"/>
      <c r="K73" s="280"/>
      <c r="L73" s="280" t="s">
        <v>10287</v>
      </c>
      <c r="M73" s="280" t="s">
        <v>10289</v>
      </c>
      <c r="N73" s="281" t="s">
        <v>10290</v>
      </c>
      <c r="O73" s="280" t="s">
        <v>10072</v>
      </c>
      <c r="P73" s="281" t="s">
        <v>10291</v>
      </c>
      <c r="Q73" s="230" t="str">
        <f t="shared" si="2"/>
        <v>Industrial Flex Mall Building</v>
      </c>
    </row>
    <row r="74" spans="1:17" ht="12.75">
      <c r="A74" s="152" t="s">
        <v>10292</v>
      </c>
      <c r="B74" s="149">
        <v>210</v>
      </c>
      <c r="C74" s="150" t="s">
        <v>10293</v>
      </c>
      <c r="D74" s="265" t="s">
        <v>10294</v>
      </c>
      <c r="E74" s="152" t="s">
        <v>3966</v>
      </c>
      <c r="F74" s="152" t="s">
        <v>9942</v>
      </c>
      <c r="G74" s="152" t="s">
        <v>1911</v>
      </c>
      <c r="H74" s="265" t="s">
        <v>10092</v>
      </c>
      <c r="I74" s="152"/>
      <c r="J74" s="152"/>
      <c r="K74" s="152"/>
      <c r="L74" s="152" t="s">
        <v>10293</v>
      </c>
      <c r="M74" s="152" t="s">
        <v>10289</v>
      </c>
      <c r="N74" s="265" t="s">
        <v>10290</v>
      </c>
      <c r="O74" s="152" t="s">
        <v>10072</v>
      </c>
      <c r="P74" s="265" t="s">
        <v>10295</v>
      </c>
      <c r="Q74" s="230" t="str">
        <f t="shared" si="2"/>
        <v>Industrial Flex Mall Building</v>
      </c>
    </row>
    <row r="75" spans="1:17" ht="25.5">
      <c r="A75" s="280" t="s">
        <v>10296</v>
      </c>
      <c r="B75" s="149">
        <v>210</v>
      </c>
      <c r="C75" s="150" t="s">
        <v>10297</v>
      </c>
      <c r="D75" s="281" t="s">
        <v>10298</v>
      </c>
      <c r="E75" s="280" t="s">
        <v>3966</v>
      </c>
      <c r="F75" s="280" t="s">
        <v>9942</v>
      </c>
      <c r="G75" s="280" t="s">
        <v>1911</v>
      </c>
      <c r="H75" s="281" t="s">
        <v>10092</v>
      </c>
      <c r="I75" s="280"/>
      <c r="J75" s="280"/>
      <c r="K75" s="280"/>
      <c r="L75" s="280" t="s">
        <v>10297</v>
      </c>
      <c r="M75" s="280" t="s">
        <v>10289</v>
      </c>
      <c r="N75" s="281" t="s">
        <v>10290</v>
      </c>
      <c r="O75" s="280" t="s">
        <v>10072</v>
      </c>
      <c r="P75" s="281" t="s">
        <v>10299</v>
      </c>
      <c r="Q75" s="230" t="str">
        <f t="shared" si="2"/>
        <v>Industrial Flex Mall Building</v>
      </c>
    </row>
    <row r="76" spans="1:17" ht="12.75">
      <c r="A76" s="152" t="s">
        <v>10300</v>
      </c>
      <c r="B76" s="149">
        <v>210</v>
      </c>
      <c r="C76" s="150" t="s">
        <v>10301</v>
      </c>
      <c r="D76" s="265" t="s">
        <v>10302</v>
      </c>
      <c r="E76" s="152" t="s">
        <v>3966</v>
      </c>
      <c r="F76" s="152" t="s">
        <v>9942</v>
      </c>
      <c r="G76" s="152" t="s">
        <v>1911</v>
      </c>
      <c r="H76" s="265" t="s">
        <v>10092</v>
      </c>
      <c r="I76" s="152"/>
      <c r="J76" s="152"/>
      <c r="K76" s="152"/>
      <c r="L76" s="152" t="s">
        <v>10301</v>
      </c>
      <c r="M76" s="152" t="s">
        <v>10289</v>
      </c>
      <c r="N76" s="265" t="s">
        <v>10290</v>
      </c>
      <c r="O76" s="152" t="s">
        <v>10072</v>
      </c>
      <c r="P76" s="265" t="s">
        <v>10295</v>
      </c>
      <c r="Q76" s="230" t="str">
        <f t="shared" si="2"/>
        <v>Industrial Flex Mall Building</v>
      </c>
    </row>
    <row r="77" spans="1:17" ht="25.5">
      <c r="A77" s="280" t="s">
        <v>10303</v>
      </c>
      <c r="B77" s="149">
        <v>210</v>
      </c>
      <c r="C77" s="150" t="s">
        <v>10304</v>
      </c>
      <c r="D77" s="281" t="s">
        <v>10305</v>
      </c>
      <c r="E77" s="280" t="s">
        <v>3966</v>
      </c>
      <c r="F77" s="280" t="s">
        <v>9942</v>
      </c>
      <c r="G77" s="280" t="s">
        <v>1911</v>
      </c>
      <c r="H77" s="281" t="s">
        <v>10092</v>
      </c>
      <c r="I77" s="280"/>
      <c r="J77" s="280"/>
      <c r="K77" s="280"/>
      <c r="L77" s="280" t="s">
        <v>10304</v>
      </c>
      <c r="M77" s="280" t="s">
        <v>10289</v>
      </c>
      <c r="N77" s="281" t="s">
        <v>10290</v>
      </c>
      <c r="O77" s="280" t="s">
        <v>10072</v>
      </c>
      <c r="P77" s="281" t="s">
        <v>10306</v>
      </c>
      <c r="Q77" s="230" t="str">
        <f t="shared" si="2"/>
        <v>Industrial Flex Mall Building</v>
      </c>
    </row>
    <row r="78" spans="1:17" ht="25.5">
      <c r="A78" s="152" t="s">
        <v>10307</v>
      </c>
      <c r="B78" s="149">
        <v>210</v>
      </c>
      <c r="C78" s="150" t="s">
        <v>10308</v>
      </c>
      <c r="D78" s="265" t="s">
        <v>10309</v>
      </c>
      <c r="E78" s="152" t="s">
        <v>3966</v>
      </c>
      <c r="F78" s="152" t="s">
        <v>9942</v>
      </c>
      <c r="G78" s="152" t="s">
        <v>1911</v>
      </c>
      <c r="H78" s="265" t="s">
        <v>10092</v>
      </c>
      <c r="I78" s="152"/>
      <c r="J78" s="152"/>
      <c r="K78" s="152"/>
      <c r="L78" s="152" t="s">
        <v>10308</v>
      </c>
      <c r="M78" s="152" t="s">
        <v>10289</v>
      </c>
      <c r="N78" s="265" t="s">
        <v>10290</v>
      </c>
      <c r="O78" s="152" t="s">
        <v>10072</v>
      </c>
      <c r="P78" s="265" t="s">
        <v>10310</v>
      </c>
      <c r="Q78" s="230" t="str">
        <f t="shared" si="2"/>
        <v>Industrial Flex Mall Building</v>
      </c>
    </row>
    <row r="79" spans="1:17" ht="12.75">
      <c r="A79" s="280" t="s">
        <v>10311</v>
      </c>
      <c r="B79" s="149">
        <v>210</v>
      </c>
      <c r="C79" s="150" t="s">
        <v>10312</v>
      </c>
      <c r="D79" s="281" t="s">
        <v>10313</v>
      </c>
      <c r="E79" s="280" t="s">
        <v>3966</v>
      </c>
      <c r="F79" s="280" t="s">
        <v>9942</v>
      </c>
      <c r="G79" s="280" t="s">
        <v>1911</v>
      </c>
      <c r="H79" s="281" t="s">
        <v>10092</v>
      </c>
      <c r="I79" s="280"/>
      <c r="J79" s="280"/>
      <c r="K79" s="280"/>
      <c r="L79" s="280" t="s">
        <v>10312</v>
      </c>
      <c r="M79" s="280" t="s">
        <v>10289</v>
      </c>
      <c r="N79" s="281" t="s">
        <v>10290</v>
      </c>
      <c r="O79" s="280" t="s">
        <v>10072</v>
      </c>
      <c r="P79" s="281" t="s">
        <v>10314</v>
      </c>
      <c r="Q79" s="230" t="str">
        <f t="shared" si="2"/>
        <v>Industrial Flex Mall Building</v>
      </c>
    </row>
    <row r="80" spans="1:17" ht="25.5">
      <c r="A80" s="152" t="s">
        <v>10315</v>
      </c>
      <c r="B80" s="149">
        <v>210</v>
      </c>
      <c r="C80" s="150" t="s">
        <v>10312</v>
      </c>
      <c r="D80" s="265" t="s">
        <v>10316</v>
      </c>
      <c r="E80" s="152" t="s">
        <v>3966</v>
      </c>
      <c r="F80" s="152" t="s">
        <v>9942</v>
      </c>
      <c r="G80" s="152" t="s">
        <v>1911</v>
      </c>
      <c r="H80" s="265" t="s">
        <v>10092</v>
      </c>
      <c r="I80" s="152"/>
      <c r="J80" s="152"/>
      <c r="K80" s="152"/>
      <c r="L80" s="152" t="s">
        <v>10312</v>
      </c>
      <c r="M80" s="152" t="s">
        <v>10289</v>
      </c>
      <c r="N80" s="265" t="s">
        <v>10290</v>
      </c>
      <c r="O80" s="152" t="s">
        <v>10072</v>
      </c>
      <c r="P80" s="265" t="s">
        <v>10317</v>
      </c>
      <c r="Q80" s="230" t="str">
        <f t="shared" si="2"/>
        <v>Industrial Flex Mall Building</v>
      </c>
    </row>
    <row r="81" spans="1:17" ht="25.5">
      <c r="A81" s="280" t="s">
        <v>10318</v>
      </c>
      <c r="B81" s="149">
        <v>210</v>
      </c>
      <c r="C81" s="150" t="s">
        <v>10312</v>
      </c>
      <c r="D81" s="281" t="s">
        <v>10319</v>
      </c>
      <c r="E81" s="280" t="s">
        <v>3966</v>
      </c>
      <c r="F81" s="280" t="s">
        <v>9942</v>
      </c>
      <c r="G81" s="280" t="s">
        <v>1911</v>
      </c>
      <c r="H81" s="281" t="s">
        <v>10092</v>
      </c>
      <c r="I81" s="280"/>
      <c r="J81" s="280"/>
      <c r="K81" s="280"/>
      <c r="L81" s="280" t="s">
        <v>10312</v>
      </c>
      <c r="M81" s="280" t="s">
        <v>10289</v>
      </c>
      <c r="N81" s="281" t="s">
        <v>10290</v>
      </c>
      <c r="O81" s="280" t="s">
        <v>10072</v>
      </c>
      <c r="P81" s="281" t="s">
        <v>10320</v>
      </c>
      <c r="Q81" s="230" t="str">
        <f t="shared" si="2"/>
        <v>Industrial Flex Mall Building</v>
      </c>
    </row>
    <row r="82" spans="1:17" ht="25.5">
      <c r="A82" s="152" t="s">
        <v>10321</v>
      </c>
      <c r="B82" s="149">
        <v>584</v>
      </c>
      <c r="C82" s="150" t="s">
        <v>10322</v>
      </c>
      <c r="D82" s="265" t="s">
        <v>10323</v>
      </c>
      <c r="E82" s="152" t="s">
        <v>3966</v>
      </c>
      <c r="F82" s="152" t="s">
        <v>9942</v>
      </c>
      <c r="G82" s="152" t="s">
        <v>1911</v>
      </c>
      <c r="H82" s="265" t="s">
        <v>10043</v>
      </c>
      <c r="I82" s="152"/>
      <c r="J82" s="152"/>
      <c r="K82" s="152"/>
      <c r="L82" s="152" t="s">
        <v>10322</v>
      </c>
      <c r="M82" s="152" t="s">
        <v>10289</v>
      </c>
      <c r="N82" s="265" t="s">
        <v>10290</v>
      </c>
      <c r="O82" s="152" t="s">
        <v>10072</v>
      </c>
      <c r="P82" s="265" t="s">
        <v>10324</v>
      </c>
      <c r="Q82" s="230" t="str">
        <f t="shared" si="2"/>
        <v>Mega Warehouse</v>
      </c>
    </row>
    <row r="83" spans="1:17" ht="25.5">
      <c r="A83" s="280" t="s">
        <v>10325</v>
      </c>
      <c r="B83" s="149">
        <v>407</v>
      </c>
      <c r="C83" s="150" t="s">
        <v>10326</v>
      </c>
      <c r="D83" s="281" t="s">
        <v>10327</v>
      </c>
      <c r="E83" s="280" t="s">
        <v>3642</v>
      </c>
      <c r="F83" s="280" t="s">
        <v>9942</v>
      </c>
      <c r="G83" s="280" t="s">
        <v>1911</v>
      </c>
      <c r="H83" s="281" t="s">
        <v>10060</v>
      </c>
      <c r="I83" s="280"/>
      <c r="J83" s="280"/>
      <c r="K83" s="280"/>
      <c r="L83" s="280" t="s">
        <v>10326</v>
      </c>
      <c r="M83" s="280" t="s">
        <v>10328</v>
      </c>
      <c r="N83" s="281" t="s">
        <v>10329</v>
      </c>
      <c r="O83" s="280" t="s">
        <v>10072</v>
      </c>
      <c r="P83" s="281" t="s">
        <v>10330</v>
      </c>
      <c r="Q83" s="230" t="str">
        <f t="shared" si="2"/>
        <v>Distribution Warehouse</v>
      </c>
    </row>
    <row r="84" spans="1:17" ht="25.5">
      <c r="A84" s="152" t="s">
        <v>10331</v>
      </c>
      <c r="B84" s="149">
        <v>407</v>
      </c>
      <c r="C84" s="150" t="s">
        <v>10332</v>
      </c>
      <c r="D84" s="265" t="s">
        <v>10333</v>
      </c>
      <c r="E84" s="152" t="s">
        <v>3966</v>
      </c>
      <c r="F84" s="152" t="s">
        <v>9942</v>
      </c>
      <c r="G84" s="152" t="s">
        <v>1911</v>
      </c>
      <c r="H84" s="265" t="s">
        <v>10060</v>
      </c>
      <c r="I84" s="152"/>
      <c r="J84" s="152"/>
      <c r="K84" s="152"/>
      <c r="L84" s="152" t="s">
        <v>10332</v>
      </c>
      <c r="M84" s="152" t="s">
        <v>10328</v>
      </c>
      <c r="N84" s="265" t="s">
        <v>10329</v>
      </c>
      <c r="O84" s="152" t="s">
        <v>10072</v>
      </c>
      <c r="P84" s="265" t="s">
        <v>10334</v>
      </c>
      <c r="Q84" s="230" t="str">
        <f t="shared" si="2"/>
        <v>Distribution Warehouse</v>
      </c>
    </row>
    <row r="85" spans="1:17" ht="25.5">
      <c r="A85" s="280" t="s">
        <v>10335</v>
      </c>
      <c r="B85" s="149">
        <v>407</v>
      </c>
      <c r="C85" s="150" t="s">
        <v>5721</v>
      </c>
      <c r="D85" s="281" t="s">
        <v>10336</v>
      </c>
      <c r="E85" s="280" t="s">
        <v>3966</v>
      </c>
      <c r="F85" s="280" t="s">
        <v>9942</v>
      </c>
      <c r="G85" s="280" t="s">
        <v>1911</v>
      </c>
      <c r="H85" s="281" t="s">
        <v>10060</v>
      </c>
      <c r="I85" s="280"/>
      <c r="J85" s="280"/>
      <c r="K85" s="280"/>
      <c r="L85" s="280" t="s">
        <v>5721</v>
      </c>
      <c r="M85" s="280" t="s">
        <v>10337</v>
      </c>
      <c r="N85" s="281" t="s">
        <v>10338</v>
      </c>
      <c r="O85" s="280" t="s">
        <v>10072</v>
      </c>
      <c r="P85" s="281" t="s">
        <v>10339</v>
      </c>
      <c r="Q85" s="230" t="str">
        <f t="shared" si="2"/>
        <v>Distribution Warehouse</v>
      </c>
    </row>
    <row r="86" spans="1:17" ht="25.5">
      <c r="A86" s="152" t="s">
        <v>10340</v>
      </c>
      <c r="B86" s="149">
        <v>407</v>
      </c>
      <c r="C86" s="150" t="s">
        <v>5721</v>
      </c>
      <c r="D86" s="265" t="s">
        <v>10341</v>
      </c>
      <c r="E86" s="152" t="s">
        <v>3966</v>
      </c>
      <c r="F86" s="152" t="s">
        <v>9942</v>
      </c>
      <c r="G86" s="152" t="s">
        <v>1911</v>
      </c>
      <c r="H86" s="265" t="s">
        <v>10060</v>
      </c>
      <c r="I86" s="152"/>
      <c r="J86" s="152"/>
      <c r="K86" s="152"/>
      <c r="L86" s="152" t="s">
        <v>5721</v>
      </c>
      <c r="M86" s="152" t="s">
        <v>10337</v>
      </c>
      <c r="N86" s="265" t="s">
        <v>10338</v>
      </c>
      <c r="O86" s="152" t="s">
        <v>10072</v>
      </c>
      <c r="P86" s="265" t="s">
        <v>10342</v>
      </c>
      <c r="Q86" s="230" t="str">
        <f t="shared" si="2"/>
        <v>Distribution Warehouse</v>
      </c>
    </row>
    <row r="87" spans="1:17" ht="25.5">
      <c r="A87" s="280" t="s">
        <v>10343</v>
      </c>
      <c r="B87" s="149">
        <v>407</v>
      </c>
      <c r="C87" s="150" t="s">
        <v>5721</v>
      </c>
      <c r="D87" s="281" t="s">
        <v>10344</v>
      </c>
      <c r="E87" s="280" t="s">
        <v>3966</v>
      </c>
      <c r="F87" s="280" t="s">
        <v>9942</v>
      </c>
      <c r="G87" s="280" t="s">
        <v>1911</v>
      </c>
      <c r="H87" s="281" t="s">
        <v>10060</v>
      </c>
      <c r="I87" s="280"/>
      <c r="J87" s="280"/>
      <c r="K87" s="280"/>
      <c r="L87" s="280" t="s">
        <v>5721</v>
      </c>
      <c r="M87" s="280" t="s">
        <v>10337</v>
      </c>
      <c r="N87" s="281" t="s">
        <v>10338</v>
      </c>
      <c r="O87" s="280" t="s">
        <v>10072</v>
      </c>
      <c r="P87" s="281" t="s">
        <v>10345</v>
      </c>
      <c r="Q87" s="230" t="str">
        <f t="shared" si="2"/>
        <v>Distribution Warehouse</v>
      </c>
    </row>
    <row r="88" spans="1:17" ht="12.75">
      <c r="A88" s="280" t="s">
        <v>10346</v>
      </c>
      <c r="B88" s="149">
        <v>210</v>
      </c>
      <c r="C88" s="150" t="s">
        <v>10347</v>
      </c>
      <c r="D88" s="281" t="s">
        <v>10348</v>
      </c>
      <c r="E88" s="280" t="s">
        <v>1304</v>
      </c>
      <c r="F88" s="280" t="s">
        <v>9942</v>
      </c>
      <c r="G88" s="280" t="s">
        <v>1911</v>
      </c>
      <c r="H88" s="281" t="s">
        <v>10349</v>
      </c>
      <c r="I88" s="280"/>
      <c r="J88" s="280">
        <v>33057</v>
      </c>
      <c r="K88" s="280"/>
      <c r="L88" s="280" t="s">
        <v>10347</v>
      </c>
      <c r="M88" s="280"/>
      <c r="N88" s="281" t="s">
        <v>10350</v>
      </c>
      <c r="O88" s="280" t="s">
        <v>10351</v>
      </c>
      <c r="P88" s="281" t="s">
        <v>10352</v>
      </c>
      <c r="Q88" s="230" t="str">
        <f t="shared" si="2"/>
        <v>Industrial Flex Mall Building</v>
      </c>
    </row>
    <row r="89" spans="1:17" ht="25.5">
      <c r="A89" s="152" t="s">
        <v>10353</v>
      </c>
      <c r="B89" s="149">
        <v>406</v>
      </c>
      <c r="C89" s="150" t="s">
        <v>10354</v>
      </c>
      <c r="D89" s="265" t="s">
        <v>10355</v>
      </c>
      <c r="E89" s="152" t="s">
        <v>3966</v>
      </c>
      <c r="F89" s="152" t="s">
        <v>9942</v>
      </c>
      <c r="G89" s="152" t="s">
        <v>1911</v>
      </c>
      <c r="H89" s="265" t="s">
        <v>10096</v>
      </c>
      <c r="I89" s="152">
        <v>1980</v>
      </c>
      <c r="J89" s="152">
        <v>233808</v>
      </c>
      <c r="K89" s="152"/>
      <c r="L89" s="152" t="s">
        <v>10354</v>
      </c>
      <c r="M89" s="152"/>
      <c r="N89" s="265" t="s">
        <v>10356</v>
      </c>
      <c r="O89" s="152" t="s">
        <v>10351</v>
      </c>
      <c r="P89" s="265" t="s">
        <v>10357</v>
      </c>
      <c r="Q89" s="230" t="str">
        <f t="shared" si="2"/>
        <v>Storage Warehouse</v>
      </c>
    </row>
    <row r="90" spans="1:17" ht="25.5">
      <c r="A90" s="280" t="s">
        <v>10358</v>
      </c>
      <c r="B90" s="149">
        <v>407</v>
      </c>
      <c r="C90" s="150" t="s">
        <v>5288</v>
      </c>
      <c r="D90" s="281" t="s">
        <v>10359</v>
      </c>
      <c r="E90" s="280" t="s">
        <v>8484</v>
      </c>
      <c r="F90" s="280" t="s">
        <v>9942</v>
      </c>
      <c r="G90" s="280" t="s">
        <v>1911</v>
      </c>
      <c r="H90" s="281" t="s">
        <v>10360</v>
      </c>
      <c r="I90" s="280">
        <v>2000</v>
      </c>
      <c r="J90" s="280">
        <v>80640</v>
      </c>
      <c r="K90" s="280"/>
      <c r="L90" s="280" t="s">
        <v>5288</v>
      </c>
      <c r="M90" s="280"/>
      <c r="N90" s="281" t="s">
        <v>10356</v>
      </c>
      <c r="O90" s="280" t="s">
        <v>10351</v>
      </c>
      <c r="P90" s="281" t="s">
        <v>10361</v>
      </c>
      <c r="Q90" s="230" t="str">
        <f t="shared" si="2"/>
        <v>Distribution Warehouse</v>
      </c>
    </row>
    <row r="91" spans="1:17" ht="12.75">
      <c r="A91" s="152" t="s">
        <v>10362</v>
      </c>
      <c r="B91" s="149">
        <v>210</v>
      </c>
      <c r="C91" s="150" t="s">
        <v>10363</v>
      </c>
      <c r="D91" s="265" t="s">
        <v>10364</v>
      </c>
      <c r="E91" s="152" t="s">
        <v>3642</v>
      </c>
      <c r="F91" s="152" t="s">
        <v>9942</v>
      </c>
      <c r="G91" s="152" t="s">
        <v>1911</v>
      </c>
      <c r="H91" s="265" t="s">
        <v>10365</v>
      </c>
      <c r="I91" s="152"/>
      <c r="J91" s="152">
        <v>42299</v>
      </c>
      <c r="K91" s="152"/>
      <c r="L91" s="152" t="s">
        <v>10363</v>
      </c>
      <c r="M91" s="152"/>
      <c r="N91" s="265" t="s">
        <v>10350</v>
      </c>
      <c r="O91" s="152" t="s">
        <v>10351</v>
      </c>
      <c r="P91" s="265" t="s">
        <v>10366</v>
      </c>
      <c r="Q91" s="230" t="str">
        <f t="shared" si="2"/>
        <v>Industrial Flex Mall Building</v>
      </c>
    </row>
    <row r="92" spans="1:17" ht="25.5">
      <c r="A92" s="280" t="s">
        <v>10367</v>
      </c>
      <c r="B92" s="149">
        <v>407</v>
      </c>
      <c r="C92" s="150" t="s">
        <v>10368</v>
      </c>
      <c r="D92" s="281" t="s">
        <v>10369</v>
      </c>
      <c r="E92" s="280" t="s">
        <v>8758</v>
      </c>
      <c r="F92" s="280" t="s">
        <v>9942</v>
      </c>
      <c r="G92" s="280" t="s">
        <v>1911</v>
      </c>
      <c r="H92" s="281" t="s">
        <v>10360</v>
      </c>
      <c r="I92" s="280">
        <v>2016</v>
      </c>
      <c r="J92" s="280">
        <v>122106</v>
      </c>
      <c r="K92" s="280"/>
      <c r="L92" s="280" t="s">
        <v>10368</v>
      </c>
      <c r="M92" s="280"/>
      <c r="N92" s="281" t="s">
        <v>10370</v>
      </c>
      <c r="O92" s="280" t="s">
        <v>10351</v>
      </c>
      <c r="P92" s="281" t="s">
        <v>10371</v>
      </c>
      <c r="Q92" s="230" t="str">
        <f t="shared" si="2"/>
        <v>Distribution Warehouse</v>
      </c>
    </row>
    <row r="93" spans="1:17" ht="25.5">
      <c r="A93" s="152" t="s">
        <v>10372</v>
      </c>
      <c r="B93" s="149">
        <v>407</v>
      </c>
      <c r="C93" s="150" t="s">
        <v>10373</v>
      </c>
      <c r="D93" s="265" t="s">
        <v>10374</v>
      </c>
      <c r="E93" s="152" t="s">
        <v>8758</v>
      </c>
      <c r="F93" s="152" t="s">
        <v>9942</v>
      </c>
      <c r="G93" s="152" t="s">
        <v>1911</v>
      </c>
      <c r="H93" s="265" t="s">
        <v>10360</v>
      </c>
      <c r="I93" s="152">
        <v>2000</v>
      </c>
      <c r="J93" s="152">
        <v>85200</v>
      </c>
      <c r="K93" s="152"/>
      <c r="L93" s="152" t="s">
        <v>10373</v>
      </c>
      <c r="M93" s="152"/>
      <c r="N93" s="265" t="s">
        <v>10370</v>
      </c>
      <c r="O93" s="152" t="s">
        <v>10351</v>
      </c>
      <c r="P93" s="265" t="s">
        <v>10375</v>
      </c>
      <c r="Q93" s="230" t="str">
        <f t="shared" si="2"/>
        <v>Distribution Warehouse</v>
      </c>
    </row>
    <row r="94" spans="1:17" ht="25.5">
      <c r="A94" s="280" t="s">
        <v>10376</v>
      </c>
      <c r="B94" s="149">
        <v>584</v>
      </c>
      <c r="C94" s="150" t="s">
        <v>10028</v>
      </c>
      <c r="D94" s="281" t="s">
        <v>10377</v>
      </c>
      <c r="E94" s="280" t="s">
        <v>8758</v>
      </c>
      <c r="F94" s="280" t="s">
        <v>9942</v>
      </c>
      <c r="G94" s="280" t="s">
        <v>1911</v>
      </c>
      <c r="H94" s="281" t="s">
        <v>10378</v>
      </c>
      <c r="I94" s="280">
        <v>2019</v>
      </c>
      <c r="J94" s="280">
        <v>555867</v>
      </c>
      <c r="K94" s="280"/>
      <c r="L94" s="280" t="s">
        <v>10028</v>
      </c>
      <c r="M94" s="280"/>
      <c r="N94" s="281" t="s">
        <v>10379</v>
      </c>
      <c r="O94" s="280" t="s">
        <v>10351</v>
      </c>
      <c r="P94" s="281" t="s">
        <v>10380</v>
      </c>
      <c r="Q94" s="230" t="str">
        <f t="shared" si="2"/>
        <v>Mega Warehouse</v>
      </c>
    </row>
    <row r="95" spans="1:17" ht="25.5">
      <c r="A95" s="152" t="s">
        <v>10381</v>
      </c>
      <c r="B95" s="149">
        <v>447</v>
      </c>
      <c r="C95" s="150" t="s">
        <v>10382</v>
      </c>
      <c r="D95" s="265" t="s">
        <v>10383</v>
      </c>
      <c r="E95" s="152" t="s">
        <v>8758</v>
      </c>
      <c r="F95" s="152" t="s">
        <v>9942</v>
      </c>
      <c r="G95" s="152" t="s">
        <v>1911</v>
      </c>
      <c r="H95" s="265" t="s">
        <v>10384</v>
      </c>
      <c r="I95" s="152">
        <v>2012</v>
      </c>
      <c r="J95" s="152">
        <v>550031</v>
      </c>
      <c r="K95" s="152"/>
      <c r="L95" s="152" t="s">
        <v>10382</v>
      </c>
      <c r="M95" s="152"/>
      <c r="N95" s="265" t="s">
        <v>10379</v>
      </c>
      <c r="O95" s="152" t="s">
        <v>10351</v>
      </c>
      <c r="P95" s="265" t="s">
        <v>10385</v>
      </c>
      <c r="Q95" s="230" t="str">
        <f t="shared" si="2"/>
        <v>Cold Storage Warehouse</v>
      </c>
    </row>
    <row r="96" spans="1:17" ht="25.5">
      <c r="A96" s="280" t="s">
        <v>10386</v>
      </c>
      <c r="B96" s="149">
        <v>407</v>
      </c>
      <c r="C96" s="150" t="s">
        <v>10387</v>
      </c>
      <c r="D96" s="281" t="s">
        <v>10388</v>
      </c>
      <c r="E96" s="280" t="s">
        <v>8758</v>
      </c>
      <c r="F96" s="280" t="s">
        <v>9942</v>
      </c>
      <c r="G96" s="280" t="s">
        <v>1911</v>
      </c>
      <c r="H96" s="281" t="s">
        <v>10360</v>
      </c>
      <c r="I96" s="280">
        <v>1998</v>
      </c>
      <c r="J96" s="280">
        <v>64501</v>
      </c>
      <c r="K96" s="280"/>
      <c r="L96" s="280" t="s">
        <v>10387</v>
      </c>
      <c r="M96" s="280"/>
      <c r="N96" s="281" t="s">
        <v>10370</v>
      </c>
      <c r="O96" s="280" t="s">
        <v>10351</v>
      </c>
      <c r="P96" s="281" t="s">
        <v>10389</v>
      </c>
      <c r="Q96" s="230" t="str">
        <f t="shared" si="2"/>
        <v>Distribution Warehouse</v>
      </c>
    </row>
    <row r="97" spans="1:17" ht="25.5">
      <c r="A97" s="280" t="s">
        <v>10390</v>
      </c>
      <c r="B97" s="149">
        <v>407</v>
      </c>
      <c r="C97" s="150" t="s">
        <v>10391</v>
      </c>
      <c r="D97" s="281" t="s">
        <v>10392</v>
      </c>
      <c r="E97" s="280" t="s">
        <v>1304</v>
      </c>
      <c r="F97" s="280" t="s">
        <v>9942</v>
      </c>
      <c r="G97" s="280" t="s">
        <v>1911</v>
      </c>
      <c r="H97" s="281" t="s">
        <v>1136</v>
      </c>
      <c r="I97" s="280">
        <v>1971</v>
      </c>
      <c r="J97" s="280">
        <v>127900</v>
      </c>
      <c r="K97" s="280"/>
      <c r="L97" s="280" t="s">
        <v>10391</v>
      </c>
      <c r="M97" s="280"/>
      <c r="N97" s="281" t="s">
        <v>10393</v>
      </c>
      <c r="O97" s="280" t="s">
        <v>10351</v>
      </c>
      <c r="P97" s="281" t="s">
        <v>10394</v>
      </c>
      <c r="Q97" s="230" t="str">
        <f t="shared" si="2"/>
        <v>Distribution Warehouse</v>
      </c>
    </row>
    <row r="98" spans="1:17" ht="25.5">
      <c r="A98" s="152" t="s">
        <v>10395</v>
      </c>
      <c r="B98" s="149">
        <v>386</v>
      </c>
      <c r="C98" s="150" t="s">
        <v>10396</v>
      </c>
      <c r="D98" s="265" t="s">
        <v>10397</v>
      </c>
      <c r="E98" s="152" t="s">
        <v>3966</v>
      </c>
      <c r="F98" s="152" t="s">
        <v>9942</v>
      </c>
      <c r="G98" s="152" t="s">
        <v>10154</v>
      </c>
      <c r="H98" s="265" t="s">
        <v>10154</v>
      </c>
      <c r="I98" s="152">
        <v>1984</v>
      </c>
      <c r="J98" s="152">
        <v>63989</v>
      </c>
      <c r="K98" s="152"/>
      <c r="L98" s="152" t="s">
        <v>10396</v>
      </c>
      <c r="M98" s="152"/>
      <c r="N98" s="265" t="s">
        <v>10398</v>
      </c>
      <c r="O98" s="152" t="s">
        <v>10351</v>
      </c>
      <c r="P98" s="265" t="s">
        <v>10399</v>
      </c>
      <c r="Q98" s="230" t="str">
        <f t="shared" si="2"/>
        <v>Mini Warehouse</v>
      </c>
    </row>
    <row r="99" spans="1:17" ht="25.5">
      <c r="A99" s="280" t="s">
        <v>10400</v>
      </c>
      <c r="B99" s="149">
        <v>407</v>
      </c>
      <c r="C99" s="150" t="s">
        <v>10401</v>
      </c>
      <c r="D99" s="281" t="s">
        <v>10402</v>
      </c>
      <c r="E99" s="280" t="s">
        <v>3966</v>
      </c>
      <c r="F99" s="280" t="s">
        <v>9942</v>
      </c>
      <c r="G99" s="280" t="s">
        <v>1911</v>
      </c>
      <c r="H99" s="281" t="s">
        <v>10403</v>
      </c>
      <c r="I99" s="280"/>
      <c r="J99" s="280">
        <v>117280</v>
      </c>
      <c r="K99" s="280"/>
      <c r="L99" s="280" t="s">
        <v>10401</v>
      </c>
      <c r="M99" s="280"/>
      <c r="N99" s="281" t="s">
        <v>10404</v>
      </c>
      <c r="O99" s="280" t="s">
        <v>10351</v>
      </c>
      <c r="P99" s="281" t="s">
        <v>10405</v>
      </c>
      <c r="Q99" s="230" t="str">
        <f t="shared" si="2"/>
        <v>Distribution Warehouse</v>
      </c>
    </row>
    <row r="100" spans="1:17" ht="12.75">
      <c r="A100" s="152" t="s">
        <v>10406</v>
      </c>
      <c r="B100" s="149">
        <v>210</v>
      </c>
      <c r="C100" s="150" t="s">
        <v>10407</v>
      </c>
      <c r="D100" s="265" t="s">
        <v>10408</v>
      </c>
      <c r="E100" s="152" t="s">
        <v>3642</v>
      </c>
      <c r="F100" s="152" t="s">
        <v>9942</v>
      </c>
      <c r="G100" s="152" t="s">
        <v>1911</v>
      </c>
      <c r="H100" s="265" t="s">
        <v>10365</v>
      </c>
      <c r="I100" s="152"/>
      <c r="J100" s="152">
        <v>57200</v>
      </c>
      <c r="K100" s="152"/>
      <c r="L100" s="152" t="s">
        <v>10407</v>
      </c>
      <c r="M100" s="152"/>
      <c r="N100" s="265" t="s">
        <v>10409</v>
      </c>
      <c r="O100" s="152" t="s">
        <v>10351</v>
      </c>
      <c r="P100" s="265" t="s">
        <v>10410</v>
      </c>
      <c r="Q100" s="230" t="str">
        <f t="shared" ref="Q100:Q107" si="3">IF(B100="","",IFERROR(INDEX(OCC_TABLE_DESC,MATCH(B100,OCC_TABLE_CODE,0)),"Unrecognized code"))</f>
        <v>Industrial Flex Mall Building</v>
      </c>
    </row>
    <row r="101" spans="1:17" ht="25.5">
      <c r="A101" s="280" t="s">
        <v>10411</v>
      </c>
      <c r="B101" s="149">
        <v>210</v>
      </c>
      <c r="C101" s="150" t="s">
        <v>10412</v>
      </c>
      <c r="D101" s="281" t="s">
        <v>10413</v>
      </c>
      <c r="E101" s="280" t="s">
        <v>1304</v>
      </c>
      <c r="F101" s="280" t="s">
        <v>9942</v>
      </c>
      <c r="G101" s="280" t="s">
        <v>1911</v>
      </c>
      <c r="H101" s="281" t="s">
        <v>10414</v>
      </c>
      <c r="I101" s="280"/>
      <c r="J101" s="280">
        <v>70000</v>
      </c>
      <c r="K101" s="280"/>
      <c r="L101" s="280" t="s">
        <v>10412</v>
      </c>
      <c r="M101" s="280"/>
      <c r="N101" s="281" t="s">
        <v>10404</v>
      </c>
      <c r="O101" s="280" t="s">
        <v>10351</v>
      </c>
      <c r="P101" s="281" t="s">
        <v>10415</v>
      </c>
      <c r="Q101" s="230" t="str">
        <f t="shared" si="3"/>
        <v>Industrial Flex Mall Building</v>
      </c>
    </row>
    <row r="102" spans="1:17" ht="25.5">
      <c r="A102" s="152" t="s">
        <v>10416</v>
      </c>
      <c r="B102" s="149">
        <v>210</v>
      </c>
      <c r="C102" s="150" t="s">
        <v>10417</v>
      </c>
      <c r="D102" s="265" t="s">
        <v>10418</v>
      </c>
      <c r="E102" s="152" t="s">
        <v>3966</v>
      </c>
      <c r="F102" s="152" t="s">
        <v>9942</v>
      </c>
      <c r="G102" s="152" t="s">
        <v>1911</v>
      </c>
      <c r="H102" s="265" t="s">
        <v>10419</v>
      </c>
      <c r="I102" s="152"/>
      <c r="J102" s="152">
        <v>33574</v>
      </c>
      <c r="K102" s="152"/>
      <c r="L102" s="152" t="s">
        <v>10417</v>
      </c>
      <c r="M102" s="152"/>
      <c r="N102" s="265" t="s">
        <v>10404</v>
      </c>
      <c r="O102" s="152" t="s">
        <v>10351</v>
      </c>
      <c r="P102" s="265" t="s">
        <v>10420</v>
      </c>
      <c r="Q102" s="230" t="str">
        <f t="shared" si="3"/>
        <v>Industrial Flex Mall Building</v>
      </c>
    </row>
    <row r="103" spans="1:17" ht="25.5">
      <c r="A103" s="280" t="s">
        <v>10421</v>
      </c>
      <c r="B103" s="149">
        <v>1332</v>
      </c>
      <c r="C103" s="150" t="s">
        <v>10422</v>
      </c>
      <c r="D103" s="281" t="s">
        <v>10423</v>
      </c>
      <c r="E103" s="280" t="s">
        <v>3590</v>
      </c>
      <c r="F103" s="280" t="s">
        <v>9942</v>
      </c>
      <c r="G103" s="280" t="s">
        <v>10424</v>
      </c>
      <c r="H103" s="281" t="s">
        <v>10425</v>
      </c>
      <c r="I103" s="280">
        <v>1998</v>
      </c>
      <c r="J103" s="280"/>
      <c r="K103" s="280"/>
      <c r="L103" s="280" t="s">
        <v>10422</v>
      </c>
      <c r="M103" s="280"/>
      <c r="N103" s="281" t="s">
        <v>10426</v>
      </c>
      <c r="O103" s="280" t="s">
        <v>10351</v>
      </c>
      <c r="P103" s="281" t="s">
        <v>10427</v>
      </c>
      <c r="Q103" s="230" t="str">
        <f t="shared" si="3"/>
        <v>Hotels - Limited Service</v>
      </c>
    </row>
    <row r="104" spans="1:17" ht="25.5">
      <c r="A104" s="152" t="s">
        <v>10428</v>
      </c>
      <c r="B104" s="149">
        <v>332</v>
      </c>
      <c r="C104" s="150" t="s">
        <v>10429</v>
      </c>
      <c r="D104" s="265" t="s">
        <v>10430</v>
      </c>
      <c r="E104" s="152" t="s">
        <v>3966</v>
      </c>
      <c r="F104" s="152" t="s">
        <v>9942</v>
      </c>
      <c r="G104" s="152" t="s">
        <v>10424</v>
      </c>
      <c r="H104" s="265" t="s">
        <v>10431</v>
      </c>
      <c r="I104" s="152">
        <v>2023</v>
      </c>
      <c r="J104" s="152"/>
      <c r="K104" s="152"/>
      <c r="L104" s="152" t="s">
        <v>10429</v>
      </c>
      <c r="M104" s="152"/>
      <c r="N104" s="265" t="s">
        <v>10426</v>
      </c>
      <c r="O104" s="152" t="s">
        <v>10351</v>
      </c>
      <c r="P104" s="265" t="s">
        <v>10432</v>
      </c>
      <c r="Q104" s="230" t="str">
        <f t="shared" si="3"/>
        <v>Hotel - Full Service</v>
      </c>
    </row>
    <row r="105" spans="1:17" ht="25.5">
      <c r="A105" s="280" t="s">
        <v>10433</v>
      </c>
      <c r="B105" s="149">
        <v>332</v>
      </c>
      <c r="C105" s="150" t="s">
        <v>10434</v>
      </c>
      <c r="D105" s="281" t="s">
        <v>10435</v>
      </c>
      <c r="E105" s="280" t="s">
        <v>3590</v>
      </c>
      <c r="F105" s="280" t="s">
        <v>9942</v>
      </c>
      <c r="G105" s="280" t="s">
        <v>10424</v>
      </c>
      <c r="H105" s="281" t="s">
        <v>10431</v>
      </c>
      <c r="I105" s="280">
        <v>1984</v>
      </c>
      <c r="J105" s="280">
        <v>114796</v>
      </c>
      <c r="K105" s="280"/>
      <c r="L105" s="280" t="s">
        <v>10434</v>
      </c>
      <c r="M105" s="280"/>
      <c r="N105" s="281" t="s">
        <v>10426</v>
      </c>
      <c r="O105" s="280" t="s">
        <v>10351</v>
      </c>
      <c r="P105" s="281" t="s">
        <v>10436</v>
      </c>
      <c r="Q105" s="230" t="str">
        <f t="shared" si="3"/>
        <v>Hotel - Full Service</v>
      </c>
    </row>
    <row r="106" spans="1:17" ht="12.75">
      <c r="A106" s="152" t="s">
        <v>10437</v>
      </c>
      <c r="B106" s="149">
        <v>407</v>
      </c>
      <c r="C106" s="150" t="s">
        <v>9997</v>
      </c>
      <c r="D106" s="265" t="s">
        <v>10438</v>
      </c>
      <c r="E106" s="152" t="s">
        <v>3642</v>
      </c>
      <c r="F106" s="152" t="s">
        <v>9942</v>
      </c>
      <c r="G106" s="152" t="s">
        <v>1911</v>
      </c>
      <c r="H106" s="265" t="s">
        <v>10360</v>
      </c>
      <c r="I106" s="152"/>
      <c r="J106" s="152">
        <v>30000</v>
      </c>
      <c r="K106" s="152"/>
      <c r="L106" s="152" t="s">
        <v>9997</v>
      </c>
      <c r="M106" s="152"/>
      <c r="N106" s="265" t="s">
        <v>10404</v>
      </c>
      <c r="O106" s="152" t="s">
        <v>10351</v>
      </c>
      <c r="P106" s="265" t="s">
        <v>10439</v>
      </c>
      <c r="Q106" s="230" t="str">
        <f t="shared" si="3"/>
        <v>Distribution Warehouse</v>
      </c>
    </row>
    <row r="107" spans="1:17" ht="21">
      <c r="A107" t="s">
        <v>10440</v>
      </c>
      <c r="B107" s="149">
        <v>210</v>
      </c>
      <c r="C107" t="s">
        <v>10441</v>
      </c>
      <c r="D107" s="243" t="s">
        <v>10442</v>
      </c>
      <c r="E107" t="s">
        <v>3966</v>
      </c>
      <c r="F107" t="s">
        <v>9942</v>
      </c>
      <c r="G107" t="s">
        <v>1911</v>
      </c>
      <c r="H107" s="243" t="s">
        <v>10443</v>
      </c>
      <c r="J107">
        <v>187720</v>
      </c>
      <c r="L107" t="s">
        <v>10441</v>
      </c>
      <c r="M107" t="s">
        <v>10444</v>
      </c>
      <c r="N107" s="243" t="s">
        <v>10445</v>
      </c>
      <c r="O107" t="s">
        <v>10351</v>
      </c>
      <c r="P107" s="243" t="s">
        <v>10446</v>
      </c>
      <c r="Q107" s="230"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A6EF1-A7A3-4CAB-B248-F33F40C65C11}">
  <sheetPr>
    <tabColor rgb="FFD97706"/>
  </sheetPr>
  <dimension ref="A1:AR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15" t="s">
        <v>10447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row>
    <row r="2" spans="1:44" ht="15.95" customHeight="1">
      <c r="A2" s="513" t="s">
        <v>10448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row>
    <row r="3" spans="1:44" ht="42" customHeight="1">
      <c r="A3" s="278" t="s">
        <v>9927</v>
      </c>
      <c r="B3" s="229" t="s">
        <v>9928</v>
      </c>
      <c r="C3" s="231" t="s">
        <v>9929</v>
      </c>
      <c r="D3" s="279" t="s">
        <v>24</v>
      </c>
      <c r="E3" s="278" t="s">
        <v>7</v>
      </c>
      <c r="F3" s="278" t="s">
        <v>9930</v>
      </c>
      <c r="G3" s="278" t="s">
        <v>10449</v>
      </c>
      <c r="H3" s="279" t="s">
        <v>9931</v>
      </c>
      <c r="I3" s="278" t="s">
        <v>9932</v>
      </c>
      <c r="J3" s="278" t="s">
        <v>25</v>
      </c>
      <c r="K3" s="278" t="s">
        <v>26</v>
      </c>
      <c r="L3" s="278" t="s">
        <v>10450</v>
      </c>
      <c r="M3" s="278" t="s">
        <v>10451</v>
      </c>
      <c r="N3" s="278" t="s">
        <v>5855</v>
      </c>
      <c r="O3" s="278" t="s">
        <v>10452</v>
      </c>
      <c r="P3" s="278" t="s">
        <v>10453</v>
      </c>
      <c r="Q3" s="278" t="s">
        <v>10454</v>
      </c>
      <c r="R3" s="278" t="s">
        <v>10455</v>
      </c>
      <c r="S3" s="278" t="s">
        <v>10456</v>
      </c>
      <c r="T3" s="278" t="s">
        <v>10457</v>
      </c>
      <c r="U3" s="278" t="s">
        <v>10458</v>
      </c>
      <c r="V3" s="278" t="s">
        <v>10459</v>
      </c>
      <c r="W3" s="278" t="s">
        <v>10460</v>
      </c>
      <c r="X3" s="278" t="s">
        <v>10461</v>
      </c>
      <c r="Y3" s="278" t="s">
        <v>10462</v>
      </c>
      <c r="Z3" s="278" t="s">
        <v>10463</v>
      </c>
      <c r="AA3" s="278" t="s">
        <v>10464</v>
      </c>
      <c r="AB3" s="278" t="s">
        <v>10465</v>
      </c>
      <c r="AC3" s="278" t="s">
        <v>10466</v>
      </c>
      <c r="AD3" s="278" t="s">
        <v>10467</v>
      </c>
      <c r="AE3" s="278" t="s">
        <v>10468</v>
      </c>
      <c r="AF3" s="278" t="s">
        <v>10469</v>
      </c>
      <c r="AG3" s="278" t="s">
        <v>10470</v>
      </c>
      <c r="AH3" s="278" t="s">
        <v>10471</v>
      </c>
      <c r="AI3" s="278" t="s">
        <v>10472</v>
      </c>
      <c r="AJ3" s="278" t="s">
        <v>10473</v>
      </c>
      <c r="AK3" s="278" t="s">
        <v>5856</v>
      </c>
      <c r="AL3" s="278" t="s">
        <v>10474</v>
      </c>
      <c r="AM3" s="279" t="s">
        <v>1654</v>
      </c>
      <c r="AN3" s="222" t="s">
        <v>1781</v>
      </c>
      <c r="AO3" t="s">
        <v>1782</v>
      </c>
      <c r="AR3" s="190" t="s">
        <v>9938</v>
      </c>
    </row>
    <row r="4" spans="1:44" ht="18" customHeight="1">
      <c r="A4" s="153" t="s">
        <v>9939</v>
      </c>
      <c r="B4" s="149">
        <v>407</v>
      </c>
      <c r="C4" s="154" t="s">
        <v>9940</v>
      </c>
      <c r="D4" s="148" t="s">
        <v>9941</v>
      </c>
      <c r="E4" s="153" t="s">
        <v>3642</v>
      </c>
      <c r="F4" s="153" t="s">
        <v>9942</v>
      </c>
      <c r="G4" s="153" t="s">
        <v>8499</v>
      </c>
      <c r="H4" s="148" t="s">
        <v>1136</v>
      </c>
      <c r="I4" s="155">
        <v>1988</v>
      </c>
      <c r="J4" s="155">
        <v>21000</v>
      </c>
      <c r="K4" s="155">
        <v>2021</v>
      </c>
      <c r="L4" s="156">
        <v>282764.52</v>
      </c>
      <c r="M4" s="156">
        <v>6372</v>
      </c>
      <c r="N4" s="232">
        <v>289136.52</v>
      </c>
      <c r="O4" s="156">
        <v>4893</v>
      </c>
      <c r="P4" s="156">
        <v>0</v>
      </c>
      <c r="Q4" s="156">
        <v>1144</v>
      </c>
      <c r="R4" s="156">
        <v>0</v>
      </c>
      <c r="S4" s="156">
        <v>198.75</v>
      </c>
      <c r="T4" s="156">
        <v>0</v>
      </c>
      <c r="U4" s="156">
        <v>280</v>
      </c>
      <c r="V4" s="156">
        <v>846</v>
      </c>
      <c r="W4" s="156">
        <v>2923</v>
      </c>
      <c r="X4" s="232">
        <v>0</v>
      </c>
      <c r="Y4" s="156">
        <v>5391.75</v>
      </c>
      <c r="Z4" s="156">
        <v>6710.19</v>
      </c>
      <c r="AA4" s="156">
        <v>3875</v>
      </c>
      <c r="AB4" s="156">
        <v>870</v>
      </c>
      <c r="AC4" s="232">
        <v>11455.19</v>
      </c>
      <c r="AD4" s="156">
        <v>3344.39</v>
      </c>
      <c r="AE4" s="156">
        <v>648.33000000000004</v>
      </c>
      <c r="AF4" s="232">
        <v>3992.72</v>
      </c>
      <c r="AG4" s="156">
        <v>762.49</v>
      </c>
      <c r="AH4" s="233">
        <v>26515.149999999991</v>
      </c>
      <c r="AI4" s="233">
        <v>48263.72</v>
      </c>
      <c r="AJ4" s="234">
        <v>74778.87</v>
      </c>
      <c r="AK4" s="232">
        <v>214357.65</v>
      </c>
      <c r="AL4" s="156">
        <v>2642.04</v>
      </c>
      <c r="AM4" s="148" t="s">
        <v>10475</v>
      </c>
      <c r="AN4" t="e">
        <f t="shared" ref="AN4:AN35" si="0">IF(AND($B4=Subj_OccCode,Subj_BldgSF&gt;0,ABS($J4-Subj_BldgSF)&lt;=Subj_BldgSF*Subj_SizeTol),ABS($J4-Subj_BldgSF),NA())</f>
        <v>#N/A</v>
      </c>
      <c r="AO4" t="e">
        <f t="shared" ref="AO4:AO35" si="1">IF(ISNA(AN4),NA(),AN4+ROW()/10000000)</f>
        <v>#N/A</v>
      </c>
      <c r="AR4" s="230" t="str">
        <f t="shared" ref="AR4:AR35" si="2">IF(B4="","",IFERROR(INDEX(OCC_TABLE_DESC,MATCH(B4,OCC_TABLE_CODE,0)),"Unrecognized code"))</f>
        <v>Distribution Warehouse</v>
      </c>
    </row>
    <row r="5" spans="1:44" ht="18" customHeight="1">
      <c r="A5" s="153" t="s">
        <v>9939</v>
      </c>
      <c r="B5" s="149">
        <v>407</v>
      </c>
      <c r="C5" s="154" t="s">
        <v>9940</v>
      </c>
      <c r="D5" s="148" t="s">
        <v>9941</v>
      </c>
      <c r="E5" s="153" t="s">
        <v>3642</v>
      </c>
      <c r="F5" s="153" t="s">
        <v>9942</v>
      </c>
      <c r="G5" s="153" t="s">
        <v>8499</v>
      </c>
      <c r="H5" s="148" t="s">
        <v>1136</v>
      </c>
      <c r="I5" s="155">
        <v>1988</v>
      </c>
      <c r="J5" s="155">
        <v>21000</v>
      </c>
      <c r="K5" s="155">
        <v>2022</v>
      </c>
      <c r="L5" s="156">
        <v>255992.67</v>
      </c>
      <c r="M5" s="156">
        <v>3000</v>
      </c>
      <c r="N5" s="232">
        <v>258992.67</v>
      </c>
      <c r="O5" s="156">
        <v>5276</v>
      </c>
      <c r="P5" s="156">
        <v>0</v>
      </c>
      <c r="Q5" s="156">
        <v>4115</v>
      </c>
      <c r="R5" s="156">
        <v>611</v>
      </c>
      <c r="S5" s="156">
        <v>2333.33</v>
      </c>
      <c r="T5" s="156">
        <v>0</v>
      </c>
      <c r="U5" s="156">
        <v>0</v>
      </c>
      <c r="V5" s="156">
        <v>0</v>
      </c>
      <c r="W5" s="156">
        <v>780</v>
      </c>
      <c r="X5" s="232">
        <v>0</v>
      </c>
      <c r="Y5" s="156">
        <v>7839.33</v>
      </c>
      <c r="Z5" s="156">
        <v>8303.9699999999993</v>
      </c>
      <c r="AA5" s="156">
        <v>4280</v>
      </c>
      <c r="AB5" s="156">
        <v>0</v>
      </c>
      <c r="AC5" s="232">
        <v>12583.97</v>
      </c>
      <c r="AD5" s="156">
        <v>3043.11</v>
      </c>
      <c r="AE5" s="156">
        <v>887.54</v>
      </c>
      <c r="AF5" s="232">
        <v>3930.65</v>
      </c>
      <c r="AG5" s="156">
        <v>658.98</v>
      </c>
      <c r="AH5" s="233">
        <v>30288.930000000011</v>
      </c>
      <c r="AI5" s="233">
        <v>66104.78</v>
      </c>
      <c r="AJ5" s="234">
        <v>96393.71</v>
      </c>
      <c r="AK5" s="232">
        <v>162598.96</v>
      </c>
      <c r="AL5" s="156">
        <v>5791.72</v>
      </c>
      <c r="AM5" s="148" t="s">
        <v>10476</v>
      </c>
      <c r="AN5" t="e">
        <f t="shared" si="0"/>
        <v>#N/A</v>
      </c>
      <c r="AO5" t="e">
        <f t="shared" si="1"/>
        <v>#N/A</v>
      </c>
      <c r="AR5" s="230" t="str">
        <f t="shared" si="2"/>
        <v>Distribution Warehouse</v>
      </c>
    </row>
    <row r="6" spans="1:44" ht="18" customHeight="1">
      <c r="A6" s="153" t="s">
        <v>9939</v>
      </c>
      <c r="B6" s="149">
        <v>407</v>
      </c>
      <c r="C6" s="154" t="s">
        <v>9940</v>
      </c>
      <c r="D6" s="148" t="s">
        <v>9941</v>
      </c>
      <c r="E6" s="153" t="s">
        <v>3642</v>
      </c>
      <c r="F6" s="153" t="s">
        <v>9942</v>
      </c>
      <c r="G6" s="153" t="s">
        <v>8499</v>
      </c>
      <c r="H6" s="148" t="s">
        <v>1136</v>
      </c>
      <c r="I6" s="155">
        <v>1988</v>
      </c>
      <c r="J6" s="155">
        <v>21000</v>
      </c>
      <c r="K6" s="155">
        <v>2023</v>
      </c>
      <c r="L6" s="156">
        <v>256200</v>
      </c>
      <c r="M6" s="156">
        <v>0</v>
      </c>
      <c r="N6" s="232">
        <v>256200</v>
      </c>
      <c r="O6" s="156">
        <v>5867.85</v>
      </c>
      <c r="P6" s="156">
        <v>800</v>
      </c>
      <c r="Q6" s="156">
        <v>1094.49</v>
      </c>
      <c r="R6" s="156">
        <v>990</v>
      </c>
      <c r="S6" s="156">
        <v>0</v>
      </c>
      <c r="T6" s="156">
        <v>3870.75</v>
      </c>
      <c r="U6" s="156">
        <v>480</v>
      </c>
      <c r="V6" s="156">
        <v>618</v>
      </c>
      <c r="W6" s="156">
        <v>0</v>
      </c>
      <c r="X6" s="232">
        <v>480</v>
      </c>
      <c r="Y6" s="156">
        <v>7533.24</v>
      </c>
      <c r="Z6" s="156">
        <v>9561.9</v>
      </c>
      <c r="AA6" s="156">
        <v>2200</v>
      </c>
      <c r="AB6" s="156">
        <v>2800</v>
      </c>
      <c r="AC6" s="232">
        <v>14561.9</v>
      </c>
      <c r="AD6" s="156">
        <v>7111.97</v>
      </c>
      <c r="AE6" s="156">
        <v>760.15</v>
      </c>
      <c r="AF6" s="232">
        <v>7872.12</v>
      </c>
      <c r="AG6" s="156">
        <v>597.59</v>
      </c>
      <c r="AH6" s="233">
        <v>31952.69999999999</v>
      </c>
      <c r="AI6" s="233">
        <v>59985.48</v>
      </c>
      <c r="AJ6" s="234">
        <v>91938.18</v>
      </c>
      <c r="AK6" s="232">
        <v>164261.82</v>
      </c>
      <c r="AL6" s="156">
        <v>0</v>
      </c>
      <c r="AM6" s="153"/>
      <c r="AN6" t="e">
        <f t="shared" si="0"/>
        <v>#N/A</v>
      </c>
      <c r="AO6" t="e">
        <f t="shared" si="1"/>
        <v>#N/A</v>
      </c>
      <c r="AR6" s="230" t="str">
        <f t="shared" si="2"/>
        <v>Distribution Warehouse</v>
      </c>
    </row>
    <row r="7" spans="1:44" ht="18" customHeight="1">
      <c r="A7" s="153" t="s">
        <v>9939</v>
      </c>
      <c r="B7" s="149">
        <v>407</v>
      </c>
      <c r="C7" s="154" t="s">
        <v>9940</v>
      </c>
      <c r="D7" s="148" t="s">
        <v>9941</v>
      </c>
      <c r="E7" s="153" t="s">
        <v>3642</v>
      </c>
      <c r="F7" s="153" t="s">
        <v>9942</v>
      </c>
      <c r="G7" s="153" t="s">
        <v>8499</v>
      </c>
      <c r="H7" s="148" t="s">
        <v>1136</v>
      </c>
      <c r="I7" s="155">
        <v>1988</v>
      </c>
      <c r="J7" s="155">
        <v>21000</v>
      </c>
      <c r="K7" s="155">
        <v>2024</v>
      </c>
      <c r="L7" s="156">
        <v>229531</v>
      </c>
      <c r="M7" s="156">
        <v>0</v>
      </c>
      <c r="N7" s="232">
        <v>229531</v>
      </c>
      <c r="O7" s="156">
        <v>1834.57</v>
      </c>
      <c r="P7" s="156">
        <v>1570</v>
      </c>
      <c r="Q7" s="156">
        <v>0</v>
      </c>
      <c r="R7" s="156">
        <v>0</v>
      </c>
      <c r="S7" s="156">
        <v>8000</v>
      </c>
      <c r="T7" s="156">
        <v>8299.7999999999993</v>
      </c>
      <c r="U7" s="156">
        <v>0</v>
      </c>
      <c r="V7" s="156">
        <v>175</v>
      </c>
      <c r="W7" s="156">
        <v>0</v>
      </c>
      <c r="X7" s="232">
        <v>819.88</v>
      </c>
      <c r="Y7" s="156">
        <v>17294.68</v>
      </c>
      <c r="Z7" s="156">
        <v>8500.75</v>
      </c>
      <c r="AA7" s="156">
        <v>3350</v>
      </c>
      <c r="AB7" s="156">
        <v>1050</v>
      </c>
      <c r="AC7" s="232">
        <v>12900.75</v>
      </c>
      <c r="AD7" s="156">
        <v>3438.85</v>
      </c>
      <c r="AE7" s="156">
        <v>712.77</v>
      </c>
      <c r="AF7" s="232">
        <v>4151.62</v>
      </c>
      <c r="AG7" s="156">
        <v>600.11</v>
      </c>
      <c r="AH7" s="233">
        <v>38151.699999999997</v>
      </c>
      <c r="AI7" s="233">
        <v>69401.600000000006</v>
      </c>
      <c r="AJ7" s="234">
        <v>107553.3</v>
      </c>
      <c r="AK7" s="232">
        <v>121977.7</v>
      </c>
      <c r="AL7" s="156">
        <v>0</v>
      </c>
      <c r="AM7" s="153"/>
      <c r="AN7" t="e">
        <f t="shared" si="0"/>
        <v>#N/A</v>
      </c>
      <c r="AO7" t="e">
        <f t="shared" si="1"/>
        <v>#N/A</v>
      </c>
      <c r="AR7" s="230" t="str">
        <f t="shared" si="2"/>
        <v>Distribution Warehouse</v>
      </c>
    </row>
    <row r="8" spans="1:44" ht="18" customHeight="1">
      <c r="A8" s="153" t="s">
        <v>9948</v>
      </c>
      <c r="B8" s="149">
        <v>344</v>
      </c>
      <c r="C8" s="154" t="s">
        <v>9949</v>
      </c>
      <c r="D8" s="148" t="s">
        <v>9950</v>
      </c>
      <c r="E8" s="153" t="s">
        <v>8758</v>
      </c>
      <c r="F8" s="153" t="s">
        <v>9942</v>
      </c>
      <c r="G8" s="153" t="s">
        <v>9951</v>
      </c>
      <c r="H8" s="148" t="s">
        <v>9952</v>
      </c>
      <c r="I8" s="155"/>
      <c r="J8" s="155"/>
      <c r="K8" s="155">
        <v>2023</v>
      </c>
      <c r="L8" s="153"/>
      <c r="M8" s="153"/>
      <c r="N8" s="157">
        <v>258808</v>
      </c>
      <c r="O8" s="156">
        <v>3292</v>
      </c>
      <c r="P8" s="156">
        <v>18539</v>
      </c>
      <c r="Q8" s="153"/>
      <c r="R8" s="153"/>
      <c r="S8" s="153"/>
      <c r="T8" s="153"/>
      <c r="U8" s="153"/>
      <c r="V8" s="153"/>
      <c r="W8" s="153"/>
      <c r="X8" s="156">
        <v>24750</v>
      </c>
      <c r="Y8" s="232">
        <v>24750</v>
      </c>
      <c r="Z8" s="153"/>
      <c r="AA8" s="156">
        <v>13331</v>
      </c>
      <c r="AB8" s="153"/>
      <c r="AC8" s="232">
        <v>13331</v>
      </c>
      <c r="AD8" s="153"/>
      <c r="AE8" s="153"/>
      <c r="AF8" s="232">
        <v>3990</v>
      </c>
      <c r="AG8" s="156">
        <v>11264</v>
      </c>
      <c r="AH8" s="233">
        <v>75327</v>
      </c>
      <c r="AI8" s="233">
        <v>51707</v>
      </c>
      <c r="AJ8" s="233">
        <v>127034</v>
      </c>
      <c r="AK8" s="233">
        <v>131774</v>
      </c>
      <c r="AL8" s="153"/>
      <c r="AM8" s="148" t="s">
        <v>10477</v>
      </c>
      <c r="AN8" t="e">
        <f t="shared" si="0"/>
        <v>#N/A</v>
      </c>
      <c r="AO8" t="e">
        <f t="shared" si="1"/>
        <v>#N/A</v>
      </c>
      <c r="AR8" s="230" t="str">
        <f t="shared" si="2"/>
        <v>Office Building</v>
      </c>
    </row>
    <row r="9" spans="1:44" ht="18" customHeight="1">
      <c r="A9" s="153" t="s">
        <v>9948</v>
      </c>
      <c r="B9" s="149">
        <v>344</v>
      </c>
      <c r="C9" s="154" t="s">
        <v>9949</v>
      </c>
      <c r="D9" s="148" t="s">
        <v>9950</v>
      </c>
      <c r="E9" s="153" t="s">
        <v>8758</v>
      </c>
      <c r="F9" s="153" t="s">
        <v>9942</v>
      </c>
      <c r="G9" s="153" t="s">
        <v>9951</v>
      </c>
      <c r="H9" s="148" t="s">
        <v>9952</v>
      </c>
      <c r="I9" s="155"/>
      <c r="J9" s="155"/>
      <c r="K9" s="155">
        <v>2024</v>
      </c>
      <c r="L9" s="153"/>
      <c r="M9" s="153"/>
      <c r="N9" s="157">
        <v>264959</v>
      </c>
      <c r="O9" s="156">
        <v>7442</v>
      </c>
      <c r="P9" s="156">
        <v>18228</v>
      </c>
      <c r="Q9" s="153"/>
      <c r="R9" s="153"/>
      <c r="S9" s="153"/>
      <c r="T9" s="153"/>
      <c r="U9" s="153"/>
      <c r="V9" s="153"/>
      <c r="W9" s="153"/>
      <c r="X9" s="156">
        <v>37394</v>
      </c>
      <c r="Y9" s="232">
        <v>37394</v>
      </c>
      <c r="Z9" s="153"/>
      <c r="AA9" s="156">
        <v>11888</v>
      </c>
      <c r="AB9" s="153"/>
      <c r="AC9" s="232">
        <v>11888</v>
      </c>
      <c r="AD9" s="153"/>
      <c r="AE9" s="153"/>
      <c r="AF9" s="232">
        <v>5290</v>
      </c>
      <c r="AG9" s="156">
        <v>13341</v>
      </c>
      <c r="AH9" s="233">
        <v>93583</v>
      </c>
      <c r="AI9" s="233">
        <v>44649</v>
      </c>
      <c r="AJ9" s="233">
        <v>138232</v>
      </c>
      <c r="AK9" s="233">
        <v>126727</v>
      </c>
      <c r="AL9" s="153"/>
      <c r="AM9" s="148" t="s">
        <v>10478</v>
      </c>
      <c r="AN9" t="e">
        <f t="shared" si="0"/>
        <v>#N/A</v>
      </c>
      <c r="AO9" t="e">
        <f t="shared" si="1"/>
        <v>#N/A</v>
      </c>
      <c r="AR9" s="230" t="str">
        <f t="shared" si="2"/>
        <v>Office Building</v>
      </c>
    </row>
    <row r="10" spans="1:44" ht="18" customHeight="1">
      <c r="A10" s="153" t="s">
        <v>9956</v>
      </c>
      <c r="B10" s="149">
        <v>344</v>
      </c>
      <c r="C10" s="154" t="s">
        <v>9957</v>
      </c>
      <c r="D10" s="148" t="s">
        <v>10479</v>
      </c>
      <c r="E10" s="153" t="s">
        <v>3629</v>
      </c>
      <c r="F10" s="153" t="s">
        <v>9942</v>
      </c>
      <c r="G10" s="153" t="s">
        <v>9959</v>
      </c>
      <c r="H10" s="148" t="s">
        <v>9960</v>
      </c>
      <c r="I10" s="155"/>
      <c r="J10" s="155">
        <v>49479</v>
      </c>
      <c r="K10" s="155">
        <v>2023</v>
      </c>
      <c r="L10" s="156">
        <v>1017928</v>
      </c>
      <c r="M10" s="156">
        <v>93575</v>
      </c>
      <c r="N10" s="157">
        <v>1111503</v>
      </c>
      <c r="O10" s="153"/>
      <c r="P10" s="153"/>
      <c r="Q10" s="153"/>
      <c r="R10" s="153"/>
      <c r="S10" s="153"/>
      <c r="T10" s="153"/>
      <c r="U10" s="153"/>
      <c r="V10" s="153"/>
      <c r="W10" s="153"/>
      <c r="X10" s="153"/>
      <c r="Y10" s="235"/>
      <c r="Z10" s="153"/>
      <c r="AA10" s="153"/>
      <c r="AB10" s="153"/>
      <c r="AC10" s="235"/>
      <c r="AD10" s="153"/>
      <c r="AE10" s="153"/>
      <c r="AF10" s="235"/>
      <c r="AG10" s="153"/>
      <c r="AH10" s="233">
        <v>453480</v>
      </c>
      <c r="AI10" s="233">
        <v>184874</v>
      </c>
      <c r="AJ10" s="233">
        <v>638354</v>
      </c>
      <c r="AK10" s="233">
        <v>473149</v>
      </c>
      <c r="AL10" s="153"/>
      <c r="AM10" s="148" t="s">
        <v>10480</v>
      </c>
      <c r="AN10" t="e">
        <f t="shared" si="0"/>
        <v>#N/A</v>
      </c>
      <c r="AO10" t="e">
        <f t="shared" si="1"/>
        <v>#N/A</v>
      </c>
      <c r="AR10" s="230" t="str">
        <f t="shared" si="2"/>
        <v>Office Building</v>
      </c>
    </row>
    <row r="11" spans="1:44" ht="18" customHeight="1">
      <c r="A11" s="153" t="s">
        <v>9956</v>
      </c>
      <c r="B11" s="149">
        <v>344</v>
      </c>
      <c r="C11" s="154" t="s">
        <v>9957</v>
      </c>
      <c r="D11" s="148" t="s">
        <v>10479</v>
      </c>
      <c r="E11" s="153" t="s">
        <v>3629</v>
      </c>
      <c r="F11" s="153" t="s">
        <v>9942</v>
      </c>
      <c r="G11" s="153" t="s">
        <v>9959</v>
      </c>
      <c r="H11" s="148" t="s">
        <v>9960</v>
      </c>
      <c r="I11" s="155"/>
      <c r="J11" s="155">
        <v>49479</v>
      </c>
      <c r="K11" s="155">
        <v>2024</v>
      </c>
      <c r="L11" s="156">
        <v>944040</v>
      </c>
      <c r="M11" s="156">
        <v>77962</v>
      </c>
      <c r="N11" s="157">
        <v>1022002</v>
      </c>
      <c r="O11" s="153"/>
      <c r="P11" s="153"/>
      <c r="Q11" s="153"/>
      <c r="R11" s="153"/>
      <c r="S11" s="153"/>
      <c r="T11" s="153"/>
      <c r="U11" s="153"/>
      <c r="V11" s="153"/>
      <c r="W11" s="153"/>
      <c r="X11" s="153"/>
      <c r="Y11" s="235"/>
      <c r="Z11" s="153"/>
      <c r="AA11" s="153"/>
      <c r="AB11" s="153"/>
      <c r="AC11" s="235"/>
      <c r="AD11" s="153"/>
      <c r="AE11" s="153"/>
      <c r="AF11" s="235"/>
      <c r="AG11" s="153"/>
      <c r="AH11" s="233">
        <v>488239</v>
      </c>
      <c r="AI11" s="233">
        <v>179568</v>
      </c>
      <c r="AJ11" s="233">
        <v>667807</v>
      </c>
      <c r="AK11" s="233">
        <v>354195</v>
      </c>
      <c r="AL11" s="153"/>
      <c r="AM11" s="148" t="s">
        <v>10481</v>
      </c>
      <c r="AN11" t="e">
        <f t="shared" si="0"/>
        <v>#N/A</v>
      </c>
      <c r="AO11" t="e">
        <f t="shared" si="1"/>
        <v>#N/A</v>
      </c>
      <c r="AR11" s="230" t="str">
        <f t="shared" si="2"/>
        <v>Office Building</v>
      </c>
    </row>
    <row r="12" spans="1:44" ht="18" customHeight="1">
      <c r="A12" s="153" t="s">
        <v>9964</v>
      </c>
      <c r="B12" s="149">
        <v>412</v>
      </c>
      <c r="C12" s="154" t="s">
        <v>9965</v>
      </c>
      <c r="D12" s="148" t="s">
        <v>9966</v>
      </c>
      <c r="E12" s="153" t="s">
        <v>8758</v>
      </c>
      <c r="F12" s="153" t="s">
        <v>9942</v>
      </c>
      <c r="G12" s="153" t="s">
        <v>9967</v>
      </c>
      <c r="H12" s="148" t="s">
        <v>9968</v>
      </c>
      <c r="I12" s="155"/>
      <c r="J12" s="155">
        <v>65850</v>
      </c>
      <c r="K12" s="155">
        <v>2023</v>
      </c>
      <c r="L12" s="153"/>
      <c r="M12" s="153"/>
      <c r="N12" s="157">
        <v>570777</v>
      </c>
      <c r="O12" s="153"/>
      <c r="P12" s="153"/>
      <c r="Q12" s="153"/>
      <c r="R12" s="153"/>
      <c r="S12" s="153"/>
      <c r="T12" s="153"/>
      <c r="U12" s="153"/>
      <c r="V12" s="153"/>
      <c r="W12" s="153"/>
      <c r="X12" s="153"/>
      <c r="Y12" s="235"/>
      <c r="Z12" s="153"/>
      <c r="AA12" s="153"/>
      <c r="AB12" s="153"/>
      <c r="AC12" s="235"/>
      <c r="AD12" s="153"/>
      <c r="AE12" s="153"/>
      <c r="AF12" s="235"/>
      <c r="AG12" s="153"/>
      <c r="AH12" s="236"/>
      <c r="AI12" s="233">
        <v>74000</v>
      </c>
      <c r="AJ12" s="233">
        <v>269935</v>
      </c>
      <c r="AK12" s="233">
        <v>300842</v>
      </c>
      <c r="AL12" s="153"/>
      <c r="AM12" s="148" t="s">
        <v>10482</v>
      </c>
      <c r="AN12" t="e">
        <f t="shared" si="0"/>
        <v>#N/A</v>
      </c>
      <c r="AO12" t="e">
        <f t="shared" si="1"/>
        <v>#N/A</v>
      </c>
      <c r="AR12" s="230" t="str">
        <f t="shared" si="2"/>
        <v>Neighborhood Shopping Center</v>
      </c>
    </row>
    <row r="13" spans="1:44" ht="18" customHeight="1">
      <c r="A13" s="153" t="s">
        <v>9964</v>
      </c>
      <c r="B13" s="149">
        <v>412</v>
      </c>
      <c r="C13" s="154" t="s">
        <v>9965</v>
      </c>
      <c r="D13" s="148" t="s">
        <v>9966</v>
      </c>
      <c r="E13" s="153" t="s">
        <v>8758</v>
      </c>
      <c r="F13" s="153" t="s">
        <v>9942</v>
      </c>
      <c r="G13" s="153" t="s">
        <v>9967</v>
      </c>
      <c r="H13" s="148" t="s">
        <v>9968</v>
      </c>
      <c r="I13" s="155"/>
      <c r="J13" s="155">
        <v>65850</v>
      </c>
      <c r="K13" s="155">
        <v>2024</v>
      </c>
      <c r="L13" s="153"/>
      <c r="M13" s="153"/>
      <c r="N13" s="157">
        <v>587819</v>
      </c>
      <c r="O13" s="156">
        <v>51223</v>
      </c>
      <c r="P13" s="153"/>
      <c r="Q13" s="153"/>
      <c r="R13" s="153"/>
      <c r="S13" s="153"/>
      <c r="T13" s="153"/>
      <c r="U13" s="153"/>
      <c r="V13" s="153"/>
      <c r="W13" s="153"/>
      <c r="X13" s="156">
        <v>28919</v>
      </c>
      <c r="Y13" s="232">
        <v>28919</v>
      </c>
      <c r="Z13" s="156">
        <v>17561</v>
      </c>
      <c r="AA13" s="156">
        <v>2002</v>
      </c>
      <c r="AB13" s="156">
        <v>3485</v>
      </c>
      <c r="AC13" s="232">
        <v>23048</v>
      </c>
      <c r="AD13" s="156">
        <v>12892</v>
      </c>
      <c r="AE13" s="156">
        <v>7120</v>
      </c>
      <c r="AF13" s="232">
        <v>20012</v>
      </c>
      <c r="AG13" s="156">
        <v>10978</v>
      </c>
      <c r="AH13" s="233">
        <v>159331</v>
      </c>
      <c r="AI13" s="233">
        <v>105466</v>
      </c>
      <c r="AJ13" s="233">
        <v>264797</v>
      </c>
      <c r="AK13" s="233">
        <v>323022</v>
      </c>
      <c r="AL13" s="153"/>
      <c r="AM13" s="148" t="s">
        <v>10483</v>
      </c>
      <c r="AN13" t="e">
        <f t="shared" si="0"/>
        <v>#N/A</v>
      </c>
      <c r="AO13" t="e">
        <f t="shared" si="1"/>
        <v>#N/A</v>
      </c>
      <c r="AR13" s="230" t="str">
        <f t="shared" si="2"/>
        <v>Neighborhood Shopping Center</v>
      </c>
    </row>
    <row r="14" spans="1:44" ht="18" customHeight="1">
      <c r="A14" s="153" t="s">
        <v>9972</v>
      </c>
      <c r="B14" s="149">
        <v>344</v>
      </c>
      <c r="C14" s="154" t="s">
        <v>3588</v>
      </c>
      <c r="D14" s="148" t="s">
        <v>9973</v>
      </c>
      <c r="E14" s="153" t="s">
        <v>3590</v>
      </c>
      <c r="F14" s="153" t="s">
        <v>9942</v>
      </c>
      <c r="G14" s="153" t="s">
        <v>9959</v>
      </c>
      <c r="H14" s="148" t="s">
        <v>10484</v>
      </c>
      <c r="I14" s="155"/>
      <c r="J14" s="155">
        <v>91646</v>
      </c>
      <c r="K14" s="155">
        <v>2023</v>
      </c>
      <c r="L14" s="156">
        <v>2011958</v>
      </c>
      <c r="M14" s="156">
        <v>227276</v>
      </c>
      <c r="N14" s="157">
        <v>2239234</v>
      </c>
      <c r="O14" s="156">
        <v>24425</v>
      </c>
      <c r="P14" s="156">
        <v>132014</v>
      </c>
      <c r="Q14" s="153"/>
      <c r="R14" s="153"/>
      <c r="S14" s="153"/>
      <c r="T14" s="153"/>
      <c r="U14" s="153"/>
      <c r="V14" s="153"/>
      <c r="W14" s="153"/>
      <c r="X14" s="156">
        <v>144543</v>
      </c>
      <c r="Y14" s="232">
        <v>144543</v>
      </c>
      <c r="Z14" s="153"/>
      <c r="AA14" s="156">
        <v>108773</v>
      </c>
      <c r="AB14" s="156">
        <v>65183</v>
      </c>
      <c r="AC14" s="232">
        <v>273332</v>
      </c>
      <c r="AD14" s="156">
        <v>14762</v>
      </c>
      <c r="AE14" s="156">
        <v>225588</v>
      </c>
      <c r="AF14" s="232">
        <v>240350</v>
      </c>
      <c r="AG14" s="156">
        <v>32925</v>
      </c>
      <c r="AH14" s="233">
        <v>845814</v>
      </c>
      <c r="AI14" s="233">
        <v>372013</v>
      </c>
      <c r="AJ14" s="233">
        <v>1217827</v>
      </c>
      <c r="AK14" s="233">
        <v>1021407</v>
      </c>
      <c r="AL14" s="153"/>
      <c r="AM14" s="148" t="s">
        <v>10485</v>
      </c>
      <c r="AN14" t="e">
        <f t="shared" si="0"/>
        <v>#N/A</v>
      </c>
      <c r="AO14" t="e">
        <f t="shared" si="1"/>
        <v>#N/A</v>
      </c>
      <c r="AR14" s="230" t="str">
        <f t="shared" si="2"/>
        <v>Office Building</v>
      </c>
    </row>
    <row r="15" spans="1:44" ht="18" customHeight="1">
      <c r="A15" s="153" t="s">
        <v>9972</v>
      </c>
      <c r="B15" s="149">
        <v>344</v>
      </c>
      <c r="C15" s="154" t="s">
        <v>3588</v>
      </c>
      <c r="D15" s="148" t="s">
        <v>9973</v>
      </c>
      <c r="E15" s="153" t="s">
        <v>3590</v>
      </c>
      <c r="F15" s="153" t="s">
        <v>9942</v>
      </c>
      <c r="G15" s="153" t="s">
        <v>9959</v>
      </c>
      <c r="H15" s="148" t="s">
        <v>10484</v>
      </c>
      <c r="I15" s="155"/>
      <c r="J15" s="155">
        <v>91646</v>
      </c>
      <c r="K15" s="155">
        <v>2024</v>
      </c>
      <c r="L15" s="156">
        <v>2052556</v>
      </c>
      <c r="M15" s="156">
        <v>269597</v>
      </c>
      <c r="N15" s="157">
        <v>2322153</v>
      </c>
      <c r="O15" s="156">
        <v>24269</v>
      </c>
      <c r="P15" s="156">
        <v>149428</v>
      </c>
      <c r="Q15" s="153"/>
      <c r="R15" s="153"/>
      <c r="S15" s="153"/>
      <c r="T15" s="153"/>
      <c r="U15" s="153"/>
      <c r="V15" s="153"/>
      <c r="W15" s="153"/>
      <c r="X15" s="156">
        <v>150462</v>
      </c>
      <c r="Y15" s="232">
        <v>150462</v>
      </c>
      <c r="Z15" s="153"/>
      <c r="AA15" s="156">
        <v>109178</v>
      </c>
      <c r="AB15" s="153"/>
      <c r="AC15" s="232">
        <v>262640</v>
      </c>
      <c r="AD15" s="153"/>
      <c r="AE15" s="153"/>
      <c r="AF15" s="232">
        <v>232174</v>
      </c>
      <c r="AG15" s="156">
        <v>37416</v>
      </c>
      <c r="AH15" s="233">
        <v>856390</v>
      </c>
      <c r="AI15" s="233">
        <v>413583</v>
      </c>
      <c r="AJ15" s="233">
        <v>1269973</v>
      </c>
      <c r="AK15" s="233">
        <v>1052180</v>
      </c>
      <c r="AL15" s="153"/>
      <c r="AM15" s="148" t="s">
        <v>10486</v>
      </c>
      <c r="AN15" t="e">
        <f t="shared" si="0"/>
        <v>#N/A</v>
      </c>
      <c r="AO15" t="e">
        <f t="shared" si="1"/>
        <v>#N/A</v>
      </c>
      <c r="AR15" s="230" t="str">
        <f t="shared" si="2"/>
        <v>Office Building</v>
      </c>
    </row>
    <row r="16" spans="1:44" ht="18" customHeight="1">
      <c r="A16" s="153" t="s">
        <v>9978</v>
      </c>
      <c r="B16" s="149">
        <v>210</v>
      </c>
      <c r="C16" s="154" t="s">
        <v>9979</v>
      </c>
      <c r="D16" s="148" t="s">
        <v>9980</v>
      </c>
      <c r="E16" s="153" t="s">
        <v>3629</v>
      </c>
      <c r="F16" s="153" t="s">
        <v>9942</v>
      </c>
      <c r="G16" s="153" t="s">
        <v>9981</v>
      </c>
      <c r="H16" s="148" t="s">
        <v>9952</v>
      </c>
      <c r="I16" s="155"/>
      <c r="J16" s="155">
        <v>37078</v>
      </c>
      <c r="K16" s="155">
        <v>2020</v>
      </c>
      <c r="L16" s="153"/>
      <c r="M16" s="153"/>
      <c r="N16" s="158"/>
      <c r="O16" s="156">
        <v>5777</v>
      </c>
      <c r="P16" s="156">
        <v>19499</v>
      </c>
      <c r="Q16" s="153"/>
      <c r="R16" s="153"/>
      <c r="S16" s="153"/>
      <c r="T16" s="153"/>
      <c r="U16" s="153"/>
      <c r="V16" s="153"/>
      <c r="W16" s="153"/>
      <c r="X16" s="153"/>
      <c r="Y16" s="235"/>
      <c r="Z16" s="153"/>
      <c r="AA16" s="153"/>
      <c r="AB16" s="153"/>
      <c r="AC16" s="232">
        <v>133689</v>
      </c>
      <c r="AD16" s="153"/>
      <c r="AE16" s="153"/>
      <c r="AF16" s="232">
        <v>116321</v>
      </c>
      <c r="AG16" s="153"/>
      <c r="AH16" s="233">
        <v>275286</v>
      </c>
      <c r="AI16" s="233">
        <v>88705</v>
      </c>
      <c r="AJ16" s="233">
        <v>363991</v>
      </c>
      <c r="AK16" s="236"/>
      <c r="AL16" s="153"/>
      <c r="AM16" s="148" t="s">
        <v>10487</v>
      </c>
      <c r="AN16" t="e">
        <f t="shared" si="0"/>
        <v>#N/A</v>
      </c>
      <c r="AO16" t="e">
        <f t="shared" si="1"/>
        <v>#N/A</v>
      </c>
      <c r="AR16" s="230" t="str">
        <f t="shared" si="2"/>
        <v>Industrial Flex Mall Building</v>
      </c>
    </row>
    <row r="17" spans="1:44" ht="18" customHeight="1">
      <c r="A17" s="153" t="s">
        <v>9978</v>
      </c>
      <c r="B17" s="149">
        <v>210</v>
      </c>
      <c r="C17" s="154" t="s">
        <v>9979</v>
      </c>
      <c r="D17" s="148" t="s">
        <v>9980</v>
      </c>
      <c r="E17" s="153" t="s">
        <v>3629</v>
      </c>
      <c r="F17" s="153" t="s">
        <v>9942</v>
      </c>
      <c r="G17" s="153" t="s">
        <v>9981</v>
      </c>
      <c r="H17" s="148" t="s">
        <v>9952</v>
      </c>
      <c r="I17" s="155"/>
      <c r="J17" s="155">
        <v>37078</v>
      </c>
      <c r="K17" s="155">
        <v>2021</v>
      </c>
      <c r="L17" s="153"/>
      <c r="M17" s="153"/>
      <c r="N17" s="158"/>
      <c r="O17" s="156">
        <v>6826</v>
      </c>
      <c r="P17" s="156">
        <v>18000</v>
      </c>
      <c r="Q17" s="153"/>
      <c r="R17" s="153"/>
      <c r="S17" s="153"/>
      <c r="T17" s="153"/>
      <c r="U17" s="153"/>
      <c r="V17" s="153"/>
      <c r="W17" s="153"/>
      <c r="X17" s="153"/>
      <c r="Y17" s="235"/>
      <c r="Z17" s="153"/>
      <c r="AA17" s="153"/>
      <c r="AB17" s="153"/>
      <c r="AC17" s="232">
        <v>104519</v>
      </c>
      <c r="AD17" s="153"/>
      <c r="AE17" s="153"/>
      <c r="AF17" s="232">
        <v>108857</v>
      </c>
      <c r="AG17" s="153"/>
      <c r="AH17" s="233">
        <v>238202</v>
      </c>
      <c r="AI17" s="233">
        <v>84200</v>
      </c>
      <c r="AJ17" s="233">
        <v>322402</v>
      </c>
      <c r="AK17" s="236"/>
      <c r="AL17" s="153"/>
      <c r="AM17" s="148" t="s">
        <v>10488</v>
      </c>
      <c r="AN17" t="e">
        <f t="shared" si="0"/>
        <v>#N/A</v>
      </c>
      <c r="AO17" t="e">
        <f t="shared" si="1"/>
        <v>#N/A</v>
      </c>
      <c r="AR17" s="230" t="str">
        <f t="shared" si="2"/>
        <v>Industrial Flex Mall Building</v>
      </c>
    </row>
    <row r="18" spans="1:44" ht="18" customHeight="1">
      <c r="A18" s="153" t="s">
        <v>9978</v>
      </c>
      <c r="B18" s="149">
        <v>210</v>
      </c>
      <c r="C18" s="154" t="s">
        <v>9979</v>
      </c>
      <c r="D18" s="148" t="s">
        <v>9980</v>
      </c>
      <c r="E18" s="153" t="s">
        <v>3629</v>
      </c>
      <c r="F18" s="153" t="s">
        <v>9942</v>
      </c>
      <c r="G18" s="153" t="s">
        <v>9981</v>
      </c>
      <c r="H18" s="148" t="s">
        <v>9952</v>
      </c>
      <c r="I18" s="155"/>
      <c r="J18" s="155">
        <v>37078</v>
      </c>
      <c r="K18" s="155">
        <v>2022</v>
      </c>
      <c r="L18" s="153"/>
      <c r="M18" s="153"/>
      <c r="N18" s="158"/>
      <c r="O18" s="156">
        <v>7867</v>
      </c>
      <c r="P18" s="156">
        <v>20952</v>
      </c>
      <c r="Q18" s="153"/>
      <c r="R18" s="153"/>
      <c r="S18" s="153"/>
      <c r="T18" s="153"/>
      <c r="U18" s="153"/>
      <c r="V18" s="153"/>
      <c r="W18" s="153"/>
      <c r="X18" s="153"/>
      <c r="Y18" s="235"/>
      <c r="Z18" s="153"/>
      <c r="AA18" s="153"/>
      <c r="AB18" s="153"/>
      <c r="AC18" s="232">
        <v>112201</v>
      </c>
      <c r="AD18" s="153"/>
      <c r="AE18" s="153"/>
      <c r="AF18" s="232">
        <v>111968</v>
      </c>
      <c r="AG18" s="153"/>
      <c r="AH18" s="233">
        <v>252988</v>
      </c>
      <c r="AI18" s="233">
        <v>137142</v>
      </c>
      <c r="AJ18" s="233">
        <v>390130</v>
      </c>
      <c r="AK18" s="236"/>
      <c r="AL18" s="153"/>
      <c r="AM18" s="148" t="s">
        <v>10489</v>
      </c>
      <c r="AN18" t="e">
        <f t="shared" si="0"/>
        <v>#N/A</v>
      </c>
      <c r="AO18" t="e">
        <f t="shared" si="1"/>
        <v>#N/A</v>
      </c>
      <c r="AR18" s="230" t="str">
        <f t="shared" si="2"/>
        <v>Industrial Flex Mall Building</v>
      </c>
    </row>
    <row r="19" spans="1:44" ht="18" customHeight="1">
      <c r="A19" s="153" t="s">
        <v>9978</v>
      </c>
      <c r="B19" s="149">
        <v>210</v>
      </c>
      <c r="C19" s="154" t="s">
        <v>9979</v>
      </c>
      <c r="D19" s="148" t="s">
        <v>9980</v>
      </c>
      <c r="E19" s="153" t="s">
        <v>3629</v>
      </c>
      <c r="F19" s="153" t="s">
        <v>9942</v>
      </c>
      <c r="G19" s="153" t="s">
        <v>9981</v>
      </c>
      <c r="H19" s="148" t="s">
        <v>9952</v>
      </c>
      <c r="I19" s="155"/>
      <c r="J19" s="155">
        <v>37078</v>
      </c>
      <c r="K19" s="155">
        <v>2023</v>
      </c>
      <c r="L19" s="153"/>
      <c r="M19" s="153"/>
      <c r="N19" s="158"/>
      <c r="O19" s="156">
        <v>8654</v>
      </c>
      <c r="P19" s="156">
        <v>18000</v>
      </c>
      <c r="Q19" s="153"/>
      <c r="R19" s="153"/>
      <c r="S19" s="153"/>
      <c r="T19" s="153"/>
      <c r="U19" s="153"/>
      <c r="V19" s="153"/>
      <c r="W19" s="153"/>
      <c r="X19" s="153"/>
      <c r="Y19" s="235"/>
      <c r="Z19" s="153"/>
      <c r="AA19" s="153"/>
      <c r="AB19" s="153"/>
      <c r="AC19" s="232">
        <v>116495</v>
      </c>
      <c r="AD19" s="153"/>
      <c r="AE19" s="153"/>
      <c r="AF19" s="232">
        <v>111903</v>
      </c>
      <c r="AG19" s="153"/>
      <c r="AH19" s="233">
        <v>255052</v>
      </c>
      <c r="AI19" s="233">
        <v>131777</v>
      </c>
      <c r="AJ19" s="233">
        <v>386829</v>
      </c>
      <c r="AK19" s="236"/>
      <c r="AL19" s="153"/>
      <c r="AM19" s="148" t="s">
        <v>10490</v>
      </c>
      <c r="AN19" t="e">
        <f t="shared" si="0"/>
        <v>#N/A</v>
      </c>
      <c r="AO19" t="e">
        <f t="shared" si="1"/>
        <v>#N/A</v>
      </c>
      <c r="AR19" s="230" t="str">
        <f t="shared" si="2"/>
        <v>Industrial Flex Mall Building</v>
      </c>
    </row>
    <row r="20" spans="1:44" ht="18" customHeight="1">
      <c r="A20" s="153" t="s">
        <v>9978</v>
      </c>
      <c r="B20" s="149">
        <v>210</v>
      </c>
      <c r="C20" s="154" t="s">
        <v>9979</v>
      </c>
      <c r="D20" s="148" t="s">
        <v>9980</v>
      </c>
      <c r="E20" s="153" t="s">
        <v>3629</v>
      </c>
      <c r="F20" s="153" t="s">
        <v>9942</v>
      </c>
      <c r="G20" s="153" t="s">
        <v>9981</v>
      </c>
      <c r="H20" s="148" t="s">
        <v>9952</v>
      </c>
      <c r="I20" s="155"/>
      <c r="J20" s="155">
        <v>37078</v>
      </c>
      <c r="K20" s="155">
        <v>2024</v>
      </c>
      <c r="L20" s="153"/>
      <c r="M20" s="153"/>
      <c r="N20" s="158"/>
      <c r="O20" s="156">
        <v>8654</v>
      </c>
      <c r="P20" s="156">
        <v>21600</v>
      </c>
      <c r="Q20" s="153"/>
      <c r="R20" s="153"/>
      <c r="S20" s="153"/>
      <c r="T20" s="153"/>
      <c r="U20" s="153"/>
      <c r="V20" s="153"/>
      <c r="W20" s="153"/>
      <c r="X20" s="153"/>
      <c r="Y20" s="235"/>
      <c r="Z20" s="153"/>
      <c r="AA20" s="153"/>
      <c r="AB20" s="153"/>
      <c r="AC20" s="232">
        <v>139794</v>
      </c>
      <c r="AD20" s="153"/>
      <c r="AE20" s="153"/>
      <c r="AF20" s="232">
        <v>134284</v>
      </c>
      <c r="AG20" s="153"/>
      <c r="AH20" s="233">
        <v>304332</v>
      </c>
      <c r="AI20" s="233">
        <v>131777</v>
      </c>
      <c r="AJ20" s="233">
        <v>436109</v>
      </c>
      <c r="AK20" s="236"/>
      <c r="AL20" s="153"/>
      <c r="AM20" s="148" t="s">
        <v>10491</v>
      </c>
      <c r="AN20" t="e">
        <f t="shared" si="0"/>
        <v>#N/A</v>
      </c>
      <c r="AO20" t="e">
        <f t="shared" si="1"/>
        <v>#N/A</v>
      </c>
      <c r="AR20" s="230" t="str">
        <f t="shared" si="2"/>
        <v>Industrial Flex Mall Building</v>
      </c>
    </row>
    <row r="21" spans="1:44" ht="18" customHeight="1">
      <c r="A21" s="153" t="s">
        <v>9984</v>
      </c>
      <c r="B21" s="149">
        <v>341</v>
      </c>
      <c r="C21" s="154" t="s">
        <v>9985</v>
      </c>
      <c r="D21" s="148" t="s">
        <v>9986</v>
      </c>
      <c r="E21" s="153" t="s">
        <v>8758</v>
      </c>
      <c r="F21" s="153" t="s">
        <v>9942</v>
      </c>
      <c r="G21" s="153" t="s">
        <v>8507</v>
      </c>
      <c r="H21" s="148" t="s">
        <v>9952</v>
      </c>
      <c r="I21" s="155"/>
      <c r="J21" s="155">
        <v>19430</v>
      </c>
      <c r="K21" s="155">
        <v>2023</v>
      </c>
      <c r="L21" s="153"/>
      <c r="M21" s="153"/>
      <c r="N21" s="157">
        <v>393809</v>
      </c>
      <c r="O21" s="156">
        <v>9485</v>
      </c>
      <c r="P21" s="156">
        <v>10200</v>
      </c>
      <c r="Q21" s="153"/>
      <c r="R21" s="153"/>
      <c r="S21" s="153"/>
      <c r="T21" s="153"/>
      <c r="U21" s="156">
        <v>21615</v>
      </c>
      <c r="V21" s="153"/>
      <c r="W21" s="153"/>
      <c r="X21" s="156">
        <v>26521</v>
      </c>
      <c r="Y21" s="232">
        <v>26521</v>
      </c>
      <c r="Z21" s="156">
        <v>2032</v>
      </c>
      <c r="AA21" s="156">
        <v>11685</v>
      </c>
      <c r="AB21" s="156">
        <v>6338</v>
      </c>
      <c r="AC21" s="232">
        <v>20055</v>
      </c>
      <c r="AD21" s="156">
        <v>7660</v>
      </c>
      <c r="AE21" s="156">
        <v>37676</v>
      </c>
      <c r="AF21" s="232">
        <v>45336</v>
      </c>
      <c r="AG21" s="156">
        <v>18144</v>
      </c>
      <c r="AH21" s="233">
        <v>151355</v>
      </c>
      <c r="AI21" s="233">
        <v>53397</v>
      </c>
      <c r="AJ21" s="233">
        <v>204752</v>
      </c>
      <c r="AK21" s="233">
        <v>189057</v>
      </c>
      <c r="AL21" s="153"/>
      <c r="AM21" s="148" t="s">
        <v>10492</v>
      </c>
      <c r="AN21" t="e">
        <f t="shared" si="0"/>
        <v>#N/A</v>
      </c>
      <c r="AO21" t="e">
        <f t="shared" si="1"/>
        <v>#N/A</v>
      </c>
      <c r="AR21" s="230" t="str">
        <f t="shared" si="2"/>
        <v>Medical Offices</v>
      </c>
    </row>
    <row r="22" spans="1:44" ht="18" customHeight="1">
      <c r="A22" s="153" t="s">
        <v>9984</v>
      </c>
      <c r="B22" s="149">
        <v>341</v>
      </c>
      <c r="C22" s="154" t="s">
        <v>9985</v>
      </c>
      <c r="D22" s="148" t="s">
        <v>9986</v>
      </c>
      <c r="E22" s="153" t="s">
        <v>8758</v>
      </c>
      <c r="F22" s="153" t="s">
        <v>9942</v>
      </c>
      <c r="G22" s="153" t="s">
        <v>8507</v>
      </c>
      <c r="H22" s="148" t="s">
        <v>9952</v>
      </c>
      <c r="I22" s="155"/>
      <c r="J22" s="155">
        <v>19430</v>
      </c>
      <c r="K22" s="155">
        <v>2024</v>
      </c>
      <c r="L22" s="153"/>
      <c r="M22" s="153"/>
      <c r="N22" s="157">
        <v>390497</v>
      </c>
      <c r="O22" s="156">
        <v>13960</v>
      </c>
      <c r="P22" s="156">
        <v>38622</v>
      </c>
      <c r="Q22" s="153"/>
      <c r="R22" s="153"/>
      <c r="S22" s="153"/>
      <c r="T22" s="153"/>
      <c r="U22" s="156">
        <v>13067</v>
      </c>
      <c r="V22" s="153"/>
      <c r="W22" s="153"/>
      <c r="X22" s="156">
        <v>25835</v>
      </c>
      <c r="Y22" s="232">
        <v>25835</v>
      </c>
      <c r="Z22" s="156">
        <v>1958</v>
      </c>
      <c r="AA22" s="156">
        <v>15696</v>
      </c>
      <c r="AB22" s="156">
        <v>5885</v>
      </c>
      <c r="AC22" s="232">
        <v>23539</v>
      </c>
      <c r="AD22" s="156">
        <v>6421</v>
      </c>
      <c r="AE22" s="156">
        <v>33074</v>
      </c>
      <c r="AF22" s="232">
        <v>39495</v>
      </c>
      <c r="AG22" s="156">
        <v>16022</v>
      </c>
      <c r="AH22" s="233">
        <v>170540</v>
      </c>
      <c r="AI22" s="233">
        <v>63200</v>
      </c>
      <c r="AJ22" s="233">
        <v>233740</v>
      </c>
      <c r="AK22" s="233">
        <v>156757</v>
      </c>
      <c r="AL22" s="153"/>
      <c r="AM22" s="148" t="s">
        <v>10493</v>
      </c>
      <c r="AN22" t="e">
        <f t="shared" si="0"/>
        <v>#N/A</v>
      </c>
      <c r="AO22" t="e">
        <f t="shared" si="1"/>
        <v>#N/A</v>
      </c>
      <c r="AR22" s="230" t="str">
        <f t="shared" si="2"/>
        <v>Medical Offices</v>
      </c>
    </row>
    <row r="23" spans="1:44" ht="18" customHeight="1">
      <c r="A23" s="153" t="s">
        <v>9990</v>
      </c>
      <c r="B23" s="149">
        <v>210</v>
      </c>
      <c r="C23" s="154" t="s">
        <v>9991</v>
      </c>
      <c r="D23" s="148" t="s">
        <v>9992</v>
      </c>
      <c r="E23" s="153" t="s">
        <v>8758</v>
      </c>
      <c r="F23" s="153" t="s">
        <v>9942</v>
      </c>
      <c r="G23" s="153" t="s">
        <v>1911</v>
      </c>
      <c r="H23" s="148" t="s">
        <v>9993</v>
      </c>
      <c r="I23" s="155"/>
      <c r="J23" s="155">
        <v>330935</v>
      </c>
      <c r="K23" s="155">
        <v>2024</v>
      </c>
      <c r="L23" s="153"/>
      <c r="M23" s="153"/>
      <c r="N23" s="157">
        <v>2750538</v>
      </c>
      <c r="O23" s="153"/>
      <c r="P23" s="153"/>
      <c r="Q23" s="153"/>
      <c r="R23" s="153"/>
      <c r="S23" s="153"/>
      <c r="T23" s="153"/>
      <c r="U23" s="153"/>
      <c r="V23" s="153"/>
      <c r="W23" s="153"/>
      <c r="X23" s="153"/>
      <c r="Y23" s="235"/>
      <c r="Z23" s="153"/>
      <c r="AA23" s="153"/>
      <c r="AB23" s="153"/>
      <c r="AC23" s="235"/>
      <c r="AD23" s="153"/>
      <c r="AE23" s="153"/>
      <c r="AF23" s="235"/>
      <c r="AG23" s="153"/>
      <c r="AH23" s="236"/>
      <c r="AI23" s="236"/>
      <c r="AJ23" s="233">
        <v>1338440</v>
      </c>
      <c r="AK23" s="233">
        <v>1412098</v>
      </c>
      <c r="AL23" s="153"/>
      <c r="AM23" s="148" t="s">
        <v>10494</v>
      </c>
      <c r="AN23" t="e">
        <f t="shared" si="0"/>
        <v>#N/A</v>
      </c>
      <c r="AO23" t="e">
        <f t="shared" si="1"/>
        <v>#N/A</v>
      </c>
      <c r="AR23" s="230" t="str">
        <f t="shared" si="2"/>
        <v>Industrial Flex Mall Building</v>
      </c>
    </row>
    <row r="24" spans="1:44" ht="18" customHeight="1">
      <c r="A24" s="153" t="s">
        <v>9996</v>
      </c>
      <c r="B24" s="149">
        <v>407</v>
      </c>
      <c r="C24" s="154" t="s">
        <v>9997</v>
      </c>
      <c r="D24" s="148" t="s">
        <v>9998</v>
      </c>
      <c r="E24" s="153" t="s">
        <v>8758</v>
      </c>
      <c r="F24" s="153" t="s">
        <v>9942</v>
      </c>
      <c r="G24" s="153" t="s">
        <v>1911</v>
      </c>
      <c r="H24" s="148" t="s">
        <v>9999</v>
      </c>
      <c r="I24" s="155"/>
      <c r="J24" s="155"/>
      <c r="K24" s="155">
        <v>2023</v>
      </c>
      <c r="L24" s="153"/>
      <c r="M24" s="153"/>
      <c r="N24" s="157">
        <v>332759</v>
      </c>
      <c r="O24" s="156">
        <v>22784</v>
      </c>
      <c r="P24" s="156">
        <v>4000</v>
      </c>
      <c r="Q24" s="153"/>
      <c r="R24" s="153"/>
      <c r="S24" s="153"/>
      <c r="T24" s="153"/>
      <c r="U24" s="153"/>
      <c r="V24" s="153"/>
      <c r="W24" s="153"/>
      <c r="X24" s="156">
        <v>12804</v>
      </c>
      <c r="Y24" s="232">
        <v>12804</v>
      </c>
      <c r="Z24" s="153"/>
      <c r="AA24" s="156">
        <v>6910</v>
      </c>
      <c r="AB24" s="156">
        <v>1800</v>
      </c>
      <c r="AC24" s="232">
        <v>8710</v>
      </c>
      <c r="AD24" s="156">
        <v>2209</v>
      </c>
      <c r="AE24" s="156">
        <v>1956</v>
      </c>
      <c r="AF24" s="232">
        <v>4165</v>
      </c>
      <c r="AG24" s="156">
        <v>8397</v>
      </c>
      <c r="AH24" s="233">
        <v>127005</v>
      </c>
      <c r="AI24" s="233">
        <v>60552</v>
      </c>
      <c r="AJ24" s="233">
        <v>187557</v>
      </c>
      <c r="AK24" s="233">
        <v>265550</v>
      </c>
      <c r="AL24" s="153"/>
      <c r="AM24" s="148" t="s">
        <v>10495</v>
      </c>
      <c r="AN24" t="e">
        <f t="shared" si="0"/>
        <v>#N/A</v>
      </c>
      <c r="AO24" t="e">
        <f t="shared" si="1"/>
        <v>#N/A</v>
      </c>
      <c r="AR24" s="230" t="str">
        <f t="shared" si="2"/>
        <v>Distribution Warehouse</v>
      </c>
    </row>
    <row r="25" spans="1:44" ht="18" customHeight="1">
      <c r="A25" s="153" t="s">
        <v>9996</v>
      </c>
      <c r="B25" s="149">
        <v>407</v>
      </c>
      <c r="C25" s="154" t="s">
        <v>9997</v>
      </c>
      <c r="D25" s="148" t="s">
        <v>9998</v>
      </c>
      <c r="E25" s="153" t="s">
        <v>8758</v>
      </c>
      <c r="F25" s="153" t="s">
        <v>9942</v>
      </c>
      <c r="G25" s="153" t="s">
        <v>1911</v>
      </c>
      <c r="H25" s="148" t="s">
        <v>9999</v>
      </c>
      <c r="I25" s="155"/>
      <c r="J25" s="155"/>
      <c r="K25" s="155">
        <v>2024</v>
      </c>
      <c r="L25" s="153"/>
      <c r="M25" s="153"/>
      <c r="N25" s="157">
        <v>359583</v>
      </c>
      <c r="O25" s="156">
        <v>27489</v>
      </c>
      <c r="P25" s="156">
        <v>6000</v>
      </c>
      <c r="Q25" s="153"/>
      <c r="R25" s="153"/>
      <c r="S25" s="153"/>
      <c r="T25" s="153"/>
      <c r="U25" s="153"/>
      <c r="V25" s="153"/>
      <c r="W25" s="153"/>
      <c r="X25" s="156">
        <v>9601</v>
      </c>
      <c r="Y25" s="232">
        <v>9601</v>
      </c>
      <c r="Z25" s="153"/>
      <c r="AA25" s="156">
        <v>3045</v>
      </c>
      <c r="AB25" s="156">
        <v>1960</v>
      </c>
      <c r="AC25" s="232">
        <v>5005</v>
      </c>
      <c r="AD25" s="156">
        <v>3555</v>
      </c>
      <c r="AE25" s="156">
        <v>1567</v>
      </c>
      <c r="AF25" s="232">
        <v>5122</v>
      </c>
      <c r="AG25" s="156">
        <v>10035</v>
      </c>
      <c r="AH25" s="233">
        <v>69350</v>
      </c>
      <c r="AI25" s="233">
        <v>101114</v>
      </c>
      <c r="AJ25" s="233">
        <v>170464</v>
      </c>
      <c r="AK25" s="233">
        <v>290993</v>
      </c>
      <c r="AL25" s="153"/>
      <c r="AM25" s="148" t="s">
        <v>10496</v>
      </c>
      <c r="AN25" t="e">
        <f t="shared" si="0"/>
        <v>#N/A</v>
      </c>
      <c r="AO25" t="e">
        <f t="shared" si="1"/>
        <v>#N/A</v>
      </c>
      <c r="AR25" s="230" t="str">
        <f t="shared" si="2"/>
        <v>Distribution Warehouse</v>
      </c>
    </row>
    <row r="26" spans="1:44" ht="18" customHeight="1">
      <c r="A26" s="153" t="s">
        <v>10003</v>
      </c>
      <c r="B26" s="149">
        <v>210</v>
      </c>
      <c r="C26" s="154" t="s">
        <v>10004</v>
      </c>
      <c r="D26" s="148" t="s">
        <v>10005</v>
      </c>
      <c r="E26" s="153" t="s">
        <v>1304</v>
      </c>
      <c r="F26" s="153" t="s">
        <v>9942</v>
      </c>
      <c r="G26" s="153" t="s">
        <v>10006</v>
      </c>
      <c r="H26" s="148" t="s">
        <v>10007</v>
      </c>
      <c r="I26" s="155"/>
      <c r="J26" s="155">
        <v>105000</v>
      </c>
      <c r="K26" s="155">
        <v>2023</v>
      </c>
      <c r="L26" s="156">
        <v>737984</v>
      </c>
      <c r="M26" s="156">
        <v>508740</v>
      </c>
      <c r="N26" s="157">
        <v>1246724</v>
      </c>
      <c r="O26" s="156">
        <v>48903</v>
      </c>
      <c r="P26" s="156">
        <v>104311</v>
      </c>
      <c r="Q26" s="153"/>
      <c r="R26" s="153"/>
      <c r="S26" s="153"/>
      <c r="T26" s="153"/>
      <c r="U26" s="153"/>
      <c r="V26" s="153"/>
      <c r="W26" s="153"/>
      <c r="X26" s="156">
        <v>66445</v>
      </c>
      <c r="Y26" s="232">
        <v>66445</v>
      </c>
      <c r="Z26" s="156">
        <v>49021</v>
      </c>
      <c r="AA26" s="156">
        <v>22802</v>
      </c>
      <c r="AB26" s="156">
        <v>58641</v>
      </c>
      <c r="AC26" s="232">
        <v>130464</v>
      </c>
      <c r="AD26" s="156">
        <v>53517</v>
      </c>
      <c r="AE26" s="153"/>
      <c r="AF26" s="232">
        <v>75845</v>
      </c>
      <c r="AG26" s="153"/>
      <c r="AH26" s="233">
        <v>484485</v>
      </c>
      <c r="AI26" s="233">
        <v>229515</v>
      </c>
      <c r="AJ26" s="233">
        <v>714000</v>
      </c>
      <c r="AK26" s="233">
        <v>533000</v>
      </c>
      <c r="AL26" s="153"/>
      <c r="AM26" s="148" t="s">
        <v>10497</v>
      </c>
      <c r="AN26" t="e">
        <f t="shared" si="0"/>
        <v>#N/A</v>
      </c>
      <c r="AO26" t="e">
        <f t="shared" si="1"/>
        <v>#N/A</v>
      </c>
      <c r="AR26" s="230" t="str">
        <f t="shared" si="2"/>
        <v>Industrial Flex Mall Building</v>
      </c>
    </row>
    <row r="27" spans="1:44" ht="18" customHeight="1">
      <c r="A27" s="153" t="s">
        <v>10003</v>
      </c>
      <c r="B27" s="149">
        <v>210</v>
      </c>
      <c r="C27" s="154" t="s">
        <v>10004</v>
      </c>
      <c r="D27" s="148" t="s">
        <v>10005</v>
      </c>
      <c r="E27" s="153" t="s">
        <v>1304</v>
      </c>
      <c r="F27" s="153" t="s">
        <v>9942</v>
      </c>
      <c r="G27" s="153" t="s">
        <v>10006</v>
      </c>
      <c r="H27" s="148" t="s">
        <v>10007</v>
      </c>
      <c r="I27" s="155"/>
      <c r="J27" s="155">
        <v>105000</v>
      </c>
      <c r="K27" s="155">
        <v>2024</v>
      </c>
      <c r="L27" s="156">
        <v>902782</v>
      </c>
      <c r="M27" s="156">
        <v>784277</v>
      </c>
      <c r="N27" s="157">
        <v>1687059</v>
      </c>
      <c r="O27" s="156">
        <v>50508</v>
      </c>
      <c r="P27" s="156">
        <v>123399</v>
      </c>
      <c r="Q27" s="153"/>
      <c r="R27" s="153"/>
      <c r="S27" s="153"/>
      <c r="T27" s="153"/>
      <c r="U27" s="153"/>
      <c r="V27" s="153"/>
      <c r="W27" s="153"/>
      <c r="X27" s="156">
        <v>75128</v>
      </c>
      <c r="Y27" s="232">
        <v>75128</v>
      </c>
      <c r="Z27" s="156">
        <v>58998</v>
      </c>
      <c r="AA27" s="156">
        <v>18144</v>
      </c>
      <c r="AB27" s="156">
        <v>52328</v>
      </c>
      <c r="AC27" s="232">
        <v>129470</v>
      </c>
      <c r="AD27" s="156">
        <v>87196</v>
      </c>
      <c r="AE27" s="153"/>
      <c r="AF27" s="232">
        <v>100191</v>
      </c>
      <c r="AG27" s="153"/>
      <c r="AH27" s="233">
        <v>502686</v>
      </c>
      <c r="AI27" s="233">
        <v>544314</v>
      </c>
      <c r="AJ27" s="233">
        <v>1047000</v>
      </c>
      <c r="AK27" s="233">
        <v>640000</v>
      </c>
      <c r="AL27" s="153"/>
      <c r="AM27" s="148" t="s">
        <v>10498</v>
      </c>
      <c r="AN27" t="e">
        <f t="shared" si="0"/>
        <v>#N/A</v>
      </c>
      <c r="AO27" t="e">
        <f t="shared" si="1"/>
        <v>#N/A</v>
      </c>
      <c r="AR27" s="230" t="str">
        <f t="shared" si="2"/>
        <v>Industrial Flex Mall Building</v>
      </c>
    </row>
    <row r="28" spans="1:44" ht="18" customHeight="1">
      <c r="A28" s="153" t="s">
        <v>10010</v>
      </c>
      <c r="B28" s="149">
        <v>210</v>
      </c>
      <c r="C28" s="154" t="s">
        <v>10011</v>
      </c>
      <c r="D28" s="148" t="s">
        <v>10012</v>
      </c>
      <c r="E28" s="153" t="s">
        <v>8758</v>
      </c>
      <c r="F28" s="153" t="s">
        <v>9942</v>
      </c>
      <c r="G28" s="153" t="s">
        <v>10013</v>
      </c>
      <c r="H28" s="148" t="s">
        <v>9952</v>
      </c>
      <c r="I28" s="155"/>
      <c r="J28" s="155"/>
      <c r="K28" s="155">
        <v>2022</v>
      </c>
      <c r="L28" s="153"/>
      <c r="M28" s="153"/>
      <c r="N28" s="157">
        <v>502006</v>
      </c>
      <c r="O28" s="156">
        <v>16872</v>
      </c>
      <c r="P28" s="156">
        <v>54025</v>
      </c>
      <c r="Q28" s="153"/>
      <c r="R28" s="153"/>
      <c r="S28" s="153"/>
      <c r="T28" s="153"/>
      <c r="U28" s="153"/>
      <c r="V28" s="153"/>
      <c r="W28" s="153"/>
      <c r="X28" s="156">
        <v>71762</v>
      </c>
      <c r="Y28" s="232">
        <v>71762</v>
      </c>
      <c r="Z28" s="153"/>
      <c r="AA28" s="156">
        <v>6528</v>
      </c>
      <c r="AB28" s="153"/>
      <c r="AC28" s="232">
        <v>6528</v>
      </c>
      <c r="AD28" s="156">
        <v>4858</v>
      </c>
      <c r="AE28" s="156">
        <v>525</v>
      </c>
      <c r="AF28" s="232">
        <v>5383</v>
      </c>
      <c r="AG28" s="153"/>
      <c r="AH28" s="233">
        <v>209625</v>
      </c>
      <c r="AI28" s="233">
        <v>64792</v>
      </c>
      <c r="AJ28" s="233">
        <v>274417</v>
      </c>
      <c r="AK28" s="233">
        <v>227649</v>
      </c>
      <c r="AL28" s="153"/>
      <c r="AM28" s="148" t="s">
        <v>10499</v>
      </c>
      <c r="AN28" t="e">
        <f t="shared" si="0"/>
        <v>#N/A</v>
      </c>
      <c r="AO28" t="e">
        <f t="shared" si="1"/>
        <v>#N/A</v>
      </c>
      <c r="AR28" s="230" t="str">
        <f t="shared" si="2"/>
        <v>Industrial Flex Mall Building</v>
      </c>
    </row>
    <row r="29" spans="1:44" ht="18" customHeight="1">
      <c r="A29" s="153" t="s">
        <v>10010</v>
      </c>
      <c r="B29" s="149">
        <v>210</v>
      </c>
      <c r="C29" s="154" t="s">
        <v>10011</v>
      </c>
      <c r="D29" s="148" t="s">
        <v>10012</v>
      </c>
      <c r="E29" s="153" t="s">
        <v>8758</v>
      </c>
      <c r="F29" s="153" t="s">
        <v>9942</v>
      </c>
      <c r="G29" s="153" t="s">
        <v>10013</v>
      </c>
      <c r="H29" s="148" t="s">
        <v>9952</v>
      </c>
      <c r="I29" s="155"/>
      <c r="J29" s="155"/>
      <c r="K29" s="155">
        <v>2023</v>
      </c>
      <c r="L29" s="153"/>
      <c r="M29" s="153"/>
      <c r="N29" s="157">
        <v>532468</v>
      </c>
      <c r="O29" s="156">
        <v>15442</v>
      </c>
      <c r="P29" s="153"/>
      <c r="Q29" s="153"/>
      <c r="R29" s="153"/>
      <c r="S29" s="153"/>
      <c r="T29" s="153"/>
      <c r="U29" s="153"/>
      <c r="V29" s="153"/>
      <c r="W29" s="153"/>
      <c r="X29" s="156">
        <v>83293</v>
      </c>
      <c r="Y29" s="232">
        <v>83293</v>
      </c>
      <c r="Z29" s="153"/>
      <c r="AA29" s="156">
        <v>6029</v>
      </c>
      <c r="AB29" s="153"/>
      <c r="AC29" s="232">
        <v>6029</v>
      </c>
      <c r="AD29" s="156">
        <v>6487</v>
      </c>
      <c r="AE29" s="153"/>
      <c r="AF29" s="232">
        <v>6487</v>
      </c>
      <c r="AG29" s="153"/>
      <c r="AH29" s="233">
        <v>141304</v>
      </c>
      <c r="AI29" s="233">
        <v>63133</v>
      </c>
      <c r="AJ29" s="233">
        <v>204437</v>
      </c>
      <c r="AK29" s="233">
        <v>328030</v>
      </c>
      <c r="AL29" s="153"/>
      <c r="AM29" s="148" t="s">
        <v>10500</v>
      </c>
      <c r="AN29" t="e">
        <f t="shared" si="0"/>
        <v>#N/A</v>
      </c>
      <c r="AO29" t="e">
        <f t="shared" si="1"/>
        <v>#N/A</v>
      </c>
      <c r="AR29" s="230" t="str">
        <f t="shared" si="2"/>
        <v>Industrial Flex Mall Building</v>
      </c>
    </row>
    <row r="30" spans="1:44" ht="18" customHeight="1">
      <c r="A30" s="153" t="s">
        <v>10010</v>
      </c>
      <c r="B30" s="149">
        <v>210</v>
      </c>
      <c r="C30" s="154" t="s">
        <v>10011</v>
      </c>
      <c r="D30" s="148" t="s">
        <v>10012</v>
      </c>
      <c r="E30" s="153" t="s">
        <v>8758</v>
      </c>
      <c r="F30" s="153" t="s">
        <v>9942</v>
      </c>
      <c r="G30" s="153" t="s">
        <v>10013</v>
      </c>
      <c r="H30" s="148" t="s">
        <v>9952</v>
      </c>
      <c r="I30" s="155"/>
      <c r="J30" s="155"/>
      <c r="K30" s="155">
        <v>2024</v>
      </c>
      <c r="L30" s="153"/>
      <c r="M30" s="153"/>
      <c r="N30" s="157">
        <v>517234</v>
      </c>
      <c r="O30" s="156">
        <v>20795</v>
      </c>
      <c r="P30" s="153"/>
      <c r="Q30" s="153"/>
      <c r="R30" s="153"/>
      <c r="S30" s="153"/>
      <c r="T30" s="153"/>
      <c r="U30" s="153"/>
      <c r="V30" s="153"/>
      <c r="W30" s="153"/>
      <c r="X30" s="156">
        <v>32385</v>
      </c>
      <c r="Y30" s="232">
        <v>32385</v>
      </c>
      <c r="Z30" s="153"/>
      <c r="AA30" s="156">
        <v>4814</v>
      </c>
      <c r="AB30" s="153"/>
      <c r="AC30" s="232">
        <v>4814</v>
      </c>
      <c r="AD30" s="156">
        <v>5690</v>
      </c>
      <c r="AE30" s="153"/>
      <c r="AF30" s="232">
        <v>5690</v>
      </c>
      <c r="AG30" s="153"/>
      <c r="AH30" s="236"/>
      <c r="AI30" s="236"/>
      <c r="AJ30" s="233">
        <v>331645</v>
      </c>
      <c r="AK30" s="233">
        <v>185389</v>
      </c>
      <c r="AL30" s="153"/>
      <c r="AM30" s="148" t="s">
        <v>10501</v>
      </c>
      <c r="AN30" t="e">
        <f t="shared" si="0"/>
        <v>#N/A</v>
      </c>
      <c r="AO30" t="e">
        <f t="shared" si="1"/>
        <v>#N/A</v>
      </c>
      <c r="AR30" s="230" t="str">
        <f t="shared" si="2"/>
        <v>Industrial Flex Mall Building</v>
      </c>
    </row>
    <row r="31" spans="1:44" ht="18" customHeight="1">
      <c r="A31" s="153" t="s">
        <v>10016</v>
      </c>
      <c r="B31" s="149">
        <v>344</v>
      </c>
      <c r="C31" s="154" t="s">
        <v>10017</v>
      </c>
      <c r="D31" s="148" t="s">
        <v>10018</v>
      </c>
      <c r="E31" s="153" t="s">
        <v>8758</v>
      </c>
      <c r="F31" s="153" t="s">
        <v>9942</v>
      </c>
      <c r="G31" s="153" t="s">
        <v>9959</v>
      </c>
      <c r="H31" s="148" t="s">
        <v>9952</v>
      </c>
      <c r="I31" s="155"/>
      <c r="J31" s="155">
        <v>20170</v>
      </c>
      <c r="K31" s="155">
        <v>2023</v>
      </c>
      <c r="L31" s="153"/>
      <c r="M31" s="153"/>
      <c r="N31" s="157">
        <v>275740</v>
      </c>
      <c r="O31" s="153"/>
      <c r="P31" s="153"/>
      <c r="Q31" s="153"/>
      <c r="R31" s="153"/>
      <c r="S31" s="153"/>
      <c r="T31" s="153"/>
      <c r="U31" s="153"/>
      <c r="V31" s="153"/>
      <c r="W31" s="153"/>
      <c r="X31" s="153"/>
      <c r="Y31" s="235"/>
      <c r="Z31" s="153"/>
      <c r="AA31" s="153"/>
      <c r="AB31" s="153"/>
      <c r="AC31" s="235"/>
      <c r="AD31" s="153"/>
      <c r="AE31" s="153"/>
      <c r="AF31" s="235"/>
      <c r="AG31" s="153"/>
      <c r="AH31" s="233">
        <v>108096</v>
      </c>
      <c r="AI31" s="233">
        <v>45179</v>
      </c>
      <c r="AJ31" s="233">
        <v>153275</v>
      </c>
      <c r="AK31" s="233">
        <v>167644</v>
      </c>
      <c r="AL31" s="153"/>
      <c r="AM31" s="148" t="s">
        <v>10502</v>
      </c>
      <c r="AN31" t="e">
        <f t="shared" si="0"/>
        <v>#N/A</v>
      </c>
      <c r="AO31" t="e">
        <f t="shared" si="1"/>
        <v>#N/A</v>
      </c>
      <c r="AR31" s="230" t="str">
        <f t="shared" si="2"/>
        <v>Office Building</v>
      </c>
    </row>
    <row r="32" spans="1:44" ht="18" customHeight="1">
      <c r="A32" s="153" t="s">
        <v>10016</v>
      </c>
      <c r="B32" s="149">
        <v>344</v>
      </c>
      <c r="C32" s="154" t="s">
        <v>10017</v>
      </c>
      <c r="D32" s="148" t="s">
        <v>10018</v>
      </c>
      <c r="E32" s="153" t="s">
        <v>8758</v>
      </c>
      <c r="F32" s="153" t="s">
        <v>9942</v>
      </c>
      <c r="G32" s="153" t="s">
        <v>9959</v>
      </c>
      <c r="H32" s="148" t="s">
        <v>9952</v>
      </c>
      <c r="I32" s="155"/>
      <c r="J32" s="155">
        <v>20170</v>
      </c>
      <c r="K32" s="155">
        <v>2024</v>
      </c>
      <c r="L32" s="153"/>
      <c r="M32" s="153"/>
      <c r="N32" s="157">
        <v>298556</v>
      </c>
      <c r="O32" s="153"/>
      <c r="P32" s="153"/>
      <c r="Q32" s="153"/>
      <c r="R32" s="153"/>
      <c r="S32" s="153"/>
      <c r="T32" s="153"/>
      <c r="U32" s="153"/>
      <c r="V32" s="153"/>
      <c r="W32" s="153"/>
      <c r="X32" s="153"/>
      <c r="Y32" s="235"/>
      <c r="Z32" s="153"/>
      <c r="AA32" s="153"/>
      <c r="AB32" s="153"/>
      <c r="AC32" s="235"/>
      <c r="AD32" s="153"/>
      <c r="AE32" s="153"/>
      <c r="AF32" s="235"/>
      <c r="AG32" s="153"/>
      <c r="AH32" s="233">
        <v>127491</v>
      </c>
      <c r="AI32" s="233">
        <v>43698</v>
      </c>
      <c r="AJ32" s="233">
        <v>185189</v>
      </c>
      <c r="AK32" s="233">
        <v>171065</v>
      </c>
      <c r="AL32" s="153"/>
      <c r="AM32" s="148" t="s">
        <v>10503</v>
      </c>
      <c r="AN32" t="e">
        <f t="shared" si="0"/>
        <v>#N/A</v>
      </c>
      <c r="AO32" t="e">
        <f t="shared" si="1"/>
        <v>#N/A</v>
      </c>
      <c r="AR32" s="230" t="str">
        <f t="shared" si="2"/>
        <v>Office Building</v>
      </c>
    </row>
    <row r="33" spans="1:44" ht="18" customHeight="1">
      <c r="A33" s="153" t="s">
        <v>10021</v>
      </c>
      <c r="B33" s="149">
        <v>353</v>
      </c>
      <c r="C33" s="154" t="s">
        <v>10022</v>
      </c>
      <c r="D33" s="148" t="s">
        <v>10504</v>
      </c>
      <c r="E33" s="153" t="s">
        <v>8758</v>
      </c>
      <c r="F33" s="153" t="s">
        <v>9942</v>
      </c>
      <c r="G33" s="153" t="s">
        <v>10024</v>
      </c>
      <c r="H33" s="148" t="s">
        <v>9952</v>
      </c>
      <c r="I33" s="155">
        <v>2023</v>
      </c>
      <c r="J33" s="155"/>
      <c r="K33" s="155">
        <v>2023</v>
      </c>
      <c r="L33" s="156">
        <v>270793</v>
      </c>
      <c r="M33" s="156">
        <v>258323</v>
      </c>
      <c r="N33" s="157">
        <v>524533</v>
      </c>
      <c r="O33" s="156">
        <v>16865</v>
      </c>
      <c r="P33" s="156">
        <v>26496</v>
      </c>
      <c r="Q33" s="153"/>
      <c r="R33" s="153"/>
      <c r="S33" s="153"/>
      <c r="T33" s="153"/>
      <c r="U33" s="153"/>
      <c r="V33" s="153"/>
      <c r="W33" s="153"/>
      <c r="X33" s="156">
        <v>50972</v>
      </c>
      <c r="Y33" s="232">
        <v>50972</v>
      </c>
      <c r="Z33" s="153"/>
      <c r="AA33" s="156">
        <v>7543</v>
      </c>
      <c r="AB33" s="153"/>
      <c r="AC33" s="232">
        <v>7543</v>
      </c>
      <c r="AD33" s="156">
        <v>4602</v>
      </c>
      <c r="AE33" s="156">
        <v>51467</v>
      </c>
      <c r="AF33" s="232">
        <v>56069</v>
      </c>
      <c r="AG33" s="153"/>
      <c r="AH33" s="233">
        <v>157946</v>
      </c>
      <c r="AI33" s="233">
        <v>125577</v>
      </c>
      <c r="AJ33" s="233">
        <v>283523</v>
      </c>
      <c r="AK33" s="233">
        <v>241009</v>
      </c>
      <c r="AL33" s="153"/>
      <c r="AM33" s="148" t="s">
        <v>10505</v>
      </c>
      <c r="AN33" t="e">
        <f t="shared" si="0"/>
        <v>#N/A</v>
      </c>
      <c r="AO33" t="e">
        <f t="shared" si="1"/>
        <v>#N/A</v>
      </c>
      <c r="AR33" s="230" t="str">
        <f t="shared" si="2"/>
        <v>Retail Store</v>
      </c>
    </row>
    <row r="34" spans="1:44" ht="18" customHeight="1">
      <c r="A34" s="153" t="s">
        <v>10021</v>
      </c>
      <c r="B34" s="149">
        <v>353</v>
      </c>
      <c r="C34" s="154" t="s">
        <v>10022</v>
      </c>
      <c r="D34" s="148" t="s">
        <v>10504</v>
      </c>
      <c r="E34" s="153" t="s">
        <v>8758</v>
      </c>
      <c r="F34" s="153" t="s">
        <v>9942</v>
      </c>
      <c r="G34" s="153" t="s">
        <v>10024</v>
      </c>
      <c r="H34" s="148" t="s">
        <v>9952</v>
      </c>
      <c r="I34" s="155">
        <v>2023</v>
      </c>
      <c r="J34" s="155"/>
      <c r="K34" s="155">
        <v>2024</v>
      </c>
      <c r="L34" s="156">
        <v>260040</v>
      </c>
      <c r="M34" s="156">
        <v>337015</v>
      </c>
      <c r="N34" s="157">
        <v>597056</v>
      </c>
      <c r="O34" s="156">
        <v>12437</v>
      </c>
      <c r="P34" s="156">
        <v>26717</v>
      </c>
      <c r="Q34" s="153"/>
      <c r="R34" s="153"/>
      <c r="S34" s="153"/>
      <c r="T34" s="153"/>
      <c r="U34" s="153"/>
      <c r="V34" s="153"/>
      <c r="W34" s="153"/>
      <c r="X34" s="156">
        <v>36931</v>
      </c>
      <c r="Y34" s="232">
        <v>36931</v>
      </c>
      <c r="Z34" s="153"/>
      <c r="AA34" s="156">
        <v>27159</v>
      </c>
      <c r="AB34" s="153"/>
      <c r="AC34" s="232">
        <v>27159</v>
      </c>
      <c r="AD34" s="156">
        <v>5043</v>
      </c>
      <c r="AE34" s="156">
        <v>54230</v>
      </c>
      <c r="AF34" s="232">
        <v>59273</v>
      </c>
      <c r="AG34" s="153"/>
      <c r="AH34" s="233">
        <v>162518</v>
      </c>
      <c r="AI34" s="233">
        <v>156074</v>
      </c>
      <c r="AJ34" s="233">
        <v>318592</v>
      </c>
      <c r="AK34" s="233">
        <v>278464</v>
      </c>
      <c r="AL34" s="153"/>
      <c r="AM34" s="148" t="s">
        <v>10506</v>
      </c>
      <c r="AN34" t="e">
        <f t="shared" si="0"/>
        <v>#N/A</v>
      </c>
      <c r="AO34" t="e">
        <f t="shared" si="1"/>
        <v>#N/A</v>
      </c>
      <c r="AR34" s="230" t="str">
        <f t="shared" si="2"/>
        <v>Retail Store</v>
      </c>
    </row>
    <row r="35" spans="1:44" ht="18" customHeight="1">
      <c r="A35" s="153" t="s">
        <v>10027</v>
      </c>
      <c r="B35" s="149">
        <v>407</v>
      </c>
      <c r="C35" s="154" t="s">
        <v>10028</v>
      </c>
      <c r="D35" s="148" t="s">
        <v>10029</v>
      </c>
      <c r="E35" s="153" t="s">
        <v>3966</v>
      </c>
      <c r="F35" s="153" t="s">
        <v>9942</v>
      </c>
      <c r="G35" s="153" t="s">
        <v>10030</v>
      </c>
      <c r="H35" s="148" t="s">
        <v>10031</v>
      </c>
      <c r="I35" s="155"/>
      <c r="J35" s="155">
        <v>555840</v>
      </c>
      <c r="K35" s="155">
        <v>2023</v>
      </c>
      <c r="L35" s="156">
        <v>3123377</v>
      </c>
      <c r="M35" s="153"/>
      <c r="N35" s="157">
        <v>3123377</v>
      </c>
      <c r="O35" s="156">
        <v>86084</v>
      </c>
      <c r="P35" s="156">
        <v>62468</v>
      </c>
      <c r="Q35" s="153"/>
      <c r="R35" s="153"/>
      <c r="S35" s="153"/>
      <c r="T35" s="153"/>
      <c r="U35" s="153"/>
      <c r="V35" s="153"/>
      <c r="W35" s="153"/>
      <c r="X35" s="153"/>
      <c r="Y35" s="235"/>
      <c r="Z35" s="153"/>
      <c r="AA35" s="153"/>
      <c r="AB35" s="153"/>
      <c r="AC35" s="232">
        <v>22360</v>
      </c>
      <c r="AD35" s="153"/>
      <c r="AE35" s="153"/>
      <c r="AF35" s="232">
        <v>1107</v>
      </c>
      <c r="AG35" s="153"/>
      <c r="AH35" s="233">
        <v>197351</v>
      </c>
      <c r="AI35" s="233">
        <v>1617282</v>
      </c>
      <c r="AJ35" s="233">
        <v>1814633</v>
      </c>
      <c r="AK35" s="236"/>
      <c r="AL35" s="153"/>
      <c r="AM35" s="148" t="s">
        <v>10507</v>
      </c>
      <c r="AN35" t="e">
        <f t="shared" si="0"/>
        <v>#N/A</v>
      </c>
      <c r="AO35" t="e">
        <f t="shared" si="1"/>
        <v>#N/A</v>
      </c>
      <c r="AR35" s="230" t="str">
        <f t="shared" si="2"/>
        <v>Distribution Warehouse</v>
      </c>
    </row>
    <row r="36" spans="1:44" ht="18" customHeight="1">
      <c r="A36" s="153" t="s">
        <v>10027</v>
      </c>
      <c r="B36" s="149">
        <v>407</v>
      </c>
      <c r="C36" s="154" t="s">
        <v>10028</v>
      </c>
      <c r="D36" s="148" t="s">
        <v>10029</v>
      </c>
      <c r="E36" s="153" t="s">
        <v>3966</v>
      </c>
      <c r="F36" s="153" t="s">
        <v>9942</v>
      </c>
      <c r="G36" s="153" t="s">
        <v>10030</v>
      </c>
      <c r="H36" s="148" t="s">
        <v>10031</v>
      </c>
      <c r="I36" s="155"/>
      <c r="J36" s="155">
        <v>555840</v>
      </c>
      <c r="K36" s="155">
        <v>2024</v>
      </c>
      <c r="L36" s="156">
        <v>3201462</v>
      </c>
      <c r="M36" s="153"/>
      <c r="N36" s="157">
        <v>3201462</v>
      </c>
      <c r="O36" s="156">
        <v>89809</v>
      </c>
      <c r="P36" s="156">
        <v>64029</v>
      </c>
      <c r="Q36" s="153"/>
      <c r="R36" s="153"/>
      <c r="S36" s="153"/>
      <c r="T36" s="153"/>
      <c r="U36" s="153"/>
      <c r="V36" s="153"/>
      <c r="W36" s="153"/>
      <c r="X36" s="153"/>
      <c r="Y36" s="235"/>
      <c r="Z36" s="153"/>
      <c r="AA36" s="153"/>
      <c r="AB36" s="156">
        <v>2110</v>
      </c>
      <c r="AC36" s="232">
        <v>17455</v>
      </c>
      <c r="AD36" s="153"/>
      <c r="AE36" s="153"/>
      <c r="AF36" s="232">
        <v>2024</v>
      </c>
      <c r="AG36" s="153"/>
      <c r="AH36" s="233">
        <v>154693</v>
      </c>
      <c r="AI36" s="233">
        <v>2161856</v>
      </c>
      <c r="AJ36" s="233">
        <v>2316549</v>
      </c>
      <c r="AK36" s="236"/>
      <c r="AL36" s="153"/>
      <c r="AM36" s="148" t="s">
        <v>10508</v>
      </c>
      <c r="AN36" t="e">
        <f t="shared" ref="AN36:AN67" si="3">IF(AND($B36=Subj_OccCode,Subj_BldgSF&gt;0,ABS($J36-Subj_BldgSF)&lt;=Subj_BldgSF*Subj_SizeTol),ABS($J36-Subj_BldgSF),NA())</f>
        <v>#N/A</v>
      </c>
      <c r="AO36" t="e">
        <f t="shared" ref="AO36:AO67" si="4">IF(ISNA(AN36),NA(),AN36+ROW()/10000000)</f>
        <v>#N/A</v>
      </c>
      <c r="AR36" s="230" t="str">
        <f t="shared" ref="AR36:AR67" si="5">IF(B36="","",IFERROR(INDEX(OCC_TABLE_DESC,MATCH(B36,OCC_TABLE_CODE,0)),"Unrecognized code"))</f>
        <v>Distribution Warehouse</v>
      </c>
    </row>
    <row r="37" spans="1:44" ht="12.75">
      <c r="A37" s="154" t="s">
        <v>10035</v>
      </c>
      <c r="B37" s="149">
        <v>407</v>
      </c>
      <c r="C37" s="154" t="s">
        <v>5443</v>
      </c>
      <c r="D37" s="266" t="s">
        <v>10036</v>
      </c>
      <c r="E37" s="154" t="s">
        <v>3966</v>
      </c>
      <c r="F37" s="154" t="s">
        <v>9942</v>
      </c>
      <c r="G37" s="154" t="s">
        <v>1911</v>
      </c>
      <c r="H37" s="266" t="s">
        <v>10037</v>
      </c>
      <c r="I37" s="154">
        <v>2019</v>
      </c>
      <c r="J37" s="154">
        <v>163386</v>
      </c>
      <c r="K37" s="154">
        <v>2023</v>
      </c>
      <c r="L37" s="159">
        <v>2096086</v>
      </c>
      <c r="M37" s="154"/>
      <c r="N37" s="159">
        <v>2096086</v>
      </c>
      <c r="O37" s="159">
        <v>40706</v>
      </c>
      <c r="P37" s="159">
        <v>55071</v>
      </c>
      <c r="Q37" s="154"/>
      <c r="R37" s="154"/>
      <c r="S37" s="154"/>
      <c r="T37" s="154"/>
      <c r="U37" s="154"/>
      <c r="V37" s="154"/>
      <c r="W37" s="154"/>
      <c r="X37" s="154"/>
      <c r="Y37" s="159">
        <v>6447</v>
      </c>
      <c r="Z37" s="154"/>
      <c r="AA37" s="159">
        <v>14502</v>
      </c>
      <c r="AB37" s="159">
        <v>55450</v>
      </c>
      <c r="AC37" s="154"/>
      <c r="AD37" s="154"/>
      <c r="AE37" s="154"/>
      <c r="AF37" s="159">
        <v>43911</v>
      </c>
      <c r="AG37" s="159">
        <v>159500</v>
      </c>
      <c r="AH37" s="159">
        <v>379886</v>
      </c>
      <c r="AI37" s="159">
        <v>923586</v>
      </c>
      <c r="AJ37" s="159">
        <v>1303472</v>
      </c>
      <c r="AK37" s="159">
        <v>792614</v>
      </c>
      <c r="AL37" s="154"/>
      <c r="AM37" s="266" t="s">
        <v>10509</v>
      </c>
      <c r="AN37" t="e">
        <f t="shared" si="3"/>
        <v>#N/A</v>
      </c>
      <c r="AO37" t="e">
        <f t="shared" si="4"/>
        <v>#N/A</v>
      </c>
      <c r="AR37" s="230" t="str">
        <f t="shared" si="5"/>
        <v>Distribution Warehouse</v>
      </c>
    </row>
    <row r="38" spans="1:44" ht="12.75">
      <c r="A38" s="154" t="s">
        <v>10035</v>
      </c>
      <c r="B38" s="149">
        <v>407</v>
      </c>
      <c r="C38" s="154" t="s">
        <v>5443</v>
      </c>
      <c r="D38" s="266" t="s">
        <v>10036</v>
      </c>
      <c r="E38" s="154" t="s">
        <v>3966</v>
      </c>
      <c r="F38" s="154" t="s">
        <v>9942</v>
      </c>
      <c r="G38" s="154" t="s">
        <v>1911</v>
      </c>
      <c r="H38" s="266" t="s">
        <v>10037</v>
      </c>
      <c r="I38" s="154">
        <v>2019</v>
      </c>
      <c r="J38" s="154">
        <v>163386</v>
      </c>
      <c r="K38" s="154">
        <v>2024</v>
      </c>
      <c r="L38" s="159">
        <v>2154019</v>
      </c>
      <c r="M38" s="154"/>
      <c r="N38" s="159">
        <v>2154019</v>
      </c>
      <c r="O38" s="159">
        <v>48091</v>
      </c>
      <c r="P38" s="159">
        <v>74844</v>
      </c>
      <c r="Q38" s="154"/>
      <c r="R38" s="154"/>
      <c r="S38" s="154"/>
      <c r="T38" s="154"/>
      <c r="U38" s="154"/>
      <c r="V38" s="154"/>
      <c r="W38" s="154"/>
      <c r="X38" s="154"/>
      <c r="Y38" s="159">
        <v>5257</v>
      </c>
      <c r="Z38" s="154"/>
      <c r="AA38" s="159">
        <v>13438</v>
      </c>
      <c r="AB38" s="159">
        <v>46667</v>
      </c>
      <c r="AC38" s="154"/>
      <c r="AD38" s="154"/>
      <c r="AE38" s="154"/>
      <c r="AF38" s="159">
        <v>53895</v>
      </c>
      <c r="AG38" s="159">
        <v>132552</v>
      </c>
      <c r="AH38" s="159">
        <v>394495</v>
      </c>
      <c r="AI38" s="159">
        <v>912402</v>
      </c>
      <c r="AJ38" s="159">
        <v>1306897</v>
      </c>
      <c r="AK38" s="159">
        <v>847122</v>
      </c>
      <c r="AL38" s="154"/>
      <c r="AM38" s="266" t="s">
        <v>10510</v>
      </c>
      <c r="AN38" t="e">
        <f t="shared" si="3"/>
        <v>#N/A</v>
      </c>
      <c r="AO38" t="e">
        <f t="shared" si="4"/>
        <v>#N/A</v>
      </c>
      <c r="AR38" s="230" t="str">
        <f t="shared" si="5"/>
        <v>Distribution Warehouse</v>
      </c>
    </row>
    <row r="39" spans="1:44" ht="25.5">
      <c r="A39" s="154" t="s">
        <v>10040</v>
      </c>
      <c r="B39" s="149">
        <v>584</v>
      </c>
      <c r="C39" s="154" t="s">
        <v>10041</v>
      </c>
      <c r="D39" s="266" t="s">
        <v>10042</v>
      </c>
      <c r="E39" s="154" t="s">
        <v>3966</v>
      </c>
      <c r="F39" s="154" t="s">
        <v>9942</v>
      </c>
      <c r="G39" s="154" t="s">
        <v>1911</v>
      </c>
      <c r="H39" s="266" t="s">
        <v>10043</v>
      </c>
      <c r="I39" s="154">
        <v>1983</v>
      </c>
      <c r="J39" s="154">
        <v>384953</v>
      </c>
      <c r="K39" s="154">
        <v>2024</v>
      </c>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4"/>
      <c r="AJ39" s="154"/>
      <c r="AK39" s="154"/>
      <c r="AL39" s="154"/>
      <c r="AM39" s="266" t="s">
        <v>10511</v>
      </c>
      <c r="AN39" t="e">
        <f t="shared" si="3"/>
        <v>#N/A</v>
      </c>
      <c r="AO39" t="e">
        <f t="shared" si="4"/>
        <v>#N/A</v>
      </c>
      <c r="AR39" s="230" t="str">
        <f t="shared" si="5"/>
        <v>Mega Warehouse</v>
      </c>
    </row>
    <row r="40" spans="1:44" ht="25.5">
      <c r="A40" s="154" t="s">
        <v>10046</v>
      </c>
      <c r="B40" s="149">
        <v>210</v>
      </c>
      <c r="C40" s="154" t="s">
        <v>10047</v>
      </c>
      <c r="D40" s="266" t="s">
        <v>10048</v>
      </c>
      <c r="E40" s="154" t="s">
        <v>1304</v>
      </c>
      <c r="F40" s="154" t="s">
        <v>9942</v>
      </c>
      <c r="G40" s="154" t="s">
        <v>1911</v>
      </c>
      <c r="H40" s="266" t="s">
        <v>10049</v>
      </c>
      <c r="I40" s="154">
        <v>1972</v>
      </c>
      <c r="J40" s="154">
        <v>63348</v>
      </c>
      <c r="K40" s="154">
        <v>2024</v>
      </c>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266" t="s">
        <v>10512</v>
      </c>
      <c r="AN40" t="e">
        <f t="shared" si="3"/>
        <v>#N/A</v>
      </c>
      <c r="AO40" t="e">
        <f t="shared" si="4"/>
        <v>#N/A</v>
      </c>
      <c r="AR40" s="230" t="str">
        <f t="shared" si="5"/>
        <v>Industrial Flex Mall Building</v>
      </c>
    </row>
    <row r="41" spans="1:44" ht="25.5">
      <c r="A41" s="154" t="s">
        <v>10051</v>
      </c>
      <c r="B41" s="149">
        <v>406</v>
      </c>
      <c r="C41" s="154" t="s">
        <v>10052</v>
      </c>
      <c r="D41" s="266" t="s">
        <v>10053</v>
      </c>
      <c r="E41" s="154" t="s">
        <v>1304</v>
      </c>
      <c r="F41" s="154" t="s">
        <v>9942</v>
      </c>
      <c r="G41" s="154" t="s">
        <v>1911</v>
      </c>
      <c r="H41" s="266" t="s">
        <v>10054</v>
      </c>
      <c r="I41" s="154">
        <v>2004</v>
      </c>
      <c r="J41" s="154">
        <v>18720</v>
      </c>
      <c r="K41" s="154">
        <v>2024</v>
      </c>
      <c r="L41" s="159">
        <v>248796</v>
      </c>
      <c r="M41" s="154"/>
      <c r="N41" s="159">
        <v>299942</v>
      </c>
      <c r="O41" s="159">
        <v>3858</v>
      </c>
      <c r="P41" s="154"/>
      <c r="Q41" s="154"/>
      <c r="R41" s="154"/>
      <c r="S41" s="154"/>
      <c r="T41" s="154"/>
      <c r="U41" s="154"/>
      <c r="V41" s="154"/>
      <c r="W41" s="154"/>
      <c r="X41" s="154"/>
      <c r="Y41" s="154"/>
      <c r="Z41" s="154"/>
      <c r="AA41" s="154"/>
      <c r="AB41" s="154"/>
      <c r="AC41" s="159">
        <v>2427</v>
      </c>
      <c r="AD41" s="154"/>
      <c r="AE41" s="154"/>
      <c r="AF41" s="154"/>
      <c r="AG41" s="154"/>
      <c r="AH41" s="159">
        <v>6285</v>
      </c>
      <c r="AI41" s="159">
        <v>44860</v>
      </c>
      <c r="AJ41" s="159">
        <v>51145</v>
      </c>
      <c r="AK41" s="159">
        <v>248797</v>
      </c>
      <c r="AL41" s="154"/>
      <c r="AM41" s="266" t="s">
        <v>10513</v>
      </c>
      <c r="AN41" t="e">
        <f t="shared" si="3"/>
        <v>#N/A</v>
      </c>
      <c r="AO41" t="e">
        <f t="shared" si="4"/>
        <v>#N/A</v>
      </c>
      <c r="AR41" s="230" t="str">
        <f t="shared" si="5"/>
        <v>Storage Warehouse</v>
      </c>
    </row>
    <row r="42" spans="1:44" ht="25.5">
      <c r="A42" s="154" t="s">
        <v>10051</v>
      </c>
      <c r="B42" s="149">
        <v>406</v>
      </c>
      <c r="C42" s="154" t="s">
        <v>10052</v>
      </c>
      <c r="D42" s="266" t="s">
        <v>10053</v>
      </c>
      <c r="E42" s="154" t="s">
        <v>1304</v>
      </c>
      <c r="F42" s="154" t="s">
        <v>9942</v>
      </c>
      <c r="G42" s="154" t="s">
        <v>1911</v>
      </c>
      <c r="H42" s="266" t="s">
        <v>10054</v>
      </c>
      <c r="I42" s="154">
        <v>2004</v>
      </c>
      <c r="J42" s="154">
        <v>18720</v>
      </c>
      <c r="K42" s="154">
        <v>2023</v>
      </c>
      <c r="L42" s="159">
        <v>243918</v>
      </c>
      <c r="M42" s="154"/>
      <c r="N42" s="159">
        <v>295063</v>
      </c>
      <c r="O42" s="159">
        <v>3858</v>
      </c>
      <c r="P42" s="154"/>
      <c r="Q42" s="154"/>
      <c r="R42" s="154"/>
      <c r="S42" s="154"/>
      <c r="T42" s="154"/>
      <c r="U42" s="154"/>
      <c r="V42" s="154"/>
      <c r="W42" s="154"/>
      <c r="X42" s="154"/>
      <c r="Y42" s="154"/>
      <c r="Z42" s="154"/>
      <c r="AA42" s="154"/>
      <c r="AB42" s="154"/>
      <c r="AC42" s="159">
        <v>2427</v>
      </c>
      <c r="AD42" s="154"/>
      <c r="AE42" s="154"/>
      <c r="AF42" s="154"/>
      <c r="AG42" s="154"/>
      <c r="AH42" s="159">
        <v>6285</v>
      </c>
      <c r="AI42" s="159">
        <v>44860</v>
      </c>
      <c r="AJ42" s="159">
        <v>51145</v>
      </c>
      <c r="AK42" s="159">
        <v>243918</v>
      </c>
      <c r="AL42" s="154"/>
      <c r="AM42" s="266" t="s">
        <v>10513</v>
      </c>
      <c r="AN42" t="e">
        <f t="shared" si="3"/>
        <v>#N/A</v>
      </c>
      <c r="AO42" t="e">
        <f t="shared" si="4"/>
        <v>#N/A</v>
      </c>
      <c r="AR42" s="230" t="str">
        <f t="shared" si="5"/>
        <v>Storage Warehouse</v>
      </c>
    </row>
    <row r="43" spans="1:44" ht="12.75">
      <c r="A43" s="154" t="s">
        <v>10057</v>
      </c>
      <c r="B43" s="149">
        <v>407</v>
      </c>
      <c r="C43" s="154" t="s">
        <v>10058</v>
      </c>
      <c r="D43" s="266" t="s">
        <v>10059</v>
      </c>
      <c r="E43" s="154" t="s">
        <v>3642</v>
      </c>
      <c r="F43" s="154" t="s">
        <v>9942</v>
      </c>
      <c r="G43" s="154" t="s">
        <v>1911</v>
      </c>
      <c r="H43" s="266" t="s">
        <v>10060</v>
      </c>
      <c r="I43" s="154">
        <v>2021</v>
      </c>
      <c r="J43" s="154">
        <v>329940</v>
      </c>
      <c r="K43" s="154">
        <v>2024</v>
      </c>
      <c r="L43" s="154"/>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54"/>
      <c r="AJ43" s="154"/>
      <c r="AK43" s="154"/>
      <c r="AL43" s="154"/>
      <c r="AM43" s="266" t="s">
        <v>10514</v>
      </c>
      <c r="AN43" t="e">
        <f t="shared" si="3"/>
        <v>#N/A</v>
      </c>
      <c r="AO43" t="e">
        <f t="shared" si="4"/>
        <v>#N/A</v>
      </c>
      <c r="AR43" s="230" t="str">
        <f t="shared" si="5"/>
        <v>Distribution Warehouse</v>
      </c>
    </row>
    <row r="44" spans="1:44" ht="25.5">
      <c r="A44" s="154" t="s">
        <v>10063</v>
      </c>
      <c r="B44" s="149">
        <v>584</v>
      </c>
      <c r="C44" s="154" t="s">
        <v>5763</v>
      </c>
      <c r="D44" s="266" t="s">
        <v>10064</v>
      </c>
      <c r="E44" s="154" t="s">
        <v>3642</v>
      </c>
      <c r="F44" s="154" t="s">
        <v>9942</v>
      </c>
      <c r="G44" s="154" t="s">
        <v>1911</v>
      </c>
      <c r="H44" s="266" t="s">
        <v>10065</v>
      </c>
      <c r="I44" s="154">
        <v>2021</v>
      </c>
      <c r="J44" s="154">
        <v>999780</v>
      </c>
      <c r="K44" s="154">
        <v>2023</v>
      </c>
      <c r="L44" s="159">
        <v>12396458</v>
      </c>
      <c r="M44" s="154"/>
      <c r="N44" s="159">
        <v>12396458</v>
      </c>
      <c r="O44" s="159">
        <v>150453</v>
      </c>
      <c r="P44" s="159">
        <v>100437</v>
      </c>
      <c r="Q44" s="154"/>
      <c r="R44" s="154"/>
      <c r="S44" s="154"/>
      <c r="T44" s="154"/>
      <c r="U44" s="154"/>
      <c r="V44" s="154"/>
      <c r="W44" s="154"/>
      <c r="X44" s="154"/>
      <c r="Y44" s="159">
        <v>53276</v>
      </c>
      <c r="Z44" s="154"/>
      <c r="AA44" s="159">
        <v>50764</v>
      </c>
      <c r="AB44" s="159">
        <v>117765</v>
      </c>
      <c r="AC44" s="154"/>
      <c r="AD44" s="154"/>
      <c r="AE44" s="154"/>
      <c r="AF44" s="154"/>
      <c r="AG44" s="159">
        <v>8384</v>
      </c>
      <c r="AH44" s="159">
        <v>1354674</v>
      </c>
      <c r="AI44" s="159">
        <v>4922300</v>
      </c>
      <c r="AJ44" s="159">
        <v>8277752</v>
      </c>
      <c r="AK44" s="159">
        <v>4118706</v>
      </c>
      <c r="AL44" s="154"/>
      <c r="AM44" s="266" t="s">
        <v>10515</v>
      </c>
      <c r="AN44" t="e">
        <f t="shared" si="3"/>
        <v>#N/A</v>
      </c>
      <c r="AO44" t="e">
        <f t="shared" si="4"/>
        <v>#N/A</v>
      </c>
      <c r="AR44" s="230" t="str">
        <f t="shared" si="5"/>
        <v>Mega Warehouse</v>
      </c>
    </row>
    <row r="45" spans="1:44" ht="12.75">
      <c r="A45" s="154" t="s">
        <v>10063</v>
      </c>
      <c r="B45" s="149">
        <v>584</v>
      </c>
      <c r="C45" s="154" t="s">
        <v>5763</v>
      </c>
      <c r="D45" s="266" t="s">
        <v>10064</v>
      </c>
      <c r="E45" s="154" t="s">
        <v>3642</v>
      </c>
      <c r="F45" s="154" t="s">
        <v>9942</v>
      </c>
      <c r="G45" s="154" t="s">
        <v>1911</v>
      </c>
      <c r="H45" s="266" t="s">
        <v>10065</v>
      </c>
      <c r="I45" s="154">
        <v>2021</v>
      </c>
      <c r="J45" s="154">
        <v>999780</v>
      </c>
      <c r="K45" s="154">
        <v>2024</v>
      </c>
      <c r="L45" s="159">
        <v>10000751</v>
      </c>
      <c r="M45" s="154"/>
      <c r="N45" s="159">
        <v>10000751</v>
      </c>
      <c r="O45" s="159">
        <v>171963</v>
      </c>
      <c r="P45" s="159">
        <v>101559</v>
      </c>
      <c r="Q45" s="154"/>
      <c r="R45" s="154"/>
      <c r="S45" s="154"/>
      <c r="T45" s="154"/>
      <c r="U45" s="154"/>
      <c r="V45" s="154"/>
      <c r="W45" s="154"/>
      <c r="X45" s="154"/>
      <c r="Y45" s="159">
        <v>120481</v>
      </c>
      <c r="Z45" s="154"/>
      <c r="AA45" s="159">
        <v>37766</v>
      </c>
      <c r="AB45" s="159">
        <v>131877</v>
      </c>
      <c r="AC45" s="154"/>
      <c r="AD45" s="154"/>
      <c r="AE45" s="154"/>
      <c r="AF45" s="154"/>
      <c r="AG45" s="159">
        <v>30799</v>
      </c>
      <c r="AH45" s="159">
        <v>797409</v>
      </c>
      <c r="AI45" s="159">
        <v>4996600</v>
      </c>
      <c r="AJ45" s="159">
        <v>5794009</v>
      </c>
      <c r="AK45" s="159">
        <v>4206742</v>
      </c>
      <c r="AL45" s="154"/>
      <c r="AM45" s="266" t="s">
        <v>10516</v>
      </c>
      <c r="AN45" t="e">
        <f t="shared" si="3"/>
        <v>#N/A</v>
      </c>
      <c r="AO45" t="e">
        <f t="shared" si="4"/>
        <v>#N/A</v>
      </c>
      <c r="AR45" s="230" t="str">
        <f t="shared" si="5"/>
        <v>Mega Warehouse</v>
      </c>
    </row>
    <row r="46" spans="1:44" ht="25.5">
      <c r="A46" s="154" t="s">
        <v>10067</v>
      </c>
      <c r="B46" s="149">
        <v>210</v>
      </c>
      <c r="C46" s="154" t="s">
        <v>10068</v>
      </c>
      <c r="D46" s="266" t="s">
        <v>10069</v>
      </c>
      <c r="E46" s="154" t="s">
        <v>3642</v>
      </c>
      <c r="F46" s="154" t="s">
        <v>9942</v>
      </c>
      <c r="G46" s="154" t="s">
        <v>1911</v>
      </c>
      <c r="H46" s="266" t="s">
        <v>10070</v>
      </c>
      <c r="I46" s="154">
        <v>1999</v>
      </c>
      <c r="J46" s="154">
        <v>90000</v>
      </c>
      <c r="K46" s="154">
        <v>2023</v>
      </c>
      <c r="L46" s="159">
        <v>949132</v>
      </c>
      <c r="M46" s="154"/>
      <c r="N46" s="159">
        <v>1238350</v>
      </c>
      <c r="O46" s="159">
        <v>15839</v>
      </c>
      <c r="P46" s="159">
        <v>46438</v>
      </c>
      <c r="Q46" s="159">
        <v>3968</v>
      </c>
      <c r="R46" s="154"/>
      <c r="S46" s="159">
        <v>27292</v>
      </c>
      <c r="T46" s="159">
        <v>6577</v>
      </c>
      <c r="U46" s="154"/>
      <c r="V46" s="154"/>
      <c r="W46" s="154"/>
      <c r="X46" s="159">
        <v>23213</v>
      </c>
      <c r="Y46" s="159">
        <v>61050</v>
      </c>
      <c r="Z46" s="159">
        <v>930</v>
      </c>
      <c r="AA46" s="159">
        <v>4777</v>
      </c>
      <c r="AB46" s="159">
        <v>11271</v>
      </c>
      <c r="AC46" s="159">
        <v>16978</v>
      </c>
      <c r="AD46" s="159">
        <v>14167</v>
      </c>
      <c r="AE46" s="159">
        <v>5593</v>
      </c>
      <c r="AF46" s="159">
        <v>19760</v>
      </c>
      <c r="AG46" s="154"/>
      <c r="AH46" s="159">
        <v>162482</v>
      </c>
      <c r="AI46" s="159">
        <v>283603</v>
      </c>
      <c r="AJ46" s="159">
        <v>446085</v>
      </c>
      <c r="AK46" s="159">
        <v>792265</v>
      </c>
      <c r="AL46" s="154"/>
      <c r="AM46" s="266" t="s">
        <v>10517</v>
      </c>
      <c r="AN46" t="e">
        <f t="shared" si="3"/>
        <v>#N/A</v>
      </c>
      <c r="AO46" t="e">
        <f t="shared" si="4"/>
        <v>#N/A</v>
      </c>
      <c r="AR46" s="230" t="str">
        <f t="shared" si="5"/>
        <v>Industrial Flex Mall Building</v>
      </c>
    </row>
    <row r="47" spans="1:44" ht="25.5">
      <c r="A47" s="154" t="s">
        <v>10067</v>
      </c>
      <c r="B47" s="149">
        <v>210</v>
      </c>
      <c r="C47" s="154" t="s">
        <v>10068</v>
      </c>
      <c r="D47" s="266" t="s">
        <v>10069</v>
      </c>
      <c r="E47" s="154" t="s">
        <v>3642</v>
      </c>
      <c r="F47" s="154" t="s">
        <v>9942</v>
      </c>
      <c r="G47" s="154" t="s">
        <v>1911</v>
      </c>
      <c r="H47" s="266" t="s">
        <v>10070</v>
      </c>
      <c r="I47" s="154">
        <v>1999</v>
      </c>
      <c r="J47" s="154">
        <v>90000</v>
      </c>
      <c r="K47" s="154">
        <v>2024</v>
      </c>
      <c r="L47" s="159">
        <v>911911</v>
      </c>
      <c r="M47" s="154"/>
      <c r="N47" s="159">
        <v>1307178</v>
      </c>
      <c r="O47" s="159">
        <v>15815</v>
      </c>
      <c r="P47" s="159">
        <v>65253</v>
      </c>
      <c r="Q47" s="159">
        <v>620</v>
      </c>
      <c r="R47" s="154"/>
      <c r="S47" s="159">
        <v>35961</v>
      </c>
      <c r="T47" s="159">
        <v>7833</v>
      </c>
      <c r="U47" s="154"/>
      <c r="V47" s="154"/>
      <c r="W47" s="154"/>
      <c r="X47" s="159">
        <v>22008</v>
      </c>
      <c r="Y47" s="159">
        <v>66422</v>
      </c>
      <c r="Z47" s="159">
        <v>1176</v>
      </c>
      <c r="AA47" s="159">
        <v>4463</v>
      </c>
      <c r="AB47" s="159">
        <v>14953</v>
      </c>
      <c r="AC47" s="159">
        <v>20592</v>
      </c>
      <c r="AD47" s="159">
        <v>15736</v>
      </c>
      <c r="AE47" s="159">
        <v>5731</v>
      </c>
      <c r="AF47" s="159">
        <v>21467</v>
      </c>
      <c r="AG47" s="154"/>
      <c r="AH47" s="159">
        <v>158481</v>
      </c>
      <c r="AI47" s="159">
        <v>290988</v>
      </c>
      <c r="AJ47" s="159">
        <v>449469</v>
      </c>
      <c r="AK47" s="159">
        <v>842728</v>
      </c>
      <c r="AL47" s="154"/>
      <c r="AM47" s="266" t="s">
        <v>10518</v>
      </c>
      <c r="AN47" t="e">
        <f t="shared" si="3"/>
        <v>#N/A</v>
      </c>
      <c r="AO47" t="e">
        <f t="shared" si="4"/>
        <v>#N/A</v>
      </c>
      <c r="AR47" s="230" t="str">
        <f t="shared" si="5"/>
        <v>Industrial Flex Mall Building</v>
      </c>
    </row>
    <row r="48" spans="1:44" ht="25.5">
      <c r="A48" s="154" t="s">
        <v>10074</v>
      </c>
      <c r="B48" s="149">
        <v>210</v>
      </c>
      <c r="C48" s="154" t="s">
        <v>10075</v>
      </c>
      <c r="D48" s="266" t="s">
        <v>10076</v>
      </c>
      <c r="E48" s="154" t="s">
        <v>3966</v>
      </c>
      <c r="F48" s="154" t="s">
        <v>9942</v>
      </c>
      <c r="G48" s="154" t="s">
        <v>1911</v>
      </c>
      <c r="H48" s="266" t="s">
        <v>10077</v>
      </c>
      <c r="I48" s="154"/>
      <c r="J48" s="154"/>
      <c r="K48" s="154">
        <v>2024</v>
      </c>
      <c r="L48" s="159">
        <v>548918</v>
      </c>
      <c r="M48" s="154"/>
      <c r="N48" s="159">
        <v>766859</v>
      </c>
      <c r="O48" s="159">
        <v>23025</v>
      </c>
      <c r="P48" s="154"/>
      <c r="Q48" s="154"/>
      <c r="R48" s="154"/>
      <c r="S48" s="154"/>
      <c r="T48" s="154"/>
      <c r="U48" s="154"/>
      <c r="V48" s="154"/>
      <c r="W48" s="154"/>
      <c r="X48" s="154"/>
      <c r="Y48" s="154"/>
      <c r="Z48" s="154"/>
      <c r="AA48" s="154"/>
      <c r="AB48" s="154"/>
      <c r="AC48" s="154"/>
      <c r="AD48" s="159">
        <v>7986</v>
      </c>
      <c r="AE48" s="159">
        <v>33669</v>
      </c>
      <c r="AF48" s="159">
        <v>41655</v>
      </c>
      <c r="AG48" s="154"/>
      <c r="AH48" s="154"/>
      <c r="AI48" s="159">
        <v>129107</v>
      </c>
      <c r="AJ48" s="159">
        <v>250157</v>
      </c>
      <c r="AK48" s="159">
        <v>374789</v>
      </c>
      <c r="AL48" s="154"/>
      <c r="AM48" s="266" t="s">
        <v>10519</v>
      </c>
      <c r="AN48" t="e">
        <f t="shared" si="3"/>
        <v>#N/A</v>
      </c>
      <c r="AO48" t="e">
        <f t="shared" si="4"/>
        <v>#N/A</v>
      </c>
      <c r="AR48" s="230" t="str">
        <f t="shared" si="5"/>
        <v>Industrial Flex Mall Building</v>
      </c>
    </row>
    <row r="49" spans="1:44" ht="25.5">
      <c r="A49" s="154" t="s">
        <v>10080</v>
      </c>
      <c r="B49" s="149">
        <v>407</v>
      </c>
      <c r="C49" s="154" t="s">
        <v>10081</v>
      </c>
      <c r="D49" s="266" t="s">
        <v>10082</v>
      </c>
      <c r="E49" s="154" t="s">
        <v>3966</v>
      </c>
      <c r="F49" s="154" t="s">
        <v>9942</v>
      </c>
      <c r="G49" s="154" t="s">
        <v>1911</v>
      </c>
      <c r="H49" s="266" t="s">
        <v>10083</v>
      </c>
      <c r="I49" s="154"/>
      <c r="J49" s="154">
        <v>155033</v>
      </c>
      <c r="K49" s="154">
        <v>2023</v>
      </c>
      <c r="L49" s="159">
        <v>969912</v>
      </c>
      <c r="M49" s="154"/>
      <c r="N49" s="159">
        <v>968340</v>
      </c>
      <c r="O49" s="159">
        <v>20444</v>
      </c>
      <c r="P49" s="159">
        <v>29946</v>
      </c>
      <c r="Q49" s="154"/>
      <c r="R49" s="154"/>
      <c r="S49" s="154"/>
      <c r="T49" s="154"/>
      <c r="U49" s="154"/>
      <c r="V49" s="154"/>
      <c r="W49" s="154"/>
      <c r="X49" s="154"/>
      <c r="Y49" s="154"/>
      <c r="Z49" s="154"/>
      <c r="AA49" s="159">
        <v>3990</v>
      </c>
      <c r="AB49" s="154"/>
      <c r="AC49" s="154"/>
      <c r="AD49" s="159">
        <v>37966</v>
      </c>
      <c r="AE49" s="159">
        <v>13715</v>
      </c>
      <c r="AF49" s="159">
        <v>51681</v>
      </c>
      <c r="AG49" s="154"/>
      <c r="AH49" s="159">
        <v>295391</v>
      </c>
      <c r="AI49" s="159">
        <v>92518</v>
      </c>
      <c r="AJ49" s="159">
        <v>387909</v>
      </c>
      <c r="AK49" s="159">
        <v>580431</v>
      </c>
      <c r="AL49" s="154"/>
      <c r="AM49" s="266" t="s">
        <v>10520</v>
      </c>
      <c r="AN49" t="e">
        <f t="shared" si="3"/>
        <v>#N/A</v>
      </c>
      <c r="AO49" t="e">
        <f t="shared" si="4"/>
        <v>#N/A</v>
      </c>
      <c r="AR49" s="230" t="str">
        <f t="shared" si="5"/>
        <v>Distribution Warehouse</v>
      </c>
    </row>
    <row r="50" spans="1:44" ht="12.75">
      <c r="A50" s="154" t="s">
        <v>10080</v>
      </c>
      <c r="B50" s="149">
        <v>407</v>
      </c>
      <c r="C50" s="154" t="s">
        <v>10081</v>
      </c>
      <c r="D50" s="266" t="s">
        <v>10082</v>
      </c>
      <c r="E50" s="154" t="s">
        <v>3966</v>
      </c>
      <c r="F50" s="154" t="s">
        <v>9942</v>
      </c>
      <c r="G50" s="154" t="s">
        <v>1911</v>
      </c>
      <c r="H50" s="266" t="s">
        <v>10083</v>
      </c>
      <c r="I50" s="154"/>
      <c r="J50" s="154">
        <v>155033</v>
      </c>
      <c r="K50" s="154">
        <v>2024</v>
      </c>
      <c r="L50" s="159">
        <v>1011167</v>
      </c>
      <c r="M50" s="154"/>
      <c r="N50" s="159">
        <v>1011168</v>
      </c>
      <c r="O50" s="159">
        <v>28366</v>
      </c>
      <c r="P50" s="159">
        <v>29365</v>
      </c>
      <c r="Q50" s="154"/>
      <c r="R50" s="154"/>
      <c r="S50" s="154"/>
      <c r="T50" s="154"/>
      <c r="U50" s="154"/>
      <c r="V50" s="154"/>
      <c r="W50" s="154"/>
      <c r="X50" s="154"/>
      <c r="Y50" s="154"/>
      <c r="Z50" s="154"/>
      <c r="AA50" s="154"/>
      <c r="AB50" s="154"/>
      <c r="AC50" s="154"/>
      <c r="AD50" s="159">
        <v>36662</v>
      </c>
      <c r="AE50" s="159">
        <v>27344</v>
      </c>
      <c r="AF50" s="159">
        <v>64006</v>
      </c>
      <c r="AG50" s="154"/>
      <c r="AH50" s="159">
        <v>264833</v>
      </c>
      <c r="AI50" s="159">
        <v>120903</v>
      </c>
      <c r="AJ50" s="159">
        <v>385736</v>
      </c>
      <c r="AK50" s="159">
        <v>625432</v>
      </c>
      <c r="AL50" s="154"/>
      <c r="AM50" s="266" t="s">
        <v>10521</v>
      </c>
      <c r="AN50" t="e">
        <f t="shared" si="3"/>
        <v>#N/A</v>
      </c>
      <c r="AO50" t="e">
        <f t="shared" si="4"/>
        <v>#N/A</v>
      </c>
      <c r="AR50" s="230" t="str">
        <f t="shared" si="5"/>
        <v>Distribution Warehouse</v>
      </c>
    </row>
    <row r="51" spans="1:44" ht="25.5">
      <c r="A51" s="154" t="s">
        <v>10085</v>
      </c>
      <c r="B51" s="149">
        <v>407</v>
      </c>
      <c r="C51" s="154" t="s">
        <v>10086</v>
      </c>
      <c r="D51" s="266" t="s">
        <v>10087</v>
      </c>
      <c r="E51" s="154" t="s">
        <v>3966</v>
      </c>
      <c r="F51" s="154" t="s">
        <v>9942</v>
      </c>
      <c r="G51" s="154" t="s">
        <v>1911</v>
      </c>
      <c r="H51" s="266" t="s">
        <v>10083</v>
      </c>
      <c r="I51" s="154"/>
      <c r="J51" s="154">
        <v>200000</v>
      </c>
      <c r="K51" s="154">
        <v>2023</v>
      </c>
      <c r="L51" s="159">
        <v>1391167</v>
      </c>
      <c r="M51" s="154"/>
      <c r="N51" s="159">
        <v>1357167</v>
      </c>
      <c r="O51" s="159">
        <v>4008</v>
      </c>
      <c r="P51" s="154"/>
      <c r="Q51" s="154"/>
      <c r="R51" s="154"/>
      <c r="S51" s="154"/>
      <c r="T51" s="154"/>
      <c r="U51" s="154"/>
      <c r="V51" s="154"/>
      <c r="W51" s="154"/>
      <c r="X51" s="154"/>
      <c r="Y51" s="154"/>
      <c r="Z51" s="154"/>
      <c r="AA51" s="154"/>
      <c r="AB51" s="154"/>
      <c r="AC51" s="154"/>
      <c r="AD51" s="154"/>
      <c r="AE51" s="159">
        <v>2419</v>
      </c>
      <c r="AF51" s="159">
        <v>2419</v>
      </c>
      <c r="AG51" s="154"/>
      <c r="AH51" s="159">
        <v>235792</v>
      </c>
      <c r="AI51" s="159">
        <v>3481</v>
      </c>
      <c r="AJ51" s="159">
        <v>239273</v>
      </c>
      <c r="AK51" s="159">
        <v>1117893</v>
      </c>
      <c r="AL51" s="154"/>
      <c r="AM51" s="266" t="s">
        <v>10522</v>
      </c>
      <c r="AN51" t="e">
        <f t="shared" si="3"/>
        <v>#N/A</v>
      </c>
      <c r="AO51" t="e">
        <f t="shared" si="4"/>
        <v>#N/A</v>
      </c>
      <c r="AR51" s="230" t="str">
        <f t="shared" si="5"/>
        <v>Distribution Warehouse</v>
      </c>
    </row>
    <row r="52" spans="1:44" ht="25.5">
      <c r="A52" s="154" t="s">
        <v>10089</v>
      </c>
      <c r="B52" s="149">
        <v>210</v>
      </c>
      <c r="C52" s="154" t="s">
        <v>10090</v>
      </c>
      <c r="D52" s="266" t="s">
        <v>10091</v>
      </c>
      <c r="E52" s="154" t="s">
        <v>3966</v>
      </c>
      <c r="F52" s="154" t="s">
        <v>9942</v>
      </c>
      <c r="G52" s="154" t="s">
        <v>1911</v>
      </c>
      <c r="H52" s="266" t="s">
        <v>10092</v>
      </c>
      <c r="I52" s="154"/>
      <c r="J52" s="154">
        <v>159047</v>
      </c>
      <c r="K52" s="154">
        <v>2023</v>
      </c>
      <c r="L52" s="154"/>
      <c r="M52" s="154"/>
      <c r="N52" s="159">
        <v>2146251</v>
      </c>
      <c r="O52" s="154"/>
      <c r="P52" s="159">
        <v>5837</v>
      </c>
      <c r="Q52" s="154"/>
      <c r="R52" s="154"/>
      <c r="S52" s="154"/>
      <c r="T52" s="154"/>
      <c r="U52" s="154"/>
      <c r="V52" s="154"/>
      <c r="W52" s="154"/>
      <c r="X52" s="154"/>
      <c r="Y52" s="154"/>
      <c r="Z52" s="154"/>
      <c r="AA52" s="154"/>
      <c r="AB52" s="159">
        <v>2813</v>
      </c>
      <c r="AC52" s="154"/>
      <c r="AD52" s="154"/>
      <c r="AE52" s="154"/>
      <c r="AF52" s="154"/>
      <c r="AG52" s="154"/>
      <c r="AH52" s="154"/>
      <c r="AI52" s="154"/>
      <c r="AJ52" s="159">
        <v>1015103</v>
      </c>
      <c r="AK52" s="159">
        <v>1131148</v>
      </c>
      <c r="AL52" s="154"/>
      <c r="AM52" s="266" t="s">
        <v>10523</v>
      </c>
      <c r="AN52" t="e">
        <f t="shared" si="3"/>
        <v>#N/A</v>
      </c>
      <c r="AO52" t="e">
        <f t="shared" si="4"/>
        <v>#N/A</v>
      </c>
      <c r="AR52" s="230" t="str">
        <f t="shared" si="5"/>
        <v>Industrial Flex Mall Building</v>
      </c>
    </row>
    <row r="53" spans="1:44" ht="25.5">
      <c r="A53" s="154" t="s">
        <v>10089</v>
      </c>
      <c r="B53" s="149">
        <v>210</v>
      </c>
      <c r="C53" s="154" t="s">
        <v>10090</v>
      </c>
      <c r="D53" s="266" t="s">
        <v>10091</v>
      </c>
      <c r="E53" s="154" t="s">
        <v>3966</v>
      </c>
      <c r="F53" s="154" t="s">
        <v>9942</v>
      </c>
      <c r="G53" s="154" t="s">
        <v>1911</v>
      </c>
      <c r="H53" s="266" t="s">
        <v>10092</v>
      </c>
      <c r="I53" s="154"/>
      <c r="J53" s="154">
        <v>159047</v>
      </c>
      <c r="K53" s="154">
        <v>2024</v>
      </c>
      <c r="L53" s="154"/>
      <c r="M53" s="154"/>
      <c r="N53" s="159">
        <v>2148251</v>
      </c>
      <c r="O53" s="154"/>
      <c r="P53" s="154"/>
      <c r="Q53" s="154"/>
      <c r="R53" s="154"/>
      <c r="S53" s="154"/>
      <c r="T53" s="154"/>
      <c r="U53" s="154"/>
      <c r="V53" s="154"/>
      <c r="W53" s="154"/>
      <c r="X53" s="154"/>
      <c r="Y53" s="154"/>
      <c r="Z53" s="154"/>
      <c r="AA53" s="154"/>
      <c r="AB53" s="159">
        <v>2813</v>
      </c>
      <c r="AC53" s="154"/>
      <c r="AD53" s="154"/>
      <c r="AE53" s="154"/>
      <c r="AF53" s="154"/>
      <c r="AG53" s="154"/>
      <c r="AH53" s="154"/>
      <c r="AI53" s="154"/>
      <c r="AJ53" s="159">
        <v>1176766</v>
      </c>
      <c r="AK53" s="159">
        <v>971485</v>
      </c>
      <c r="AL53" s="154"/>
      <c r="AM53" s="266" t="s">
        <v>10523</v>
      </c>
      <c r="AN53" t="e">
        <f t="shared" si="3"/>
        <v>#N/A</v>
      </c>
      <c r="AO53" t="e">
        <f t="shared" si="4"/>
        <v>#N/A</v>
      </c>
      <c r="AR53" s="230" t="str">
        <f t="shared" si="5"/>
        <v>Industrial Flex Mall Building</v>
      </c>
    </row>
    <row r="54" spans="1:44" ht="25.5">
      <c r="A54" s="154" t="s">
        <v>10094</v>
      </c>
      <c r="B54" s="149">
        <v>406</v>
      </c>
      <c r="C54" s="154" t="s">
        <v>3084</v>
      </c>
      <c r="D54" s="266" t="s">
        <v>10095</v>
      </c>
      <c r="E54" s="154" t="s">
        <v>3642</v>
      </c>
      <c r="F54" s="154" t="s">
        <v>9942</v>
      </c>
      <c r="G54" s="154" t="s">
        <v>1911</v>
      </c>
      <c r="H54" s="266" t="s">
        <v>10096</v>
      </c>
      <c r="I54" s="154"/>
      <c r="J54" s="154">
        <v>29512</v>
      </c>
      <c r="K54" s="154">
        <v>2024</v>
      </c>
      <c r="L54" s="154"/>
      <c r="M54" s="154"/>
      <c r="N54" s="159">
        <v>419456</v>
      </c>
      <c r="O54" s="159">
        <v>4427</v>
      </c>
      <c r="P54" s="159">
        <v>10486</v>
      </c>
      <c r="Q54" s="154"/>
      <c r="R54" s="154"/>
      <c r="S54" s="154"/>
      <c r="T54" s="154"/>
      <c r="U54" s="154"/>
      <c r="V54" s="154"/>
      <c r="W54" s="154"/>
      <c r="X54" s="159">
        <v>16232</v>
      </c>
      <c r="Y54" s="159">
        <v>16232</v>
      </c>
      <c r="Z54" s="154"/>
      <c r="AA54" s="154"/>
      <c r="AB54" s="154"/>
      <c r="AC54" s="154"/>
      <c r="AD54" s="154"/>
      <c r="AE54" s="154"/>
      <c r="AF54" s="159">
        <v>7378</v>
      </c>
      <c r="AG54" s="159">
        <v>14756</v>
      </c>
      <c r="AH54" s="159">
        <v>59181</v>
      </c>
      <c r="AI54" s="159">
        <v>97831</v>
      </c>
      <c r="AJ54" s="159">
        <v>157012</v>
      </c>
      <c r="AK54" s="159">
        <v>262444</v>
      </c>
      <c r="AL54" s="159">
        <v>5902</v>
      </c>
      <c r="AM54" s="266" t="s">
        <v>10524</v>
      </c>
      <c r="AN54" t="e">
        <f t="shared" si="3"/>
        <v>#N/A</v>
      </c>
      <c r="AO54" t="e">
        <f t="shared" si="4"/>
        <v>#N/A</v>
      </c>
      <c r="AR54" s="230" t="str">
        <f t="shared" si="5"/>
        <v>Storage Warehouse</v>
      </c>
    </row>
    <row r="55" spans="1:44" ht="25.5">
      <c r="A55" s="154" t="s">
        <v>10074</v>
      </c>
      <c r="B55" s="149">
        <v>210</v>
      </c>
      <c r="C55" s="154" t="s">
        <v>10075</v>
      </c>
      <c r="D55" s="266" t="s">
        <v>10076</v>
      </c>
      <c r="E55" s="154" t="s">
        <v>3966</v>
      </c>
      <c r="F55" s="154" t="s">
        <v>9942</v>
      </c>
      <c r="G55" s="154" t="s">
        <v>1911</v>
      </c>
      <c r="H55" s="266" t="s">
        <v>10077</v>
      </c>
      <c r="I55" s="154">
        <v>1998</v>
      </c>
      <c r="J55" s="154">
        <v>123603</v>
      </c>
      <c r="K55" s="154">
        <v>2021</v>
      </c>
      <c r="L55" s="154"/>
      <c r="M55" s="154"/>
      <c r="N55" s="154"/>
      <c r="O55" s="159">
        <v>10376</v>
      </c>
      <c r="P55" s="159">
        <v>43384</v>
      </c>
      <c r="Q55" s="154"/>
      <c r="R55" s="154"/>
      <c r="S55" s="154"/>
      <c r="T55" s="154"/>
      <c r="U55" s="154"/>
      <c r="V55" s="154"/>
      <c r="W55" s="154"/>
      <c r="X55" s="154"/>
      <c r="Y55" s="154"/>
      <c r="Z55" s="154"/>
      <c r="AA55" s="154"/>
      <c r="AB55" s="154"/>
      <c r="AC55" s="159">
        <v>88626</v>
      </c>
      <c r="AD55" s="154"/>
      <c r="AE55" s="154"/>
      <c r="AF55" s="159">
        <v>37062</v>
      </c>
      <c r="AG55" s="154"/>
      <c r="AH55" s="159">
        <v>179448</v>
      </c>
      <c r="AI55" s="159">
        <v>289126</v>
      </c>
      <c r="AJ55" s="159">
        <v>468574</v>
      </c>
      <c r="AK55" s="154"/>
      <c r="AL55" s="154"/>
      <c r="AM55" s="266" t="s">
        <v>10525</v>
      </c>
      <c r="AN55" t="e">
        <f t="shared" si="3"/>
        <v>#N/A</v>
      </c>
      <c r="AO55" t="e">
        <f t="shared" si="4"/>
        <v>#N/A</v>
      </c>
      <c r="AR55" s="230" t="str">
        <f t="shared" si="5"/>
        <v>Industrial Flex Mall Building</v>
      </c>
    </row>
    <row r="56" spans="1:44" ht="25.5">
      <c r="A56" s="154" t="s">
        <v>10074</v>
      </c>
      <c r="B56" s="149">
        <v>210</v>
      </c>
      <c r="C56" s="154" t="s">
        <v>10075</v>
      </c>
      <c r="D56" s="266" t="s">
        <v>10076</v>
      </c>
      <c r="E56" s="154" t="s">
        <v>3966</v>
      </c>
      <c r="F56" s="154" t="s">
        <v>9942</v>
      </c>
      <c r="G56" s="154" t="s">
        <v>1911</v>
      </c>
      <c r="H56" s="266" t="s">
        <v>10077</v>
      </c>
      <c r="I56" s="154">
        <v>1998</v>
      </c>
      <c r="J56" s="154">
        <v>123603</v>
      </c>
      <c r="K56" s="154">
        <v>2022</v>
      </c>
      <c r="L56" s="154"/>
      <c r="M56" s="154"/>
      <c r="N56" s="154"/>
      <c r="O56" s="159">
        <v>11039</v>
      </c>
      <c r="P56" s="159">
        <v>39811</v>
      </c>
      <c r="Q56" s="154"/>
      <c r="R56" s="154"/>
      <c r="S56" s="154"/>
      <c r="T56" s="154"/>
      <c r="U56" s="154"/>
      <c r="V56" s="154"/>
      <c r="W56" s="154"/>
      <c r="X56" s="154"/>
      <c r="Y56" s="154"/>
      <c r="Z56" s="154"/>
      <c r="AA56" s="154"/>
      <c r="AB56" s="154"/>
      <c r="AC56" s="159">
        <v>91945</v>
      </c>
      <c r="AD56" s="154"/>
      <c r="AE56" s="154"/>
      <c r="AF56" s="159">
        <v>38461</v>
      </c>
      <c r="AG56" s="154"/>
      <c r="AH56" s="159">
        <v>181256</v>
      </c>
      <c r="AI56" s="159">
        <v>318845</v>
      </c>
      <c r="AJ56" s="159">
        <v>500101</v>
      </c>
      <c r="AK56" s="154"/>
      <c r="AL56" s="154"/>
      <c r="AM56" s="266" t="s">
        <v>10525</v>
      </c>
      <c r="AN56" t="e">
        <f t="shared" si="3"/>
        <v>#N/A</v>
      </c>
      <c r="AO56" t="e">
        <f t="shared" si="4"/>
        <v>#N/A</v>
      </c>
      <c r="AR56" s="230" t="str">
        <f t="shared" si="5"/>
        <v>Industrial Flex Mall Building</v>
      </c>
    </row>
    <row r="57" spans="1:44" ht="25.5">
      <c r="A57" s="154" t="s">
        <v>10085</v>
      </c>
      <c r="B57" s="149">
        <v>407</v>
      </c>
      <c r="C57" s="154" t="s">
        <v>10086</v>
      </c>
      <c r="D57" s="266" t="s">
        <v>10087</v>
      </c>
      <c r="E57" s="154" t="s">
        <v>3966</v>
      </c>
      <c r="F57" s="154" t="s">
        <v>9942</v>
      </c>
      <c r="G57" s="154" t="s">
        <v>1911</v>
      </c>
      <c r="H57" s="266" t="s">
        <v>10083</v>
      </c>
      <c r="I57" s="154">
        <v>1998</v>
      </c>
      <c r="J57" s="154">
        <v>199962</v>
      </c>
      <c r="K57" s="154">
        <v>2019</v>
      </c>
      <c r="L57" s="154"/>
      <c r="M57" s="154"/>
      <c r="N57" s="154"/>
      <c r="O57" s="159">
        <v>8457</v>
      </c>
      <c r="P57" s="159">
        <v>26194</v>
      </c>
      <c r="Q57" s="154"/>
      <c r="R57" s="154"/>
      <c r="S57" s="154"/>
      <c r="T57" s="154"/>
      <c r="U57" s="154"/>
      <c r="V57" s="154"/>
      <c r="W57" s="154"/>
      <c r="X57" s="154"/>
      <c r="Y57" s="154"/>
      <c r="Z57" s="154"/>
      <c r="AA57" s="154"/>
      <c r="AB57" s="154"/>
      <c r="AC57" s="159">
        <v>261694</v>
      </c>
      <c r="AD57" s="154"/>
      <c r="AE57" s="154"/>
      <c r="AF57" s="154"/>
      <c r="AG57" s="154"/>
      <c r="AH57" s="159">
        <v>296345</v>
      </c>
      <c r="AI57" s="159">
        <v>494719</v>
      </c>
      <c r="AJ57" s="159">
        <v>791064</v>
      </c>
      <c r="AK57" s="154"/>
      <c r="AL57" s="154"/>
      <c r="AM57" s="266" t="s">
        <v>10525</v>
      </c>
      <c r="AN57" t="e">
        <f t="shared" si="3"/>
        <v>#N/A</v>
      </c>
      <c r="AO57" t="e">
        <f t="shared" si="4"/>
        <v>#N/A</v>
      </c>
      <c r="AR57" s="230" t="str">
        <f t="shared" si="5"/>
        <v>Distribution Warehouse</v>
      </c>
    </row>
    <row r="58" spans="1:44" ht="25.5">
      <c r="A58" s="154" t="s">
        <v>10085</v>
      </c>
      <c r="B58" s="149">
        <v>407</v>
      </c>
      <c r="C58" s="154" t="s">
        <v>10086</v>
      </c>
      <c r="D58" s="266" t="s">
        <v>10087</v>
      </c>
      <c r="E58" s="154" t="s">
        <v>3966</v>
      </c>
      <c r="F58" s="154" t="s">
        <v>9942</v>
      </c>
      <c r="G58" s="154" t="s">
        <v>1911</v>
      </c>
      <c r="H58" s="266" t="s">
        <v>10083</v>
      </c>
      <c r="I58" s="154">
        <v>1998</v>
      </c>
      <c r="J58" s="154">
        <v>199962</v>
      </c>
      <c r="K58" s="154">
        <v>2020</v>
      </c>
      <c r="L58" s="154"/>
      <c r="M58" s="154"/>
      <c r="N58" s="154"/>
      <c r="O58" s="159">
        <v>9678</v>
      </c>
      <c r="P58" s="159">
        <v>26625</v>
      </c>
      <c r="Q58" s="154"/>
      <c r="R58" s="154"/>
      <c r="S58" s="154"/>
      <c r="T58" s="154"/>
      <c r="U58" s="154"/>
      <c r="V58" s="154"/>
      <c r="W58" s="154"/>
      <c r="X58" s="154"/>
      <c r="Y58" s="154"/>
      <c r="Z58" s="154"/>
      <c r="AA58" s="154"/>
      <c r="AB58" s="154"/>
      <c r="AC58" s="159">
        <v>144817</v>
      </c>
      <c r="AD58" s="154"/>
      <c r="AE58" s="154"/>
      <c r="AF58" s="154"/>
      <c r="AG58" s="154"/>
      <c r="AH58" s="159">
        <v>181120</v>
      </c>
      <c r="AI58" s="159">
        <v>415592</v>
      </c>
      <c r="AJ58" s="159">
        <v>596712</v>
      </c>
      <c r="AK58" s="154"/>
      <c r="AL58" s="154"/>
      <c r="AM58" s="266" t="s">
        <v>10525</v>
      </c>
      <c r="AN58" t="e">
        <f t="shared" si="3"/>
        <v>#N/A</v>
      </c>
      <c r="AO58" t="e">
        <f t="shared" si="4"/>
        <v>#N/A</v>
      </c>
      <c r="AR58" s="230" t="str">
        <f t="shared" si="5"/>
        <v>Distribution Warehouse</v>
      </c>
    </row>
    <row r="59" spans="1:44" ht="25.5">
      <c r="A59" s="154" t="s">
        <v>10089</v>
      </c>
      <c r="B59" s="149">
        <v>210</v>
      </c>
      <c r="C59" s="154" t="s">
        <v>10090</v>
      </c>
      <c r="D59" s="266" t="s">
        <v>10091</v>
      </c>
      <c r="E59" s="154" t="s">
        <v>3966</v>
      </c>
      <c r="F59" s="154" t="s">
        <v>9942</v>
      </c>
      <c r="G59" s="154" t="s">
        <v>1911</v>
      </c>
      <c r="H59" s="266" t="s">
        <v>10092</v>
      </c>
      <c r="I59" s="154">
        <v>2017</v>
      </c>
      <c r="J59" s="154">
        <v>159047</v>
      </c>
      <c r="K59" s="154">
        <v>2021</v>
      </c>
      <c r="L59" s="154"/>
      <c r="M59" s="154"/>
      <c r="N59" s="154"/>
      <c r="O59" s="159">
        <v>15209</v>
      </c>
      <c r="P59" s="159">
        <v>53747</v>
      </c>
      <c r="Q59" s="154"/>
      <c r="R59" s="154"/>
      <c r="S59" s="154"/>
      <c r="T59" s="154"/>
      <c r="U59" s="154"/>
      <c r="V59" s="154"/>
      <c r="W59" s="154"/>
      <c r="X59" s="154"/>
      <c r="Y59" s="154"/>
      <c r="Z59" s="154"/>
      <c r="AA59" s="154"/>
      <c r="AB59" s="154"/>
      <c r="AC59" s="159">
        <v>59915</v>
      </c>
      <c r="AD59" s="154"/>
      <c r="AE59" s="154"/>
      <c r="AF59" s="159">
        <v>46324</v>
      </c>
      <c r="AG59" s="154"/>
      <c r="AH59" s="159">
        <v>175195</v>
      </c>
      <c r="AI59" s="159">
        <v>554960</v>
      </c>
      <c r="AJ59" s="159">
        <v>730155</v>
      </c>
      <c r="AK59" s="154"/>
      <c r="AL59" s="154"/>
      <c r="AM59" s="266" t="s">
        <v>10525</v>
      </c>
      <c r="AN59" t="e">
        <f t="shared" si="3"/>
        <v>#N/A</v>
      </c>
      <c r="AO59" t="e">
        <f t="shared" si="4"/>
        <v>#N/A</v>
      </c>
      <c r="AR59" s="230" t="str">
        <f t="shared" si="5"/>
        <v>Industrial Flex Mall Building</v>
      </c>
    </row>
    <row r="60" spans="1:44" ht="25.5">
      <c r="A60" s="154" t="s">
        <v>10089</v>
      </c>
      <c r="B60" s="149">
        <v>210</v>
      </c>
      <c r="C60" s="154" t="s">
        <v>10090</v>
      </c>
      <c r="D60" s="266" t="s">
        <v>10091</v>
      </c>
      <c r="E60" s="154" t="s">
        <v>3966</v>
      </c>
      <c r="F60" s="154" t="s">
        <v>9942</v>
      </c>
      <c r="G60" s="154" t="s">
        <v>1911</v>
      </c>
      <c r="H60" s="266" t="s">
        <v>10092</v>
      </c>
      <c r="I60" s="154">
        <v>2017</v>
      </c>
      <c r="J60" s="154">
        <v>159047</v>
      </c>
      <c r="K60" s="154">
        <v>2022</v>
      </c>
      <c r="L60" s="154"/>
      <c r="M60" s="154"/>
      <c r="N60" s="154"/>
      <c r="O60" s="159">
        <v>16181</v>
      </c>
      <c r="P60" s="159">
        <v>49338</v>
      </c>
      <c r="Q60" s="154"/>
      <c r="R60" s="154"/>
      <c r="S60" s="154"/>
      <c r="T60" s="154"/>
      <c r="U60" s="154"/>
      <c r="V60" s="154"/>
      <c r="W60" s="154"/>
      <c r="X60" s="154"/>
      <c r="Y60" s="154"/>
      <c r="Z60" s="154"/>
      <c r="AA60" s="154"/>
      <c r="AB60" s="154"/>
      <c r="AC60" s="159">
        <v>53323</v>
      </c>
      <c r="AD60" s="154"/>
      <c r="AE60" s="154"/>
      <c r="AF60" s="159">
        <v>51404</v>
      </c>
      <c r="AG60" s="154"/>
      <c r="AH60" s="159">
        <v>170246</v>
      </c>
      <c r="AI60" s="159">
        <v>468848</v>
      </c>
      <c r="AJ60" s="159">
        <v>639094</v>
      </c>
      <c r="AK60" s="154"/>
      <c r="AL60" s="154"/>
      <c r="AM60" s="266" t="s">
        <v>10525</v>
      </c>
      <c r="AN60" t="e">
        <f t="shared" si="3"/>
        <v>#N/A</v>
      </c>
      <c r="AO60" t="e">
        <f t="shared" si="4"/>
        <v>#N/A</v>
      </c>
      <c r="AR60" s="230" t="str">
        <f t="shared" si="5"/>
        <v>Industrial Flex Mall Building</v>
      </c>
    </row>
    <row r="61" spans="1:44" ht="25.5">
      <c r="A61" s="154" t="s">
        <v>10099</v>
      </c>
      <c r="B61" s="149">
        <v>407</v>
      </c>
      <c r="C61" s="154" t="s">
        <v>10100</v>
      </c>
      <c r="D61" s="266" t="s">
        <v>10101</v>
      </c>
      <c r="E61" s="154" t="s">
        <v>3642</v>
      </c>
      <c r="F61" s="154" t="s">
        <v>9942</v>
      </c>
      <c r="G61" s="154" t="s">
        <v>1911</v>
      </c>
      <c r="H61" s="266" t="s">
        <v>10102</v>
      </c>
      <c r="I61" s="154">
        <v>2001</v>
      </c>
      <c r="J61" s="154">
        <v>200094</v>
      </c>
      <c r="K61" s="154">
        <v>2021</v>
      </c>
      <c r="L61" s="154"/>
      <c r="M61" s="154"/>
      <c r="N61" s="154"/>
      <c r="O61" s="159">
        <v>14313</v>
      </c>
      <c r="P61" s="159">
        <v>53036</v>
      </c>
      <c r="Q61" s="154"/>
      <c r="R61" s="154"/>
      <c r="S61" s="154"/>
      <c r="T61" s="154"/>
      <c r="U61" s="154"/>
      <c r="V61" s="154"/>
      <c r="W61" s="154"/>
      <c r="X61" s="154"/>
      <c r="Y61" s="154"/>
      <c r="Z61" s="154"/>
      <c r="AA61" s="154"/>
      <c r="AB61" s="154"/>
      <c r="AC61" s="159">
        <v>98037</v>
      </c>
      <c r="AD61" s="154"/>
      <c r="AE61" s="154"/>
      <c r="AF61" s="159">
        <v>70815</v>
      </c>
      <c r="AG61" s="154"/>
      <c r="AH61" s="159">
        <v>236201</v>
      </c>
      <c r="AI61" s="159">
        <v>570651</v>
      </c>
      <c r="AJ61" s="159">
        <v>806852</v>
      </c>
      <c r="AK61" s="154"/>
      <c r="AL61" s="154"/>
      <c r="AM61" s="266" t="s">
        <v>10526</v>
      </c>
      <c r="AN61" t="e">
        <f t="shared" si="3"/>
        <v>#N/A</v>
      </c>
      <c r="AO61" t="e">
        <f t="shared" si="4"/>
        <v>#N/A</v>
      </c>
      <c r="AR61" s="230" t="str">
        <f t="shared" si="5"/>
        <v>Distribution Warehouse</v>
      </c>
    </row>
    <row r="62" spans="1:44" ht="25.5">
      <c r="A62" s="154" t="s">
        <v>10099</v>
      </c>
      <c r="B62" s="149">
        <v>407</v>
      </c>
      <c r="C62" s="154" t="s">
        <v>10100</v>
      </c>
      <c r="D62" s="266" t="s">
        <v>10101</v>
      </c>
      <c r="E62" s="154" t="s">
        <v>3642</v>
      </c>
      <c r="F62" s="154" t="s">
        <v>9942</v>
      </c>
      <c r="G62" s="154" t="s">
        <v>1911</v>
      </c>
      <c r="H62" s="266" t="s">
        <v>10102</v>
      </c>
      <c r="I62" s="154">
        <v>2001</v>
      </c>
      <c r="J62" s="154">
        <v>200094</v>
      </c>
      <c r="K62" s="154">
        <v>2022</v>
      </c>
      <c r="L62" s="154"/>
      <c r="M62" s="154"/>
      <c r="N62" s="154"/>
      <c r="O62" s="159">
        <v>15228</v>
      </c>
      <c r="P62" s="159">
        <v>49506</v>
      </c>
      <c r="Q62" s="154"/>
      <c r="R62" s="154"/>
      <c r="S62" s="154"/>
      <c r="T62" s="154"/>
      <c r="U62" s="154"/>
      <c r="V62" s="154"/>
      <c r="W62" s="154"/>
      <c r="X62" s="154"/>
      <c r="Y62" s="154"/>
      <c r="Z62" s="154"/>
      <c r="AA62" s="154"/>
      <c r="AB62" s="154"/>
      <c r="AC62" s="159">
        <v>98037</v>
      </c>
      <c r="AD62" s="154"/>
      <c r="AE62" s="154"/>
      <c r="AF62" s="159">
        <v>70815</v>
      </c>
      <c r="AG62" s="154"/>
      <c r="AH62" s="159">
        <v>233586</v>
      </c>
      <c r="AI62" s="159">
        <v>451706</v>
      </c>
      <c r="AJ62" s="159">
        <v>685292</v>
      </c>
      <c r="AK62" s="154"/>
      <c r="AL62" s="154"/>
      <c r="AM62" s="266" t="s">
        <v>10526</v>
      </c>
      <c r="AN62" t="e">
        <f t="shared" si="3"/>
        <v>#N/A</v>
      </c>
      <c r="AO62" t="e">
        <f t="shared" si="4"/>
        <v>#N/A</v>
      </c>
      <c r="AR62" s="230" t="str">
        <f t="shared" si="5"/>
        <v>Distribution Warehouse</v>
      </c>
    </row>
    <row r="63" spans="1:44" ht="25.5">
      <c r="A63" s="154" t="s">
        <v>10105</v>
      </c>
      <c r="B63" s="149">
        <v>407</v>
      </c>
      <c r="C63" s="154" t="s">
        <v>10106</v>
      </c>
      <c r="D63" s="266" t="s">
        <v>10107</v>
      </c>
      <c r="E63" s="154" t="s">
        <v>3642</v>
      </c>
      <c r="F63" s="154" t="s">
        <v>9942</v>
      </c>
      <c r="G63" s="154" t="s">
        <v>1911</v>
      </c>
      <c r="H63" s="266" t="s">
        <v>10102</v>
      </c>
      <c r="I63" s="154">
        <v>1997</v>
      </c>
      <c r="J63" s="154">
        <v>177736</v>
      </c>
      <c r="K63" s="154">
        <v>2021</v>
      </c>
      <c r="L63" s="154"/>
      <c r="M63" s="154"/>
      <c r="N63" s="154"/>
      <c r="O63" s="159">
        <v>13073</v>
      </c>
      <c r="P63" s="159">
        <v>55346</v>
      </c>
      <c r="Q63" s="154"/>
      <c r="R63" s="154"/>
      <c r="S63" s="154"/>
      <c r="T63" s="154"/>
      <c r="U63" s="154"/>
      <c r="V63" s="154"/>
      <c r="W63" s="154"/>
      <c r="X63" s="154"/>
      <c r="Y63" s="154"/>
      <c r="Z63" s="154"/>
      <c r="AA63" s="154"/>
      <c r="AB63" s="154"/>
      <c r="AC63" s="159">
        <v>98118</v>
      </c>
      <c r="AD63" s="154"/>
      <c r="AE63" s="154"/>
      <c r="AF63" s="159">
        <v>51405</v>
      </c>
      <c r="AG63" s="154"/>
      <c r="AH63" s="159">
        <v>217942</v>
      </c>
      <c r="AI63" s="159">
        <v>483220</v>
      </c>
      <c r="AJ63" s="159">
        <v>701162</v>
      </c>
      <c r="AK63" s="154"/>
      <c r="AL63" s="154"/>
      <c r="AM63" s="266" t="s">
        <v>10527</v>
      </c>
      <c r="AN63" t="e">
        <f t="shared" si="3"/>
        <v>#N/A</v>
      </c>
      <c r="AO63" t="e">
        <f t="shared" si="4"/>
        <v>#N/A</v>
      </c>
      <c r="AR63" s="230" t="str">
        <f t="shared" si="5"/>
        <v>Distribution Warehouse</v>
      </c>
    </row>
    <row r="64" spans="1:44" ht="25.5">
      <c r="A64" s="154" t="s">
        <v>10105</v>
      </c>
      <c r="B64" s="149">
        <v>407</v>
      </c>
      <c r="C64" s="154" t="s">
        <v>10106</v>
      </c>
      <c r="D64" s="266" t="s">
        <v>10107</v>
      </c>
      <c r="E64" s="154" t="s">
        <v>3642</v>
      </c>
      <c r="F64" s="154" t="s">
        <v>9942</v>
      </c>
      <c r="G64" s="154" t="s">
        <v>1911</v>
      </c>
      <c r="H64" s="266" t="s">
        <v>10102</v>
      </c>
      <c r="I64" s="154">
        <v>1997</v>
      </c>
      <c r="J64" s="154">
        <v>177736</v>
      </c>
      <c r="K64" s="154">
        <v>2022</v>
      </c>
      <c r="L64" s="154"/>
      <c r="M64" s="154"/>
      <c r="N64" s="154"/>
      <c r="O64" s="159">
        <v>13909</v>
      </c>
      <c r="P64" s="159">
        <v>55347</v>
      </c>
      <c r="Q64" s="154"/>
      <c r="R64" s="154"/>
      <c r="S64" s="154"/>
      <c r="T64" s="154"/>
      <c r="U64" s="154"/>
      <c r="V64" s="154"/>
      <c r="W64" s="154"/>
      <c r="X64" s="154"/>
      <c r="Y64" s="154"/>
      <c r="Z64" s="154"/>
      <c r="AA64" s="154"/>
      <c r="AB64" s="154"/>
      <c r="AC64" s="159">
        <v>117141</v>
      </c>
      <c r="AD64" s="154"/>
      <c r="AE64" s="154"/>
      <c r="AF64" s="159">
        <v>63264</v>
      </c>
      <c r="AG64" s="154"/>
      <c r="AH64" s="159">
        <v>249661</v>
      </c>
      <c r="AI64" s="159">
        <v>506747</v>
      </c>
      <c r="AJ64" s="159">
        <v>756408</v>
      </c>
      <c r="AK64" s="154"/>
      <c r="AL64" s="154"/>
      <c r="AM64" s="266" t="s">
        <v>10527</v>
      </c>
      <c r="AN64" t="e">
        <f t="shared" si="3"/>
        <v>#N/A</v>
      </c>
      <c r="AO64" t="e">
        <f t="shared" si="4"/>
        <v>#N/A</v>
      </c>
      <c r="AR64" s="230" t="str">
        <f t="shared" si="5"/>
        <v>Distribution Warehouse</v>
      </c>
    </row>
    <row r="65" spans="1:44" ht="25.5">
      <c r="A65" s="154" t="s">
        <v>10108</v>
      </c>
      <c r="B65" s="149">
        <v>407</v>
      </c>
      <c r="C65" s="154" t="s">
        <v>10109</v>
      </c>
      <c r="D65" s="266" t="s">
        <v>10110</v>
      </c>
      <c r="E65" s="154" t="s">
        <v>3642</v>
      </c>
      <c r="F65" s="154" t="s">
        <v>9942</v>
      </c>
      <c r="G65" s="154" t="s">
        <v>1911</v>
      </c>
      <c r="H65" s="266" t="s">
        <v>10102</v>
      </c>
      <c r="I65" s="154">
        <v>1997</v>
      </c>
      <c r="J65" s="154">
        <v>200371</v>
      </c>
      <c r="K65" s="154">
        <v>2021</v>
      </c>
      <c r="L65" s="154"/>
      <c r="M65" s="154"/>
      <c r="N65" s="154"/>
      <c r="O65" s="159">
        <v>13750</v>
      </c>
      <c r="P65" s="159">
        <v>32155</v>
      </c>
      <c r="Q65" s="154"/>
      <c r="R65" s="154"/>
      <c r="S65" s="154"/>
      <c r="T65" s="154"/>
      <c r="U65" s="154"/>
      <c r="V65" s="154"/>
      <c r="W65" s="154"/>
      <c r="X65" s="154"/>
      <c r="Y65" s="154"/>
      <c r="Z65" s="154"/>
      <c r="AA65" s="154"/>
      <c r="AB65" s="154"/>
      <c r="AC65" s="159">
        <v>117597</v>
      </c>
      <c r="AD65" s="154"/>
      <c r="AE65" s="154"/>
      <c r="AF65" s="154"/>
      <c r="AG65" s="154"/>
      <c r="AH65" s="159">
        <v>163502</v>
      </c>
      <c r="AI65" s="159">
        <v>499309</v>
      </c>
      <c r="AJ65" s="159">
        <v>662811</v>
      </c>
      <c r="AK65" s="154"/>
      <c r="AL65" s="154"/>
      <c r="AM65" s="266" t="s">
        <v>10528</v>
      </c>
      <c r="AN65" t="e">
        <f t="shared" si="3"/>
        <v>#N/A</v>
      </c>
      <c r="AO65" t="e">
        <f t="shared" si="4"/>
        <v>#N/A</v>
      </c>
      <c r="AR65" s="230" t="str">
        <f t="shared" si="5"/>
        <v>Distribution Warehouse</v>
      </c>
    </row>
    <row r="66" spans="1:44" ht="25.5">
      <c r="A66" s="154" t="s">
        <v>10108</v>
      </c>
      <c r="B66" s="149">
        <v>407</v>
      </c>
      <c r="C66" s="154" t="s">
        <v>10109</v>
      </c>
      <c r="D66" s="266" t="s">
        <v>10110</v>
      </c>
      <c r="E66" s="154" t="s">
        <v>3642</v>
      </c>
      <c r="F66" s="154" t="s">
        <v>9942</v>
      </c>
      <c r="G66" s="154" t="s">
        <v>1911</v>
      </c>
      <c r="H66" s="266" t="s">
        <v>10102</v>
      </c>
      <c r="I66" s="154">
        <v>1997</v>
      </c>
      <c r="J66" s="154">
        <v>200371</v>
      </c>
      <c r="K66" s="154">
        <v>2022</v>
      </c>
      <c r="L66" s="154"/>
      <c r="M66" s="154"/>
      <c r="N66" s="154"/>
      <c r="O66" s="159">
        <v>14629</v>
      </c>
      <c r="P66" s="159">
        <v>29974</v>
      </c>
      <c r="Q66" s="154"/>
      <c r="R66" s="154"/>
      <c r="S66" s="154"/>
      <c r="T66" s="154"/>
      <c r="U66" s="154"/>
      <c r="V66" s="154"/>
      <c r="W66" s="154"/>
      <c r="X66" s="154"/>
      <c r="Y66" s="154"/>
      <c r="Z66" s="154"/>
      <c r="AA66" s="154"/>
      <c r="AB66" s="154"/>
      <c r="AC66" s="159">
        <v>103927</v>
      </c>
      <c r="AD66" s="154"/>
      <c r="AE66" s="154"/>
      <c r="AF66" s="154"/>
      <c r="AG66" s="154"/>
      <c r="AH66" s="159">
        <v>148530</v>
      </c>
      <c r="AI66" s="159">
        <v>518816</v>
      </c>
      <c r="AJ66" s="159">
        <v>667346</v>
      </c>
      <c r="AK66" s="154"/>
      <c r="AL66" s="154"/>
      <c r="AM66" s="266" t="s">
        <v>10528</v>
      </c>
      <c r="AN66" t="e">
        <f t="shared" si="3"/>
        <v>#N/A</v>
      </c>
      <c r="AO66" t="e">
        <f t="shared" si="4"/>
        <v>#N/A</v>
      </c>
      <c r="AR66" s="230" t="str">
        <f t="shared" si="5"/>
        <v>Distribution Warehouse</v>
      </c>
    </row>
    <row r="67" spans="1:44" ht="25.5">
      <c r="A67" s="154" t="s">
        <v>10111</v>
      </c>
      <c r="B67" s="149">
        <v>584</v>
      </c>
      <c r="C67" s="154" t="s">
        <v>10112</v>
      </c>
      <c r="D67" s="266" t="s">
        <v>10113</v>
      </c>
      <c r="E67" s="154" t="s">
        <v>3642</v>
      </c>
      <c r="F67" s="154" t="s">
        <v>9942</v>
      </c>
      <c r="G67" s="154" t="s">
        <v>1911</v>
      </c>
      <c r="H67" s="266" t="s">
        <v>10102</v>
      </c>
      <c r="I67" s="154">
        <v>2021</v>
      </c>
      <c r="J67" s="154">
        <v>548510</v>
      </c>
      <c r="K67" s="154">
        <v>2022</v>
      </c>
      <c r="L67" s="154"/>
      <c r="M67" s="154"/>
      <c r="N67" s="154"/>
      <c r="O67" s="159">
        <v>64009</v>
      </c>
      <c r="P67" s="159">
        <v>58266</v>
      </c>
      <c r="Q67" s="154"/>
      <c r="R67" s="154"/>
      <c r="S67" s="154"/>
      <c r="T67" s="154"/>
      <c r="U67" s="154"/>
      <c r="V67" s="154"/>
      <c r="W67" s="154"/>
      <c r="X67" s="154"/>
      <c r="Y67" s="154"/>
      <c r="Z67" s="154"/>
      <c r="AA67" s="154"/>
      <c r="AB67" s="154"/>
      <c r="AC67" s="159">
        <v>96936</v>
      </c>
      <c r="AD67" s="154"/>
      <c r="AE67" s="154"/>
      <c r="AF67" s="159">
        <v>20844</v>
      </c>
      <c r="AG67" s="154"/>
      <c r="AH67" s="159">
        <v>240055</v>
      </c>
      <c r="AI67" s="159">
        <v>1245681</v>
      </c>
      <c r="AJ67" s="159">
        <v>1485736</v>
      </c>
      <c r="AK67" s="154"/>
      <c r="AL67" s="154"/>
      <c r="AM67" s="266" t="s">
        <v>10529</v>
      </c>
      <c r="AN67" t="e">
        <f t="shared" si="3"/>
        <v>#N/A</v>
      </c>
      <c r="AO67" t="e">
        <f t="shared" si="4"/>
        <v>#N/A</v>
      </c>
      <c r="AR67" s="230" t="str">
        <f t="shared" si="5"/>
        <v>Mega Warehouse</v>
      </c>
    </row>
    <row r="68" spans="1:44" ht="25.5">
      <c r="A68" s="154" t="s">
        <v>10115</v>
      </c>
      <c r="B68" s="149">
        <v>407</v>
      </c>
      <c r="C68" s="154" t="s">
        <v>10116</v>
      </c>
      <c r="D68" s="266" t="s">
        <v>10117</v>
      </c>
      <c r="E68" s="154" t="s">
        <v>3642</v>
      </c>
      <c r="F68" s="154" t="s">
        <v>9942</v>
      </c>
      <c r="G68" s="154" t="s">
        <v>1911</v>
      </c>
      <c r="H68" s="266" t="s">
        <v>10102</v>
      </c>
      <c r="I68" s="154">
        <v>2000</v>
      </c>
      <c r="J68" s="154">
        <v>149175</v>
      </c>
      <c r="K68" s="154">
        <v>2019</v>
      </c>
      <c r="L68" s="154"/>
      <c r="M68" s="154"/>
      <c r="N68" s="154"/>
      <c r="O68" s="159">
        <v>6519</v>
      </c>
      <c r="P68" s="159">
        <v>22700</v>
      </c>
      <c r="Q68" s="154"/>
      <c r="R68" s="154"/>
      <c r="S68" s="154"/>
      <c r="T68" s="154"/>
      <c r="U68" s="154"/>
      <c r="V68" s="154"/>
      <c r="W68" s="154"/>
      <c r="X68" s="154"/>
      <c r="Y68" s="154"/>
      <c r="Z68" s="154"/>
      <c r="AA68" s="154"/>
      <c r="AB68" s="154"/>
      <c r="AC68" s="159">
        <v>101769</v>
      </c>
      <c r="AD68" s="154"/>
      <c r="AE68" s="154"/>
      <c r="AF68" s="154"/>
      <c r="AG68" s="154"/>
      <c r="AH68" s="159">
        <v>130988</v>
      </c>
      <c r="AI68" s="159">
        <v>281972</v>
      </c>
      <c r="AJ68" s="159">
        <v>412960</v>
      </c>
      <c r="AK68" s="154"/>
      <c r="AL68" s="154"/>
      <c r="AM68" s="266" t="s">
        <v>10530</v>
      </c>
      <c r="AN68" t="e">
        <f t="shared" ref="AN68:AN99" si="6">IF(AND($B68=Subj_OccCode,Subj_BldgSF&gt;0,ABS($J68-Subj_BldgSF)&lt;=Subj_BldgSF*Subj_SizeTol),ABS($J68-Subj_BldgSF),NA())</f>
        <v>#N/A</v>
      </c>
      <c r="AO68" t="e">
        <f t="shared" ref="AO68:AO99" si="7">IF(ISNA(AN68),NA(),AN68+ROW()/10000000)</f>
        <v>#N/A</v>
      </c>
      <c r="AR68" s="230" t="str">
        <f t="shared" ref="AR68:AR99" si="8">IF(B68="","",IFERROR(INDEX(OCC_TABLE_DESC,MATCH(B68,OCC_TABLE_CODE,0)),"Unrecognized code"))</f>
        <v>Distribution Warehouse</v>
      </c>
    </row>
    <row r="69" spans="1:44" ht="25.5">
      <c r="A69" s="154" t="s">
        <v>10115</v>
      </c>
      <c r="B69" s="149">
        <v>407</v>
      </c>
      <c r="C69" s="154" t="s">
        <v>10116</v>
      </c>
      <c r="D69" s="266" t="s">
        <v>10117</v>
      </c>
      <c r="E69" s="154" t="s">
        <v>3642</v>
      </c>
      <c r="F69" s="154" t="s">
        <v>9942</v>
      </c>
      <c r="G69" s="154" t="s">
        <v>1911</v>
      </c>
      <c r="H69" s="266" t="s">
        <v>10102</v>
      </c>
      <c r="I69" s="154">
        <v>2000</v>
      </c>
      <c r="J69" s="154">
        <v>149175</v>
      </c>
      <c r="K69" s="154">
        <v>2020</v>
      </c>
      <c r="L69" s="154"/>
      <c r="M69" s="154"/>
      <c r="N69" s="154"/>
      <c r="O69" s="159">
        <v>7450</v>
      </c>
      <c r="P69" s="159">
        <v>3942</v>
      </c>
      <c r="Q69" s="154"/>
      <c r="R69" s="154"/>
      <c r="S69" s="154"/>
      <c r="T69" s="154"/>
      <c r="U69" s="154"/>
      <c r="V69" s="154"/>
      <c r="W69" s="154"/>
      <c r="X69" s="154"/>
      <c r="Y69" s="154"/>
      <c r="Z69" s="154"/>
      <c r="AA69" s="154"/>
      <c r="AB69" s="154"/>
      <c r="AC69" s="159">
        <v>23921</v>
      </c>
      <c r="AD69" s="154"/>
      <c r="AE69" s="154"/>
      <c r="AF69" s="159">
        <v>165141</v>
      </c>
      <c r="AG69" s="154"/>
      <c r="AH69" s="159">
        <v>200454</v>
      </c>
      <c r="AI69" s="159">
        <v>282989</v>
      </c>
      <c r="AJ69" s="159">
        <v>483443</v>
      </c>
      <c r="AK69" s="154"/>
      <c r="AL69" s="154"/>
      <c r="AM69" s="266" t="s">
        <v>10530</v>
      </c>
      <c r="AN69" t="e">
        <f t="shared" si="6"/>
        <v>#N/A</v>
      </c>
      <c r="AO69" t="e">
        <f t="shared" si="7"/>
        <v>#N/A</v>
      </c>
      <c r="AR69" s="230" t="str">
        <f t="shared" si="8"/>
        <v>Distribution Warehouse</v>
      </c>
    </row>
    <row r="70" spans="1:44" ht="25.5">
      <c r="A70" s="154" t="s">
        <v>10119</v>
      </c>
      <c r="B70" s="149">
        <v>407</v>
      </c>
      <c r="C70" s="154" t="s">
        <v>10120</v>
      </c>
      <c r="D70" s="266" t="s">
        <v>10121</v>
      </c>
      <c r="E70" s="154" t="s">
        <v>3642</v>
      </c>
      <c r="F70" s="154" t="s">
        <v>9942</v>
      </c>
      <c r="G70" s="154" t="s">
        <v>1911</v>
      </c>
      <c r="H70" s="266" t="s">
        <v>10102</v>
      </c>
      <c r="I70" s="154">
        <v>1999</v>
      </c>
      <c r="J70" s="154">
        <v>279640</v>
      </c>
      <c r="K70" s="154">
        <v>2021</v>
      </c>
      <c r="L70" s="154"/>
      <c r="M70" s="154"/>
      <c r="N70" s="154"/>
      <c r="O70" s="159">
        <v>24629</v>
      </c>
      <c r="P70" s="159">
        <v>62870</v>
      </c>
      <c r="Q70" s="154"/>
      <c r="R70" s="154"/>
      <c r="S70" s="154"/>
      <c r="T70" s="154"/>
      <c r="U70" s="154"/>
      <c r="V70" s="154"/>
      <c r="W70" s="154"/>
      <c r="X70" s="154"/>
      <c r="Y70" s="154"/>
      <c r="Z70" s="154"/>
      <c r="AA70" s="154"/>
      <c r="AB70" s="154"/>
      <c r="AC70" s="159">
        <v>100363</v>
      </c>
      <c r="AD70" s="154"/>
      <c r="AE70" s="154"/>
      <c r="AF70" s="154"/>
      <c r="AG70" s="154"/>
      <c r="AH70" s="159">
        <v>187862</v>
      </c>
      <c r="AI70" s="159">
        <v>640886</v>
      </c>
      <c r="AJ70" s="159">
        <v>828748</v>
      </c>
      <c r="AK70" s="154"/>
      <c r="AL70" s="154"/>
      <c r="AM70" s="266" t="s">
        <v>10531</v>
      </c>
      <c r="AN70" t="e">
        <f t="shared" si="6"/>
        <v>#N/A</v>
      </c>
      <c r="AO70" t="e">
        <f t="shared" si="7"/>
        <v>#N/A</v>
      </c>
      <c r="AR70" s="230" t="str">
        <f t="shared" si="8"/>
        <v>Distribution Warehouse</v>
      </c>
    </row>
    <row r="71" spans="1:44" ht="25.5">
      <c r="A71" s="154" t="s">
        <v>10119</v>
      </c>
      <c r="B71" s="149">
        <v>407</v>
      </c>
      <c r="C71" s="154" t="s">
        <v>10120</v>
      </c>
      <c r="D71" s="266" t="s">
        <v>10121</v>
      </c>
      <c r="E71" s="154" t="s">
        <v>3642</v>
      </c>
      <c r="F71" s="154" t="s">
        <v>9942</v>
      </c>
      <c r="G71" s="154" t="s">
        <v>1911</v>
      </c>
      <c r="H71" s="266" t="s">
        <v>10102</v>
      </c>
      <c r="I71" s="154">
        <v>1999</v>
      </c>
      <c r="J71" s="154">
        <v>279640</v>
      </c>
      <c r="K71" s="154">
        <v>2022</v>
      </c>
      <c r="L71" s="154"/>
      <c r="M71" s="154"/>
      <c r="N71" s="154"/>
      <c r="O71" s="159">
        <v>26204</v>
      </c>
      <c r="P71" s="159">
        <v>63433</v>
      </c>
      <c r="Q71" s="154"/>
      <c r="R71" s="154"/>
      <c r="S71" s="154"/>
      <c r="T71" s="154"/>
      <c r="U71" s="154"/>
      <c r="V71" s="154"/>
      <c r="W71" s="154"/>
      <c r="X71" s="154"/>
      <c r="Y71" s="154"/>
      <c r="Z71" s="154"/>
      <c r="AA71" s="154"/>
      <c r="AB71" s="154"/>
      <c r="AC71" s="159">
        <v>18197</v>
      </c>
      <c r="AD71" s="154"/>
      <c r="AE71" s="154"/>
      <c r="AF71" s="154"/>
      <c r="AG71" s="154"/>
      <c r="AH71" s="159">
        <v>107834</v>
      </c>
      <c r="AI71" s="159">
        <v>657060</v>
      </c>
      <c r="AJ71" s="159">
        <v>764894</v>
      </c>
      <c r="AK71" s="154"/>
      <c r="AL71" s="154"/>
      <c r="AM71" s="266" t="s">
        <v>10531</v>
      </c>
      <c r="AN71" t="e">
        <f t="shared" si="6"/>
        <v>#N/A</v>
      </c>
      <c r="AO71" t="e">
        <f t="shared" si="7"/>
        <v>#N/A</v>
      </c>
      <c r="AR71" s="230" t="str">
        <f t="shared" si="8"/>
        <v>Distribution Warehouse</v>
      </c>
    </row>
    <row r="72" spans="1:44" ht="25.5">
      <c r="A72" s="154" t="s">
        <v>10122</v>
      </c>
      <c r="B72" s="149">
        <v>407</v>
      </c>
      <c r="C72" s="154" t="s">
        <v>10123</v>
      </c>
      <c r="D72" s="266" t="s">
        <v>10124</v>
      </c>
      <c r="E72" s="154" t="s">
        <v>3642</v>
      </c>
      <c r="F72" s="154" t="s">
        <v>9942</v>
      </c>
      <c r="G72" s="154" t="s">
        <v>1911</v>
      </c>
      <c r="H72" s="266" t="s">
        <v>10102</v>
      </c>
      <c r="I72" s="154">
        <v>2002</v>
      </c>
      <c r="J72" s="154">
        <v>280098</v>
      </c>
      <c r="K72" s="154">
        <v>2021</v>
      </c>
      <c r="L72" s="154"/>
      <c r="M72" s="154"/>
      <c r="N72" s="154"/>
      <c r="O72" s="159">
        <v>19984</v>
      </c>
      <c r="P72" s="159">
        <v>64701</v>
      </c>
      <c r="Q72" s="154"/>
      <c r="R72" s="154"/>
      <c r="S72" s="154"/>
      <c r="T72" s="154"/>
      <c r="U72" s="154"/>
      <c r="V72" s="154"/>
      <c r="W72" s="154"/>
      <c r="X72" s="154"/>
      <c r="Y72" s="154"/>
      <c r="Z72" s="154"/>
      <c r="AA72" s="154"/>
      <c r="AB72" s="154"/>
      <c r="AC72" s="159">
        <v>73763</v>
      </c>
      <c r="AD72" s="154"/>
      <c r="AE72" s="154"/>
      <c r="AF72" s="159">
        <v>85895</v>
      </c>
      <c r="AG72" s="154"/>
      <c r="AH72" s="159">
        <v>244343</v>
      </c>
      <c r="AI72" s="159">
        <v>639063</v>
      </c>
      <c r="AJ72" s="159">
        <v>883406</v>
      </c>
      <c r="AK72" s="154"/>
      <c r="AL72" s="154"/>
      <c r="AM72" s="266" t="s">
        <v>10532</v>
      </c>
      <c r="AN72" t="e">
        <f t="shared" si="6"/>
        <v>#N/A</v>
      </c>
      <c r="AO72" t="e">
        <f t="shared" si="7"/>
        <v>#N/A</v>
      </c>
      <c r="AR72" s="230" t="str">
        <f t="shared" si="8"/>
        <v>Distribution Warehouse</v>
      </c>
    </row>
    <row r="73" spans="1:44" ht="25.5">
      <c r="A73" s="154" t="s">
        <v>10122</v>
      </c>
      <c r="B73" s="149">
        <v>407</v>
      </c>
      <c r="C73" s="154" t="s">
        <v>10123</v>
      </c>
      <c r="D73" s="266" t="s">
        <v>10124</v>
      </c>
      <c r="E73" s="154" t="s">
        <v>3642</v>
      </c>
      <c r="F73" s="154" t="s">
        <v>9942</v>
      </c>
      <c r="G73" s="154" t="s">
        <v>1911</v>
      </c>
      <c r="H73" s="266" t="s">
        <v>10102</v>
      </c>
      <c r="I73" s="154">
        <v>2002</v>
      </c>
      <c r="J73" s="154">
        <v>280098</v>
      </c>
      <c r="K73" s="154">
        <v>2022</v>
      </c>
      <c r="L73" s="154"/>
      <c r="M73" s="154"/>
      <c r="N73" s="154"/>
      <c r="O73" s="159">
        <v>21261</v>
      </c>
      <c r="P73" s="159">
        <v>59067</v>
      </c>
      <c r="Q73" s="154"/>
      <c r="R73" s="154"/>
      <c r="S73" s="154"/>
      <c r="T73" s="154"/>
      <c r="U73" s="154"/>
      <c r="V73" s="154"/>
      <c r="W73" s="154"/>
      <c r="X73" s="154"/>
      <c r="Y73" s="154"/>
      <c r="Z73" s="154"/>
      <c r="AA73" s="154"/>
      <c r="AB73" s="154"/>
      <c r="AC73" s="159">
        <v>120936</v>
      </c>
      <c r="AD73" s="154"/>
      <c r="AE73" s="154"/>
      <c r="AF73" s="159">
        <v>94786</v>
      </c>
      <c r="AG73" s="154"/>
      <c r="AH73" s="159">
        <v>296050</v>
      </c>
      <c r="AI73" s="159">
        <v>669090</v>
      </c>
      <c r="AJ73" s="159">
        <v>965140</v>
      </c>
      <c r="AK73" s="154"/>
      <c r="AL73" s="154"/>
      <c r="AM73" s="266" t="s">
        <v>10532</v>
      </c>
      <c r="AN73" t="e">
        <f t="shared" si="6"/>
        <v>#N/A</v>
      </c>
      <c r="AO73" t="e">
        <f t="shared" si="7"/>
        <v>#N/A</v>
      </c>
      <c r="AR73" s="230" t="str">
        <f t="shared" si="8"/>
        <v>Distribution Warehouse</v>
      </c>
    </row>
    <row r="74" spans="1:44" ht="25.5">
      <c r="A74" s="154" t="s">
        <v>10125</v>
      </c>
      <c r="B74" s="149">
        <v>407</v>
      </c>
      <c r="C74" s="154" t="s">
        <v>10126</v>
      </c>
      <c r="D74" s="266" t="s">
        <v>10127</v>
      </c>
      <c r="E74" s="154" t="s">
        <v>3642</v>
      </c>
      <c r="F74" s="154" t="s">
        <v>9942</v>
      </c>
      <c r="G74" s="154" t="s">
        <v>1911</v>
      </c>
      <c r="H74" s="266" t="s">
        <v>10102</v>
      </c>
      <c r="I74" s="154">
        <v>2008</v>
      </c>
      <c r="J74" s="154">
        <v>215461</v>
      </c>
      <c r="K74" s="154">
        <v>2021</v>
      </c>
      <c r="L74" s="154"/>
      <c r="M74" s="154"/>
      <c r="N74" s="154"/>
      <c r="O74" s="159">
        <v>17428</v>
      </c>
      <c r="P74" s="159">
        <v>65798</v>
      </c>
      <c r="Q74" s="154"/>
      <c r="R74" s="154"/>
      <c r="S74" s="154"/>
      <c r="T74" s="154"/>
      <c r="U74" s="154"/>
      <c r="V74" s="154"/>
      <c r="W74" s="154"/>
      <c r="X74" s="154"/>
      <c r="Y74" s="154"/>
      <c r="Z74" s="154"/>
      <c r="AA74" s="154"/>
      <c r="AB74" s="154"/>
      <c r="AC74" s="159">
        <v>100975</v>
      </c>
      <c r="AD74" s="154"/>
      <c r="AE74" s="154"/>
      <c r="AF74" s="159">
        <v>73139</v>
      </c>
      <c r="AG74" s="154"/>
      <c r="AH74" s="159">
        <v>257340</v>
      </c>
      <c r="AI74" s="159">
        <v>614041</v>
      </c>
      <c r="AJ74" s="159">
        <v>871381</v>
      </c>
      <c r="AK74" s="154"/>
      <c r="AL74" s="154"/>
      <c r="AM74" s="266" t="s">
        <v>10533</v>
      </c>
      <c r="AN74" t="e">
        <f t="shared" si="6"/>
        <v>#N/A</v>
      </c>
      <c r="AO74" t="e">
        <f t="shared" si="7"/>
        <v>#N/A</v>
      </c>
      <c r="AR74" s="230" t="str">
        <f t="shared" si="8"/>
        <v>Distribution Warehouse</v>
      </c>
    </row>
    <row r="75" spans="1:44" ht="25.5">
      <c r="A75" s="154" t="s">
        <v>10125</v>
      </c>
      <c r="B75" s="149">
        <v>407</v>
      </c>
      <c r="C75" s="154" t="s">
        <v>10126</v>
      </c>
      <c r="D75" s="266" t="s">
        <v>10127</v>
      </c>
      <c r="E75" s="154" t="s">
        <v>3642</v>
      </c>
      <c r="F75" s="154" t="s">
        <v>9942</v>
      </c>
      <c r="G75" s="154" t="s">
        <v>1911</v>
      </c>
      <c r="H75" s="266" t="s">
        <v>10102</v>
      </c>
      <c r="I75" s="154">
        <v>2008</v>
      </c>
      <c r="J75" s="154">
        <v>215461</v>
      </c>
      <c r="K75" s="154">
        <v>2022</v>
      </c>
      <c r="L75" s="154"/>
      <c r="M75" s="154"/>
      <c r="N75" s="154"/>
      <c r="O75" s="159">
        <v>18350</v>
      </c>
      <c r="P75" s="159">
        <v>62443</v>
      </c>
      <c r="Q75" s="154"/>
      <c r="R75" s="154"/>
      <c r="S75" s="154"/>
      <c r="T75" s="154"/>
      <c r="U75" s="154"/>
      <c r="V75" s="154"/>
      <c r="W75" s="154"/>
      <c r="X75" s="154"/>
      <c r="Y75" s="154"/>
      <c r="Z75" s="154"/>
      <c r="AA75" s="154"/>
      <c r="AB75" s="154"/>
      <c r="AC75" s="159">
        <v>73459</v>
      </c>
      <c r="AD75" s="154"/>
      <c r="AE75" s="154"/>
      <c r="AF75" s="159">
        <v>74975</v>
      </c>
      <c r="AG75" s="154"/>
      <c r="AH75" s="159">
        <v>229227</v>
      </c>
      <c r="AI75" s="159">
        <v>590782</v>
      </c>
      <c r="AJ75" s="159">
        <v>820009</v>
      </c>
      <c r="AK75" s="154"/>
      <c r="AL75" s="154"/>
      <c r="AM75" s="266" t="s">
        <v>10533</v>
      </c>
      <c r="AN75" t="e">
        <f t="shared" si="6"/>
        <v>#N/A</v>
      </c>
      <c r="AO75" t="e">
        <f t="shared" si="7"/>
        <v>#N/A</v>
      </c>
      <c r="AR75" s="230" t="str">
        <f t="shared" si="8"/>
        <v>Distribution Warehouse</v>
      </c>
    </row>
    <row r="76" spans="1:44" ht="25.5">
      <c r="A76" s="154" t="s">
        <v>10128</v>
      </c>
      <c r="B76" s="149">
        <v>407</v>
      </c>
      <c r="C76" s="154" t="s">
        <v>10129</v>
      </c>
      <c r="D76" s="266" t="s">
        <v>10130</v>
      </c>
      <c r="E76" s="154" t="s">
        <v>3642</v>
      </c>
      <c r="F76" s="154" t="s">
        <v>9942</v>
      </c>
      <c r="G76" s="154" t="s">
        <v>1911</v>
      </c>
      <c r="H76" s="266" t="s">
        <v>10102</v>
      </c>
      <c r="I76" s="154">
        <v>2007</v>
      </c>
      <c r="J76" s="154">
        <v>215560</v>
      </c>
      <c r="K76" s="154">
        <v>2021</v>
      </c>
      <c r="L76" s="154"/>
      <c r="M76" s="154"/>
      <c r="N76" s="154"/>
      <c r="O76" s="159">
        <v>21017</v>
      </c>
      <c r="P76" s="159">
        <v>52362</v>
      </c>
      <c r="Q76" s="154"/>
      <c r="R76" s="154"/>
      <c r="S76" s="154"/>
      <c r="T76" s="154"/>
      <c r="U76" s="154"/>
      <c r="V76" s="154"/>
      <c r="W76" s="154"/>
      <c r="X76" s="154"/>
      <c r="Y76" s="154"/>
      <c r="Z76" s="154"/>
      <c r="AA76" s="154"/>
      <c r="AB76" s="154"/>
      <c r="AC76" s="159">
        <v>64218</v>
      </c>
      <c r="AD76" s="154"/>
      <c r="AE76" s="154"/>
      <c r="AF76" s="159">
        <v>67129</v>
      </c>
      <c r="AG76" s="154"/>
      <c r="AH76" s="159">
        <v>204726</v>
      </c>
      <c r="AI76" s="159">
        <v>537207</v>
      </c>
      <c r="AJ76" s="159">
        <v>741933</v>
      </c>
      <c r="AK76" s="154"/>
      <c r="AL76" s="154"/>
      <c r="AM76" s="266" t="s">
        <v>10534</v>
      </c>
      <c r="AN76" t="e">
        <f t="shared" si="6"/>
        <v>#N/A</v>
      </c>
      <c r="AO76" t="e">
        <f t="shared" si="7"/>
        <v>#N/A</v>
      </c>
      <c r="AR76" s="230" t="str">
        <f t="shared" si="8"/>
        <v>Distribution Warehouse</v>
      </c>
    </row>
    <row r="77" spans="1:44" ht="25.5">
      <c r="A77" s="154" t="s">
        <v>10128</v>
      </c>
      <c r="B77" s="149">
        <v>407</v>
      </c>
      <c r="C77" s="154" t="s">
        <v>10129</v>
      </c>
      <c r="D77" s="266" t="s">
        <v>10130</v>
      </c>
      <c r="E77" s="154" t="s">
        <v>3642</v>
      </c>
      <c r="F77" s="154" t="s">
        <v>9942</v>
      </c>
      <c r="G77" s="154" t="s">
        <v>1911</v>
      </c>
      <c r="H77" s="266" t="s">
        <v>10102</v>
      </c>
      <c r="I77" s="154">
        <v>2007</v>
      </c>
      <c r="J77" s="154">
        <v>215560</v>
      </c>
      <c r="K77" s="154">
        <v>2022</v>
      </c>
      <c r="L77" s="154"/>
      <c r="M77" s="154"/>
      <c r="N77" s="154"/>
      <c r="O77" s="159">
        <v>22360</v>
      </c>
      <c r="P77" s="159">
        <v>55092</v>
      </c>
      <c r="Q77" s="154"/>
      <c r="R77" s="154"/>
      <c r="S77" s="154"/>
      <c r="T77" s="154"/>
      <c r="U77" s="154"/>
      <c r="V77" s="154"/>
      <c r="W77" s="154"/>
      <c r="X77" s="154"/>
      <c r="Y77" s="154"/>
      <c r="Z77" s="154"/>
      <c r="AA77" s="154"/>
      <c r="AB77" s="154"/>
      <c r="AC77" s="159">
        <v>67277</v>
      </c>
      <c r="AD77" s="154"/>
      <c r="AE77" s="154"/>
      <c r="AF77" s="159">
        <v>72040</v>
      </c>
      <c r="AG77" s="154"/>
      <c r="AH77" s="159">
        <v>216769</v>
      </c>
      <c r="AI77" s="159">
        <v>558214</v>
      </c>
      <c r="AJ77" s="159">
        <v>774983</v>
      </c>
      <c r="AK77" s="154"/>
      <c r="AL77" s="154"/>
      <c r="AM77" s="266" t="s">
        <v>10534</v>
      </c>
      <c r="AN77" t="e">
        <f t="shared" si="6"/>
        <v>#N/A</v>
      </c>
      <c r="AO77" t="e">
        <f t="shared" si="7"/>
        <v>#N/A</v>
      </c>
      <c r="AR77" s="230" t="str">
        <f t="shared" si="8"/>
        <v>Distribution Warehouse</v>
      </c>
    </row>
    <row r="78" spans="1:44" ht="25.5">
      <c r="A78" s="154" t="s">
        <v>10131</v>
      </c>
      <c r="B78" s="149">
        <v>407</v>
      </c>
      <c r="C78" s="154" t="s">
        <v>10132</v>
      </c>
      <c r="D78" s="266" t="s">
        <v>10133</v>
      </c>
      <c r="E78" s="154" t="s">
        <v>3642</v>
      </c>
      <c r="F78" s="154" t="s">
        <v>9942</v>
      </c>
      <c r="G78" s="154" t="s">
        <v>1911</v>
      </c>
      <c r="H78" s="266" t="s">
        <v>10102</v>
      </c>
      <c r="I78" s="154">
        <v>2007</v>
      </c>
      <c r="J78" s="154">
        <v>202091</v>
      </c>
      <c r="K78" s="154">
        <v>2021</v>
      </c>
      <c r="L78" s="154"/>
      <c r="M78" s="154"/>
      <c r="N78" s="154"/>
      <c r="O78" s="159">
        <v>17434</v>
      </c>
      <c r="P78" s="159">
        <v>31149</v>
      </c>
      <c r="Q78" s="154"/>
      <c r="R78" s="154"/>
      <c r="S78" s="154"/>
      <c r="T78" s="154"/>
      <c r="U78" s="154"/>
      <c r="V78" s="154"/>
      <c r="W78" s="154"/>
      <c r="X78" s="154"/>
      <c r="Y78" s="154"/>
      <c r="Z78" s="154"/>
      <c r="AA78" s="154"/>
      <c r="AB78" s="154"/>
      <c r="AC78" s="159">
        <v>83142</v>
      </c>
      <c r="AD78" s="154"/>
      <c r="AE78" s="154"/>
      <c r="AF78" s="154"/>
      <c r="AG78" s="154"/>
      <c r="AH78" s="159">
        <v>131725</v>
      </c>
      <c r="AI78" s="159">
        <v>499000</v>
      </c>
      <c r="AJ78" s="159">
        <v>630725</v>
      </c>
      <c r="AK78" s="154"/>
      <c r="AL78" s="154"/>
      <c r="AM78" s="266" t="s">
        <v>10535</v>
      </c>
      <c r="AN78" t="e">
        <f t="shared" si="6"/>
        <v>#N/A</v>
      </c>
      <c r="AO78" t="e">
        <f t="shared" si="7"/>
        <v>#N/A</v>
      </c>
      <c r="AR78" s="230" t="str">
        <f t="shared" si="8"/>
        <v>Distribution Warehouse</v>
      </c>
    </row>
    <row r="79" spans="1:44" ht="25.5">
      <c r="A79" s="154" t="s">
        <v>10131</v>
      </c>
      <c r="B79" s="149">
        <v>407</v>
      </c>
      <c r="C79" s="154" t="s">
        <v>10132</v>
      </c>
      <c r="D79" s="266" t="s">
        <v>10133</v>
      </c>
      <c r="E79" s="154" t="s">
        <v>3642</v>
      </c>
      <c r="F79" s="154" t="s">
        <v>9942</v>
      </c>
      <c r="G79" s="154" t="s">
        <v>1911</v>
      </c>
      <c r="H79" s="266" t="s">
        <v>10102</v>
      </c>
      <c r="I79" s="154">
        <v>2007</v>
      </c>
      <c r="J79" s="154">
        <v>202091</v>
      </c>
      <c r="K79" s="154">
        <v>2022</v>
      </c>
      <c r="L79" s="154"/>
      <c r="M79" s="154"/>
      <c r="N79" s="154"/>
      <c r="O79" s="159">
        <v>18548</v>
      </c>
      <c r="P79" s="159">
        <v>27554</v>
      </c>
      <c r="Q79" s="154"/>
      <c r="R79" s="154"/>
      <c r="S79" s="154"/>
      <c r="T79" s="154"/>
      <c r="U79" s="154"/>
      <c r="V79" s="154"/>
      <c r="W79" s="154"/>
      <c r="X79" s="154"/>
      <c r="Y79" s="154"/>
      <c r="Z79" s="154"/>
      <c r="AA79" s="154"/>
      <c r="AB79" s="154"/>
      <c r="AC79" s="159">
        <v>66184</v>
      </c>
      <c r="AD79" s="154"/>
      <c r="AE79" s="154"/>
      <c r="AF79" s="154"/>
      <c r="AG79" s="154"/>
      <c r="AH79" s="159">
        <v>112286</v>
      </c>
      <c r="AI79" s="159">
        <v>509649</v>
      </c>
      <c r="AJ79" s="159">
        <v>621935</v>
      </c>
      <c r="AK79" s="154"/>
      <c r="AL79" s="154"/>
      <c r="AM79" s="266" t="s">
        <v>10535</v>
      </c>
      <c r="AN79" t="e">
        <f t="shared" si="6"/>
        <v>#N/A</v>
      </c>
      <c r="AO79" t="e">
        <f t="shared" si="7"/>
        <v>#N/A</v>
      </c>
      <c r="AR79" s="230" t="str">
        <f t="shared" si="8"/>
        <v>Distribution Warehouse</v>
      </c>
    </row>
    <row r="80" spans="1:44" ht="25.5">
      <c r="A80" s="154" t="s">
        <v>10134</v>
      </c>
      <c r="B80" s="149">
        <v>407</v>
      </c>
      <c r="C80" s="154" t="s">
        <v>10135</v>
      </c>
      <c r="D80" s="266" t="s">
        <v>10136</v>
      </c>
      <c r="E80" s="154" t="s">
        <v>3642</v>
      </c>
      <c r="F80" s="154" t="s">
        <v>9942</v>
      </c>
      <c r="G80" s="154" t="s">
        <v>1911</v>
      </c>
      <c r="H80" s="266" t="s">
        <v>10102</v>
      </c>
      <c r="I80" s="154">
        <v>2001</v>
      </c>
      <c r="J80" s="154">
        <v>150027</v>
      </c>
      <c r="K80" s="154">
        <v>2021</v>
      </c>
      <c r="L80" s="154"/>
      <c r="M80" s="154"/>
      <c r="N80" s="154"/>
      <c r="O80" s="159">
        <v>11682</v>
      </c>
      <c r="P80" s="159">
        <v>41521</v>
      </c>
      <c r="Q80" s="154"/>
      <c r="R80" s="154"/>
      <c r="S80" s="154"/>
      <c r="T80" s="154"/>
      <c r="U80" s="154"/>
      <c r="V80" s="154"/>
      <c r="W80" s="154"/>
      <c r="X80" s="154"/>
      <c r="Y80" s="154"/>
      <c r="Z80" s="154"/>
      <c r="AA80" s="154"/>
      <c r="AB80" s="154"/>
      <c r="AC80" s="159">
        <v>49834</v>
      </c>
      <c r="AD80" s="154"/>
      <c r="AE80" s="154"/>
      <c r="AF80" s="154"/>
      <c r="AG80" s="154"/>
      <c r="AH80" s="159">
        <v>103037</v>
      </c>
      <c r="AI80" s="159">
        <v>427951</v>
      </c>
      <c r="AJ80" s="159">
        <v>530988</v>
      </c>
      <c r="AK80" s="154"/>
      <c r="AL80" s="154"/>
      <c r="AM80" s="266" t="s">
        <v>10536</v>
      </c>
      <c r="AN80" t="e">
        <f t="shared" si="6"/>
        <v>#N/A</v>
      </c>
      <c r="AO80" t="e">
        <f t="shared" si="7"/>
        <v>#N/A</v>
      </c>
      <c r="AR80" s="230" t="str">
        <f t="shared" si="8"/>
        <v>Distribution Warehouse</v>
      </c>
    </row>
    <row r="81" spans="1:44" ht="25.5">
      <c r="A81" s="154" t="s">
        <v>10134</v>
      </c>
      <c r="B81" s="149">
        <v>407</v>
      </c>
      <c r="C81" s="154" t="s">
        <v>10135</v>
      </c>
      <c r="D81" s="266" t="s">
        <v>10136</v>
      </c>
      <c r="E81" s="154" t="s">
        <v>3642</v>
      </c>
      <c r="F81" s="154" t="s">
        <v>9942</v>
      </c>
      <c r="G81" s="154" t="s">
        <v>1911</v>
      </c>
      <c r="H81" s="266" t="s">
        <v>10102</v>
      </c>
      <c r="I81" s="154">
        <v>2001</v>
      </c>
      <c r="J81" s="154">
        <v>150027</v>
      </c>
      <c r="K81" s="154">
        <v>2022</v>
      </c>
      <c r="L81" s="154"/>
      <c r="M81" s="154"/>
      <c r="N81" s="154"/>
      <c r="O81" s="159">
        <v>12428</v>
      </c>
      <c r="P81" s="159">
        <v>34409</v>
      </c>
      <c r="Q81" s="154"/>
      <c r="R81" s="154"/>
      <c r="S81" s="154"/>
      <c r="T81" s="154"/>
      <c r="U81" s="154"/>
      <c r="V81" s="154"/>
      <c r="W81" s="154"/>
      <c r="X81" s="154"/>
      <c r="Y81" s="154"/>
      <c r="Z81" s="154"/>
      <c r="AA81" s="154"/>
      <c r="AB81" s="154"/>
      <c r="AC81" s="159">
        <v>54262</v>
      </c>
      <c r="AD81" s="154"/>
      <c r="AE81" s="154"/>
      <c r="AF81" s="154"/>
      <c r="AG81" s="154"/>
      <c r="AH81" s="159">
        <v>101099</v>
      </c>
      <c r="AI81" s="159">
        <v>410892</v>
      </c>
      <c r="AJ81" s="159">
        <v>511991</v>
      </c>
      <c r="AK81" s="154"/>
      <c r="AL81" s="154"/>
      <c r="AM81" s="266" t="s">
        <v>10536</v>
      </c>
      <c r="AN81" t="e">
        <f t="shared" si="6"/>
        <v>#N/A</v>
      </c>
      <c r="AO81" t="e">
        <f t="shared" si="7"/>
        <v>#N/A</v>
      </c>
      <c r="AR81" s="230" t="str">
        <f t="shared" si="8"/>
        <v>Distribution Warehouse</v>
      </c>
    </row>
    <row r="82" spans="1:44" ht="25.5">
      <c r="A82" s="154" t="s">
        <v>10137</v>
      </c>
      <c r="B82" s="149">
        <v>584</v>
      </c>
      <c r="C82" s="154" t="s">
        <v>10138</v>
      </c>
      <c r="D82" s="266" t="s">
        <v>10139</v>
      </c>
      <c r="E82" s="154" t="s">
        <v>3642</v>
      </c>
      <c r="F82" s="154" t="s">
        <v>9942</v>
      </c>
      <c r="G82" s="154" t="s">
        <v>1911</v>
      </c>
      <c r="H82" s="266" t="s">
        <v>10102</v>
      </c>
      <c r="I82" s="154">
        <v>2013</v>
      </c>
      <c r="J82" s="154">
        <v>500358</v>
      </c>
      <c r="K82" s="154">
        <v>2021</v>
      </c>
      <c r="L82" s="154"/>
      <c r="M82" s="154"/>
      <c r="N82" s="154"/>
      <c r="O82" s="159">
        <v>37172</v>
      </c>
      <c r="P82" s="159">
        <v>117764</v>
      </c>
      <c r="Q82" s="154"/>
      <c r="R82" s="154"/>
      <c r="S82" s="154"/>
      <c r="T82" s="154"/>
      <c r="U82" s="154"/>
      <c r="V82" s="154"/>
      <c r="W82" s="154"/>
      <c r="X82" s="154"/>
      <c r="Y82" s="154"/>
      <c r="Z82" s="154"/>
      <c r="AA82" s="154"/>
      <c r="AB82" s="154"/>
      <c r="AC82" s="159">
        <v>156518</v>
      </c>
      <c r="AD82" s="154"/>
      <c r="AE82" s="154"/>
      <c r="AF82" s="159">
        <v>117148</v>
      </c>
      <c r="AG82" s="154"/>
      <c r="AH82" s="159">
        <v>428602</v>
      </c>
      <c r="AI82" s="159">
        <v>1142695</v>
      </c>
      <c r="AJ82" s="159">
        <v>1571297</v>
      </c>
      <c r="AK82" s="154"/>
      <c r="AL82" s="154"/>
      <c r="AM82" s="266" t="s">
        <v>10537</v>
      </c>
      <c r="AN82" t="e">
        <f t="shared" si="6"/>
        <v>#N/A</v>
      </c>
      <c r="AO82" t="e">
        <f t="shared" si="7"/>
        <v>#N/A</v>
      </c>
      <c r="AR82" s="230" t="str">
        <f t="shared" si="8"/>
        <v>Mega Warehouse</v>
      </c>
    </row>
    <row r="83" spans="1:44" ht="25.5">
      <c r="A83" s="154" t="s">
        <v>10137</v>
      </c>
      <c r="B83" s="149">
        <v>584</v>
      </c>
      <c r="C83" s="154" t="s">
        <v>10138</v>
      </c>
      <c r="D83" s="266" t="s">
        <v>10139</v>
      </c>
      <c r="E83" s="154" t="s">
        <v>3642</v>
      </c>
      <c r="F83" s="154" t="s">
        <v>9942</v>
      </c>
      <c r="G83" s="154" t="s">
        <v>1911</v>
      </c>
      <c r="H83" s="266" t="s">
        <v>10102</v>
      </c>
      <c r="I83" s="154">
        <v>2013</v>
      </c>
      <c r="J83" s="154">
        <v>500358</v>
      </c>
      <c r="K83" s="154">
        <v>2022</v>
      </c>
      <c r="L83" s="154"/>
      <c r="M83" s="154"/>
      <c r="N83" s="154"/>
      <c r="O83" s="159">
        <v>39548</v>
      </c>
      <c r="P83" s="159">
        <v>100791</v>
      </c>
      <c r="Q83" s="154"/>
      <c r="R83" s="154"/>
      <c r="S83" s="154"/>
      <c r="T83" s="154"/>
      <c r="U83" s="154"/>
      <c r="V83" s="154"/>
      <c r="W83" s="154"/>
      <c r="X83" s="154"/>
      <c r="Y83" s="154"/>
      <c r="Z83" s="154"/>
      <c r="AA83" s="154"/>
      <c r="AB83" s="154"/>
      <c r="AC83" s="159">
        <v>116474</v>
      </c>
      <c r="AD83" s="154"/>
      <c r="AE83" s="154"/>
      <c r="AF83" s="159">
        <v>113231</v>
      </c>
      <c r="AG83" s="154"/>
      <c r="AH83" s="159">
        <v>370044</v>
      </c>
      <c r="AI83" s="159">
        <v>1270807</v>
      </c>
      <c r="AJ83" s="159">
        <v>1640851</v>
      </c>
      <c r="AK83" s="154"/>
      <c r="AL83" s="154"/>
      <c r="AM83" s="266" t="s">
        <v>10537</v>
      </c>
      <c r="AN83" t="e">
        <f t="shared" si="6"/>
        <v>#N/A</v>
      </c>
      <c r="AO83" t="e">
        <f t="shared" si="7"/>
        <v>#N/A</v>
      </c>
      <c r="AR83" s="230" t="str">
        <f t="shared" si="8"/>
        <v>Mega Warehouse</v>
      </c>
    </row>
    <row r="84" spans="1:44" ht="25.5">
      <c r="A84" s="154" t="s">
        <v>10140</v>
      </c>
      <c r="B84" s="149">
        <v>584</v>
      </c>
      <c r="C84" s="154" t="s">
        <v>10141</v>
      </c>
      <c r="D84" s="266" t="s">
        <v>10142</v>
      </c>
      <c r="E84" s="154" t="s">
        <v>3642</v>
      </c>
      <c r="F84" s="154" t="s">
        <v>9942</v>
      </c>
      <c r="G84" s="154" t="s">
        <v>1911</v>
      </c>
      <c r="H84" s="266" t="s">
        <v>10102</v>
      </c>
      <c r="I84" s="154">
        <v>2017</v>
      </c>
      <c r="J84" s="154">
        <v>522120</v>
      </c>
      <c r="K84" s="154">
        <v>2021</v>
      </c>
      <c r="L84" s="154"/>
      <c r="M84" s="154"/>
      <c r="N84" s="154"/>
      <c r="O84" s="159">
        <v>42908</v>
      </c>
      <c r="P84" s="159">
        <v>134812</v>
      </c>
      <c r="Q84" s="154"/>
      <c r="R84" s="154"/>
      <c r="S84" s="154"/>
      <c r="T84" s="154"/>
      <c r="U84" s="154"/>
      <c r="V84" s="154"/>
      <c r="W84" s="154"/>
      <c r="X84" s="154"/>
      <c r="Y84" s="154"/>
      <c r="Z84" s="154"/>
      <c r="AA84" s="154"/>
      <c r="AB84" s="154"/>
      <c r="AC84" s="159">
        <v>147507</v>
      </c>
      <c r="AD84" s="154"/>
      <c r="AE84" s="154"/>
      <c r="AF84" s="159">
        <v>93640</v>
      </c>
      <c r="AG84" s="154"/>
      <c r="AH84" s="159">
        <v>418867</v>
      </c>
      <c r="AI84" s="159">
        <v>1137439</v>
      </c>
      <c r="AJ84" s="159">
        <v>1556306</v>
      </c>
      <c r="AK84" s="154"/>
      <c r="AL84" s="154"/>
      <c r="AM84" s="266" t="s">
        <v>10538</v>
      </c>
      <c r="AN84" t="e">
        <f t="shared" si="6"/>
        <v>#N/A</v>
      </c>
      <c r="AO84" t="e">
        <f t="shared" si="7"/>
        <v>#N/A</v>
      </c>
      <c r="AR84" s="230" t="str">
        <f t="shared" si="8"/>
        <v>Mega Warehouse</v>
      </c>
    </row>
    <row r="85" spans="1:44" ht="25.5">
      <c r="A85" s="154" t="s">
        <v>10140</v>
      </c>
      <c r="B85" s="149">
        <v>584</v>
      </c>
      <c r="C85" s="154" t="s">
        <v>10141</v>
      </c>
      <c r="D85" s="266" t="s">
        <v>10142</v>
      </c>
      <c r="E85" s="154" t="s">
        <v>3642</v>
      </c>
      <c r="F85" s="154" t="s">
        <v>9942</v>
      </c>
      <c r="G85" s="154" t="s">
        <v>1911</v>
      </c>
      <c r="H85" s="266" t="s">
        <v>10102</v>
      </c>
      <c r="I85" s="154">
        <v>2017</v>
      </c>
      <c r="J85" s="154">
        <v>522120</v>
      </c>
      <c r="K85" s="154">
        <v>2022</v>
      </c>
      <c r="L85" s="154"/>
      <c r="M85" s="154"/>
      <c r="N85" s="154"/>
      <c r="O85" s="159">
        <v>45651</v>
      </c>
      <c r="P85" s="159">
        <v>115853</v>
      </c>
      <c r="Q85" s="154"/>
      <c r="R85" s="154"/>
      <c r="S85" s="154"/>
      <c r="T85" s="154"/>
      <c r="U85" s="154"/>
      <c r="V85" s="154"/>
      <c r="W85" s="154"/>
      <c r="X85" s="154"/>
      <c r="Y85" s="154"/>
      <c r="Z85" s="154"/>
      <c r="AA85" s="154"/>
      <c r="AB85" s="154"/>
      <c r="AC85" s="159">
        <v>89739</v>
      </c>
      <c r="AD85" s="154"/>
      <c r="AE85" s="154"/>
      <c r="AF85" s="159">
        <v>90763</v>
      </c>
      <c r="AG85" s="154"/>
      <c r="AH85" s="159">
        <v>342006</v>
      </c>
      <c r="AI85" s="159">
        <v>1169645</v>
      </c>
      <c r="AJ85" s="159">
        <v>1511651</v>
      </c>
      <c r="AK85" s="154"/>
      <c r="AL85" s="154"/>
      <c r="AM85" s="266" t="s">
        <v>10538</v>
      </c>
      <c r="AN85" t="e">
        <f t="shared" si="6"/>
        <v>#N/A</v>
      </c>
      <c r="AO85" t="e">
        <f t="shared" si="7"/>
        <v>#N/A</v>
      </c>
      <c r="AR85" s="230" t="str">
        <f t="shared" si="8"/>
        <v>Mega Warehouse</v>
      </c>
    </row>
    <row r="86" spans="1:44" ht="25.5">
      <c r="A86" s="154" t="s">
        <v>10143</v>
      </c>
      <c r="B86" s="149">
        <v>407</v>
      </c>
      <c r="C86" s="154" t="s">
        <v>10144</v>
      </c>
      <c r="D86" s="266" t="s">
        <v>10145</v>
      </c>
      <c r="E86" s="154" t="s">
        <v>10146</v>
      </c>
      <c r="F86" s="154" t="s">
        <v>9942</v>
      </c>
      <c r="G86" s="154" t="s">
        <v>1911</v>
      </c>
      <c r="H86" s="266" t="s">
        <v>10147</v>
      </c>
      <c r="I86" s="154"/>
      <c r="J86" s="154"/>
      <c r="K86" s="154">
        <v>2021</v>
      </c>
      <c r="L86" s="159">
        <v>2633716</v>
      </c>
      <c r="M86" s="154"/>
      <c r="N86" s="159">
        <v>3256403</v>
      </c>
      <c r="O86" s="159">
        <v>56624</v>
      </c>
      <c r="P86" s="154"/>
      <c r="Q86" s="159">
        <v>300</v>
      </c>
      <c r="R86" s="154"/>
      <c r="S86" s="154"/>
      <c r="T86" s="154"/>
      <c r="U86" s="154"/>
      <c r="V86" s="154"/>
      <c r="W86" s="154"/>
      <c r="X86" s="159">
        <v>29535</v>
      </c>
      <c r="Y86" s="159">
        <v>30138</v>
      </c>
      <c r="Z86" s="154"/>
      <c r="AA86" s="159">
        <v>54136</v>
      </c>
      <c r="AB86" s="159">
        <v>127274</v>
      </c>
      <c r="AC86" s="154"/>
      <c r="AD86" s="154"/>
      <c r="AE86" s="154"/>
      <c r="AF86" s="159">
        <v>18748</v>
      </c>
      <c r="AG86" s="154"/>
      <c r="AH86" s="159">
        <v>731951</v>
      </c>
      <c r="AI86" s="154"/>
      <c r="AJ86" s="154"/>
      <c r="AK86" s="159">
        <v>2524452</v>
      </c>
      <c r="AL86" s="154"/>
      <c r="AM86" s="266" t="s">
        <v>10539</v>
      </c>
      <c r="AN86" t="e">
        <f t="shared" si="6"/>
        <v>#N/A</v>
      </c>
      <c r="AO86" t="e">
        <f t="shared" si="7"/>
        <v>#N/A</v>
      </c>
      <c r="AR86" s="230" t="str">
        <f t="shared" si="8"/>
        <v>Distribution Warehouse</v>
      </c>
    </row>
    <row r="87" spans="1:44" ht="25.5">
      <c r="A87" s="154" t="s">
        <v>10143</v>
      </c>
      <c r="B87" s="149">
        <v>407</v>
      </c>
      <c r="C87" s="154" t="s">
        <v>10144</v>
      </c>
      <c r="D87" s="266" t="s">
        <v>10145</v>
      </c>
      <c r="E87" s="154" t="s">
        <v>10146</v>
      </c>
      <c r="F87" s="154" t="s">
        <v>9942</v>
      </c>
      <c r="G87" s="154" t="s">
        <v>1911</v>
      </c>
      <c r="H87" s="266" t="s">
        <v>10147</v>
      </c>
      <c r="I87" s="154"/>
      <c r="J87" s="154"/>
      <c r="K87" s="154">
        <v>2022</v>
      </c>
      <c r="L87" s="154"/>
      <c r="M87" s="154"/>
      <c r="N87" s="154"/>
      <c r="O87" s="154"/>
      <c r="P87" s="159">
        <v>69999</v>
      </c>
      <c r="Q87" s="154"/>
      <c r="R87" s="154"/>
      <c r="S87" s="154"/>
      <c r="T87" s="154"/>
      <c r="U87" s="154"/>
      <c r="V87" s="154"/>
      <c r="W87" s="154"/>
      <c r="X87" s="154"/>
      <c r="Y87" s="154"/>
      <c r="Z87" s="154"/>
      <c r="AA87" s="154"/>
      <c r="AB87" s="154"/>
      <c r="AC87" s="154"/>
      <c r="AD87" s="154"/>
      <c r="AE87" s="154"/>
      <c r="AF87" s="154"/>
      <c r="AG87" s="154"/>
      <c r="AH87" s="154"/>
      <c r="AI87" s="159">
        <v>1080500</v>
      </c>
      <c r="AJ87" s="159">
        <v>1527913</v>
      </c>
      <c r="AK87" s="159">
        <v>2475461</v>
      </c>
      <c r="AL87" s="154"/>
      <c r="AM87" s="266" t="s">
        <v>10540</v>
      </c>
      <c r="AN87" t="e">
        <f t="shared" si="6"/>
        <v>#N/A</v>
      </c>
      <c r="AO87" t="e">
        <f t="shared" si="7"/>
        <v>#N/A</v>
      </c>
      <c r="AR87" s="230" t="str">
        <f t="shared" si="8"/>
        <v>Distribution Warehouse</v>
      </c>
    </row>
    <row r="88" spans="1:44" ht="25.5">
      <c r="A88" s="154" t="s">
        <v>10151</v>
      </c>
      <c r="B88" s="149">
        <v>386</v>
      </c>
      <c r="C88" s="154" t="s">
        <v>10152</v>
      </c>
      <c r="D88" s="266" t="s">
        <v>10153</v>
      </c>
      <c r="E88" s="154" t="s">
        <v>3590</v>
      </c>
      <c r="F88" s="154" t="s">
        <v>9942</v>
      </c>
      <c r="G88" s="154" t="s">
        <v>10154</v>
      </c>
      <c r="H88" s="266" t="s">
        <v>10155</v>
      </c>
      <c r="I88" s="154"/>
      <c r="J88" s="154">
        <v>65766</v>
      </c>
      <c r="K88" s="154">
        <v>2021</v>
      </c>
      <c r="L88" s="154"/>
      <c r="M88" s="154"/>
      <c r="N88" s="159">
        <v>879992</v>
      </c>
      <c r="O88" s="154"/>
      <c r="P88" s="154"/>
      <c r="Q88" s="154"/>
      <c r="R88" s="154"/>
      <c r="S88" s="154"/>
      <c r="T88" s="154"/>
      <c r="U88" s="154"/>
      <c r="V88" s="154"/>
      <c r="W88" s="154"/>
      <c r="X88" s="154"/>
      <c r="Y88" s="154"/>
      <c r="Z88" s="154"/>
      <c r="AA88" s="154"/>
      <c r="AB88" s="154"/>
      <c r="AC88" s="154"/>
      <c r="AD88" s="154"/>
      <c r="AE88" s="154"/>
      <c r="AF88" s="154"/>
      <c r="AG88" s="154"/>
      <c r="AH88" s="154"/>
      <c r="AI88" s="154"/>
      <c r="AJ88" s="159">
        <v>418098</v>
      </c>
      <c r="AK88" s="159">
        <v>461894</v>
      </c>
      <c r="AL88" s="154"/>
      <c r="AM88" s="266" t="s">
        <v>10541</v>
      </c>
      <c r="AN88" t="e">
        <f t="shared" si="6"/>
        <v>#N/A</v>
      </c>
      <c r="AO88" t="e">
        <f t="shared" si="7"/>
        <v>#N/A</v>
      </c>
      <c r="AR88" s="230" t="str">
        <f t="shared" si="8"/>
        <v>Mini Warehouse</v>
      </c>
    </row>
    <row r="89" spans="1:44" ht="25.5">
      <c r="A89" s="154" t="s">
        <v>10151</v>
      </c>
      <c r="B89" s="149">
        <v>386</v>
      </c>
      <c r="C89" s="154" t="s">
        <v>10152</v>
      </c>
      <c r="D89" s="266" t="s">
        <v>10153</v>
      </c>
      <c r="E89" s="154" t="s">
        <v>3590</v>
      </c>
      <c r="F89" s="154" t="s">
        <v>9942</v>
      </c>
      <c r="G89" s="154" t="s">
        <v>10154</v>
      </c>
      <c r="H89" s="266" t="s">
        <v>10155</v>
      </c>
      <c r="I89" s="154"/>
      <c r="J89" s="154">
        <v>65766</v>
      </c>
      <c r="K89" s="154">
        <v>2022</v>
      </c>
      <c r="L89" s="154"/>
      <c r="M89" s="154"/>
      <c r="N89" s="159">
        <v>924824</v>
      </c>
      <c r="O89" s="154"/>
      <c r="P89" s="154"/>
      <c r="Q89" s="154"/>
      <c r="R89" s="154"/>
      <c r="S89" s="154"/>
      <c r="T89" s="154"/>
      <c r="U89" s="154"/>
      <c r="V89" s="154"/>
      <c r="W89" s="154"/>
      <c r="X89" s="154"/>
      <c r="Y89" s="154"/>
      <c r="Z89" s="154"/>
      <c r="AA89" s="154"/>
      <c r="AB89" s="154"/>
      <c r="AC89" s="154"/>
      <c r="AD89" s="154"/>
      <c r="AE89" s="154"/>
      <c r="AF89" s="154"/>
      <c r="AG89" s="154"/>
      <c r="AH89" s="154"/>
      <c r="AI89" s="154"/>
      <c r="AJ89" s="159">
        <v>455769</v>
      </c>
      <c r="AK89" s="159">
        <v>469055</v>
      </c>
      <c r="AL89" s="154"/>
      <c r="AM89" s="266" t="s">
        <v>10541</v>
      </c>
      <c r="AN89" t="e">
        <f t="shared" si="6"/>
        <v>#N/A</v>
      </c>
      <c r="AO89" t="e">
        <f t="shared" si="7"/>
        <v>#N/A</v>
      </c>
      <c r="AR89" s="230" t="str">
        <f t="shared" si="8"/>
        <v>Mini Warehouse</v>
      </c>
    </row>
    <row r="90" spans="1:44" ht="25.5">
      <c r="A90" s="154" t="s">
        <v>10151</v>
      </c>
      <c r="B90" s="149">
        <v>386</v>
      </c>
      <c r="C90" s="154" t="s">
        <v>10152</v>
      </c>
      <c r="D90" s="266" t="s">
        <v>10153</v>
      </c>
      <c r="E90" s="154" t="s">
        <v>3590</v>
      </c>
      <c r="F90" s="154" t="s">
        <v>9942</v>
      </c>
      <c r="G90" s="154" t="s">
        <v>10154</v>
      </c>
      <c r="H90" s="266" t="s">
        <v>10155</v>
      </c>
      <c r="I90" s="154"/>
      <c r="J90" s="154">
        <v>65766</v>
      </c>
      <c r="K90" s="154">
        <v>2023</v>
      </c>
      <c r="L90" s="154"/>
      <c r="M90" s="154"/>
      <c r="N90" s="159">
        <v>931247</v>
      </c>
      <c r="O90" s="159">
        <v>41471</v>
      </c>
      <c r="P90" s="159">
        <v>104101</v>
      </c>
      <c r="Q90" s="154"/>
      <c r="R90" s="154"/>
      <c r="S90" s="154"/>
      <c r="T90" s="154"/>
      <c r="U90" s="154"/>
      <c r="V90" s="154"/>
      <c r="W90" s="154"/>
      <c r="X90" s="154"/>
      <c r="Y90" s="159">
        <v>15564</v>
      </c>
      <c r="Z90" s="154"/>
      <c r="AA90" s="154"/>
      <c r="AB90" s="154"/>
      <c r="AC90" s="154"/>
      <c r="AD90" s="154"/>
      <c r="AE90" s="154"/>
      <c r="AF90" s="159">
        <v>37120</v>
      </c>
      <c r="AG90" s="154"/>
      <c r="AH90" s="159">
        <v>294563</v>
      </c>
      <c r="AI90" s="159">
        <v>179920</v>
      </c>
      <c r="AJ90" s="159">
        <v>474483</v>
      </c>
      <c r="AK90" s="159">
        <v>469746</v>
      </c>
      <c r="AL90" s="154"/>
      <c r="AM90" s="266" t="s">
        <v>10541</v>
      </c>
      <c r="AN90" t="e">
        <f t="shared" si="6"/>
        <v>#N/A</v>
      </c>
      <c r="AO90" t="e">
        <f t="shared" si="7"/>
        <v>#N/A</v>
      </c>
      <c r="AR90" s="230" t="str">
        <f t="shared" si="8"/>
        <v>Mini Warehouse</v>
      </c>
    </row>
    <row r="91" spans="1:44" ht="12.75">
      <c r="A91" s="154" t="s">
        <v>10158</v>
      </c>
      <c r="B91" s="149">
        <v>386</v>
      </c>
      <c r="C91" s="154" t="s">
        <v>10159</v>
      </c>
      <c r="D91" s="266" t="s">
        <v>10160</v>
      </c>
      <c r="E91" s="154" t="s">
        <v>3547</v>
      </c>
      <c r="F91" s="154" t="s">
        <v>9942</v>
      </c>
      <c r="G91" s="154" t="s">
        <v>10154</v>
      </c>
      <c r="H91" s="266" t="s">
        <v>10155</v>
      </c>
      <c r="I91" s="154"/>
      <c r="J91" s="154">
        <v>79950</v>
      </c>
      <c r="K91" s="154">
        <v>2021</v>
      </c>
      <c r="L91" s="154"/>
      <c r="M91" s="154"/>
      <c r="N91" s="159">
        <v>956337</v>
      </c>
      <c r="O91" s="154"/>
      <c r="P91" s="154"/>
      <c r="Q91" s="154"/>
      <c r="R91" s="154"/>
      <c r="S91" s="154"/>
      <c r="T91" s="154"/>
      <c r="U91" s="154"/>
      <c r="V91" s="154"/>
      <c r="W91" s="154"/>
      <c r="X91" s="154"/>
      <c r="Y91" s="154"/>
      <c r="Z91" s="154"/>
      <c r="AA91" s="154"/>
      <c r="AB91" s="154"/>
      <c r="AC91" s="154"/>
      <c r="AD91" s="154"/>
      <c r="AE91" s="154"/>
      <c r="AF91" s="154"/>
      <c r="AG91" s="154"/>
      <c r="AH91" s="154"/>
      <c r="AI91" s="154"/>
      <c r="AJ91" s="159">
        <v>481614</v>
      </c>
      <c r="AK91" s="159">
        <v>514723</v>
      </c>
      <c r="AL91" s="154"/>
      <c r="AM91" s="266" t="s">
        <v>10542</v>
      </c>
      <c r="AN91" t="e">
        <f t="shared" si="6"/>
        <v>#N/A</v>
      </c>
      <c r="AO91" t="e">
        <f t="shared" si="7"/>
        <v>#N/A</v>
      </c>
      <c r="AR91" s="230" t="str">
        <f t="shared" si="8"/>
        <v>Mini Warehouse</v>
      </c>
    </row>
    <row r="92" spans="1:44" ht="12.75">
      <c r="A92" s="154" t="s">
        <v>10158</v>
      </c>
      <c r="B92" s="149">
        <v>386</v>
      </c>
      <c r="C92" s="154" t="s">
        <v>10159</v>
      </c>
      <c r="D92" s="266" t="s">
        <v>10160</v>
      </c>
      <c r="E92" s="154" t="s">
        <v>3547</v>
      </c>
      <c r="F92" s="154" t="s">
        <v>9942</v>
      </c>
      <c r="G92" s="154" t="s">
        <v>10154</v>
      </c>
      <c r="H92" s="266" t="s">
        <v>10155</v>
      </c>
      <c r="I92" s="154"/>
      <c r="J92" s="154">
        <v>79950</v>
      </c>
      <c r="K92" s="154">
        <v>2022</v>
      </c>
      <c r="L92" s="154"/>
      <c r="M92" s="154"/>
      <c r="N92" s="159">
        <v>1017929</v>
      </c>
      <c r="O92" s="154"/>
      <c r="P92" s="154"/>
      <c r="Q92" s="154"/>
      <c r="R92" s="154"/>
      <c r="S92" s="154"/>
      <c r="T92" s="154"/>
      <c r="U92" s="154"/>
      <c r="V92" s="154"/>
      <c r="W92" s="154"/>
      <c r="X92" s="154"/>
      <c r="Y92" s="154"/>
      <c r="Z92" s="154"/>
      <c r="AA92" s="154"/>
      <c r="AB92" s="154"/>
      <c r="AC92" s="154"/>
      <c r="AD92" s="154"/>
      <c r="AE92" s="154"/>
      <c r="AF92" s="154"/>
      <c r="AG92" s="154"/>
      <c r="AH92" s="154"/>
      <c r="AI92" s="154"/>
      <c r="AJ92" s="159">
        <v>432239</v>
      </c>
      <c r="AK92" s="159">
        <v>585690</v>
      </c>
      <c r="AL92" s="154"/>
      <c r="AM92" s="266" t="s">
        <v>10542</v>
      </c>
      <c r="AN92" t="e">
        <f t="shared" si="6"/>
        <v>#N/A</v>
      </c>
      <c r="AO92" t="e">
        <f t="shared" si="7"/>
        <v>#N/A</v>
      </c>
      <c r="AR92" s="230" t="str">
        <f t="shared" si="8"/>
        <v>Mini Warehouse</v>
      </c>
    </row>
    <row r="93" spans="1:44" ht="12.75">
      <c r="A93" s="154" t="s">
        <v>10158</v>
      </c>
      <c r="B93" s="149">
        <v>386</v>
      </c>
      <c r="C93" s="154" t="s">
        <v>10159</v>
      </c>
      <c r="D93" s="266" t="s">
        <v>10160</v>
      </c>
      <c r="E93" s="154" t="s">
        <v>3547</v>
      </c>
      <c r="F93" s="154" t="s">
        <v>9942</v>
      </c>
      <c r="G93" s="154" t="s">
        <v>10154</v>
      </c>
      <c r="H93" s="266" t="s">
        <v>10155</v>
      </c>
      <c r="I93" s="154"/>
      <c r="J93" s="154">
        <v>79950</v>
      </c>
      <c r="K93" s="154">
        <v>2023</v>
      </c>
      <c r="L93" s="154"/>
      <c r="M93" s="154"/>
      <c r="N93" s="159">
        <v>954605</v>
      </c>
      <c r="O93" s="159">
        <v>40815</v>
      </c>
      <c r="P93" s="159">
        <v>108523</v>
      </c>
      <c r="Q93" s="154"/>
      <c r="R93" s="154"/>
      <c r="S93" s="154"/>
      <c r="T93" s="154"/>
      <c r="U93" s="154"/>
      <c r="V93" s="154"/>
      <c r="W93" s="154"/>
      <c r="X93" s="154"/>
      <c r="Y93" s="159">
        <v>24068</v>
      </c>
      <c r="Z93" s="154"/>
      <c r="AA93" s="154"/>
      <c r="AB93" s="154"/>
      <c r="AC93" s="154"/>
      <c r="AD93" s="154"/>
      <c r="AE93" s="154"/>
      <c r="AF93" s="159">
        <v>20683</v>
      </c>
      <c r="AG93" s="154"/>
      <c r="AH93" s="159">
        <v>274666</v>
      </c>
      <c r="AI93" s="159">
        <v>244725</v>
      </c>
      <c r="AJ93" s="159">
        <v>519391</v>
      </c>
      <c r="AK93" s="159">
        <v>435215</v>
      </c>
      <c r="AL93" s="154"/>
      <c r="AM93" s="266" t="s">
        <v>10542</v>
      </c>
      <c r="AN93" t="e">
        <f t="shared" si="6"/>
        <v>#N/A</v>
      </c>
      <c r="AO93" t="e">
        <f t="shared" si="7"/>
        <v>#N/A</v>
      </c>
      <c r="AR93" s="230" t="str">
        <f t="shared" si="8"/>
        <v>Mini Warehouse</v>
      </c>
    </row>
    <row r="94" spans="1:44" ht="12.75">
      <c r="A94" s="154" t="s">
        <v>10162</v>
      </c>
      <c r="B94" s="149">
        <v>386</v>
      </c>
      <c r="C94" s="154" t="s">
        <v>10163</v>
      </c>
      <c r="D94" s="266" t="s">
        <v>10164</v>
      </c>
      <c r="E94" s="154" t="s">
        <v>3547</v>
      </c>
      <c r="F94" s="154" t="s">
        <v>9942</v>
      </c>
      <c r="G94" s="154" t="s">
        <v>10154</v>
      </c>
      <c r="H94" s="266" t="s">
        <v>10165</v>
      </c>
      <c r="I94" s="154"/>
      <c r="J94" s="154">
        <v>83756</v>
      </c>
      <c r="K94" s="154">
        <v>2021</v>
      </c>
      <c r="L94" s="154"/>
      <c r="M94" s="154"/>
      <c r="N94" s="159">
        <v>814763</v>
      </c>
      <c r="O94" s="154"/>
      <c r="P94" s="154"/>
      <c r="Q94" s="154"/>
      <c r="R94" s="154"/>
      <c r="S94" s="154"/>
      <c r="T94" s="154"/>
      <c r="U94" s="154"/>
      <c r="V94" s="154"/>
      <c r="W94" s="154"/>
      <c r="X94" s="154"/>
      <c r="Y94" s="154"/>
      <c r="Z94" s="154"/>
      <c r="AA94" s="154"/>
      <c r="AB94" s="154"/>
      <c r="AC94" s="154"/>
      <c r="AD94" s="154"/>
      <c r="AE94" s="154"/>
      <c r="AF94" s="154"/>
      <c r="AG94" s="154"/>
      <c r="AH94" s="154"/>
      <c r="AI94" s="154"/>
      <c r="AJ94" s="159">
        <v>436596</v>
      </c>
      <c r="AK94" s="159">
        <v>378167</v>
      </c>
      <c r="AL94" s="154"/>
      <c r="AM94" s="266" t="s">
        <v>10542</v>
      </c>
      <c r="AN94" t="e">
        <f t="shared" si="6"/>
        <v>#N/A</v>
      </c>
      <c r="AO94" t="e">
        <f t="shared" si="7"/>
        <v>#N/A</v>
      </c>
      <c r="AR94" s="230" t="str">
        <f t="shared" si="8"/>
        <v>Mini Warehouse</v>
      </c>
    </row>
    <row r="95" spans="1:44" ht="12.75">
      <c r="A95" s="154" t="s">
        <v>10162</v>
      </c>
      <c r="B95" s="149">
        <v>386</v>
      </c>
      <c r="C95" s="154" t="s">
        <v>10163</v>
      </c>
      <c r="D95" s="266" t="s">
        <v>10164</v>
      </c>
      <c r="E95" s="154" t="s">
        <v>3547</v>
      </c>
      <c r="F95" s="154" t="s">
        <v>9942</v>
      </c>
      <c r="G95" s="154" t="s">
        <v>10154</v>
      </c>
      <c r="H95" s="266" t="s">
        <v>10165</v>
      </c>
      <c r="I95" s="154"/>
      <c r="J95" s="154">
        <v>83756</v>
      </c>
      <c r="K95" s="154">
        <v>2022</v>
      </c>
      <c r="L95" s="154"/>
      <c r="M95" s="154"/>
      <c r="N95" s="159">
        <v>980798</v>
      </c>
      <c r="O95" s="154"/>
      <c r="P95" s="154"/>
      <c r="Q95" s="154"/>
      <c r="R95" s="154"/>
      <c r="S95" s="154"/>
      <c r="T95" s="154"/>
      <c r="U95" s="154"/>
      <c r="V95" s="154"/>
      <c r="W95" s="154"/>
      <c r="X95" s="154"/>
      <c r="Y95" s="154"/>
      <c r="Z95" s="154"/>
      <c r="AA95" s="154"/>
      <c r="AB95" s="154"/>
      <c r="AC95" s="154"/>
      <c r="AD95" s="154"/>
      <c r="AE95" s="154"/>
      <c r="AF95" s="154"/>
      <c r="AG95" s="154"/>
      <c r="AH95" s="154"/>
      <c r="AI95" s="154"/>
      <c r="AJ95" s="159">
        <v>455854</v>
      </c>
      <c r="AK95" s="159">
        <v>524944</v>
      </c>
      <c r="AL95" s="154"/>
      <c r="AM95" s="266" t="s">
        <v>10542</v>
      </c>
      <c r="AN95" t="e">
        <f t="shared" si="6"/>
        <v>#N/A</v>
      </c>
      <c r="AO95" t="e">
        <f t="shared" si="7"/>
        <v>#N/A</v>
      </c>
      <c r="AR95" s="230" t="str">
        <f t="shared" si="8"/>
        <v>Mini Warehouse</v>
      </c>
    </row>
    <row r="96" spans="1:44" ht="12.75">
      <c r="A96" s="154" t="s">
        <v>10162</v>
      </c>
      <c r="B96" s="149">
        <v>386</v>
      </c>
      <c r="C96" s="154" t="s">
        <v>10163</v>
      </c>
      <c r="D96" s="266" t="s">
        <v>10164</v>
      </c>
      <c r="E96" s="154" t="s">
        <v>3547</v>
      </c>
      <c r="F96" s="154" t="s">
        <v>9942</v>
      </c>
      <c r="G96" s="154" t="s">
        <v>10154</v>
      </c>
      <c r="H96" s="266" t="s">
        <v>10165</v>
      </c>
      <c r="I96" s="154"/>
      <c r="J96" s="154">
        <v>83756</v>
      </c>
      <c r="K96" s="154">
        <v>2023</v>
      </c>
      <c r="L96" s="154"/>
      <c r="M96" s="154"/>
      <c r="N96" s="159">
        <v>1011950</v>
      </c>
      <c r="O96" s="159">
        <v>47107</v>
      </c>
      <c r="P96" s="159">
        <v>111748</v>
      </c>
      <c r="Q96" s="154"/>
      <c r="R96" s="154"/>
      <c r="S96" s="154"/>
      <c r="T96" s="154"/>
      <c r="U96" s="154"/>
      <c r="V96" s="154"/>
      <c r="W96" s="154"/>
      <c r="X96" s="154"/>
      <c r="Y96" s="159">
        <v>10236</v>
      </c>
      <c r="Z96" s="154"/>
      <c r="AA96" s="154"/>
      <c r="AB96" s="154"/>
      <c r="AC96" s="154"/>
      <c r="AD96" s="154"/>
      <c r="AE96" s="154"/>
      <c r="AF96" s="159">
        <v>15944</v>
      </c>
      <c r="AG96" s="154"/>
      <c r="AH96" s="159">
        <v>257858</v>
      </c>
      <c r="AI96" s="159">
        <v>202686</v>
      </c>
      <c r="AJ96" s="159">
        <v>460544</v>
      </c>
      <c r="AK96" s="159">
        <v>551606</v>
      </c>
      <c r="AL96" s="154"/>
      <c r="AM96" s="266" t="s">
        <v>10542</v>
      </c>
      <c r="AN96" t="e">
        <f t="shared" si="6"/>
        <v>#N/A</v>
      </c>
      <c r="AO96" t="e">
        <f t="shared" si="7"/>
        <v>#N/A</v>
      </c>
      <c r="AR96" s="230" t="str">
        <f t="shared" si="8"/>
        <v>Mini Warehouse</v>
      </c>
    </row>
    <row r="97" spans="1:44" ht="25.5">
      <c r="A97" s="154" t="s">
        <v>10167</v>
      </c>
      <c r="B97" s="149">
        <v>386</v>
      </c>
      <c r="C97" s="154" t="s">
        <v>10168</v>
      </c>
      <c r="D97" s="266" t="s">
        <v>10169</v>
      </c>
      <c r="E97" s="154" t="s">
        <v>3590</v>
      </c>
      <c r="F97" s="154" t="s">
        <v>9942</v>
      </c>
      <c r="G97" s="154" t="s">
        <v>10154</v>
      </c>
      <c r="H97" s="266" t="s">
        <v>10165</v>
      </c>
      <c r="I97" s="154"/>
      <c r="J97" s="154">
        <v>71909</v>
      </c>
      <c r="K97" s="154">
        <v>2021</v>
      </c>
      <c r="L97" s="154"/>
      <c r="M97" s="154"/>
      <c r="N97" s="159">
        <v>837430</v>
      </c>
      <c r="O97" s="154"/>
      <c r="P97" s="154"/>
      <c r="Q97" s="154"/>
      <c r="R97" s="154"/>
      <c r="S97" s="154"/>
      <c r="T97" s="154"/>
      <c r="U97" s="154"/>
      <c r="V97" s="154"/>
      <c r="W97" s="154"/>
      <c r="X97" s="154"/>
      <c r="Y97" s="154"/>
      <c r="Z97" s="154"/>
      <c r="AA97" s="154"/>
      <c r="AB97" s="154"/>
      <c r="AC97" s="154"/>
      <c r="AD97" s="154"/>
      <c r="AE97" s="154"/>
      <c r="AF97" s="154"/>
      <c r="AG97" s="154"/>
      <c r="AH97" s="154"/>
      <c r="AI97" s="154"/>
      <c r="AJ97" s="159">
        <v>445701</v>
      </c>
      <c r="AK97" s="159">
        <v>391729</v>
      </c>
      <c r="AL97" s="154"/>
      <c r="AM97" s="266" t="s">
        <v>10543</v>
      </c>
      <c r="AN97" t="e">
        <f t="shared" si="6"/>
        <v>#N/A</v>
      </c>
      <c r="AO97" t="e">
        <f t="shared" si="7"/>
        <v>#N/A</v>
      </c>
      <c r="AR97" s="230" t="str">
        <f t="shared" si="8"/>
        <v>Mini Warehouse</v>
      </c>
    </row>
    <row r="98" spans="1:44" ht="25.5">
      <c r="A98" s="154" t="s">
        <v>10167</v>
      </c>
      <c r="B98" s="149">
        <v>386</v>
      </c>
      <c r="C98" s="154" t="s">
        <v>10168</v>
      </c>
      <c r="D98" s="266" t="s">
        <v>10169</v>
      </c>
      <c r="E98" s="154" t="s">
        <v>3590</v>
      </c>
      <c r="F98" s="154" t="s">
        <v>9942</v>
      </c>
      <c r="G98" s="154" t="s">
        <v>10154</v>
      </c>
      <c r="H98" s="266" t="s">
        <v>10165</v>
      </c>
      <c r="I98" s="154"/>
      <c r="J98" s="154">
        <v>71909</v>
      </c>
      <c r="K98" s="154">
        <v>2022</v>
      </c>
      <c r="L98" s="154"/>
      <c r="M98" s="154"/>
      <c r="N98" s="159">
        <v>945562</v>
      </c>
      <c r="O98" s="154"/>
      <c r="P98" s="154"/>
      <c r="Q98" s="154"/>
      <c r="R98" s="154"/>
      <c r="S98" s="154"/>
      <c r="T98" s="154"/>
      <c r="U98" s="154"/>
      <c r="V98" s="154"/>
      <c r="W98" s="154"/>
      <c r="X98" s="154"/>
      <c r="Y98" s="154"/>
      <c r="Z98" s="154"/>
      <c r="AA98" s="154"/>
      <c r="AB98" s="154"/>
      <c r="AC98" s="154"/>
      <c r="AD98" s="154"/>
      <c r="AE98" s="154"/>
      <c r="AF98" s="154"/>
      <c r="AG98" s="154"/>
      <c r="AH98" s="154"/>
      <c r="AI98" s="154"/>
      <c r="AJ98" s="159">
        <v>445701</v>
      </c>
      <c r="AK98" s="159">
        <v>466302</v>
      </c>
      <c r="AL98" s="154"/>
      <c r="AM98" s="266" t="s">
        <v>10543</v>
      </c>
      <c r="AN98" t="e">
        <f t="shared" si="6"/>
        <v>#N/A</v>
      </c>
      <c r="AO98" t="e">
        <f t="shared" si="7"/>
        <v>#N/A</v>
      </c>
      <c r="AR98" s="230" t="str">
        <f t="shared" si="8"/>
        <v>Mini Warehouse</v>
      </c>
    </row>
    <row r="99" spans="1:44" ht="25.5">
      <c r="A99" s="154" t="s">
        <v>10167</v>
      </c>
      <c r="B99" s="149">
        <v>386</v>
      </c>
      <c r="C99" s="154" t="s">
        <v>10168</v>
      </c>
      <c r="D99" s="266" t="s">
        <v>10169</v>
      </c>
      <c r="E99" s="154" t="s">
        <v>3590</v>
      </c>
      <c r="F99" s="154" t="s">
        <v>9942</v>
      </c>
      <c r="G99" s="154" t="s">
        <v>10154</v>
      </c>
      <c r="H99" s="266" t="s">
        <v>10165</v>
      </c>
      <c r="I99" s="154"/>
      <c r="J99" s="154">
        <v>71909</v>
      </c>
      <c r="K99" s="154">
        <v>2023</v>
      </c>
      <c r="L99" s="154"/>
      <c r="M99" s="154"/>
      <c r="N99" s="159">
        <v>980778</v>
      </c>
      <c r="O99" s="159">
        <v>43407</v>
      </c>
      <c r="P99" s="159">
        <v>141702</v>
      </c>
      <c r="Q99" s="154"/>
      <c r="R99" s="154"/>
      <c r="S99" s="154"/>
      <c r="T99" s="154"/>
      <c r="U99" s="154"/>
      <c r="V99" s="154"/>
      <c r="W99" s="154"/>
      <c r="X99" s="154"/>
      <c r="Y99" s="159">
        <v>17835</v>
      </c>
      <c r="Z99" s="154"/>
      <c r="AA99" s="154"/>
      <c r="AB99" s="154"/>
      <c r="AC99" s="154"/>
      <c r="AD99" s="154"/>
      <c r="AE99" s="154"/>
      <c r="AF99" s="159">
        <v>21431</v>
      </c>
      <c r="AG99" s="154"/>
      <c r="AH99" s="159">
        <v>298955</v>
      </c>
      <c r="AI99" s="159">
        <v>186365</v>
      </c>
      <c r="AJ99" s="159">
        <v>485320</v>
      </c>
      <c r="AK99" s="159">
        <v>492300</v>
      </c>
      <c r="AL99" s="154"/>
      <c r="AM99" s="266" t="s">
        <v>10543</v>
      </c>
      <c r="AN99" t="e">
        <f t="shared" si="6"/>
        <v>#N/A</v>
      </c>
      <c r="AO99" t="e">
        <f t="shared" si="7"/>
        <v>#N/A</v>
      </c>
      <c r="AR99" s="230" t="str">
        <f t="shared" si="8"/>
        <v>Mini Warehouse</v>
      </c>
    </row>
    <row r="100" spans="1:44" ht="25.5">
      <c r="A100" s="154" t="s">
        <v>10171</v>
      </c>
      <c r="B100" s="149">
        <v>386</v>
      </c>
      <c r="C100" s="154" t="s">
        <v>10172</v>
      </c>
      <c r="D100" s="266" t="s">
        <v>10544</v>
      </c>
      <c r="E100" s="154" t="s">
        <v>3590</v>
      </c>
      <c r="F100" s="154" t="s">
        <v>9942</v>
      </c>
      <c r="G100" s="154" t="s">
        <v>10154</v>
      </c>
      <c r="H100" s="266" t="s">
        <v>10165</v>
      </c>
      <c r="I100" s="154"/>
      <c r="J100" s="154">
        <v>41900</v>
      </c>
      <c r="K100" s="154">
        <v>2024</v>
      </c>
      <c r="L100" s="154"/>
      <c r="M100" s="154"/>
      <c r="N100" s="159">
        <v>718060</v>
      </c>
      <c r="O100" s="159">
        <v>19037</v>
      </c>
      <c r="P100" s="159">
        <v>93975</v>
      </c>
      <c r="Q100" s="154"/>
      <c r="R100" s="154"/>
      <c r="S100" s="154"/>
      <c r="T100" s="154"/>
      <c r="U100" s="154"/>
      <c r="V100" s="154"/>
      <c r="W100" s="154"/>
      <c r="X100" s="154"/>
      <c r="Y100" s="159">
        <v>11768</v>
      </c>
      <c r="Z100" s="154"/>
      <c r="AA100" s="154"/>
      <c r="AB100" s="154"/>
      <c r="AC100" s="154"/>
      <c r="AD100" s="154"/>
      <c r="AE100" s="154"/>
      <c r="AF100" s="159">
        <v>5417</v>
      </c>
      <c r="AG100" s="154"/>
      <c r="AH100" s="159">
        <v>208790</v>
      </c>
      <c r="AI100" s="159">
        <v>176524</v>
      </c>
      <c r="AJ100" s="159">
        <v>385314</v>
      </c>
      <c r="AK100" s="159">
        <v>332746</v>
      </c>
      <c r="AL100" s="154"/>
      <c r="AM100" s="266" t="s">
        <v>10545</v>
      </c>
      <c r="AN100" t="e">
        <f t="shared" ref="AN100:AN131" si="9">IF(AND($B100=Subj_OccCode,Subj_BldgSF&gt;0,ABS($J100-Subj_BldgSF)&lt;=Subj_BldgSF*Subj_SizeTol),ABS($J100-Subj_BldgSF),NA())</f>
        <v>#N/A</v>
      </c>
      <c r="AO100" t="e">
        <f t="shared" ref="AO100:AO131" si="10">IF(ISNA(AN100),NA(),AN100+ROW()/10000000)</f>
        <v>#N/A</v>
      </c>
      <c r="AR100" s="230" t="str">
        <f t="shared" ref="AR100:AR131" si="11">IF(B100="","",IFERROR(INDEX(OCC_TABLE_DESC,MATCH(B100,OCC_TABLE_CODE,0)),"Unrecognized code"))</f>
        <v>Mini Warehouse</v>
      </c>
    </row>
    <row r="101" spans="1:44" ht="25.5">
      <c r="A101" s="154" t="s">
        <v>10176</v>
      </c>
      <c r="B101" s="149">
        <v>386</v>
      </c>
      <c r="C101" s="154" t="s">
        <v>5672</v>
      </c>
      <c r="D101" s="266" t="s">
        <v>10177</v>
      </c>
      <c r="E101" s="154" t="s">
        <v>8758</v>
      </c>
      <c r="F101" s="154" t="s">
        <v>9942</v>
      </c>
      <c r="G101" s="154" t="s">
        <v>10154</v>
      </c>
      <c r="H101" s="266" t="s">
        <v>10155</v>
      </c>
      <c r="I101" s="154"/>
      <c r="J101" s="154">
        <v>94736</v>
      </c>
      <c r="K101" s="154"/>
      <c r="L101" s="154"/>
      <c r="M101" s="154"/>
      <c r="N101" s="159">
        <v>1582087</v>
      </c>
      <c r="O101" s="159">
        <v>39625</v>
      </c>
      <c r="P101" s="159">
        <v>167356</v>
      </c>
      <c r="Q101" s="154"/>
      <c r="R101" s="154"/>
      <c r="S101" s="154"/>
      <c r="T101" s="154"/>
      <c r="U101" s="154"/>
      <c r="V101" s="154"/>
      <c r="W101" s="154"/>
      <c r="X101" s="154"/>
      <c r="Y101" s="159">
        <v>38582</v>
      </c>
      <c r="Z101" s="154"/>
      <c r="AA101" s="154"/>
      <c r="AB101" s="154"/>
      <c r="AC101" s="154"/>
      <c r="AD101" s="154"/>
      <c r="AE101" s="154"/>
      <c r="AF101" s="159">
        <v>19609</v>
      </c>
      <c r="AG101" s="154"/>
      <c r="AH101" s="159">
        <v>349253</v>
      </c>
      <c r="AI101" s="159">
        <v>423847</v>
      </c>
      <c r="AJ101" s="159">
        <v>773100</v>
      </c>
      <c r="AK101" s="159">
        <v>808987</v>
      </c>
      <c r="AL101" s="154"/>
      <c r="AM101" s="266" t="s">
        <v>10546</v>
      </c>
      <c r="AN101" t="e">
        <f t="shared" si="9"/>
        <v>#N/A</v>
      </c>
      <c r="AO101" t="e">
        <f t="shared" si="10"/>
        <v>#N/A</v>
      </c>
      <c r="AR101" s="230" t="str">
        <f t="shared" si="11"/>
        <v>Mini Warehouse</v>
      </c>
    </row>
    <row r="102" spans="1:44" ht="25.5">
      <c r="A102" s="154" t="s">
        <v>10180</v>
      </c>
      <c r="B102" s="149">
        <v>386</v>
      </c>
      <c r="C102" s="154" t="s">
        <v>10181</v>
      </c>
      <c r="D102" s="266" t="s">
        <v>10182</v>
      </c>
      <c r="E102" s="154" t="s">
        <v>8758</v>
      </c>
      <c r="F102" s="154" t="s">
        <v>9942</v>
      </c>
      <c r="G102" s="154" t="s">
        <v>10154</v>
      </c>
      <c r="H102" s="266" t="s">
        <v>10165</v>
      </c>
      <c r="I102" s="154"/>
      <c r="J102" s="154">
        <v>73500</v>
      </c>
      <c r="K102" s="154"/>
      <c r="L102" s="154"/>
      <c r="M102" s="154"/>
      <c r="N102" s="159">
        <v>834358</v>
      </c>
      <c r="O102" s="159">
        <v>18408</v>
      </c>
      <c r="P102" s="159">
        <v>65010</v>
      </c>
      <c r="Q102" s="154"/>
      <c r="R102" s="154"/>
      <c r="S102" s="154"/>
      <c r="T102" s="154"/>
      <c r="U102" s="154"/>
      <c r="V102" s="154"/>
      <c r="W102" s="154"/>
      <c r="X102" s="154"/>
      <c r="Y102" s="159">
        <v>24753</v>
      </c>
      <c r="Z102" s="154"/>
      <c r="AA102" s="154"/>
      <c r="AB102" s="154"/>
      <c r="AC102" s="154"/>
      <c r="AD102" s="154"/>
      <c r="AE102" s="154"/>
      <c r="AF102" s="159">
        <v>17255</v>
      </c>
      <c r="AG102" s="154"/>
      <c r="AH102" s="159">
        <v>198623</v>
      </c>
      <c r="AI102" s="159">
        <v>157582</v>
      </c>
      <c r="AJ102" s="159">
        <v>356205</v>
      </c>
      <c r="AK102" s="159">
        <v>478153</v>
      </c>
      <c r="AL102" s="154"/>
      <c r="AM102" s="266" t="s">
        <v>10547</v>
      </c>
      <c r="AN102" t="e">
        <f t="shared" si="9"/>
        <v>#N/A</v>
      </c>
      <c r="AO102" t="e">
        <f t="shared" si="10"/>
        <v>#N/A</v>
      </c>
      <c r="AR102" s="230" t="str">
        <f t="shared" si="11"/>
        <v>Mini Warehouse</v>
      </c>
    </row>
    <row r="103" spans="1:44" ht="25.5">
      <c r="A103" s="154" t="s">
        <v>10184</v>
      </c>
      <c r="B103" s="149">
        <v>386</v>
      </c>
      <c r="C103" s="154" t="s">
        <v>10185</v>
      </c>
      <c r="D103" s="266" t="s">
        <v>10186</v>
      </c>
      <c r="E103" s="154" t="s">
        <v>8758</v>
      </c>
      <c r="F103" s="154" t="s">
        <v>9942</v>
      </c>
      <c r="G103" s="154" t="s">
        <v>10154</v>
      </c>
      <c r="H103" s="266" t="s">
        <v>10165</v>
      </c>
      <c r="I103" s="154"/>
      <c r="J103" s="154">
        <v>44975</v>
      </c>
      <c r="K103" s="154"/>
      <c r="L103" s="154"/>
      <c r="M103" s="154"/>
      <c r="N103" s="159">
        <v>588827</v>
      </c>
      <c r="O103" s="159">
        <v>22185</v>
      </c>
      <c r="P103" s="159">
        <v>38503</v>
      </c>
      <c r="Q103" s="154"/>
      <c r="R103" s="154"/>
      <c r="S103" s="154"/>
      <c r="T103" s="154"/>
      <c r="U103" s="154"/>
      <c r="V103" s="154"/>
      <c r="W103" s="154"/>
      <c r="X103" s="154"/>
      <c r="Y103" s="159">
        <v>38667</v>
      </c>
      <c r="Z103" s="154"/>
      <c r="AA103" s="154"/>
      <c r="AB103" s="154"/>
      <c r="AC103" s="154"/>
      <c r="AD103" s="154"/>
      <c r="AE103" s="154"/>
      <c r="AF103" s="159">
        <v>31243</v>
      </c>
      <c r="AG103" s="154"/>
      <c r="AH103" s="159">
        <v>143905</v>
      </c>
      <c r="AI103" s="159">
        <v>128521</v>
      </c>
      <c r="AJ103" s="159">
        <v>272426</v>
      </c>
      <c r="AK103" s="159">
        <v>316401</v>
      </c>
      <c r="AL103" s="154"/>
      <c r="AM103" s="266" t="s">
        <v>10548</v>
      </c>
      <c r="AN103" t="e">
        <f t="shared" si="9"/>
        <v>#N/A</v>
      </c>
      <c r="AO103" t="e">
        <f t="shared" si="10"/>
        <v>#N/A</v>
      </c>
      <c r="AR103" s="230" t="str">
        <f t="shared" si="11"/>
        <v>Mini Warehouse</v>
      </c>
    </row>
    <row r="104" spans="1:44" ht="25.5">
      <c r="A104" s="154" t="s">
        <v>10188</v>
      </c>
      <c r="B104" s="149">
        <v>386</v>
      </c>
      <c r="C104" s="154" t="s">
        <v>10189</v>
      </c>
      <c r="D104" s="266" t="s">
        <v>10549</v>
      </c>
      <c r="E104" s="154" t="s">
        <v>8758</v>
      </c>
      <c r="F104" s="154" t="s">
        <v>9942</v>
      </c>
      <c r="G104" s="154" t="s">
        <v>10154</v>
      </c>
      <c r="H104" s="266" t="s">
        <v>10155</v>
      </c>
      <c r="I104" s="154"/>
      <c r="J104" s="154">
        <v>94797</v>
      </c>
      <c r="K104" s="154"/>
      <c r="L104" s="154"/>
      <c r="M104" s="154"/>
      <c r="N104" s="159">
        <v>1184503</v>
      </c>
      <c r="O104" s="159">
        <v>25293</v>
      </c>
      <c r="P104" s="159">
        <v>206702</v>
      </c>
      <c r="Q104" s="154"/>
      <c r="R104" s="154"/>
      <c r="S104" s="154"/>
      <c r="T104" s="154"/>
      <c r="U104" s="154"/>
      <c r="V104" s="154"/>
      <c r="W104" s="154"/>
      <c r="X104" s="154"/>
      <c r="Y104" s="159">
        <v>28562</v>
      </c>
      <c r="Z104" s="154"/>
      <c r="AA104" s="154"/>
      <c r="AB104" s="154"/>
      <c r="AC104" s="154"/>
      <c r="AD104" s="154"/>
      <c r="AE104" s="154"/>
      <c r="AF104" s="159">
        <v>49493</v>
      </c>
      <c r="AG104" s="154"/>
      <c r="AH104" s="159">
        <v>434049</v>
      </c>
      <c r="AI104" s="159">
        <v>259535</v>
      </c>
      <c r="AJ104" s="159">
        <v>693584</v>
      </c>
      <c r="AK104" s="159">
        <v>490919</v>
      </c>
      <c r="AL104" s="154"/>
      <c r="AM104" s="266" t="s">
        <v>10550</v>
      </c>
      <c r="AN104" t="e">
        <f t="shared" si="9"/>
        <v>#N/A</v>
      </c>
      <c r="AO104" t="e">
        <f t="shared" si="10"/>
        <v>#N/A</v>
      </c>
      <c r="AR104" s="230" t="str">
        <f t="shared" si="11"/>
        <v>Mini Warehouse</v>
      </c>
    </row>
    <row r="105" spans="1:44" ht="25.5">
      <c r="A105" s="154" t="s">
        <v>10192</v>
      </c>
      <c r="B105" s="149">
        <v>386</v>
      </c>
      <c r="C105" s="154" t="s">
        <v>10193</v>
      </c>
      <c r="D105" s="266" t="s">
        <v>10194</v>
      </c>
      <c r="E105" s="154" t="s">
        <v>8758</v>
      </c>
      <c r="F105" s="154" t="s">
        <v>9942</v>
      </c>
      <c r="G105" s="154" t="s">
        <v>10154</v>
      </c>
      <c r="H105" s="266" t="s">
        <v>10165</v>
      </c>
      <c r="I105" s="154"/>
      <c r="J105" s="154">
        <v>39525</v>
      </c>
      <c r="K105" s="154"/>
      <c r="L105" s="154"/>
      <c r="M105" s="154"/>
      <c r="N105" s="159">
        <v>541974</v>
      </c>
      <c r="O105" s="159">
        <v>8307</v>
      </c>
      <c r="P105" s="159">
        <v>94279</v>
      </c>
      <c r="Q105" s="154"/>
      <c r="R105" s="154"/>
      <c r="S105" s="154"/>
      <c r="T105" s="154"/>
      <c r="U105" s="154"/>
      <c r="V105" s="154"/>
      <c r="W105" s="154"/>
      <c r="X105" s="154"/>
      <c r="Y105" s="159">
        <v>21292</v>
      </c>
      <c r="Z105" s="154"/>
      <c r="AA105" s="154"/>
      <c r="AB105" s="154"/>
      <c r="AC105" s="154"/>
      <c r="AD105" s="154"/>
      <c r="AE105" s="154"/>
      <c r="AF105" s="159">
        <v>16489</v>
      </c>
      <c r="AG105" s="154"/>
      <c r="AH105" s="159">
        <v>149627</v>
      </c>
      <c r="AI105" s="159">
        <v>209139</v>
      </c>
      <c r="AJ105" s="159">
        <v>358766</v>
      </c>
      <c r="AK105" s="159">
        <v>183208</v>
      </c>
      <c r="AL105" s="154"/>
      <c r="AM105" s="266" t="s">
        <v>10551</v>
      </c>
      <c r="AN105" t="e">
        <f t="shared" si="9"/>
        <v>#N/A</v>
      </c>
      <c r="AO105" t="e">
        <f t="shared" si="10"/>
        <v>#N/A</v>
      </c>
      <c r="AR105" s="230" t="str">
        <f t="shared" si="11"/>
        <v>Mini Warehouse</v>
      </c>
    </row>
    <row r="106" spans="1:44" ht="25.5">
      <c r="A106" s="154" t="s">
        <v>10196</v>
      </c>
      <c r="B106" s="149">
        <v>386</v>
      </c>
      <c r="C106" s="154" t="s">
        <v>10197</v>
      </c>
      <c r="D106" s="266" t="s">
        <v>10198</v>
      </c>
      <c r="E106" s="154" t="s">
        <v>8758</v>
      </c>
      <c r="F106" s="154" t="s">
        <v>9942</v>
      </c>
      <c r="G106" s="154" t="s">
        <v>10154</v>
      </c>
      <c r="H106" s="266" t="s">
        <v>10199</v>
      </c>
      <c r="I106" s="154"/>
      <c r="J106" s="154">
        <v>45980</v>
      </c>
      <c r="K106" s="154"/>
      <c r="L106" s="154"/>
      <c r="M106" s="154"/>
      <c r="N106" s="159">
        <v>646496</v>
      </c>
      <c r="O106" s="159">
        <v>4989</v>
      </c>
      <c r="P106" s="159">
        <v>70000</v>
      </c>
      <c r="Q106" s="154"/>
      <c r="R106" s="154"/>
      <c r="S106" s="154"/>
      <c r="T106" s="154"/>
      <c r="U106" s="154"/>
      <c r="V106" s="154"/>
      <c r="W106" s="154"/>
      <c r="X106" s="154"/>
      <c r="Y106" s="159">
        <v>12000</v>
      </c>
      <c r="Z106" s="154"/>
      <c r="AA106" s="154"/>
      <c r="AB106" s="154"/>
      <c r="AC106" s="154"/>
      <c r="AD106" s="154"/>
      <c r="AE106" s="154"/>
      <c r="AF106" s="159">
        <v>11972</v>
      </c>
      <c r="AG106" s="154"/>
      <c r="AH106" s="159">
        <v>146795</v>
      </c>
      <c r="AI106" s="159">
        <v>83042</v>
      </c>
      <c r="AJ106" s="159">
        <v>229837</v>
      </c>
      <c r="AK106" s="159">
        <v>416659</v>
      </c>
      <c r="AL106" s="154"/>
      <c r="AM106" s="266" t="s">
        <v>10552</v>
      </c>
      <c r="AN106" t="e">
        <f t="shared" si="9"/>
        <v>#N/A</v>
      </c>
      <c r="AO106" t="e">
        <f t="shared" si="10"/>
        <v>#N/A</v>
      </c>
      <c r="AR106" s="230" t="str">
        <f t="shared" si="11"/>
        <v>Mini Warehouse</v>
      </c>
    </row>
    <row r="107" spans="1:44" ht="25.5">
      <c r="A107" s="154" t="s">
        <v>10201</v>
      </c>
      <c r="B107" s="149">
        <v>386</v>
      </c>
      <c r="C107" s="154" t="s">
        <v>10202</v>
      </c>
      <c r="D107" s="266" t="s">
        <v>10203</v>
      </c>
      <c r="E107" s="154" t="s">
        <v>8758</v>
      </c>
      <c r="F107" s="154" t="s">
        <v>9942</v>
      </c>
      <c r="G107" s="154" t="s">
        <v>10154</v>
      </c>
      <c r="H107" s="266" t="s">
        <v>10165</v>
      </c>
      <c r="I107" s="154"/>
      <c r="J107" s="154">
        <v>88043</v>
      </c>
      <c r="K107" s="154"/>
      <c r="L107" s="154"/>
      <c r="M107" s="154"/>
      <c r="N107" s="159">
        <v>1206603</v>
      </c>
      <c r="O107" s="159">
        <v>12478</v>
      </c>
      <c r="P107" s="159">
        <v>179092</v>
      </c>
      <c r="Q107" s="154"/>
      <c r="R107" s="154"/>
      <c r="S107" s="154"/>
      <c r="T107" s="154"/>
      <c r="U107" s="154"/>
      <c r="V107" s="154"/>
      <c r="W107" s="154"/>
      <c r="X107" s="154"/>
      <c r="Y107" s="159">
        <v>20272</v>
      </c>
      <c r="Z107" s="154"/>
      <c r="AA107" s="154"/>
      <c r="AB107" s="154"/>
      <c r="AC107" s="154"/>
      <c r="AD107" s="154"/>
      <c r="AE107" s="154"/>
      <c r="AF107" s="159">
        <v>16957</v>
      </c>
      <c r="AG107" s="154"/>
      <c r="AH107" s="159">
        <v>284089</v>
      </c>
      <c r="AI107" s="159">
        <v>389500</v>
      </c>
      <c r="AJ107" s="159">
        <v>673589</v>
      </c>
      <c r="AK107" s="159">
        <v>533014</v>
      </c>
      <c r="AL107" s="154"/>
      <c r="AM107" s="266" t="s">
        <v>10553</v>
      </c>
      <c r="AN107" t="e">
        <f t="shared" si="9"/>
        <v>#N/A</v>
      </c>
      <c r="AO107" t="e">
        <f t="shared" si="10"/>
        <v>#N/A</v>
      </c>
      <c r="AR107" s="230" t="str">
        <f t="shared" si="11"/>
        <v>Mini Warehouse</v>
      </c>
    </row>
    <row r="108" spans="1:44" ht="25.5">
      <c r="A108" s="154" t="s">
        <v>10205</v>
      </c>
      <c r="B108" s="149">
        <v>386</v>
      </c>
      <c r="C108" s="154" t="s">
        <v>10206</v>
      </c>
      <c r="D108" s="266" t="s">
        <v>10207</v>
      </c>
      <c r="E108" s="154" t="s">
        <v>8758</v>
      </c>
      <c r="F108" s="154" t="s">
        <v>9942</v>
      </c>
      <c r="G108" s="154" t="s">
        <v>10154</v>
      </c>
      <c r="H108" s="266" t="s">
        <v>10165</v>
      </c>
      <c r="I108" s="154"/>
      <c r="J108" s="154">
        <v>41764</v>
      </c>
      <c r="K108" s="154"/>
      <c r="L108" s="154"/>
      <c r="M108" s="154"/>
      <c r="N108" s="159">
        <v>787364</v>
      </c>
      <c r="O108" s="159">
        <v>9652</v>
      </c>
      <c r="P108" s="159">
        <v>83320</v>
      </c>
      <c r="Q108" s="154"/>
      <c r="R108" s="154"/>
      <c r="S108" s="154"/>
      <c r="T108" s="154"/>
      <c r="U108" s="154"/>
      <c r="V108" s="154"/>
      <c r="W108" s="154"/>
      <c r="X108" s="154"/>
      <c r="Y108" s="159">
        <v>25639</v>
      </c>
      <c r="Z108" s="154"/>
      <c r="AA108" s="154"/>
      <c r="AB108" s="154"/>
      <c r="AC108" s="154"/>
      <c r="AD108" s="154"/>
      <c r="AE108" s="154"/>
      <c r="AF108" s="159">
        <v>15956</v>
      </c>
      <c r="AG108" s="154"/>
      <c r="AH108" s="159">
        <v>192632</v>
      </c>
      <c r="AI108" s="159">
        <v>203116</v>
      </c>
      <c r="AJ108" s="159">
        <v>395748</v>
      </c>
      <c r="AK108" s="159">
        <v>391616</v>
      </c>
      <c r="AL108" s="154"/>
      <c r="AM108" s="266" t="s">
        <v>10554</v>
      </c>
      <c r="AN108" t="e">
        <f t="shared" si="9"/>
        <v>#N/A</v>
      </c>
      <c r="AO108" t="e">
        <f t="shared" si="10"/>
        <v>#N/A</v>
      </c>
      <c r="AR108" s="230" t="str">
        <f t="shared" si="11"/>
        <v>Mini Warehouse</v>
      </c>
    </row>
    <row r="109" spans="1:44" ht="38.25">
      <c r="A109" s="154" t="s">
        <v>10040</v>
      </c>
      <c r="B109" s="149">
        <v>584</v>
      </c>
      <c r="C109" s="154" t="s">
        <v>10041</v>
      </c>
      <c r="D109" s="266" t="s">
        <v>10042</v>
      </c>
      <c r="E109" s="154" t="s">
        <v>3966</v>
      </c>
      <c r="F109" s="154" t="s">
        <v>9942</v>
      </c>
      <c r="G109" s="154" t="s">
        <v>1911</v>
      </c>
      <c r="H109" s="266" t="s">
        <v>10043</v>
      </c>
      <c r="I109" s="154">
        <v>1983</v>
      </c>
      <c r="J109" s="154">
        <v>377729</v>
      </c>
      <c r="K109" s="154">
        <v>2023</v>
      </c>
      <c r="L109" s="159">
        <v>2979661</v>
      </c>
      <c r="M109" s="154"/>
      <c r="N109" s="159">
        <v>2979661</v>
      </c>
      <c r="O109" s="154"/>
      <c r="P109" s="159">
        <v>3855</v>
      </c>
      <c r="Q109" s="154"/>
      <c r="R109" s="154"/>
      <c r="S109" s="154"/>
      <c r="T109" s="154"/>
      <c r="U109" s="154"/>
      <c r="V109" s="154"/>
      <c r="W109" s="154"/>
      <c r="X109" s="154"/>
      <c r="Y109" s="154"/>
      <c r="Z109" s="154"/>
      <c r="AA109" s="154"/>
      <c r="AB109" s="154"/>
      <c r="AC109" s="154"/>
      <c r="AD109" s="154"/>
      <c r="AE109" s="154"/>
      <c r="AF109" s="154"/>
      <c r="AG109" s="159">
        <v>7775</v>
      </c>
      <c r="AH109" s="159">
        <v>41363</v>
      </c>
      <c r="AI109" s="159">
        <v>0</v>
      </c>
      <c r="AJ109" s="159">
        <v>41363</v>
      </c>
      <c r="AK109" s="159">
        <v>2938298</v>
      </c>
      <c r="AL109" s="154"/>
      <c r="AM109" s="266" t="s">
        <v>10555</v>
      </c>
      <c r="AN109" t="e">
        <f t="shared" si="9"/>
        <v>#N/A</v>
      </c>
      <c r="AO109" t="e">
        <f t="shared" si="10"/>
        <v>#N/A</v>
      </c>
      <c r="AR109" s="230" t="str">
        <f t="shared" si="11"/>
        <v>Mega Warehouse</v>
      </c>
    </row>
    <row r="110" spans="1:44" ht="38.25">
      <c r="A110" s="154" t="s">
        <v>10040</v>
      </c>
      <c r="B110" s="149">
        <v>584</v>
      </c>
      <c r="C110" s="154" t="s">
        <v>10041</v>
      </c>
      <c r="D110" s="266" t="s">
        <v>10042</v>
      </c>
      <c r="E110" s="154" t="s">
        <v>3966</v>
      </c>
      <c r="F110" s="154" t="s">
        <v>9942</v>
      </c>
      <c r="G110" s="154" t="s">
        <v>1911</v>
      </c>
      <c r="H110" s="266" t="s">
        <v>10043</v>
      </c>
      <c r="I110" s="154">
        <v>1983</v>
      </c>
      <c r="J110" s="154">
        <v>377729</v>
      </c>
      <c r="K110" s="154">
        <v>2024</v>
      </c>
      <c r="L110" s="159">
        <v>3047376</v>
      </c>
      <c r="M110" s="154"/>
      <c r="N110" s="159">
        <v>3047376</v>
      </c>
      <c r="O110" s="154"/>
      <c r="P110" s="159">
        <v>4000</v>
      </c>
      <c r="Q110" s="154"/>
      <c r="R110" s="154"/>
      <c r="S110" s="154"/>
      <c r="T110" s="154"/>
      <c r="U110" s="154"/>
      <c r="V110" s="154"/>
      <c r="W110" s="154"/>
      <c r="X110" s="154"/>
      <c r="Y110" s="154"/>
      <c r="Z110" s="154"/>
      <c r="AA110" s="154"/>
      <c r="AB110" s="154"/>
      <c r="AC110" s="154"/>
      <c r="AD110" s="154"/>
      <c r="AE110" s="154"/>
      <c r="AF110" s="154"/>
      <c r="AG110" s="159">
        <v>25863</v>
      </c>
      <c r="AH110" s="159">
        <v>58863</v>
      </c>
      <c r="AI110" s="159">
        <v>0</v>
      </c>
      <c r="AJ110" s="159">
        <v>58863</v>
      </c>
      <c r="AK110" s="159">
        <v>2988513</v>
      </c>
      <c r="AL110" s="154"/>
      <c r="AM110" s="266" t="s">
        <v>10555</v>
      </c>
      <c r="AN110" t="e">
        <f t="shared" si="9"/>
        <v>#N/A</v>
      </c>
      <c r="AO110" t="e">
        <f t="shared" si="10"/>
        <v>#N/A</v>
      </c>
      <c r="AR110" s="230" t="str">
        <f t="shared" si="11"/>
        <v>Mega Warehouse</v>
      </c>
    </row>
    <row r="111" spans="1:44" ht="25.5">
      <c r="A111" s="154" t="s">
        <v>10125</v>
      </c>
      <c r="B111" s="149">
        <v>407</v>
      </c>
      <c r="C111" s="154" t="s">
        <v>10126</v>
      </c>
      <c r="D111" s="266" t="s">
        <v>10127</v>
      </c>
      <c r="E111" s="154" t="s">
        <v>3642</v>
      </c>
      <c r="F111" s="154" t="s">
        <v>9942</v>
      </c>
      <c r="G111" s="154" t="s">
        <v>1911</v>
      </c>
      <c r="H111" s="266" t="s">
        <v>10102</v>
      </c>
      <c r="I111" s="154">
        <v>2008</v>
      </c>
      <c r="J111" s="154">
        <v>215461</v>
      </c>
      <c r="K111" s="154">
        <v>2024</v>
      </c>
      <c r="L111" s="159">
        <v>1540283</v>
      </c>
      <c r="M111" s="154"/>
      <c r="N111" s="159">
        <v>1540283</v>
      </c>
      <c r="O111" s="154"/>
      <c r="P111" s="154"/>
      <c r="Q111" s="154"/>
      <c r="R111" s="154"/>
      <c r="S111" s="154"/>
      <c r="T111" s="154"/>
      <c r="U111" s="154"/>
      <c r="V111" s="154"/>
      <c r="W111" s="154"/>
      <c r="X111" s="154"/>
      <c r="Y111" s="154"/>
      <c r="Z111" s="154"/>
      <c r="AA111" s="159">
        <v>9880</v>
      </c>
      <c r="AB111" s="159">
        <v>29880</v>
      </c>
      <c r="AC111" s="154"/>
      <c r="AD111" s="154"/>
      <c r="AE111" s="154"/>
      <c r="AF111" s="154"/>
      <c r="AG111" s="154"/>
      <c r="AH111" s="154"/>
      <c r="AI111" s="154"/>
      <c r="AJ111" s="154"/>
      <c r="AK111" s="154"/>
      <c r="AL111" s="154"/>
      <c r="AM111" s="266" t="s">
        <v>10556</v>
      </c>
      <c r="AN111" t="e">
        <f t="shared" si="9"/>
        <v>#N/A</v>
      </c>
      <c r="AO111" t="e">
        <f t="shared" si="10"/>
        <v>#N/A</v>
      </c>
      <c r="AR111" s="230" t="str">
        <f t="shared" si="11"/>
        <v>Distribution Warehouse</v>
      </c>
    </row>
    <row r="112" spans="1:44" ht="12.75">
      <c r="A112" s="154" t="s">
        <v>10131</v>
      </c>
      <c r="B112" s="149">
        <v>407</v>
      </c>
      <c r="C112" s="154" t="s">
        <v>10132</v>
      </c>
      <c r="D112" s="266" t="s">
        <v>10133</v>
      </c>
      <c r="E112" s="154" t="s">
        <v>3642</v>
      </c>
      <c r="F112" s="154" t="s">
        <v>9942</v>
      </c>
      <c r="G112" s="154" t="s">
        <v>1911</v>
      </c>
      <c r="H112" s="266" t="s">
        <v>10102</v>
      </c>
      <c r="I112" s="154">
        <v>2007</v>
      </c>
      <c r="J112" s="154">
        <v>202091</v>
      </c>
      <c r="K112" s="154">
        <v>2024</v>
      </c>
      <c r="L112" s="154"/>
      <c r="M112" s="154"/>
      <c r="N112" s="159">
        <v>1057537</v>
      </c>
      <c r="O112" s="154"/>
      <c r="P112" s="154"/>
      <c r="Q112" s="154"/>
      <c r="R112" s="154"/>
      <c r="S112" s="154"/>
      <c r="T112" s="154"/>
      <c r="U112" s="154"/>
      <c r="V112" s="154"/>
      <c r="W112" s="154"/>
      <c r="X112" s="154"/>
      <c r="Y112" s="154"/>
      <c r="Z112" s="154"/>
      <c r="AA112" s="154"/>
      <c r="AB112" s="154"/>
      <c r="AC112" s="154"/>
      <c r="AD112" s="154"/>
      <c r="AE112" s="154"/>
      <c r="AF112" s="154"/>
      <c r="AG112" s="154"/>
      <c r="AH112" s="159">
        <v>722093</v>
      </c>
      <c r="AI112" s="154"/>
      <c r="AJ112" s="159">
        <v>722093</v>
      </c>
      <c r="AK112" s="159">
        <v>335444</v>
      </c>
      <c r="AL112" s="154"/>
      <c r="AM112" s="266" t="s">
        <v>10557</v>
      </c>
      <c r="AN112" t="e">
        <f t="shared" si="9"/>
        <v>#N/A</v>
      </c>
      <c r="AO112" t="e">
        <f t="shared" si="10"/>
        <v>#N/A</v>
      </c>
      <c r="AR112" s="230" t="str">
        <f t="shared" si="11"/>
        <v>Distribution Warehouse</v>
      </c>
    </row>
    <row r="113" spans="1:44" ht="25.5">
      <c r="A113" s="154" t="s">
        <v>10209</v>
      </c>
      <c r="B113" s="149">
        <v>210</v>
      </c>
      <c r="C113" s="154" t="s">
        <v>5480</v>
      </c>
      <c r="D113" s="266" t="s">
        <v>10210</v>
      </c>
      <c r="E113" s="154" t="s">
        <v>3966</v>
      </c>
      <c r="F113" s="154" t="s">
        <v>9942</v>
      </c>
      <c r="G113" s="154" t="s">
        <v>1911</v>
      </c>
      <c r="H113" s="266" t="s">
        <v>10211</v>
      </c>
      <c r="I113" s="154"/>
      <c r="J113" s="154"/>
      <c r="K113" s="154">
        <v>2023</v>
      </c>
      <c r="L113" s="154"/>
      <c r="M113" s="154"/>
      <c r="N113" s="159">
        <v>2454080</v>
      </c>
      <c r="O113" s="159">
        <v>41179</v>
      </c>
      <c r="P113" s="159">
        <v>58394</v>
      </c>
      <c r="Q113" s="154"/>
      <c r="R113" s="154"/>
      <c r="S113" s="159">
        <v>36166</v>
      </c>
      <c r="T113" s="159">
        <v>1942</v>
      </c>
      <c r="U113" s="154"/>
      <c r="V113" s="154"/>
      <c r="W113" s="154"/>
      <c r="X113" s="159">
        <v>549</v>
      </c>
      <c r="Y113" s="159">
        <v>38657</v>
      </c>
      <c r="Z113" s="154"/>
      <c r="AA113" s="159">
        <v>15068</v>
      </c>
      <c r="AB113" s="159">
        <v>55875</v>
      </c>
      <c r="AC113" s="159">
        <v>70943</v>
      </c>
      <c r="AD113" s="159">
        <v>25682</v>
      </c>
      <c r="AE113" s="154"/>
      <c r="AF113" s="159">
        <v>25682</v>
      </c>
      <c r="AG113" s="159">
        <v>1654</v>
      </c>
      <c r="AH113" s="159">
        <v>220784</v>
      </c>
      <c r="AI113" s="159">
        <v>1347168</v>
      </c>
      <c r="AJ113" s="159">
        <v>1568172</v>
      </c>
      <c r="AK113" s="159">
        <v>885908</v>
      </c>
      <c r="AL113" s="154"/>
      <c r="AM113" s="266" t="s">
        <v>10558</v>
      </c>
      <c r="AN113" t="e">
        <f t="shared" si="9"/>
        <v>#N/A</v>
      </c>
      <c r="AO113" t="e">
        <f t="shared" si="10"/>
        <v>#N/A</v>
      </c>
      <c r="AR113" s="230" t="str">
        <f t="shared" si="11"/>
        <v>Industrial Flex Mall Building</v>
      </c>
    </row>
    <row r="114" spans="1:44" ht="25.5">
      <c r="A114" s="154" t="s">
        <v>10209</v>
      </c>
      <c r="B114" s="149">
        <v>210</v>
      </c>
      <c r="C114" s="154" t="s">
        <v>5480</v>
      </c>
      <c r="D114" s="266" t="s">
        <v>10210</v>
      </c>
      <c r="E114" s="154" t="s">
        <v>3966</v>
      </c>
      <c r="F114" s="154" t="s">
        <v>9942</v>
      </c>
      <c r="G114" s="154" t="s">
        <v>1911</v>
      </c>
      <c r="H114" s="266" t="s">
        <v>10211</v>
      </c>
      <c r="I114" s="154"/>
      <c r="J114" s="154"/>
      <c r="K114" s="154">
        <v>2024</v>
      </c>
      <c r="L114" s="154"/>
      <c r="M114" s="154"/>
      <c r="N114" s="159">
        <v>2720117</v>
      </c>
      <c r="O114" s="159">
        <v>53324</v>
      </c>
      <c r="P114" s="159">
        <v>85426</v>
      </c>
      <c r="Q114" s="154"/>
      <c r="R114" s="154"/>
      <c r="S114" s="159">
        <v>10052</v>
      </c>
      <c r="T114" s="159">
        <v>12752</v>
      </c>
      <c r="U114" s="154"/>
      <c r="V114" s="154"/>
      <c r="W114" s="154"/>
      <c r="X114" s="159">
        <v>789</v>
      </c>
      <c r="Y114" s="159">
        <v>23593</v>
      </c>
      <c r="Z114" s="154"/>
      <c r="AA114" s="159">
        <v>16126</v>
      </c>
      <c r="AB114" s="159">
        <v>57314</v>
      </c>
      <c r="AC114" s="159">
        <v>73440</v>
      </c>
      <c r="AD114" s="159">
        <v>21725</v>
      </c>
      <c r="AE114" s="154"/>
      <c r="AF114" s="159">
        <v>21725</v>
      </c>
      <c r="AG114" s="159">
        <v>2601</v>
      </c>
      <c r="AH114" s="159">
        <v>265585</v>
      </c>
      <c r="AI114" s="159">
        <v>1331347</v>
      </c>
      <c r="AJ114" s="159">
        <v>1596932</v>
      </c>
      <c r="AK114" s="159">
        <v>1123184</v>
      </c>
      <c r="AL114" s="154"/>
      <c r="AM114" s="266" t="s">
        <v>10559</v>
      </c>
      <c r="AN114" t="e">
        <f t="shared" si="9"/>
        <v>#N/A</v>
      </c>
      <c r="AO114" t="e">
        <f t="shared" si="10"/>
        <v>#N/A</v>
      </c>
      <c r="AR114" s="230" t="str">
        <f t="shared" si="11"/>
        <v>Industrial Flex Mall Building</v>
      </c>
    </row>
    <row r="115" spans="1:44" ht="25.5">
      <c r="A115" s="154" t="s">
        <v>10215</v>
      </c>
      <c r="B115" s="149">
        <v>407</v>
      </c>
      <c r="C115" s="154" t="s">
        <v>10216</v>
      </c>
      <c r="D115" s="266" t="s">
        <v>10217</v>
      </c>
      <c r="E115" s="154" t="s">
        <v>3966</v>
      </c>
      <c r="F115" s="154" t="s">
        <v>9942</v>
      </c>
      <c r="G115" s="154" t="s">
        <v>1911</v>
      </c>
      <c r="H115" s="266" t="s">
        <v>10060</v>
      </c>
      <c r="I115" s="154"/>
      <c r="J115" s="154"/>
      <c r="K115" s="154">
        <v>2023</v>
      </c>
      <c r="L115" s="159">
        <v>1865903</v>
      </c>
      <c r="M115" s="154"/>
      <c r="N115" s="159">
        <v>2819460</v>
      </c>
      <c r="O115" s="159">
        <v>30551</v>
      </c>
      <c r="P115" s="159">
        <v>174961</v>
      </c>
      <c r="Q115" s="154"/>
      <c r="R115" s="154"/>
      <c r="S115" s="159">
        <v>38995</v>
      </c>
      <c r="T115" s="159">
        <v>27460</v>
      </c>
      <c r="U115" s="154"/>
      <c r="V115" s="154"/>
      <c r="W115" s="154"/>
      <c r="X115" s="159">
        <v>2475</v>
      </c>
      <c r="Y115" s="159">
        <v>68930</v>
      </c>
      <c r="Z115" s="154"/>
      <c r="AA115" s="159">
        <v>18672</v>
      </c>
      <c r="AB115" s="159">
        <v>19945</v>
      </c>
      <c r="AC115" s="159">
        <v>38617</v>
      </c>
      <c r="AD115" s="154"/>
      <c r="AE115" s="154"/>
      <c r="AF115" s="159">
        <v>58172</v>
      </c>
      <c r="AG115" s="159">
        <v>18488</v>
      </c>
      <c r="AH115" s="159">
        <v>379535</v>
      </c>
      <c r="AI115" s="159">
        <v>895967</v>
      </c>
      <c r="AJ115" s="159">
        <v>1013502</v>
      </c>
      <c r="AK115" s="159">
        <v>1805958</v>
      </c>
      <c r="AL115" s="154"/>
      <c r="AM115" s="266" t="s">
        <v>10560</v>
      </c>
      <c r="AN115" t="e">
        <f t="shared" si="9"/>
        <v>#N/A</v>
      </c>
      <c r="AO115" t="e">
        <f t="shared" si="10"/>
        <v>#N/A</v>
      </c>
      <c r="AR115" s="230" t="str">
        <f t="shared" si="11"/>
        <v>Distribution Warehouse</v>
      </c>
    </row>
    <row r="116" spans="1:44" ht="25.5">
      <c r="A116" s="154" t="s">
        <v>10215</v>
      </c>
      <c r="B116" s="149">
        <v>407</v>
      </c>
      <c r="C116" s="154" t="s">
        <v>10216</v>
      </c>
      <c r="D116" s="266" t="s">
        <v>10217</v>
      </c>
      <c r="E116" s="154" t="s">
        <v>3966</v>
      </c>
      <c r="F116" s="154" t="s">
        <v>9942</v>
      </c>
      <c r="G116" s="154" t="s">
        <v>1911</v>
      </c>
      <c r="H116" s="266" t="s">
        <v>10060</v>
      </c>
      <c r="I116" s="154"/>
      <c r="J116" s="154"/>
      <c r="K116" s="154">
        <v>2024</v>
      </c>
      <c r="L116" s="159">
        <v>2075908</v>
      </c>
      <c r="M116" s="154"/>
      <c r="N116" s="159">
        <v>3348615</v>
      </c>
      <c r="O116" s="159">
        <v>35750</v>
      </c>
      <c r="P116" s="159">
        <v>200286</v>
      </c>
      <c r="Q116" s="154"/>
      <c r="R116" s="154"/>
      <c r="S116" s="159">
        <v>22119</v>
      </c>
      <c r="T116" s="159">
        <v>33962</v>
      </c>
      <c r="U116" s="154"/>
      <c r="V116" s="154"/>
      <c r="W116" s="154"/>
      <c r="X116" s="159">
        <v>3333</v>
      </c>
      <c r="Y116" s="159">
        <v>59414</v>
      </c>
      <c r="Z116" s="154"/>
      <c r="AA116" s="159">
        <v>26689</v>
      </c>
      <c r="AB116" s="159">
        <v>56296</v>
      </c>
      <c r="AC116" s="159">
        <v>82985</v>
      </c>
      <c r="AD116" s="154"/>
      <c r="AE116" s="154"/>
      <c r="AF116" s="159">
        <v>34195</v>
      </c>
      <c r="AG116" s="159">
        <v>4284</v>
      </c>
      <c r="AH116" s="159">
        <v>341787</v>
      </c>
      <c r="AI116" s="159">
        <v>989805</v>
      </c>
      <c r="AJ116" s="159">
        <v>1331592</v>
      </c>
      <c r="AK116" s="159">
        <v>2017023</v>
      </c>
      <c r="AL116" s="154"/>
      <c r="AM116" s="266" t="s">
        <v>10561</v>
      </c>
      <c r="AN116" t="e">
        <f t="shared" si="9"/>
        <v>#N/A</v>
      </c>
      <c r="AO116" t="e">
        <f t="shared" si="10"/>
        <v>#N/A</v>
      </c>
      <c r="AR116" s="230" t="str">
        <f t="shared" si="11"/>
        <v>Distribution Warehouse</v>
      </c>
    </row>
    <row r="117" spans="1:44" ht="25.5">
      <c r="A117" s="154" t="s">
        <v>10221</v>
      </c>
      <c r="B117" s="149">
        <v>407</v>
      </c>
      <c r="C117" s="154" t="s">
        <v>10222</v>
      </c>
      <c r="D117" s="266" t="s">
        <v>10223</v>
      </c>
      <c r="E117" s="154" t="s">
        <v>3590</v>
      </c>
      <c r="F117" s="154" t="s">
        <v>9942</v>
      </c>
      <c r="G117" s="154" t="s">
        <v>1911</v>
      </c>
      <c r="H117" s="266" t="s">
        <v>10060</v>
      </c>
      <c r="I117" s="154">
        <v>2022</v>
      </c>
      <c r="J117" s="154"/>
      <c r="K117" s="154">
        <v>2024</v>
      </c>
      <c r="L117" s="159">
        <v>646186</v>
      </c>
      <c r="M117" s="154"/>
      <c r="N117" s="159">
        <v>839307</v>
      </c>
      <c r="O117" s="159">
        <v>11813</v>
      </c>
      <c r="P117" s="159">
        <v>47295</v>
      </c>
      <c r="Q117" s="154"/>
      <c r="R117" s="154"/>
      <c r="S117" s="154"/>
      <c r="T117" s="159">
        <v>9156</v>
      </c>
      <c r="U117" s="154"/>
      <c r="V117" s="154"/>
      <c r="W117" s="154"/>
      <c r="X117" s="159">
        <v>3898</v>
      </c>
      <c r="Y117" s="159">
        <v>13054</v>
      </c>
      <c r="Z117" s="154"/>
      <c r="AA117" s="159">
        <v>11343</v>
      </c>
      <c r="AB117" s="159">
        <v>24799</v>
      </c>
      <c r="AC117" s="159">
        <v>36142</v>
      </c>
      <c r="AD117" s="154"/>
      <c r="AE117" s="154"/>
      <c r="AF117" s="159">
        <v>27895</v>
      </c>
      <c r="AG117" s="154"/>
      <c r="AH117" s="159">
        <v>146517</v>
      </c>
      <c r="AI117" s="159">
        <v>558285</v>
      </c>
      <c r="AJ117" s="159">
        <v>705154</v>
      </c>
      <c r="AK117" s="159">
        <v>134153</v>
      </c>
      <c r="AL117" s="154"/>
      <c r="AM117" s="266" t="s">
        <v>10562</v>
      </c>
      <c r="AN117" t="e">
        <f t="shared" si="9"/>
        <v>#N/A</v>
      </c>
      <c r="AO117" t="e">
        <f t="shared" si="10"/>
        <v>#N/A</v>
      </c>
      <c r="AR117" s="230" t="str">
        <f t="shared" si="11"/>
        <v>Distribution Warehouse</v>
      </c>
    </row>
    <row r="118" spans="1:44" ht="25.5">
      <c r="A118" s="154" t="s">
        <v>10226</v>
      </c>
      <c r="B118" s="149">
        <v>407</v>
      </c>
      <c r="C118" s="154" t="s">
        <v>10227</v>
      </c>
      <c r="D118" s="266" t="s">
        <v>10228</v>
      </c>
      <c r="E118" s="154" t="s">
        <v>3590</v>
      </c>
      <c r="F118" s="154" t="s">
        <v>9942</v>
      </c>
      <c r="G118" s="154" t="s">
        <v>1911</v>
      </c>
      <c r="H118" s="266" t="s">
        <v>10060</v>
      </c>
      <c r="I118" s="154">
        <v>2022</v>
      </c>
      <c r="J118" s="154"/>
      <c r="K118" s="154">
        <v>2024</v>
      </c>
      <c r="L118" s="159">
        <v>898845</v>
      </c>
      <c r="M118" s="154"/>
      <c r="N118" s="159">
        <v>1373599</v>
      </c>
      <c r="O118" s="159">
        <v>21888</v>
      </c>
      <c r="P118" s="159">
        <v>72220</v>
      </c>
      <c r="Q118" s="154"/>
      <c r="R118" s="154"/>
      <c r="S118" s="154"/>
      <c r="T118" s="159">
        <v>8438</v>
      </c>
      <c r="U118" s="154"/>
      <c r="V118" s="154"/>
      <c r="W118" s="154"/>
      <c r="X118" s="159">
        <v>5773</v>
      </c>
      <c r="Y118" s="159">
        <v>14211</v>
      </c>
      <c r="Z118" s="154"/>
      <c r="AA118" s="159">
        <v>21287</v>
      </c>
      <c r="AB118" s="159">
        <v>29625</v>
      </c>
      <c r="AC118" s="159">
        <v>50912</v>
      </c>
      <c r="AD118" s="154"/>
      <c r="AE118" s="154"/>
      <c r="AF118" s="159">
        <v>51235</v>
      </c>
      <c r="AG118" s="154"/>
      <c r="AH118" s="159">
        <v>209004</v>
      </c>
      <c r="AI118" s="159">
        <v>762465</v>
      </c>
      <c r="AJ118" s="159">
        <v>971469</v>
      </c>
      <c r="AK118" s="159">
        <v>402131</v>
      </c>
      <c r="AL118" s="154"/>
      <c r="AM118" s="266" t="s">
        <v>10562</v>
      </c>
      <c r="AN118" t="e">
        <f t="shared" si="9"/>
        <v>#N/A</v>
      </c>
      <c r="AO118" t="e">
        <f t="shared" si="10"/>
        <v>#N/A</v>
      </c>
      <c r="AR118" s="230" t="str">
        <f t="shared" si="11"/>
        <v>Distribution Warehouse</v>
      </c>
    </row>
    <row r="119" spans="1:44" ht="12.75">
      <c r="A119" s="154" t="s">
        <v>10229</v>
      </c>
      <c r="B119" s="149">
        <v>407</v>
      </c>
      <c r="C119" s="154" t="s">
        <v>10230</v>
      </c>
      <c r="D119" s="266" t="s">
        <v>10231</v>
      </c>
      <c r="E119" s="154" t="s">
        <v>3966</v>
      </c>
      <c r="F119" s="154" t="s">
        <v>9942</v>
      </c>
      <c r="G119" s="154" t="s">
        <v>1911</v>
      </c>
      <c r="H119" s="266" t="s">
        <v>10232</v>
      </c>
      <c r="I119" s="154">
        <v>1995</v>
      </c>
      <c r="J119" s="154">
        <v>32600</v>
      </c>
      <c r="K119" s="154">
        <v>2023</v>
      </c>
      <c r="L119" s="159">
        <v>296766</v>
      </c>
      <c r="M119" s="154"/>
      <c r="N119" s="159">
        <v>449003</v>
      </c>
      <c r="O119" s="159">
        <v>5808</v>
      </c>
      <c r="P119" s="159">
        <v>16857</v>
      </c>
      <c r="Q119" s="159">
        <v>1204</v>
      </c>
      <c r="R119" s="154"/>
      <c r="S119" s="159">
        <v>10015</v>
      </c>
      <c r="T119" s="159">
        <v>500</v>
      </c>
      <c r="U119" s="154"/>
      <c r="V119" s="154"/>
      <c r="W119" s="154"/>
      <c r="X119" s="159">
        <v>7760</v>
      </c>
      <c r="Y119" s="159">
        <v>19479</v>
      </c>
      <c r="Z119" s="159">
        <v>1359</v>
      </c>
      <c r="AA119" s="154"/>
      <c r="AB119" s="154"/>
      <c r="AC119" s="159">
        <v>1359</v>
      </c>
      <c r="AD119" s="159">
        <v>6103</v>
      </c>
      <c r="AE119" s="154"/>
      <c r="AF119" s="159">
        <v>6103</v>
      </c>
      <c r="AG119" s="159">
        <v>7749</v>
      </c>
      <c r="AH119" s="159">
        <v>57071</v>
      </c>
      <c r="AI119" s="159">
        <v>102701</v>
      </c>
      <c r="AJ119" s="159">
        <v>159537</v>
      </c>
      <c r="AK119" s="159">
        <v>289466</v>
      </c>
      <c r="AL119" s="154"/>
      <c r="AM119" s="266" t="s">
        <v>10563</v>
      </c>
      <c r="AN119" t="e">
        <f t="shared" si="9"/>
        <v>#N/A</v>
      </c>
      <c r="AO119" t="e">
        <f t="shared" si="10"/>
        <v>#N/A</v>
      </c>
      <c r="AR119" s="230" t="str">
        <f t="shared" si="11"/>
        <v>Distribution Warehouse</v>
      </c>
    </row>
    <row r="120" spans="1:44" ht="12.75">
      <c r="A120" s="154" t="s">
        <v>10229</v>
      </c>
      <c r="B120" s="149">
        <v>407</v>
      </c>
      <c r="C120" s="154" t="s">
        <v>10230</v>
      </c>
      <c r="D120" s="266" t="s">
        <v>10231</v>
      </c>
      <c r="E120" s="154" t="s">
        <v>3966</v>
      </c>
      <c r="F120" s="154" t="s">
        <v>9942</v>
      </c>
      <c r="G120" s="154" t="s">
        <v>1911</v>
      </c>
      <c r="H120" s="266" t="s">
        <v>10232</v>
      </c>
      <c r="I120" s="154">
        <v>1995</v>
      </c>
      <c r="J120" s="154">
        <v>32600</v>
      </c>
      <c r="K120" s="154">
        <v>2024</v>
      </c>
      <c r="L120" s="159">
        <v>312397</v>
      </c>
      <c r="M120" s="154"/>
      <c r="N120" s="159">
        <v>497987</v>
      </c>
      <c r="O120" s="159">
        <v>5897</v>
      </c>
      <c r="P120" s="159">
        <v>18574</v>
      </c>
      <c r="Q120" s="159">
        <v>1251</v>
      </c>
      <c r="R120" s="154"/>
      <c r="S120" s="159">
        <v>7535</v>
      </c>
      <c r="T120" s="159">
        <v>1222</v>
      </c>
      <c r="U120" s="154"/>
      <c r="V120" s="154"/>
      <c r="W120" s="154"/>
      <c r="X120" s="159">
        <v>7269</v>
      </c>
      <c r="Y120" s="159">
        <v>17277</v>
      </c>
      <c r="Z120" s="159">
        <v>1376</v>
      </c>
      <c r="AA120" s="154"/>
      <c r="AB120" s="154"/>
      <c r="AC120" s="159">
        <v>1376</v>
      </c>
      <c r="AD120" s="159">
        <v>6829</v>
      </c>
      <c r="AE120" s="154"/>
      <c r="AF120" s="159">
        <v>6829</v>
      </c>
      <c r="AG120" s="159">
        <v>25153</v>
      </c>
      <c r="AH120" s="159">
        <v>69242</v>
      </c>
      <c r="AI120" s="159">
        <v>105852</v>
      </c>
      <c r="AJ120" s="159">
        <v>172094</v>
      </c>
      <c r="AK120" s="159">
        <v>325893</v>
      </c>
      <c r="AL120" s="154"/>
      <c r="AM120" s="266" t="s">
        <v>10564</v>
      </c>
      <c r="AN120" t="e">
        <f t="shared" si="9"/>
        <v>#N/A</v>
      </c>
      <c r="AO120" t="e">
        <f t="shared" si="10"/>
        <v>#N/A</v>
      </c>
      <c r="AR120" s="230" t="str">
        <f t="shared" si="11"/>
        <v>Distribution Warehouse</v>
      </c>
    </row>
    <row r="121" spans="1:44" ht="25.5">
      <c r="A121" s="154" t="s">
        <v>10234</v>
      </c>
      <c r="B121" s="149">
        <v>407</v>
      </c>
      <c r="C121" s="154" t="s">
        <v>10235</v>
      </c>
      <c r="D121" s="266" t="s">
        <v>10565</v>
      </c>
      <c r="E121" s="154" t="s">
        <v>3966</v>
      </c>
      <c r="F121" s="154" t="s">
        <v>9942</v>
      </c>
      <c r="G121" s="154" t="s">
        <v>1911</v>
      </c>
      <c r="H121" s="266" t="s">
        <v>10232</v>
      </c>
      <c r="I121" s="154"/>
      <c r="J121" s="154"/>
      <c r="K121" s="154">
        <v>2023</v>
      </c>
      <c r="L121" s="159">
        <v>340825</v>
      </c>
      <c r="M121" s="154"/>
      <c r="N121" s="159">
        <v>817280</v>
      </c>
      <c r="O121" s="159">
        <v>396</v>
      </c>
      <c r="P121" s="159">
        <v>24226</v>
      </c>
      <c r="Q121" s="159">
        <v>2790</v>
      </c>
      <c r="R121" s="154"/>
      <c r="S121" s="159">
        <v>17586</v>
      </c>
      <c r="T121" s="154"/>
      <c r="U121" s="154"/>
      <c r="V121" s="154"/>
      <c r="W121" s="154"/>
      <c r="X121" s="159">
        <v>1690</v>
      </c>
      <c r="Y121" s="159">
        <v>22066</v>
      </c>
      <c r="Z121" s="159">
        <v>1690</v>
      </c>
      <c r="AA121" s="159">
        <v>10029</v>
      </c>
      <c r="AB121" s="159">
        <v>13406</v>
      </c>
      <c r="AC121" s="159">
        <v>15096</v>
      </c>
      <c r="AD121" s="159">
        <v>8414</v>
      </c>
      <c r="AE121" s="154"/>
      <c r="AF121" s="159">
        <v>8414</v>
      </c>
      <c r="AG121" s="159">
        <v>7749</v>
      </c>
      <c r="AH121" s="159">
        <v>82990</v>
      </c>
      <c r="AI121" s="159">
        <v>262422</v>
      </c>
      <c r="AJ121" s="159">
        <v>345412</v>
      </c>
      <c r="AK121" s="159">
        <v>471868</v>
      </c>
      <c r="AL121" s="154"/>
      <c r="AM121" s="266" t="s">
        <v>10566</v>
      </c>
      <c r="AN121" t="e">
        <f t="shared" si="9"/>
        <v>#N/A</v>
      </c>
      <c r="AO121" t="e">
        <f t="shared" si="10"/>
        <v>#N/A</v>
      </c>
      <c r="AR121" s="230" t="str">
        <f t="shared" si="11"/>
        <v>Distribution Warehouse</v>
      </c>
    </row>
    <row r="122" spans="1:44" ht="25.5">
      <c r="A122" s="154" t="s">
        <v>10234</v>
      </c>
      <c r="B122" s="149">
        <v>407</v>
      </c>
      <c r="C122" s="154" t="s">
        <v>10235</v>
      </c>
      <c r="D122" s="266" t="s">
        <v>10565</v>
      </c>
      <c r="E122" s="154" t="s">
        <v>3966</v>
      </c>
      <c r="F122" s="154" t="s">
        <v>9942</v>
      </c>
      <c r="G122" s="154" t="s">
        <v>1911</v>
      </c>
      <c r="H122" s="266" t="s">
        <v>10232</v>
      </c>
      <c r="I122" s="154"/>
      <c r="J122" s="154"/>
      <c r="K122" s="154">
        <v>2024</v>
      </c>
      <c r="L122" s="159">
        <v>343350</v>
      </c>
      <c r="M122" s="154"/>
      <c r="N122" s="159">
        <v>632272</v>
      </c>
      <c r="O122" s="159">
        <v>9737</v>
      </c>
      <c r="P122" s="154"/>
      <c r="Q122" s="154"/>
      <c r="R122" s="154"/>
      <c r="S122" s="154"/>
      <c r="T122" s="154"/>
      <c r="U122" s="154"/>
      <c r="V122" s="154"/>
      <c r="W122" s="154"/>
      <c r="X122" s="154"/>
      <c r="Y122" s="154"/>
      <c r="Z122" s="154"/>
      <c r="AA122" s="154"/>
      <c r="AB122" s="154"/>
      <c r="AC122" s="154"/>
      <c r="AD122" s="154"/>
      <c r="AE122" s="154"/>
      <c r="AF122" s="154"/>
      <c r="AG122" s="154"/>
      <c r="AH122" s="159">
        <v>119649</v>
      </c>
      <c r="AI122" s="159">
        <v>159461</v>
      </c>
      <c r="AJ122" s="159">
        <v>279110</v>
      </c>
      <c r="AK122" s="159">
        <v>353163</v>
      </c>
      <c r="AL122" s="154"/>
      <c r="AM122" s="266" t="s">
        <v>10567</v>
      </c>
      <c r="AN122" t="e">
        <f t="shared" si="9"/>
        <v>#N/A</v>
      </c>
      <c r="AO122" t="e">
        <f t="shared" si="10"/>
        <v>#N/A</v>
      </c>
      <c r="AR122" s="230" t="str">
        <f t="shared" si="11"/>
        <v>Distribution Warehouse</v>
      </c>
    </row>
    <row r="123" spans="1:44" ht="12.75">
      <c r="A123" s="154" t="s">
        <v>10238</v>
      </c>
      <c r="B123" s="149">
        <v>407</v>
      </c>
      <c r="C123" s="154" t="s">
        <v>10239</v>
      </c>
      <c r="D123" s="266" t="s">
        <v>10240</v>
      </c>
      <c r="E123" s="154" t="s">
        <v>3966</v>
      </c>
      <c r="F123" s="154" t="s">
        <v>9942</v>
      </c>
      <c r="G123" s="154" t="s">
        <v>1911</v>
      </c>
      <c r="H123" s="266" t="s">
        <v>10232</v>
      </c>
      <c r="I123" s="154"/>
      <c r="J123" s="154"/>
      <c r="K123" s="154">
        <v>2023</v>
      </c>
      <c r="L123" s="159">
        <v>246837</v>
      </c>
      <c r="M123" s="154"/>
      <c r="N123" s="159">
        <v>340193</v>
      </c>
      <c r="O123" s="159">
        <v>7355</v>
      </c>
      <c r="P123" s="159">
        <v>12734</v>
      </c>
      <c r="Q123" s="159">
        <v>1711</v>
      </c>
      <c r="R123" s="154"/>
      <c r="S123" s="159">
        <v>24740</v>
      </c>
      <c r="T123" s="159">
        <v>6577</v>
      </c>
      <c r="U123" s="154"/>
      <c r="V123" s="154"/>
      <c r="W123" s="154"/>
      <c r="X123" s="159">
        <v>10612</v>
      </c>
      <c r="Y123" s="159">
        <v>43640</v>
      </c>
      <c r="Z123" s="159">
        <v>2451</v>
      </c>
      <c r="AA123" s="159">
        <v>2474</v>
      </c>
      <c r="AB123" s="159">
        <v>9457</v>
      </c>
      <c r="AC123" s="159">
        <v>14382</v>
      </c>
      <c r="AD123" s="159">
        <v>4092</v>
      </c>
      <c r="AE123" s="154"/>
      <c r="AF123" s="159">
        <v>4092</v>
      </c>
      <c r="AG123" s="154"/>
      <c r="AH123" s="159">
        <v>68233</v>
      </c>
      <c r="AI123" s="159">
        <v>92861</v>
      </c>
      <c r="AJ123" s="159">
        <v>161094</v>
      </c>
      <c r="AK123" s="159">
        <v>179099</v>
      </c>
      <c r="AL123" s="154"/>
      <c r="AM123" s="266" t="s">
        <v>10568</v>
      </c>
      <c r="AN123" t="e">
        <f t="shared" si="9"/>
        <v>#N/A</v>
      </c>
      <c r="AO123" t="e">
        <f t="shared" si="10"/>
        <v>#N/A</v>
      </c>
      <c r="AR123" s="230" t="str">
        <f t="shared" si="11"/>
        <v>Distribution Warehouse</v>
      </c>
    </row>
    <row r="124" spans="1:44" ht="12.75">
      <c r="A124" s="154" t="s">
        <v>10238</v>
      </c>
      <c r="B124" s="149">
        <v>407</v>
      </c>
      <c r="C124" s="154" t="s">
        <v>10239</v>
      </c>
      <c r="D124" s="266" t="s">
        <v>10240</v>
      </c>
      <c r="E124" s="154" t="s">
        <v>3966</v>
      </c>
      <c r="F124" s="154" t="s">
        <v>9942</v>
      </c>
      <c r="G124" s="154" t="s">
        <v>1911</v>
      </c>
      <c r="H124" s="266" t="s">
        <v>10232</v>
      </c>
      <c r="I124" s="154"/>
      <c r="J124" s="154"/>
      <c r="K124" s="154">
        <v>2024</v>
      </c>
      <c r="L124" s="159">
        <v>239823</v>
      </c>
      <c r="M124" s="154"/>
      <c r="N124" s="159">
        <v>375845</v>
      </c>
      <c r="O124" s="159">
        <v>7287</v>
      </c>
      <c r="P124" s="159">
        <v>18575</v>
      </c>
      <c r="Q124" s="159">
        <v>816</v>
      </c>
      <c r="R124" s="154"/>
      <c r="S124" s="159">
        <v>25607</v>
      </c>
      <c r="T124" s="159">
        <v>7834</v>
      </c>
      <c r="U124" s="154"/>
      <c r="V124" s="154"/>
      <c r="W124" s="154"/>
      <c r="X124" s="159">
        <v>8752</v>
      </c>
      <c r="Y124" s="159">
        <v>42009</v>
      </c>
      <c r="Z124" s="159">
        <v>2982</v>
      </c>
      <c r="AA124" s="159">
        <v>2720</v>
      </c>
      <c r="AB124" s="159">
        <v>10994</v>
      </c>
      <c r="AC124" s="159">
        <v>16696</v>
      </c>
      <c r="AD124" s="159">
        <v>4502</v>
      </c>
      <c r="AE124" s="154"/>
      <c r="AF124" s="159">
        <v>4502</v>
      </c>
      <c r="AG124" s="154"/>
      <c r="AH124" s="159">
        <v>69570</v>
      </c>
      <c r="AI124" s="159">
        <v>102524</v>
      </c>
      <c r="AJ124" s="159">
        <v>172094</v>
      </c>
      <c r="AK124" s="159">
        <v>203752</v>
      </c>
      <c r="AL124" s="154"/>
      <c r="AM124" s="266" t="s">
        <v>10568</v>
      </c>
      <c r="AN124" t="e">
        <f t="shared" si="9"/>
        <v>#N/A</v>
      </c>
      <c r="AO124" t="e">
        <f t="shared" si="10"/>
        <v>#N/A</v>
      </c>
      <c r="AR124" s="230" t="str">
        <f t="shared" si="11"/>
        <v>Distribution Warehouse</v>
      </c>
    </row>
    <row r="125" spans="1:44" ht="25.5">
      <c r="A125" s="154" t="s">
        <v>10242</v>
      </c>
      <c r="B125" s="149">
        <v>584</v>
      </c>
      <c r="C125" s="154" t="s">
        <v>10243</v>
      </c>
      <c r="D125" s="266" t="s">
        <v>10569</v>
      </c>
      <c r="E125" s="154" t="s">
        <v>3966</v>
      </c>
      <c r="F125" s="154" t="s">
        <v>9942</v>
      </c>
      <c r="G125" s="154" t="s">
        <v>1911</v>
      </c>
      <c r="H125" s="266" t="s">
        <v>10043</v>
      </c>
      <c r="I125" s="154"/>
      <c r="J125" s="154">
        <v>278538</v>
      </c>
      <c r="K125" s="154">
        <v>2024</v>
      </c>
      <c r="L125" s="159">
        <v>1242512</v>
      </c>
      <c r="M125" s="154"/>
      <c r="N125" s="159">
        <v>2952901</v>
      </c>
      <c r="O125" s="154"/>
      <c r="P125" s="154"/>
      <c r="Q125" s="154"/>
      <c r="R125" s="154"/>
      <c r="S125" s="154"/>
      <c r="T125" s="154"/>
      <c r="U125" s="154"/>
      <c r="V125" s="154"/>
      <c r="W125" s="154"/>
      <c r="X125" s="154"/>
      <c r="Y125" s="154"/>
      <c r="Z125" s="154"/>
      <c r="AA125" s="154"/>
      <c r="AB125" s="154"/>
      <c r="AC125" s="154"/>
      <c r="AD125" s="154"/>
      <c r="AE125" s="154"/>
      <c r="AF125" s="159">
        <v>195945</v>
      </c>
      <c r="AG125" s="154"/>
      <c r="AH125" s="154"/>
      <c r="AI125" s="154"/>
      <c r="AJ125" s="154"/>
      <c r="AK125" s="154"/>
      <c r="AL125" s="154"/>
      <c r="AM125" s="266" t="s">
        <v>10570</v>
      </c>
      <c r="AN125" t="e">
        <f t="shared" si="9"/>
        <v>#N/A</v>
      </c>
      <c r="AO125" t="e">
        <f t="shared" si="10"/>
        <v>#N/A</v>
      </c>
      <c r="AR125" s="230" t="str">
        <f t="shared" si="11"/>
        <v>Mega Warehouse</v>
      </c>
    </row>
    <row r="126" spans="1:44" ht="25.5">
      <c r="A126" s="154" t="s">
        <v>10248</v>
      </c>
      <c r="B126" s="149">
        <v>407</v>
      </c>
      <c r="C126" s="154" t="s">
        <v>10249</v>
      </c>
      <c r="D126" s="266" t="s">
        <v>10250</v>
      </c>
      <c r="E126" s="154" t="s">
        <v>3966</v>
      </c>
      <c r="F126" s="154" t="s">
        <v>9942</v>
      </c>
      <c r="G126" s="154" t="s">
        <v>1911</v>
      </c>
      <c r="H126" s="266" t="s">
        <v>10083</v>
      </c>
      <c r="I126" s="154">
        <v>2019</v>
      </c>
      <c r="J126" s="154">
        <v>36212</v>
      </c>
      <c r="K126" s="154">
        <v>2023</v>
      </c>
      <c r="L126" s="159">
        <v>272278</v>
      </c>
      <c r="M126" s="154"/>
      <c r="N126" s="159">
        <v>272278</v>
      </c>
      <c r="O126" s="154"/>
      <c r="P126" s="154"/>
      <c r="Q126" s="154"/>
      <c r="R126" s="154"/>
      <c r="S126" s="154"/>
      <c r="T126" s="154"/>
      <c r="U126" s="154"/>
      <c r="V126" s="154"/>
      <c r="W126" s="154"/>
      <c r="X126" s="154"/>
      <c r="Y126" s="154"/>
      <c r="Z126" s="154"/>
      <c r="AA126" s="154"/>
      <c r="AB126" s="154"/>
      <c r="AC126" s="154"/>
      <c r="AD126" s="154"/>
      <c r="AE126" s="154"/>
      <c r="AF126" s="154"/>
      <c r="AG126" s="154"/>
      <c r="AH126" s="154"/>
      <c r="AI126" s="154"/>
      <c r="AJ126" s="154"/>
      <c r="AK126" s="154"/>
      <c r="AL126" s="154"/>
      <c r="AM126" s="266" t="s">
        <v>10571</v>
      </c>
      <c r="AN126" t="e">
        <f t="shared" si="9"/>
        <v>#N/A</v>
      </c>
      <c r="AO126" t="e">
        <f t="shared" si="10"/>
        <v>#N/A</v>
      </c>
      <c r="AR126" s="230" t="str">
        <f t="shared" si="11"/>
        <v>Distribution Warehouse</v>
      </c>
    </row>
    <row r="127" spans="1:44" ht="25.5">
      <c r="A127" s="154" t="s">
        <v>10248</v>
      </c>
      <c r="B127" s="149">
        <v>407</v>
      </c>
      <c r="C127" s="154" t="s">
        <v>10249</v>
      </c>
      <c r="D127" s="266" t="s">
        <v>10250</v>
      </c>
      <c r="E127" s="154" t="s">
        <v>3966</v>
      </c>
      <c r="F127" s="154" t="s">
        <v>9942</v>
      </c>
      <c r="G127" s="154" t="s">
        <v>1911</v>
      </c>
      <c r="H127" s="266" t="s">
        <v>10083</v>
      </c>
      <c r="I127" s="154">
        <v>2019</v>
      </c>
      <c r="J127" s="154">
        <v>36212</v>
      </c>
      <c r="K127" s="154">
        <v>2024</v>
      </c>
      <c r="L127" s="159">
        <v>280448</v>
      </c>
      <c r="M127" s="154"/>
      <c r="N127" s="159">
        <v>280448</v>
      </c>
      <c r="O127" s="154"/>
      <c r="P127" s="154"/>
      <c r="Q127" s="154"/>
      <c r="R127" s="154"/>
      <c r="S127" s="154"/>
      <c r="T127" s="154"/>
      <c r="U127" s="154"/>
      <c r="V127" s="154"/>
      <c r="W127" s="154"/>
      <c r="X127" s="154"/>
      <c r="Y127" s="154"/>
      <c r="Z127" s="154"/>
      <c r="AA127" s="154"/>
      <c r="AB127" s="154"/>
      <c r="AC127" s="154"/>
      <c r="AD127" s="154"/>
      <c r="AE127" s="154"/>
      <c r="AF127" s="154"/>
      <c r="AG127" s="154"/>
      <c r="AH127" s="154"/>
      <c r="AI127" s="154"/>
      <c r="AJ127" s="154"/>
      <c r="AK127" s="154"/>
      <c r="AL127" s="154"/>
      <c r="AM127" s="266" t="s">
        <v>10572</v>
      </c>
      <c r="AN127" t="e">
        <f t="shared" si="9"/>
        <v>#N/A</v>
      </c>
      <c r="AO127" t="e">
        <f t="shared" si="10"/>
        <v>#N/A</v>
      </c>
      <c r="AR127" s="230" t="str">
        <f t="shared" si="11"/>
        <v>Distribution Warehouse</v>
      </c>
    </row>
    <row r="128" spans="1:44" ht="25.5">
      <c r="A128" s="154" t="s">
        <v>10254</v>
      </c>
      <c r="B128" s="149">
        <v>344</v>
      </c>
      <c r="C128" s="154" t="s">
        <v>2583</v>
      </c>
      <c r="D128" s="266" t="s">
        <v>10255</v>
      </c>
      <c r="E128" s="154" t="s">
        <v>3590</v>
      </c>
      <c r="F128" s="154" t="s">
        <v>9942</v>
      </c>
      <c r="G128" s="154" t="s">
        <v>9959</v>
      </c>
      <c r="H128" s="266" t="s">
        <v>10256</v>
      </c>
      <c r="I128" s="154"/>
      <c r="J128" s="154">
        <v>19764</v>
      </c>
      <c r="K128" s="154">
        <v>2023</v>
      </c>
      <c r="L128" s="154"/>
      <c r="M128" s="154"/>
      <c r="N128" s="154"/>
      <c r="O128" s="159">
        <v>3132</v>
      </c>
      <c r="P128" s="159">
        <v>9187</v>
      </c>
      <c r="Q128" s="154"/>
      <c r="R128" s="154"/>
      <c r="S128" s="154"/>
      <c r="T128" s="154"/>
      <c r="U128" s="154"/>
      <c r="V128" s="154"/>
      <c r="W128" s="154"/>
      <c r="X128" s="159">
        <v>48128</v>
      </c>
      <c r="Y128" s="159">
        <v>48128</v>
      </c>
      <c r="Z128" s="154"/>
      <c r="AA128" s="159">
        <v>9835</v>
      </c>
      <c r="AB128" s="154"/>
      <c r="AC128" s="159">
        <v>9835</v>
      </c>
      <c r="AD128" s="154"/>
      <c r="AE128" s="154"/>
      <c r="AF128" s="159">
        <v>37547</v>
      </c>
      <c r="AG128" s="159">
        <v>8244</v>
      </c>
      <c r="AH128" s="159">
        <v>133351</v>
      </c>
      <c r="AI128" s="159">
        <v>40716</v>
      </c>
      <c r="AJ128" s="159">
        <v>174067</v>
      </c>
      <c r="AK128" s="159">
        <v>54413</v>
      </c>
      <c r="AL128" s="154"/>
      <c r="AM128" s="266" t="s">
        <v>10573</v>
      </c>
      <c r="AN128" t="e">
        <f t="shared" si="9"/>
        <v>#N/A</v>
      </c>
      <c r="AO128" t="e">
        <f t="shared" si="10"/>
        <v>#N/A</v>
      </c>
      <c r="AR128" s="230" t="str">
        <f t="shared" si="11"/>
        <v>Office Building</v>
      </c>
    </row>
    <row r="129" spans="1:44" ht="12.75">
      <c r="A129" s="154" t="s">
        <v>10254</v>
      </c>
      <c r="B129" s="149">
        <v>344</v>
      </c>
      <c r="C129" s="154" t="s">
        <v>2583</v>
      </c>
      <c r="D129" s="266" t="s">
        <v>10255</v>
      </c>
      <c r="E129" s="154" t="s">
        <v>3590</v>
      </c>
      <c r="F129" s="154" t="s">
        <v>9942</v>
      </c>
      <c r="G129" s="154" t="s">
        <v>9959</v>
      </c>
      <c r="H129" s="266" t="s">
        <v>10256</v>
      </c>
      <c r="I129" s="154"/>
      <c r="J129" s="154">
        <v>19764</v>
      </c>
      <c r="K129" s="154">
        <v>2024</v>
      </c>
      <c r="L129" s="154"/>
      <c r="M129" s="154"/>
      <c r="N129" s="154"/>
      <c r="O129" s="159">
        <v>11171</v>
      </c>
      <c r="P129" s="159">
        <v>9000</v>
      </c>
      <c r="Q129" s="154"/>
      <c r="R129" s="154"/>
      <c r="S129" s="154"/>
      <c r="T129" s="154"/>
      <c r="U129" s="154"/>
      <c r="V129" s="154"/>
      <c r="W129" s="154"/>
      <c r="X129" s="159">
        <v>48665</v>
      </c>
      <c r="Y129" s="159">
        <v>48665</v>
      </c>
      <c r="Z129" s="154"/>
      <c r="AA129" s="159">
        <v>11638</v>
      </c>
      <c r="AB129" s="154"/>
      <c r="AC129" s="159">
        <v>11638</v>
      </c>
      <c r="AD129" s="154"/>
      <c r="AE129" s="154"/>
      <c r="AF129" s="159">
        <v>47748</v>
      </c>
      <c r="AG129" s="159">
        <v>6178</v>
      </c>
      <c r="AH129" s="159">
        <v>134405</v>
      </c>
      <c r="AI129" s="159">
        <v>40064</v>
      </c>
      <c r="AJ129" s="159">
        <v>174469</v>
      </c>
      <c r="AK129" s="159">
        <v>54011</v>
      </c>
      <c r="AL129" s="154"/>
      <c r="AM129" s="266" t="s">
        <v>10574</v>
      </c>
      <c r="AN129" t="e">
        <f t="shared" si="9"/>
        <v>#N/A</v>
      </c>
      <c r="AO129" t="e">
        <f t="shared" si="10"/>
        <v>#N/A</v>
      </c>
      <c r="AR129" s="230" t="str">
        <f t="shared" si="11"/>
        <v>Office Building</v>
      </c>
    </row>
    <row r="130" spans="1:44" ht="25.5">
      <c r="A130" s="154" t="s">
        <v>10259</v>
      </c>
      <c r="B130" s="149">
        <v>344</v>
      </c>
      <c r="C130" s="154" t="s">
        <v>3588</v>
      </c>
      <c r="D130" s="266" t="s">
        <v>10260</v>
      </c>
      <c r="E130" s="154" t="s">
        <v>3590</v>
      </c>
      <c r="F130" s="154" t="s">
        <v>9942</v>
      </c>
      <c r="G130" s="154" t="s">
        <v>9959</v>
      </c>
      <c r="H130" s="266" t="s">
        <v>10256</v>
      </c>
      <c r="I130" s="154"/>
      <c r="J130" s="154"/>
      <c r="K130" s="154">
        <v>2023</v>
      </c>
      <c r="L130" s="159">
        <v>2011958</v>
      </c>
      <c r="M130" s="154"/>
      <c r="N130" s="159">
        <v>2239234</v>
      </c>
      <c r="O130" s="154"/>
      <c r="P130" s="154"/>
      <c r="Q130" s="154"/>
      <c r="R130" s="154"/>
      <c r="S130" s="154"/>
      <c r="T130" s="154"/>
      <c r="U130" s="154"/>
      <c r="V130" s="154"/>
      <c r="W130" s="154"/>
      <c r="X130" s="159">
        <v>144543</v>
      </c>
      <c r="Y130" s="159">
        <v>144543</v>
      </c>
      <c r="Z130" s="154"/>
      <c r="AA130" s="154"/>
      <c r="AB130" s="154"/>
      <c r="AC130" s="154"/>
      <c r="AD130" s="154"/>
      <c r="AE130" s="154"/>
      <c r="AF130" s="159">
        <v>240350</v>
      </c>
      <c r="AG130" s="159">
        <v>279549</v>
      </c>
      <c r="AH130" s="159">
        <v>719555</v>
      </c>
      <c r="AI130" s="159">
        <v>497852</v>
      </c>
      <c r="AJ130" s="159">
        <v>1217407</v>
      </c>
      <c r="AK130" s="159">
        <v>1021827</v>
      </c>
      <c r="AL130" s="154"/>
      <c r="AM130" s="266" t="s">
        <v>10575</v>
      </c>
      <c r="AN130" t="e">
        <f t="shared" si="9"/>
        <v>#N/A</v>
      </c>
      <c r="AO130" t="e">
        <f t="shared" si="10"/>
        <v>#N/A</v>
      </c>
      <c r="AR130" s="230" t="str">
        <f t="shared" si="11"/>
        <v>Office Building</v>
      </c>
    </row>
    <row r="131" spans="1:44" ht="25.5">
      <c r="A131" s="154" t="s">
        <v>10263</v>
      </c>
      <c r="B131" s="149">
        <v>344</v>
      </c>
      <c r="C131" s="154" t="s">
        <v>10264</v>
      </c>
      <c r="D131" s="266" t="s">
        <v>10265</v>
      </c>
      <c r="E131" s="154" t="s">
        <v>1304</v>
      </c>
      <c r="F131" s="154" t="s">
        <v>9942</v>
      </c>
      <c r="G131" s="154" t="s">
        <v>9959</v>
      </c>
      <c r="H131" s="266" t="s">
        <v>10256</v>
      </c>
      <c r="I131" s="154"/>
      <c r="J131" s="154">
        <v>114843</v>
      </c>
      <c r="K131" s="154">
        <v>2023</v>
      </c>
      <c r="L131" s="154"/>
      <c r="M131" s="154"/>
      <c r="N131" s="159">
        <v>618988</v>
      </c>
      <c r="O131" s="154"/>
      <c r="P131" s="154"/>
      <c r="Q131" s="154"/>
      <c r="R131" s="154"/>
      <c r="S131" s="154"/>
      <c r="T131" s="154"/>
      <c r="U131" s="154"/>
      <c r="V131" s="154"/>
      <c r="W131" s="154"/>
      <c r="X131" s="154"/>
      <c r="Y131" s="154"/>
      <c r="Z131" s="154"/>
      <c r="AA131" s="159">
        <v>10029</v>
      </c>
      <c r="AB131" s="154"/>
      <c r="AC131" s="154"/>
      <c r="AD131" s="154"/>
      <c r="AE131" s="154"/>
      <c r="AF131" s="154"/>
      <c r="AG131" s="154"/>
      <c r="AH131" s="159">
        <v>303578</v>
      </c>
      <c r="AI131" s="159">
        <v>262422</v>
      </c>
      <c r="AJ131" s="159">
        <v>566000</v>
      </c>
      <c r="AK131" s="159">
        <v>53141</v>
      </c>
      <c r="AL131" s="154"/>
      <c r="AM131" s="266" t="s">
        <v>10576</v>
      </c>
      <c r="AN131" t="e">
        <f t="shared" si="9"/>
        <v>#N/A</v>
      </c>
      <c r="AO131" t="e">
        <f t="shared" si="10"/>
        <v>#N/A</v>
      </c>
      <c r="AR131" s="230" t="str">
        <f t="shared" si="11"/>
        <v>Office Building</v>
      </c>
    </row>
    <row r="132" spans="1:44" ht="12.75">
      <c r="A132" s="154" t="s">
        <v>10263</v>
      </c>
      <c r="B132" s="149">
        <v>344</v>
      </c>
      <c r="C132" s="154" t="s">
        <v>10264</v>
      </c>
      <c r="D132" s="266" t="s">
        <v>10265</v>
      </c>
      <c r="E132" s="154" t="s">
        <v>1304</v>
      </c>
      <c r="F132" s="154" t="s">
        <v>9942</v>
      </c>
      <c r="G132" s="154" t="s">
        <v>9959</v>
      </c>
      <c r="H132" s="266" t="s">
        <v>10256</v>
      </c>
      <c r="I132" s="154"/>
      <c r="J132" s="154">
        <v>114843</v>
      </c>
      <c r="K132" s="154">
        <v>2024</v>
      </c>
      <c r="L132" s="154"/>
      <c r="M132" s="154"/>
      <c r="N132" s="159">
        <v>1353745</v>
      </c>
      <c r="O132" s="154"/>
      <c r="P132" s="154"/>
      <c r="Q132" s="154"/>
      <c r="R132" s="154"/>
      <c r="S132" s="154"/>
      <c r="T132" s="154"/>
      <c r="U132" s="154"/>
      <c r="V132" s="154"/>
      <c r="W132" s="154"/>
      <c r="X132" s="154"/>
      <c r="Y132" s="154"/>
      <c r="Z132" s="154"/>
      <c r="AA132" s="154"/>
      <c r="AB132" s="154"/>
      <c r="AC132" s="154"/>
      <c r="AD132" s="154"/>
      <c r="AE132" s="154"/>
      <c r="AF132" s="154"/>
      <c r="AG132" s="154"/>
      <c r="AH132" s="159">
        <v>1025000</v>
      </c>
      <c r="AI132" s="154"/>
      <c r="AJ132" s="159">
        <v>1287000</v>
      </c>
      <c r="AK132" s="159">
        <v>66677</v>
      </c>
      <c r="AL132" s="154"/>
      <c r="AM132" s="266" t="s">
        <v>10577</v>
      </c>
      <c r="AN132" t="e">
        <f t="shared" ref="AN132:AN163" si="12">IF(AND($B132=Subj_OccCode,Subj_BldgSF&gt;0,ABS($J132-Subj_BldgSF)&lt;=Subj_BldgSF*Subj_SizeTol),ABS($J132-Subj_BldgSF),NA())</f>
        <v>#N/A</v>
      </c>
      <c r="AO132" t="e">
        <f t="shared" ref="AO132:AO163" si="13">IF(ISNA(AN132),NA(),AN132+ROW()/10000000)</f>
        <v>#N/A</v>
      </c>
      <c r="AR132" s="230" t="str">
        <f t="shared" ref="AR132:AR163" si="14">IF(B132="","",IFERROR(INDEX(OCC_TABLE_DESC,MATCH(B132,OCC_TABLE_CODE,0)),"Unrecognized code"))</f>
        <v>Office Building</v>
      </c>
    </row>
    <row r="133" spans="1:44" ht="25.5">
      <c r="A133" s="154" t="s">
        <v>10267</v>
      </c>
      <c r="B133" s="149">
        <v>344</v>
      </c>
      <c r="C133" s="154" t="s">
        <v>10268</v>
      </c>
      <c r="D133" s="266" t="s">
        <v>10269</v>
      </c>
      <c r="E133" s="154" t="s">
        <v>3642</v>
      </c>
      <c r="F133" s="154" t="s">
        <v>9942</v>
      </c>
      <c r="G133" s="154" t="s">
        <v>9959</v>
      </c>
      <c r="H133" s="266" t="s">
        <v>10256</v>
      </c>
      <c r="I133" s="154"/>
      <c r="J133" s="154">
        <v>8218</v>
      </c>
      <c r="K133" s="154">
        <v>2023</v>
      </c>
      <c r="L133" s="159">
        <v>96674</v>
      </c>
      <c r="M133" s="154"/>
      <c r="N133" s="159">
        <v>109164</v>
      </c>
      <c r="O133" s="159">
        <v>2384</v>
      </c>
      <c r="P133" s="159">
        <v>5400</v>
      </c>
      <c r="Q133" s="154"/>
      <c r="R133" s="154"/>
      <c r="S133" s="154"/>
      <c r="T133" s="154"/>
      <c r="U133" s="154"/>
      <c r="V133" s="154"/>
      <c r="W133" s="154"/>
      <c r="X133" s="159">
        <v>18169</v>
      </c>
      <c r="Y133" s="159">
        <v>18169</v>
      </c>
      <c r="Z133" s="154"/>
      <c r="AA133" s="154"/>
      <c r="AB133" s="154"/>
      <c r="AC133" s="154"/>
      <c r="AD133" s="154"/>
      <c r="AE133" s="154"/>
      <c r="AF133" s="159">
        <v>12971</v>
      </c>
      <c r="AG133" s="159">
        <v>4012</v>
      </c>
      <c r="AH133" s="159">
        <v>39724</v>
      </c>
      <c r="AI133" s="159">
        <v>16276</v>
      </c>
      <c r="AJ133" s="159">
        <v>56000</v>
      </c>
      <c r="AK133" s="159">
        <v>53000</v>
      </c>
      <c r="AL133" s="154"/>
      <c r="AM133" s="266" t="s">
        <v>10578</v>
      </c>
      <c r="AN133" t="e">
        <f t="shared" si="12"/>
        <v>#N/A</v>
      </c>
      <c r="AO133" t="e">
        <f t="shared" si="13"/>
        <v>#N/A</v>
      </c>
      <c r="AR133" s="230" t="str">
        <f t="shared" si="14"/>
        <v>Office Building</v>
      </c>
    </row>
    <row r="134" spans="1:44" ht="12.75">
      <c r="A134" s="154" t="s">
        <v>10271</v>
      </c>
      <c r="B134" s="149">
        <v>344</v>
      </c>
      <c r="C134" s="154" t="s">
        <v>10272</v>
      </c>
      <c r="D134" s="266" t="s">
        <v>10273</v>
      </c>
      <c r="E134" s="154" t="s">
        <v>3966</v>
      </c>
      <c r="F134" s="154" t="s">
        <v>9942</v>
      </c>
      <c r="G134" s="154" t="s">
        <v>9959</v>
      </c>
      <c r="H134" s="266" t="s">
        <v>10256</v>
      </c>
      <c r="I134" s="154"/>
      <c r="J134" s="154"/>
      <c r="K134" s="154">
        <v>2023</v>
      </c>
      <c r="L134" s="159">
        <v>326779</v>
      </c>
      <c r="M134" s="154"/>
      <c r="N134" s="159">
        <v>315661</v>
      </c>
      <c r="O134" s="154"/>
      <c r="P134" s="154"/>
      <c r="Q134" s="154"/>
      <c r="R134" s="154"/>
      <c r="S134" s="154"/>
      <c r="T134" s="154"/>
      <c r="U134" s="154"/>
      <c r="V134" s="154"/>
      <c r="W134" s="154"/>
      <c r="X134" s="154"/>
      <c r="Y134" s="154"/>
      <c r="Z134" s="154"/>
      <c r="AA134" s="159">
        <v>16009</v>
      </c>
      <c r="AB134" s="154"/>
      <c r="AC134" s="154"/>
      <c r="AD134" s="154"/>
      <c r="AE134" s="154"/>
      <c r="AF134" s="154"/>
      <c r="AG134" s="154"/>
      <c r="AH134" s="159">
        <v>78034</v>
      </c>
      <c r="AI134" s="159">
        <v>66966</v>
      </c>
      <c r="AJ134" s="159">
        <v>145000</v>
      </c>
      <c r="AK134" s="159">
        <v>170661</v>
      </c>
      <c r="AL134" s="154"/>
      <c r="AM134" s="266" t="s">
        <v>10579</v>
      </c>
      <c r="AN134" t="e">
        <f t="shared" si="12"/>
        <v>#N/A</v>
      </c>
      <c r="AO134" t="e">
        <f t="shared" si="13"/>
        <v>#N/A</v>
      </c>
      <c r="AR134" s="230" t="str">
        <f t="shared" si="14"/>
        <v>Office Building</v>
      </c>
    </row>
    <row r="135" spans="1:44" ht="12.75">
      <c r="A135" s="154" t="s">
        <v>10271</v>
      </c>
      <c r="B135" s="149">
        <v>344</v>
      </c>
      <c r="C135" s="154" t="s">
        <v>10272</v>
      </c>
      <c r="D135" s="266" t="s">
        <v>10273</v>
      </c>
      <c r="E135" s="154" t="s">
        <v>3966</v>
      </c>
      <c r="F135" s="154" t="s">
        <v>9942</v>
      </c>
      <c r="G135" s="154" t="s">
        <v>9959</v>
      </c>
      <c r="H135" s="266" t="s">
        <v>10256</v>
      </c>
      <c r="I135" s="154"/>
      <c r="J135" s="154"/>
      <c r="K135" s="154">
        <v>2024</v>
      </c>
      <c r="L135" s="159">
        <v>357674</v>
      </c>
      <c r="M135" s="154"/>
      <c r="N135" s="159">
        <v>335977</v>
      </c>
      <c r="O135" s="159">
        <v>9791</v>
      </c>
      <c r="P135" s="159">
        <v>7884</v>
      </c>
      <c r="Q135" s="154"/>
      <c r="R135" s="154"/>
      <c r="S135" s="154"/>
      <c r="T135" s="154"/>
      <c r="U135" s="154"/>
      <c r="V135" s="154"/>
      <c r="W135" s="154"/>
      <c r="X135" s="159">
        <v>41510</v>
      </c>
      <c r="Y135" s="159">
        <v>41510</v>
      </c>
      <c r="Z135" s="154"/>
      <c r="AA135" s="159">
        <v>12092</v>
      </c>
      <c r="AB135" s="154"/>
      <c r="AC135" s="154"/>
      <c r="AD135" s="154"/>
      <c r="AE135" s="154"/>
      <c r="AF135" s="159">
        <v>9302</v>
      </c>
      <c r="AG135" s="159">
        <v>10772</v>
      </c>
      <c r="AH135" s="159">
        <v>109544</v>
      </c>
      <c r="AI135" s="159">
        <v>68307</v>
      </c>
      <c r="AJ135" s="159">
        <v>177851</v>
      </c>
      <c r="AK135" s="159">
        <v>158126</v>
      </c>
      <c r="AL135" s="154"/>
      <c r="AM135" s="266" t="s">
        <v>10580</v>
      </c>
      <c r="AN135" t="e">
        <f t="shared" si="12"/>
        <v>#N/A</v>
      </c>
      <c r="AO135" t="e">
        <f t="shared" si="13"/>
        <v>#N/A</v>
      </c>
      <c r="AR135" s="230" t="str">
        <f t="shared" si="14"/>
        <v>Office Building</v>
      </c>
    </row>
    <row r="136" spans="1:44" ht="25.5">
      <c r="A136" s="154" t="s">
        <v>10275</v>
      </c>
      <c r="B136" s="149">
        <v>344</v>
      </c>
      <c r="C136" s="154" t="s">
        <v>10276</v>
      </c>
      <c r="D136" s="266" t="s">
        <v>10277</v>
      </c>
      <c r="E136" s="154" t="s">
        <v>1304</v>
      </c>
      <c r="F136" s="154" t="s">
        <v>9942</v>
      </c>
      <c r="G136" s="154" t="s">
        <v>9959</v>
      </c>
      <c r="H136" s="266" t="s">
        <v>10278</v>
      </c>
      <c r="I136" s="154"/>
      <c r="J136" s="154">
        <v>41979</v>
      </c>
      <c r="K136" s="154">
        <v>2023</v>
      </c>
      <c r="L136" s="159">
        <v>975573</v>
      </c>
      <c r="M136" s="154"/>
      <c r="N136" s="159">
        <v>1351329</v>
      </c>
      <c r="O136" s="159">
        <v>30649</v>
      </c>
      <c r="P136" s="159">
        <v>86480</v>
      </c>
      <c r="Q136" s="154"/>
      <c r="R136" s="154"/>
      <c r="S136" s="154"/>
      <c r="T136" s="154"/>
      <c r="U136" s="154"/>
      <c r="V136" s="154"/>
      <c r="W136" s="154"/>
      <c r="X136" s="159">
        <v>136077</v>
      </c>
      <c r="Y136" s="159">
        <v>136077</v>
      </c>
      <c r="Z136" s="154"/>
      <c r="AA136" s="154"/>
      <c r="AB136" s="154"/>
      <c r="AC136" s="154"/>
      <c r="AD136" s="154"/>
      <c r="AE136" s="154"/>
      <c r="AF136" s="159">
        <v>144650</v>
      </c>
      <c r="AG136" s="159">
        <v>24922</v>
      </c>
      <c r="AH136" s="159">
        <v>422677</v>
      </c>
      <c r="AI136" s="159">
        <v>86236</v>
      </c>
      <c r="AJ136" s="159">
        <v>508913</v>
      </c>
      <c r="AK136" s="159">
        <v>842416</v>
      </c>
      <c r="AL136" s="154"/>
      <c r="AM136" s="266" t="s">
        <v>10581</v>
      </c>
      <c r="AN136" t="e">
        <f t="shared" si="12"/>
        <v>#N/A</v>
      </c>
      <c r="AO136" t="e">
        <f t="shared" si="13"/>
        <v>#N/A</v>
      </c>
      <c r="AR136" s="230" t="str">
        <f t="shared" si="14"/>
        <v>Office Building</v>
      </c>
    </row>
    <row r="137" spans="1:44" ht="25.5">
      <c r="A137" s="154" t="s">
        <v>10275</v>
      </c>
      <c r="B137" s="149">
        <v>344</v>
      </c>
      <c r="C137" s="154" t="s">
        <v>10276</v>
      </c>
      <c r="D137" s="266" t="s">
        <v>10277</v>
      </c>
      <c r="E137" s="154" t="s">
        <v>1304</v>
      </c>
      <c r="F137" s="154" t="s">
        <v>9942</v>
      </c>
      <c r="G137" s="154" t="s">
        <v>9959</v>
      </c>
      <c r="H137" s="266" t="s">
        <v>10278</v>
      </c>
      <c r="I137" s="154"/>
      <c r="J137" s="154">
        <v>41979</v>
      </c>
      <c r="K137" s="154">
        <v>2024</v>
      </c>
      <c r="L137" s="159">
        <v>858704</v>
      </c>
      <c r="M137" s="154"/>
      <c r="N137" s="159">
        <v>1393201</v>
      </c>
      <c r="O137" s="159">
        <v>34798</v>
      </c>
      <c r="P137" s="159">
        <v>89439</v>
      </c>
      <c r="Q137" s="154"/>
      <c r="R137" s="154"/>
      <c r="S137" s="154"/>
      <c r="T137" s="154"/>
      <c r="U137" s="154"/>
      <c r="V137" s="154"/>
      <c r="W137" s="154"/>
      <c r="X137" s="159">
        <v>116522</v>
      </c>
      <c r="Y137" s="159">
        <v>116522</v>
      </c>
      <c r="Z137" s="154"/>
      <c r="AA137" s="154"/>
      <c r="AB137" s="154"/>
      <c r="AC137" s="154"/>
      <c r="AD137" s="154"/>
      <c r="AE137" s="154"/>
      <c r="AF137" s="159">
        <v>150007</v>
      </c>
      <c r="AG137" s="159">
        <v>29708</v>
      </c>
      <c r="AH137" s="159">
        <v>425475</v>
      </c>
      <c r="AI137" s="159">
        <v>86738</v>
      </c>
      <c r="AJ137" s="159">
        <v>512213</v>
      </c>
      <c r="AK137" s="159">
        <v>880988</v>
      </c>
      <c r="AL137" s="154"/>
      <c r="AM137" s="266" t="s">
        <v>10581</v>
      </c>
      <c r="AN137" t="e">
        <f t="shared" si="12"/>
        <v>#N/A</v>
      </c>
      <c r="AO137" t="e">
        <f t="shared" si="13"/>
        <v>#N/A</v>
      </c>
      <c r="AR137" s="230" t="str">
        <f t="shared" si="14"/>
        <v>Office Building</v>
      </c>
    </row>
    <row r="138" spans="1:44" ht="25.5">
      <c r="A138" s="154" t="s">
        <v>10280</v>
      </c>
      <c r="B138" s="149">
        <v>210</v>
      </c>
      <c r="C138" s="154" t="s">
        <v>10281</v>
      </c>
      <c r="D138" s="266" t="s">
        <v>10282</v>
      </c>
      <c r="E138" s="154" t="s">
        <v>3642</v>
      </c>
      <c r="F138" s="154" t="s">
        <v>9942</v>
      </c>
      <c r="G138" s="154" t="s">
        <v>10283</v>
      </c>
      <c r="H138" s="266" t="s">
        <v>10284</v>
      </c>
      <c r="I138" s="154"/>
      <c r="J138" s="154">
        <v>278538</v>
      </c>
      <c r="K138" s="154">
        <v>2023</v>
      </c>
      <c r="L138" s="159">
        <v>1636029</v>
      </c>
      <c r="M138" s="154"/>
      <c r="N138" s="159">
        <v>1610567</v>
      </c>
      <c r="O138" s="159">
        <v>5093</v>
      </c>
      <c r="P138" s="159">
        <v>21945</v>
      </c>
      <c r="Q138" s="154"/>
      <c r="R138" s="154"/>
      <c r="S138" s="154"/>
      <c r="T138" s="154"/>
      <c r="U138" s="154"/>
      <c r="V138" s="154"/>
      <c r="W138" s="154"/>
      <c r="X138" s="159">
        <v>256338</v>
      </c>
      <c r="Y138" s="159">
        <v>256338</v>
      </c>
      <c r="Z138" s="154"/>
      <c r="AA138" s="159">
        <v>58025</v>
      </c>
      <c r="AB138" s="159">
        <v>3239</v>
      </c>
      <c r="AC138" s="159">
        <v>61264</v>
      </c>
      <c r="AD138" s="154"/>
      <c r="AE138" s="154"/>
      <c r="AF138" s="159">
        <v>31915</v>
      </c>
      <c r="AG138" s="154"/>
      <c r="AH138" s="159">
        <v>375619</v>
      </c>
      <c r="AI138" s="159">
        <v>0</v>
      </c>
      <c r="AJ138" s="159">
        <v>375619</v>
      </c>
      <c r="AK138" s="159">
        <v>76629</v>
      </c>
      <c r="AL138" s="154"/>
      <c r="AM138" s="266" t="s">
        <v>10582</v>
      </c>
      <c r="AN138" t="e">
        <f t="shared" si="12"/>
        <v>#N/A</v>
      </c>
      <c r="AO138" t="e">
        <f t="shared" si="13"/>
        <v>#N/A</v>
      </c>
      <c r="AR138" s="230" t="str">
        <f t="shared" si="14"/>
        <v>Industrial Flex Mall Building</v>
      </c>
    </row>
    <row r="139" spans="1:44" ht="12.75">
      <c r="A139" s="154" t="s">
        <v>10280</v>
      </c>
      <c r="B139" s="149">
        <v>210</v>
      </c>
      <c r="C139" s="154" t="s">
        <v>10281</v>
      </c>
      <c r="D139" s="266" t="s">
        <v>10282</v>
      </c>
      <c r="E139" s="154" t="s">
        <v>3642</v>
      </c>
      <c r="F139" s="154" t="s">
        <v>9942</v>
      </c>
      <c r="G139" s="154" t="s">
        <v>10283</v>
      </c>
      <c r="H139" s="266" t="s">
        <v>10284</v>
      </c>
      <c r="I139" s="154"/>
      <c r="J139" s="154">
        <v>278538</v>
      </c>
      <c r="K139" s="154">
        <v>2024</v>
      </c>
      <c r="L139" s="159">
        <v>1520916</v>
      </c>
      <c r="M139" s="154"/>
      <c r="N139" s="159">
        <v>1520916</v>
      </c>
      <c r="O139" s="159">
        <v>8912</v>
      </c>
      <c r="P139" s="159">
        <v>25573</v>
      </c>
      <c r="Q139" s="154"/>
      <c r="R139" s="154"/>
      <c r="S139" s="154"/>
      <c r="T139" s="154"/>
      <c r="U139" s="154"/>
      <c r="V139" s="154"/>
      <c r="W139" s="154"/>
      <c r="X139" s="159">
        <v>125263</v>
      </c>
      <c r="Y139" s="159">
        <v>125263</v>
      </c>
      <c r="Z139" s="154"/>
      <c r="AA139" s="159">
        <v>58025</v>
      </c>
      <c r="AB139" s="159">
        <v>9957</v>
      </c>
      <c r="AC139" s="159">
        <v>67982</v>
      </c>
      <c r="AD139" s="154"/>
      <c r="AE139" s="154"/>
      <c r="AF139" s="159">
        <v>31915</v>
      </c>
      <c r="AG139" s="154"/>
      <c r="AH139" s="159">
        <v>259645</v>
      </c>
      <c r="AI139" s="159">
        <v>0</v>
      </c>
      <c r="AJ139" s="159">
        <v>259645</v>
      </c>
      <c r="AK139" s="159">
        <v>93985</v>
      </c>
      <c r="AL139" s="154"/>
      <c r="AM139" s="266" t="s">
        <v>10583</v>
      </c>
      <c r="AN139" t="e">
        <f t="shared" si="12"/>
        <v>#N/A</v>
      </c>
      <c r="AO139" t="e">
        <f t="shared" si="13"/>
        <v>#N/A</v>
      </c>
      <c r="AR139" s="230" t="str">
        <f t="shared" si="14"/>
        <v>Industrial Flex Mall Building</v>
      </c>
    </row>
    <row r="140" spans="1:44" ht="25.5">
      <c r="A140" s="154" t="s">
        <v>10286</v>
      </c>
      <c r="B140" s="149">
        <v>210</v>
      </c>
      <c r="C140" s="154" t="s">
        <v>10287</v>
      </c>
      <c r="D140" s="266" t="s">
        <v>10584</v>
      </c>
      <c r="E140" s="154" t="s">
        <v>3966</v>
      </c>
      <c r="F140" s="154" t="s">
        <v>9942</v>
      </c>
      <c r="G140" s="154" t="s">
        <v>1911</v>
      </c>
      <c r="H140" s="266" t="s">
        <v>10092</v>
      </c>
      <c r="I140" s="154"/>
      <c r="J140" s="154"/>
      <c r="K140" s="154">
        <v>2024</v>
      </c>
      <c r="L140" s="159">
        <v>693913</v>
      </c>
      <c r="M140" s="154"/>
      <c r="N140" s="159">
        <v>1038740</v>
      </c>
      <c r="O140" s="159">
        <v>10142</v>
      </c>
      <c r="P140" s="159">
        <v>11589</v>
      </c>
      <c r="Q140" s="154"/>
      <c r="R140" s="154"/>
      <c r="S140" s="159">
        <v>10801</v>
      </c>
      <c r="T140" s="159">
        <v>2121</v>
      </c>
      <c r="U140" s="154"/>
      <c r="V140" s="154"/>
      <c r="W140" s="154"/>
      <c r="X140" s="159">
        <v>1602</v>
      </c>
      <c r="Y140" s="159">
        <v>14524</v>
      </c>
      <c r="Z140" s="154"/>
      <c r="AA140" s="159">
        <v>10822</v>
      </c>
      <c r="AB140" s="159">
        <v>32162</v>
      </c>
      <c r="AC140" s="159">
        <v>3096</v>
      </c>
      <c r="AD140" s="159">
        <v>10863</v>
      </c>
      <c r="AE140" s="154"/>
      <c r="AF140" s="159">
        <v>10863</v>
      </c>
      <c r="AG140" s="154"/>
      <c r="AH140" s="159">
        <v>103843</v>
      </c>
      <c r="AI140" s="159">
        <v>285245</v>
      </c>
      <c r="AJ140" s="159">
        <v>389088</v>
      </c>
      <c r="AK140" s="159">
        <v>649652</v>
      </c>
      <c r="AL140" s="154"/>
      <c r="AM140" s="266" t="s">
        <v>10585</v>
      </c>
      <c r="AN140" t="e">
        <f t="shared" si="12"/>
        <v>#N/A</v>
      </c>
      <c r="AO140" t="e">
        <f t="shared" si="13"/>
        <v>#N/A</v>
      </c>
      <c r="AR140" s="230" t="str">
        <f t="shared" si="14"/>
        <v>Industrial Flex Mall Building</v>
      </c>
    </row>
    <row r="141" spans="1:44" ht="25.5">
      <c r="A141" s="154" t="s">
        <v>10286</v>
      </c>
      <c r="B141" s="149">
        <v>210</v>
      </c>
      <c r="C141" s="154" t="s">
        <v>10287</v>
      </c>
      <c r="D141" s="266" t="s">
        <v>10584</v>
      </c>
      <c r="E141" s="154" t="s">
        <v>3966</v>
      </c>
      <c r="F141" s="154" t="s">
        <v>9942</v>
      </c>
      <c r="G141" s="154" t="s">
        <v>1911</v>
      </c>
      <c r="H141" s="266" t="s">
        <v>10092</v>
      </c>
      <c r="I141" s="154"/>
      <c r="J141" s="154"/>
      <c r="K141" s="154">
        <v>2023</v>
      </c>
      <c r="L141" s="159">
        <v>636291</v>
      </c>
      <c r="M141" s="154"/>
      <c r="N141" s="159">
        <v>1062200</v>
      </c>
      <c r="O141" s="159">
        <v>7751</v>
      </c>
      <c r="P141" s="159">
        <v>9831</v>
      </c>
      <c r="Q141" s="154"/>
      <c r="R141" s="154"/>
      <c r="S141" s="159">
        <v>6802</v>
      </c>
      <c r="T141" s="159">
        <v>2340</v>
      </c>
      <c r="U141" s="154"/>
      <c r="V141" s="154"/>
      <c r="W141" s="154"/>
      <c r="X141" s="159">
        <v>1498</v>
      </c>
      <c r="Y141" s="159">
        <v>10640</v>
      </c>
      <c r="Z141" s="154"/>
      <c r="AA141" s="159">
        <v>12695</v>
      </c>
      <c r="AB141" s="159">
        <v>15327</v>
      </c>
      <c r="AC141" s="159">
        <v>3871</v>
      </c>
      <c r="AD141" s="159">
        <v>18104</v>
      </c>
      <c r="AE141" s="154"/>
      <c r="AF141" s="159">
        <v>18104</v>
      </c>
      <c r="AG141" s="154"/>
      <c r="AH141" s="159">
        <v>93172</v>
      </c>
      <c r="AI141" s="159">
        <v>284308</v>
      </c>
      <c r="AJ141" s="159">
        <v>377480</v>
      </c>
      <c r="AK141" s="159">
        <v>684720</v>
      </c>
      <c r="AL141" s="154"/>
      <c r="AM141" s="266" t="s">
        <v>10586</v>
      </c>
      <c r="AN141" t="e">
        <f t="shared" si="12"/>
        <v>#N/A</v>
      </c>
      <c r="AO141" t="e">
        <f t="shared" si="13"/>
        <v>#N/A</v>
      </c>
      <c r="AR141" s="230" t="str">
        <f t="shared" si="14"/>
        <v>Industrial Flex Mall Building</v>
      </c>
    </row>
    <row r="142" spans="1:44" ht="12.75">
      <c r="A142" s="154" t="s">
        <v>10292</v>
      </c>
      <c r="B142" s="149">
        <v>210</v>
      </c>
      <c r="C142" s="154" t="s">
        <v>10293</v>
      </c>
      <c r="D142" s="266" t="s">
        <v>10587</v>
      </c>
      <c r="E142" s="154" t="s">
        <v>3966</v>
      </c>
      <c r="F142" s="154" t="s">
        <v>9942</v>
      </c>
      <c r="G142" s="154" t="s">
        <v>1911</v>
      </c>
      <c r="H142" s="266" t="s">
        <v>10092</v>
      </c>
      <c r="I142" s="154"/>
      <c r="J142" s="154"/>
      <c r="K142" s="154">
        <v>2024</v>
      </c>
      <c r="L142" s="159">
        <v>559154</v>
      </c>
      <c r="M142" s="154"/>
      <c r="N142" s="159">
        <v>904777</v>
      </c>
      <c r="O142" s="159">
        <v>9318</v>
      </c>
      <c r="P142" s="159">
        <v>8966</v>
      </c>
      <c r="Q142" s="154"/>
      <c r="R142" s="154"/>
      <c r="S142" s="159">
        <v>5962</v>
      </c>
      <c r="T142" s="159">
        <v>2221</v>
      </c>
      <c r="U142" s="159">
        <v>2465</v>
      </c>
      <c r="V142" s="154"/>
      <c r="W142" s="154"/>
      <c r="X142" s="159">
        <v>1589</v>
      </c>
      <c r="Y142" s="159">
        <v>12237</v>
      </c>
      <c r="Z142" s="154"/>
      <c r="AA142" s="159">
        <v>11302</v>
      </c>
      <c r="AB142" s="159">
        <v>32413</v>
      </c>
      <c r="AC142" s="159">
        <v>3096</v>
      </c>
      <c r="AD142" s="159">
        <v>23773</v>
      </c>
      <c r="AE142" s="154"/>
      <c r="AF142" s="159">
        <v>23773</v>
      </c>
      <c r="AG142" s="154"/>
      <c r="AH142" s="159">
        <v>130296</v>
      </c>
      <c r="AI142" s="159">
        <v>265848</v>
      </c>
      <c r="AJ142" s="159">
        <v>396144</v>
      </c>
      <c r="AK142" s="159">
        <v>508633</v>
      </c>
      <c r="AL142" s="154"/>
      <c r="AM142" s="266" t="s">
        <v>10588</v>
      </c>
      <c r="AN142" t="e">
        <f t="shared" si="12"/>
        <v>#N/A</v>
      </c>
      <c r="AO142" t="e">
        <f t="shared" si="13"/>
        <v>#N/A</v>
      </c>
      <c r="AR142" s="230" t="str">
        <f t="shared" si="14"/>
        <v>Industrial Flex Mall Building</v>
      </c>
    </row>
    <row r="143" spans="1:44" ht="12.75">
      <c r="A143" s="154" t="s">
        <v>10292</v>
      </c>
      <c r="B143" s="149">
        <v>210</v>
      </c>
      <c r="C143" s="154" t="s">
        <v>10293</v>
      </c>
      <c r="D143" s="266" t="s">
        <v>10587</v>
      </c>
      <c r="E143" s="154" t="s">
        <v>3966</v>
      </c>
      <c r="F143" s="154" t="s">
        <v>9942</v>
      </c>
      <c r="G143" s="154" t="s">
        <v>1911</v>
      </c>
      <c r="H143" s="266" t="s">
        <v>10092</v>
      </c>
      <c r="I143" s="154"/>
      <c r="J143" s="154"/>
      <c r="K143" s="154">
        <v>2023</v>
      </c>
      <c r="L143" s="159">
        <v>671895</v>
      </c>
      <c r="M143" s="154"/>
      <c r="N143" s="159">
        <v>1034507</v>
      </c>
      <c r="O143" s="159">
        <v>7124</v>
      </c>
      <c r="P143" s="159">
        <v>9660</v>
      </c>
      <c r="Q143" s="154"/>
      <c r="R143" s="154"/>
      <c r="S143" s="159">
        <v>5338</v>
      </c>
      <c r="T143" s="159">
        <v>2480</v>
      </c>
      <c r="U143" s="159">
        <v>875</v>
      </c>
      <c r="V143" s="154"/>
      <c r="W143" s="154"/>
      <c r="X143" s="159">
        <v>1484</v>
      </c>
      <c r="Y143" s="159">
        <v>10177</v>
      </c>
      <c r="Z143" s="154"/>
      <c r="AA143" s="159">
        <v>8120</v>
      </c>
      <c r="AB143" s="159">
        <v>15088</v>
      </c>
      <c r="AC143" s="159">
        <v>3871</v>
      </c>
      <c r="AD143" s="159">
        <v>13983</v>
      </c>
      <c r="AE143" s="154"/>
      <c r="AF143" s="159">
        <v>13983</v>
      </c>
      <c r="AG143" s="154"/>
      <c r="AH143" s="159">
        <v>29277</v>
      </c>
      <c r="AI143" s="159">
        <v>265936</v>
      </c>
      <c r="AJ143" s="159">
        <v>295213</v>
      </c>
      <c r="AK143" s="159">
        <v>739294</v>
      </c>
      <c r="AL143" s="154"/>
      <c r="AM143" s="266" t="s">
        <v>10588</v>
      </c>
      <c r="AN143" t="e">
        <f t="shared" si="12"/>
        <v>#N/A</v>
      </c>
      <c r="AO143" t="e">
        <f t="shared" si="13"/>
        <v>#N/A</v>
      </c>
      <c r="AR143" s="230" t="str">
        <f t="shared" si="14"/>
        <v>Industrial Flex Mall Building</v>
      </c>
    </row>
    <row r="144" spans="1:44" ht="25.5">
      <c r="A144" s="154" t="s">
        <v>10296</v>
      </c>
      <c r="B144" s="149">
        <v>210</v>
      </c>
      <c r="C144" s="154" t="s">
        <v>10297</v>
      </c>
      <c r="D144" s="266" t="s">
        <v>10589</v>
      </c>
      <c r="E144" s="154" t="s">
        <v>3966</v>
      </c>
      <c r="F144" s="154" t="s">
        <v>9942</v>
      </c>
      <c r="G144" s="154" t="s">
        <v>1911</v>
      </c>
      <c r="H144" s="266" t="s">
        <v>10092</v>
      </c>
      <c r="I144" s="154"/>
      <c r="J144" s="154"/>
      <c r="K144" s="154">
        <v>2023</v>
      </c>
      <c r="L144" s="159">
        <v>633240</v>
      </c>
      <c r="M144" s="154"/>
      <c r="N144" s="159">
        <v>1026818</v>
      </c>
      <c r="O144" s="159">
        <v>6101</v>
      </c>
      <c r="P144" s="159">
        <v>8518</v>
      </c>
      <c r="Q144" s="154"/>
      <c r="R144" s="154"/>
      <c r="S144" s="159">
        <v>32990</v>
      </c>
      <c r="T144" s="159">
        <v>1965</v>
      </c>
      <c r="U144" s="154"/>
      <c r="V144" s="154"/>
      <c r="W144" s="154"/>
      <c r="X144" s="159">
        <v>1498</v>
      </c>
      <c r="Y144" s="159">
        <v>34453</v>
      </c>
      <c r="Z144" s="154"/>
      <c r="AA144" s="159">
        <v>11861</v>
      </c>
      <c r="AB144" s="159">
        <v>15620</v>
      </c>
      <c r="AC144" s="159">
        <v>3871</v>
      </c>
      <c r="AD144" s="159">
        <v>5672</v>
      </c>
      <c r="AE144" s="159">
        <v>3430</v>
      </c>
      <c r="AF144" s="159">
        <v>9102</v>
      </c>
      <c r="AG144" s="154"/>
      <c r="AH144" s="159">
        <v>107544</v>
      </c>
      <c r="AI144" s="159">
        <v>284308</v>
      </c>
      <c r="AJ144" s="159">
        <v>391852</v>
      </c>
      <c r="AK144" s="159">
        <v>634966</v>
      </c>
      <c r="AL144" s="154"/>
      <c r="AM144" s="266" t="s">
        <v>10590</v>
      </c>
      <c r="AN144" t="e">
        <f t="shared" si="12"/>
        <v>#N/A</v>
      </c>
      <c r="AO144" t="e">
        <f t="shared" si="13"/>
        <v>#N/A</v>
      </c>
      <c r="AR144" s="230" t="str">
        <f t="shared" si="14"/>
        <v>Industrial Flex Mall Building</v>
      </c>
    </row>
    <row r="145" spans="1:44" ht="12.75">
      <c r="A145" s="154" t="s">
        <v>10300</v>
      </c>
      <c r="B145" s="149">
        <v>210</v>
      </c>
      <c r="C145" s="154" t="s">
        <v>10301</v>
      </c>
      <c r="D145" s="266" t="s">
        <v>10302</v>
      </c>
      <c r="E145" s="154" t="s">
        <v>3966</v>
      </c>
      <c r="F145" s="154" t="s">
        <v>9942</v>
      </c>
      <c r="G145" s="154" t="s">
        <v>1911</v>
      </c>
      <c r="H145" s="266" t="s">
        <v>10092</v>
      </c>
      <c r="I145" s="154"/>
      <c r="J145" s="154"/>
      <c r="K145" s="154">
        <v>2024</v>
      </c>
      <c r="L145" s="159">
        <v>318721</v>
      </c>
      <c r="M145" s="154"/>
      <c r="N145" s="159">
        <v>578332</v>
      </c>
      <c r="O145" s="159">
        <v>7156</v>
      </c>
      <c r="P145" s="159">
        <v>5471</v>
      </c>
      <c r="Q145" s="154"/>
      <c r="R145" s="154"/>
      <c r="S145" s="159">
        <v>8874</v>
      </c>
      <c r="T145" s="159">
        <v>1655</v>
      </c>
      <c r="U145" s="154"/>
      <c r="V145" s="154"/>
      <c r="W145" s="154"/>
      <c r="X145" s="159">
        <v>1556</v>
      </c>
      <c r="Y145" s="159">
        <v>12085</v>
      </c>
      <c r="Z145" s="154"/>
      <c r="AA145" s="159">
        <v>9686</v>
      </c>
      <c r="AB145" s="159">
        <v>20653</v>
      </c>
      <c r="AC145" s="159">
        <v>6987</v>
      </c>
      <c r="AD145" s="159">
        <v>10547</v>
      </c>
      <c r="AE145" s="159">
        <v>1600</v>
      </c>
      <c r="AF145" s="159">
        <v>12147</v>
      </c>
      <c r="AG145" s="154"/>
      <c r="AH145" s="159">
        <v>91002</v>
      </c>
      <c r="AI145" s="159">
        <v>204010</v>
      </c>
      <c r="AJ145" s="159">
        <v>295012</v>
      </c>
      <c r="AK145" s="159">
        <v>283320</v>
      </c>
      <c r="AL145" s="154"/>
      <c r="AM145" s="266" t="s">
        <v>10588</v>
      </c>
      <c r="AN145" t="e">
        <f t="shared" si="12"/>
        <v>#N/A</v>
      </c>
      <c r="AO145" t="e">
        <f t="shared" si="13"/>
        <v>#N/A</v>
      </c>
      <c r="AR145" s="230" t="str">
        <f t="shared" si="14"/>
        <v>Industrial Flex Mall Building</v>
      </c>
    </row>
    <row r="146" spans="1:44" ht="12.75">
      <c r="A146" s="154" t="s">
        <v>10300</v>
      </c>
      <c r="B146" s="149">
        <v>210</v>
      </c>
      <c r="C146" s="154" t="s">
        <v>10301</v>
      </c>
      <c r="D146" s="266" t="s">
        <v>10302</v>
      </c>
      <c r="E146" s="154" t="s">
        <v>3966</v>
      </c>
      <c r="F146" s="154" t="s">
        <v>9942</v>
      </c>
      <c r="G146" s="154" t="s">
        <v>1911</v>
      </c>
      <c r="H146" s="266" t="s">
        <v>10092</v>
      </c>
      <c r="I146" s="154"/>
      <c r="J146" s="154"/>
      <c r="K146" s="154">
        <v>2023</v>
      </c>
      <c r="L146" s="159">
        <v>394581</v>
      </c>
      <c r="M146" s="154"/>
      <c r="N146" s="159">
        <v>671481</v>
      </c>
      <c r="O146" s="159">
        <v>6075</v>
      </c>
      <c r="P146" s="159">
        <v>5987</v>
      </c>
      <c r="Q146" s="154"/>
      <c r="R146" s="154"/>
      <c r="S146" s="159">
        <v>7762</v>
      </c>
      <c r="T146" s="159">
        <v>1575</v>
      </c>
      <c r="U146" s="154"/>
      <c r="V146" s="154"/>
      <c r="W146" s="154"/>
      <c r="X146" s="159">
        <v>1452</v>
      </c>
      <c r="Y146" s="159">
        <v>10789</v>
      </c>
      <c r="Z146" s="154"/>
      <c r="AA146" s="159">
        <v>11249</v>
      </c>
      <c r="AB146" s="159">
        <v>12318</v>
      </c>
      <c r="AC146" s="159">
        <v>6967</v>
      </c>
      <c r="AD146" s="159">
        <v>11424</v>
      </c>
      <c r="AE146" s="159">
        <v>1898</v>
      </c>
      <c r="AF146" s="159">
        <v>13322</v>
      </c>
      <c r="AG146" s="154"/>
      <c r="AH146" s="159">
        <v>37127</v>
      </c>
      <c r="AI146" s="159">
        <v>204497</v>
      </c>
      <c r="AJ146" s="159">
        <v>241624</v>
      </c>
      <c r="AK146" s="159">
        <v>429857</v>
      </c>
      <c r="AL146" s="154"/>
      <c r="AM146" s="266" t="s">
        <v>10588</v>
      </c>
      <c r="AN146" t="e">
        <f t="shared" si="12"/>
        <v>#N/A</v>
      </c>
      <c r="AO146" t="e">
        <f t="shared" si="13"/>
        <v>#N/A</v>
      </c>
      <c r="AR146" s="230" t="str">
        <f t="shared" si="14"/>
        <v>Industrial Flex Mall Building</v>
      </c>
    </row>
    <row r="147" spans="1:44" ht="25.5">
      <c r="A147" s="154" t="s">
        <v>10303</v>
      </c>
      <c r="B147" s="149">
        <v>210</v>
      </c>
      <c r="C147" s="154" t="s">
        <v>10304</v>
      </c>
      <c r="D147" s="266" t="s">
        <v>10305</v>
      </c>
      <c r="E147" s="154" t="s">
        <v>3966</v>
      </c>
      <c r="F147" s="154" t="s">
        <v>9942</v>
      </c>
      <c r="G147" s="154" t="s">
        <v>1911</v>
      </c>
      <c r="H147" s="266" t="s">
        <v>10092</v>
      </c>
      <c r="I147" s="154"/>
      <c r="J147" s="154"/>
      <c r="K147" s="154">
        <v>2024</v>
      </c>
      <c r="L147" s="159">
        <v>352733</v>
      </c>
      <c r="M147" s="154"/>
      <c r="N147" s="159">
        <v>649568</v>
      </c>
      <c r="O147" s="159">
        <v>6988</v>
      </c>
      <c r="P147" s="159">
        <v>6207</v>
      </c>
      <c r="Q147" s="154"/>
      <c r="R147" s="154"/>
      <c r="S147" s="159">
        <v>16981</v>
      </c>
      <c r="T147" s="159">
        <v>1800</v>
      </c>
      <c r="U147" s="154"/>
      <c r="V147" s="154"/>
      <c r="W147" s="154"/>
      <c r="X147" s="159">
        <v>1556</v>
      </c>
      <c r="Y147" s="159">
        <v>20337</v>
      </c>
      <c r="Z147" s="154"/>
      <c r="AA147" s="159">
        <v>8036</v>
      </c>
      <c r="AB147" s="159">
        <v>22795</v>
      </c>
      <c r="AC147" s="159">
        <v>6988</v>
      </c>
      <c r="AD147" s="159">
        <v>8875</v>
      </c>
      <c r="AE147" s="154"/>
      <c r="AF147" s="159">
        <v>8875</v>
      </c>
      <c r="AG147" s="154"/>
      <c r="AH147" s="159">
        <v>94654</v>
      </c>
      <c r="AI147" s="159">
        <v>204010</v>
      </c>
      <c r="AJ147" s="159">
        <v>298664</v>
      </c>
      <c r="AK147" s="159">
        <v>350904</v>
      </c>
      <c r="AL147" s="154"/>
      <c r="AM147" s="266" t="s">
        <v>10591</v>
      </c>
      <c r="AN147" t="e">
        <f t="shared" si="12"/>
        <v>#N/A</v>
      </c>
      <c r="AO147" t="e">
        <f t="shared" si="13"/>
        <v>#N/A</v>
      </c>
      <c r="AR147" s="230" t="str">
        <f t="shared" si="14"/>
        <v>Industrial Flex Mall Building</v>
      </c>
    </row>
    <row r="148" spans="1:44" ht="25.5">
      <c r="A148" s="154" t="s">
        <v>10303</v>
      </c>
      <c r="B148" s="149">
        <v>210</v>
      </c>
      <c r="C148" s="154" t="s">
        <v>10304</v>
      </c>
      <c r="D148" s="266" t="s">
        <v>10305</v>
      </c>
      <c r="E148" s="154" t="s">
        <v>3966</v>
      </c>
      <c r="F148" s="154" t="s">
        <v>9942</v>
      </c>
      <c r="G148" s="154" t="s">
        <v>1911</v>
      </c>
      <c r="H148" s="266" t="s">
        <v>10092</v>
      </c>
      <c r="I148" s="154"/>
      <c r="J148" s="154"/>
      <c r="K148" s="154">
        <v>2023</v>
      </c>
      <c r="L148" s="159">
        <v>345583</v>
      </c>
      <c r="M148" s="154"/>
      <c r="N148" s="159">
        <v>582999</v>
      </c>
      <c r="O148" s="159">
        <v>6051</v>
      </c>
      <c r="P148" s="159">
        <v>6115</v>
      </c>
      <c r="Q148" s="154"/>
      <c r="R148" s="154"/>
      <c r="S148" s="159">
        <v>4932</v>
      </c>
      <c r="T148" s="159">
        <v>1822</v>
      </c>
      <c r="U148" s="154"/>
      <c r="V148" s="154"/>
      <c r="W148" s="154"/>
      <c r="X148" s="159">
        <v>1452</v>
      </c>
      <c r="Y148" s="159">
        <v>8206</v>
      </c>
      <c r="Z148" s="154"/>
      <c r="AA148" s="159">
        <v>6275</v>
      </c>
      <c r="AB148" s="159">
        <v>13573</v>
      </c>
      <c r="AC148" s="159">
        <v>6967</v>
      </c>
      <c r="AD148" s="159">
        <v>11933</v>
      </c>
      <c r="AE148" s="154"/>
      <c r="AF148" s="159">
        <v>11933</v>
      </c>
      <c r="AG148" s="154"/>
      <c r="AH148" s="159">
        <v>71541</v>
      </c>
      <c r="AI148" s="159">
        <v>162088</v>
      </c>
      <c r="AJ148" s="159">
        <v>233629</v>
      </c>
      <c r="AK148" s="159">
        <v>349370</v>
      </c>
      <c r="AL148" s="154"/>
      <c r="AM148" s="266" t="s">
        <v>10591</v>
      </c>
      <c r="AN148" t="e">
        <f t="shared" si="12"/>
        <v>#N/A</v>
      </c>
      <c r="AO148" t="e">
        <f t="shared" si="13"/>
        <v>#N/A</v>
      </c>
      <c r="AR148" s="230" t="str">
        <f t="shared" si="14"/>
        <v>Industrial Flex Mall Building</v>
      </c>
    </row>
    <row r="149" spans="1:44" ht="38.25">
      <c r="A149" s="154" t="s">
        <v>10307</v>
      </c>
      <c r="B149" s="149">
        <v>210</v>
      </c>
      <c r="C149" s="154" t="s">
        <v>10308</v>
      </c>
      <c r="D149" s="266" t="s">
        <v>10309</v>
      </c>
      <c r="E149" s="154" t="s">
        <v>3966</v>
      </c>
      <c r="F149" s="154" t="s">
        <v>9942</v>
      </c>
      <c r="G149" s="154" t="s">
        <v>1911</v>
      </c>
      <c r="H149" s="266" t="s">
        <v>10092</v>
      </c>
      <c r="I149" s="154"/>
      <c r="J149" s="154"/>
      <c r="K149" s="154">
        <v>2024</v>
      </c>
      <c r="L149" s="159">
        <v>406844</v>
      </c>
      <c r="M149" s="154"/>
      <c r="N149" s="159">
        <v>797212</v>
      </c>
      <c r="O149" s="159">
        <v>45992</v>
      </c>
      <c r="P149" s="159">
        <v>6921</v>
      </c>
      <c r="Q149" s="154"/>
      <c r="R149" s="154"/>
      <c r="S149" s="159">
        <v>10380</v>
      </c>
      <c r="T149" s="159">
        <v>3470</v>
      </c>
      <c r="U149" s="159">
        <v>2000</v>
      </c>
      <c r="V149" s="154"/>
      <c r="W149" s="154"/>
      <c r="X149" s="159">
        <v>1676</v>
      </c>
      <c r="Y149" s="159">
        <v>17526</v>
      </c>
      <c r="Z149" s="154"/>
      <c r="AA149" s="159">
        <v>8417</v>
      </c>
      <c r="AB149" s="159">
        <v>30101</v>
      </c>
      <c r="AC149" s="159">
        <v>8211</v>
      </c>
      <c r="AD149" s="159">
        <v>12042</v>
      </c>
      <c r="AE149" s="159">
        <v>3218</v>
      </c>
      <c r="AF149" s="159">
        <v>15260</v>
      </c>
      <c r="AG149" s="154"/>
      <c r="AH149" s="159">
        <v>180865</v>
      </c>
      <c r="AI149" s="159">
        <v>410137</v>
      </c>
      <c r="AJ149" s="159">
        <v>591002</v>
      </c>
      <c r="AK149" s="159">
        <v>206210</v>
      </c>
      <c r="AL149" s="154"/>
      <c r="AM149" s="266" t="s">
        <v>10592</v>
      </c>
      <c r="AN149" t="e">
        <f t="shared" si="12"/>
        <v>#N/A</v>
      </c>
      <c r="AO149" t="e">
        <f t="shared" si="13"/>
        <v>#N/A</v>
      </c>
      <c r="AR149" s="230" t="str">
        <f t="shared" si="14"/>
        <v>Industrial Flex Mall Building</v>
      </c>
    </row>
    <row r="150" spans="1:44" ht="25.5">
      <c r="A150" s="154" t="s">
        <v>10307</v>
      </c>
      <c r="B150" s="149">
        <v>210</v>
      </c>
      <c r="C150" s="154" t="s">
        <v>10308</v>
      </c>
      <c r="D150" s="266" t="s">
        <v>10309</v>
      </c>
      <c r="E150" s="154" t="s">
        <v>3966</v>
      </c>
      <c r="F150" s="154" t="s">
        <v>9942</v>
      </c>
      <c r="G150" s="154" t="s">
        <v>1911</v>
      </c>
      <c r="H150" s="266" t="s">
        <v>10092</v>
      </c>
      <c r="I150" s="154"/>
      <c r="J150" s="154"/>
      <c r="K150" s="154">
        <v>2023</v>
      </c>
      <c r="L150" s="159">
        <v>787792</v>
      </c>
      <c r="M150" s="154"/>
      <c r="N150" s="159">
        <v>1333856</v>
      </c>
      <c r="O150" s="159">
        <v>12351</v>
      </c>
      <c r="P150" s="159">
        <v>13140</v>
      </c>
      <c r="Q150" s="154"/>
      <c r="R150" s="154"/>
      <c r="S150" s="159">
        <v>10370</v>
      </c>
      <c r="T150" s="159">
        <v>3061</v>
      </c>
      <c r="U150" s="159">
        <v>0</v>
      </c>
      <c r="V150" s="154"/>
      <c r="W150" s="154"/>
      <c r="X150" s="159">
        <v>1572</v>
      </c>
      <c r="Y150" s="159">
        <v>15003</v>
      </c>
      <c r="Z150" s="154"/>
      <c r="AA150" s="159">
        <v>24879</v>
      </c>
      <c r="AB150" s="159">
        <v>16871</v>
      </c>
      <c r="AC150" s="159">
        <v>7678</v>
      </c>
      <c r="AD150" s="159">
        <v>12785</v>
      </c>
      <c r="AE150" s="154"/>
      <c r="AF150" s="159">
        <v>12785</v>
      </c>
      <c r="AG150" s="154"/>
      <c r="AH150" s="159">
        <v>123031</v>
      </c>
      <c r="AI150" s="159">
        <v>409295</v>
      </c>
      <c r="AJ150" s="159">
        <v>532326</v>
      </c>
      <c r="AK150" s="159">
        <v>801530</v>
      </c>
      <c r="AL150" s="154"/>
      <c r="AM150" s="266" t="s">
        <v>10593</v>
      </c>
      <c r="AN150" t="e">
        <f t="shared" si="12"/>
        <v>#N/A</v>
      </c>
      <c r="AO150" t="e">
        <f t="shared" si="13"/>
        <v>#N/A</v>
      </c>
      <c r="AR150" s="230" t="str">
        <f t="shared" si="14"/>
        <v>Industrial Flex Mall Building</v>
      </c>
    </row>
    <row r="151" spans="1:44" ht="25.5">
      <c r="A151" s="154" t="s">
        <v>10311</v>
      </c>
      <c r="B151" s="149">
        <v>210</v>
      </c>
      <c r="C151" s="154" t="s">
        <v>10312</v>
      </c>
      <c r="D151" s="266" t="s">
        <v>10594</v>
      </c>
      <c r="E151" s="154" t="s">
        <v>3966</v>
      </c>
      <c r="F151" s="154" t="s">
        <v>9942</v>
      </c>
      <c r="G151" s="154" t="s">
        <v>1911</v>
      </c>
      <c r="H151" s="266" t="s">
        <v>10092</v>
      </c>
      <c r="I151" s="154"/>
      <c r="J151" s="154"/>
      <c r="K151" s="154">
        <v>2024</v>
      </c>
      <c r="L151" s="159">
        <v>987101</v>
      </c>
      <c r="M151" s="154"/>
      <c r="N151" s="159">
        <v>1613814</v>
      </c>
      <c r="O151" s="159">
        <v>26027</v>
      </c>
      <c r="P151" s="159">
        <v>17785</v>
      </c>
      <c r="Q151" s="154"/>
      <c r="R151" s="154"/>
      <c r="S151" s="159">
        <v>9496</v>
      </c>
      <c r="T151" s="159">
        <v>2104</v>
      </c>
      <c r="U151" s="154"/>
      <c r="V151" s="154"/>
      <c r="W151" s="154"/>
      <c r="X151" s="159">
        <v>1676</v>
      </c>
      <c r="Y151" s="159">
        <v>13276</v>
      </c>
      <c r="Z151" s="154"/>
      <c r="AA151" s="159">
        <v>11885</v>
      </c>
      <c r="AB151" s="159">
        <v>37419</v>
      </c>
      <c r="AC151" s="159">
        <v>5705</v>
      </c>
      <c r="AD151" s="159">
        <v>39182</v>
      </c>
      <c r="AE151" s="159">
        <v>1573</v>
      </c>
      <c r="AF151" s="159">
        <v>40755</v>
      </c>
      <c r="AG151" s="154"/>
      <c r="AH151" s="159">
        <v>178810</v>
      </c>
      <c r="AI151" s="159">
        <v>442744</v>
      </c>
      <c r="AJ151" s="159">
        <v>621554</v>
      </c>
      <c r="AK151" s="159">
        <v>992260</v>
      </c>
      <c r="AL151" s="154"/>
      <c r="AM151" s="266" t="s">
        <v>10595</v>
      </c>
      <c r="AN151" t="e">
        <f t="shared" si="12"/>
        <v>#N/A</v>
      </c>
      <c r="AO151" t="e">
        <f t="shared" si="13"/>
        <v>#N/A</v>
      </c>
      <c r="AR151" s="230" t="str">
        <f t="shared" si="14"/>
        <v>Industrial Flex Mall Building</v>
      </c>
    </row>
    <row r="152" spans="1:44" ht="25.5">
      <c r="A152" s="154" t="s">
        <v>10311</v>
      </c>
      <c r="B152" s="149">
        <v>210</v>
      </c>
      <c r="C152" s="154" t="s">
        <v>10312</v>
      </c>
      <c r="D152" s="266" t="s">
        <v>10594</v>
      </c>
      <c r="E152" s="154" t="s">
        <v>3966</v>
      </c>
      <c r="F152" s="154" t="s">
        <v>9942</v>
      </c>
      <c r="G152" s="154" t="s">
        <v>1911</v>
      </c>
      <c r="H152" s="266" t="s">
        <v>10092</v>
      </c>
      <c r="I152" s="154"/>
      <c r="J152" s="154"/>
      <c r="K152" s="154">
        <v>2023</v>
      </c>
      <c r="L152" s="159">
        <v>932587</v>
      </c>
      <c r="M152" s="154"/>
      <c r="N152" s="159">
        <v>1610926</v>
      </c>
      <c r="O152" s="159">
        <v>12903</v>
      </c>
      <c r="P152" s="159">
        <v>15271</v>
      </c>
      <c r="Q152" s="154"/>
      <c r="R152" s="154"/>
      <c r="S152" s="159">
        <v>16438</v>
      </c>
      <c r="T152" s="159">
        <v>17000</v>
      </c>
      <c r="U152" s="154"/>
      <c r="V152" s="154"/>
      <c r="W152" s="154"/>
      <c r="X152" s="159">
        <v>1572</v>
      </c>
      <c r="Y152" s="159">
        <v>35010</v>
      </c>
      <c r="Z152" s="154"/>
      <c r="AA152" s="159">
        <v>11941</v>
      </c>
      <c r="AB152" s="159">
        <v>21409</v>
      </c>
      <c r="AC152" s="159">
        <v>54490</v>
      </c>
      <c r="AD152" s="159">
        <v>34733</v>
      </c>
      <c r="AE152" s="159">
        <v>1638</v>
      </c>
      <c r="AF152" s="159">
        <v>36371</v>
      </c>
      <c r="AG152" s="154"/>
      <c r="AH152" s="159">
        <v>211012</v>
      </c>
      <c r="AI152" s="159">
        <v>441491</v>
      </c>
      <c r="AJ152" s="159">
        <v>652503</v>
      </c>
      <c r="AK152" s="159">
        <v>958423</v>
      </c>
      <c r="AL152" s="154"/>
      <c r="AM152" s="266" t="s">
        <v>10595</v>
      </c>
      <c r="AN152" t="e">
        <f t="shared" si="12"/>
        <v>#N/A</v>
      </c>
      <c r="AO152" t="e">
        <f t="shared" si="13"/>
        <v>#N/A</v>
      </c>
      <c r="AR152" s="230" t="str">
        <f t="shared" si="14"/>
        <v>Industrial Flex Mall Building</v>
      </c>
    </row>
    <row r="153" spans="1:44" ht="25.5">
      <c r="A153" s="154" t="s">
        <v>10315</v>
      </c>
      <c r="B153" s="149">
        <v>210</v>
      </c>
      <c r="C153" s="154" t="s">
        <v>10312</v>
      </c>
      <c r="D153" s="266" t="s">
        <v>10596</v>
      </c>
      <c r="E153" s="154" t="s">
        <v>3966</v>
      </c>
      <c r="F153" s="154" t="s">
        <v>9942</v>
      </c>
      <c r="G153" s="154" t="s">
        <v>1911</v>
      </c>
      <c r="H153" s="266" t="s">
        <v>10092</v>
      </c>
      <c r="I153" s="154"/>
      <c r="J153" s="154"/>
      <c r="K153" s="154">
        <v>2024</v>
      </c>
      <c r="L153" s="159">
        <v>977394</v>
      </c>
      <c r="M153" s="154"/>
      <c r="N153" s="159">
        <v>1537076</v>
      </c>
      <c r="O153" s="159">
        <v>12170</v>
      </c>
      <c r="P153" s="159">
        <v>17077</v>
      </c>
      <c r="Q153" s="154"/>
      <c r="R153" s="154"/>
      <c r="S153" s="159">
        <v>10377</v>
      </c>
      <c r="T153" s="159">
        <v>1760</v>
      </c>
      <c r="U153" s="159">
        <v>265</v>
      </c>
      <c r="V153" s="154"/>
      <c r="W153" s="154"/>
      <c r="X153" s="159">
        <v>1636</v>
      </c>
      <c r="Y153" s="159">
        <v>13036</v>
      </c>
      <c r="Z153" s="154"/>
      <c r="AA153" s="159">
        <v>10043</v>
      </c>
      <c r="AB153" s="159">
        <v>41626</v>
      </c>
      <c r="AC153" s="159">
        <v>5705</v>
      </c>
      <c r="AD153" s="159">
        <v>19336</v>
      </c>
      <c r="AE153" s="159">
        <v>2462</v>
      </c>
      <c r="AF153" s="159">
        <v>21798</v>
      </c>
      <c r="AG153" s="154"/>
      <c r="AH153" s="159">
        <v>228019</v>
      </c>
      <c r="AI153" s="159">
        <v>364330</v>
      </c>
      <c r="AJ153" s="159">
        <v>592349</v>
      </c>
      <c r="AK153" s="159">
        <v>944727</v>
      </c>
      <c r="AL153" s="154"/>
      <c r="AM153" s="266" t="s">
        <v>10597</v>
      </c>
      <c r="AN153" t="e">
        <f t="shared" si="12"/>
        <v>#N/A</v>
      </c>
      <c r="AO153" t="e">
        <f t="shared" si="13"/>
        <v>#N/A</v>
      </c>
      <c r="AR153" s="230" t="str">
        <f t="shared" si="14"/>
        <v>Industrial Flex Mall Building</v>
      </c>
    </row>
    <row r="154" spans="1:44" ht="25.5">
      <c r="A154" s="154" t="s">
        <v>10318</v>
      </c>
      <c r="B154" s="149">
        <v>210</v>
      </c>
      <c r="C154" s="154" t="s">
        <v>10312</v>
      </c>
      <c r="D154" s="266" t="s">
        <v>10598</v>
      </c>
      <c r="E154" s="154" t="s">
        <v>3966</v>
      </c>
      <c r="F154" s="154" t="s">
        <v>9942</v>
      </c>
      <c r="G154" s="154" t="s">
        <v>1911</v>
      </c>
      <c r="H154" s="266" t="s">
        <v>10092</v>
      </c>
      <c r="I154" s="154"/>
      <c r="J154" s="154"/>
      <c r="K154" s="154">
        <v>2024</v>
      </c>
      <c r="L154" s="159">
        <v>436928</v>
      </c>
      <c r="M154" s="154"/>
      <c r="N154" s="159">
        <v>714461</v>
      </c>
      <c r="O154" s="159">
        <v>6456</v>
      </c>
      <c r="P154" s="159">
        <v>6962</v>
      </c>
      <c r="Q154" s="154"/>
      <c r="R154" s="154"/>
      <c r="S154" s="159">
        <v>6889</v>
      </c>
      <c r="T154" s="159">
        <v>1125</v>
      </c>
      <c r="U154" s="159">
        <v>285</v>
      </c>
      <c r="V154" s="154"/>
      <c r="W154" s="154"/>
      <c r="X154" s="159">
        <v>1546</v>
      </c>
      <c r="Y154" s="159">
        <v>9845</v>
      </c>
      <c r="Z154" s="154"/>
      <c r="AA154" s="159">
        <v>6931</v>
      </c>
      <c r="AB154" s="159">
        <v>27052</v>
      </c>
      <c r="AC154" s="159">
        <v>5705</v>
      </c>
      <c r="AD154" s="154"/>
      <c r="AE154" s="159">
        <v>929</v>
      </c>
      <c r="AF154" s="159">
        <v>929</v>
      </c>
      <c r="AG154" s="154"/>
      <c r="AH154" s="159">
        <v>77944</v>
      </c>
      <c r="AI154" s="159">
        <v>188633</v>
      </c>
      <c r="AJ154" s="159">
        <v>266577</v>
      </c>
      <c r="AK154" s="159">
        <v>447884</v>
      </c>
      <c r="AL154" s="154"/>
      <c r="AM154" s="266" t="s">
        <v>10599</v>
      </c>
      <c r="AN154" t="e">
        <f t="shared" si="12"/>
        <v>#N/A</v>
      </c>
      <c r="AO154" t="e">
        <f t="shared" si="13"/>
        <v>#N/A</v>
      </c>
      <c r="AR154" s="230" t="str">
        <f t="shared" si="14"/>
        <v>Industrial Flex Mall Building</v>
      </c>
    </row>
    <row r="155" spans="1:44" ht="25.5">
      <c r="A155" s="154" t="s">
        <v>10321</v>
      </c>
      <c r="B155" s="149">
        <v>584</v>
      </c>
      <c r="C155" s="154" t="s">
        <v>10322</v>
      </c>
      <c r="D155" s="266" t="s">
        <v>10600</v>
      </c>
      <c r="E155" s="154" t="s">
        <v>3966</v>
      </c>
      <c r="F155" s="154" t="s">
        <v>9942</v>
      </c>
      <c r="G155" s="154" t="s">
        <v>1911</v>
      </c>
      <c r="H155" s="266" t="s">
        <v>10043</v>
      </c>
      <c r="I155" s="154"/>
      <c r="J155" s="154"/>
      <c r="K155" s="154">
        <v>2024</v>
      </c>
      <c r="L155" s="159">
        <v>3771986</v>
      </c>
      <c r="M155" s="154"/>
      <c r="N155" s="159">
        <v>7045455</v>
      </c>
      <c r="O155" s="159">
        <v>83764</v>
      </c>
      <c r="P155" s="159">
        <v>67999</v>
      </c>
      <c r="Q155" s="154"/>
      <c r="R155" s="154"/>
      <c r="S155" s="154"/>
      <c r="T155" s="154"/>
      <c r="U155" s="154"/>
      <c r="V155" s="154"/>
      <c r="W155" s="154"/>
      <c r="X155" s="159">
        <v>5829</v>
      </c>
      <c r="Y155" s="159">
        <v>5829</v>
      </c>
      <c r="Z155" s="154"/>
      <c r="AA155" s="154"/>
      <c r="AB155" s="154"/>
      <c r="AC155" s="154"/>
      <c r="AD155" s="154"/>
      <c r="AE155" s="154"/>
      <c r="AF155" s="154"/>
      <c r="AG155" s="154"/>
      <c r="AH155" s="159">
        <v>381011</v>
      </c>
      <c r="AI155" s="159">
        <v>2407392</v>
      </c>
      <c r="AJ155" s="159">
        <v>2788403</v>
      </c>
      <c r="AK155" s="159">
        <v>4257052</v>
      </c>
      <c r="AL155" s="154"/>
      <c r="AM155" s="266" t="s">
        <v>10601</v>
      </c>
      <c r="AN155" t="e">
        <f t="shared" si="12"/>
        <v>#N/A</v>
      </c>
      <c r="AO155" t="e">
        <f t="shared" si="13"/>
        <v>#N/A</v>
      </c>
      <c r="AR155" s="230" t="str">
        <f t="shared" si="14"/>
        <v>Mega Warehouse</v>
      </c>
    </row>
    <row r="156" spans="1:44" ht="25.5">
      <c r="A156" s="154" t="s">
        <v>10321</v>
      </c>
      <c r="B156" s="149">
        <v>584</v>
      </c>
      <c r="C156" s="154" t="s">
        <v>10322</v>
      </c>
      <c r="D156" s="266" t="s">
        <v>10600</v>
      </c>
      <c r="E156" s="154" t="s">
        <v>3966</v>
      </c>
      <c r="F156" s="154" t="s">
        <v>9942</v>
      </c>
      <c r="G156" s="154" t="s">
        <v>1911</v>
      </c>
      <c r="H156" s="266" t="s">
        <v>10043</v>
      </c>
      <c r="I156" s="154"/>
      <c r="J156" s="154"/>
      <c r="K156" s="154">
        <v>2023</v>
      </c>
      <c r="L156" s="159">
        <v>3679986</v>
      </c>
      <c r="M156" s="154"/>
      <c r="N156" s="159">
        <v>6546351</v>
      </c>
      <c r="O156" s="159">
        <v>60105</v>
      </c>
      <c r="P156" s="159">
        <v>54144</v>
      </c>
      <c r="Q156" s="154"/>
      <c r="R156" s="154"/>
      <c r="S156" s="154"/>
      <c r="T156" s="154"/>
      <c r="U156" s="154"/>
      <c r="V156" s="154"/>
      <c r="W156" s="154"/>
      <c r="X156" s="159">
        <v>4184</v>
      </c>
      <c r="Y156" s="159">
        <v>4184</v>
      </c>
      <c r="Z156" s="154"/>
      <c r="AA156" s="154"/>
      <c r="AB156" s="154"/>
      <c r="AC156" s="154"/>
      <c r="AD156" s="154"/>
      <c r="AE156" s="154"/>
      <c r="AF156" s="154"/>
      <c r="AG156" s="154"/>
      <c r="AH156" s="159">
        <v>101213</v>
      </c>
      <c r="AI156" s="159">
        <v>2175995</v>
      </c>
      <c r="AJ156" s="159">
        <v>2277208</v>
      </c>
      <c r="AK156" s="159">
        <v>4269143</v>
      </c>
      <c r="AL156" s="154"/>
      <c r="AM156" s="266" t="s">
        <v>10601</v>
      </c>
      <c r="AN156" t="e">
        <f t="shared" si="12"/>
        <v>#N/A</v>
      </c>
      <c r="AO156" t="e">
        <f t="shared" si="13"/>
        <v>#N/A</v>
      </c>
      <c r="AR156" s="230" t="str">
        <f t="shared" si="14"/>
        <v>Mega Warehouse</v>
      </c>
    </row>
    <row r="157" spans="1:44" ht="25.5">
      <c r="A157" s="154" t="s">
        <v>10325</v>
      </c>
      <c r="B157" s="149">
        <v>407</v>
      </c>
      <c r="C157" s="154" t="s">
        <v>10326</v>
      </c>
      <c r="D157" s="266" t="s">
        <v>10327</v>
      </c>
      <c r="E157" s="154" t="s">
        <v>3642</v>
      </c>
      <c r="F157" s="154" t="s">
        <v>9942</v>
      </c>
      <c r="G157" s="154" t="s">
        <v>1911</v>
      </c>
      <c r="H157" s="266" t="s">
        <v>10060</v>
      </c>
      <c r="I157" s="154"/>
      <c r="J157" s="154"/>
      <c r="K157" s="154">
        <v>2024</v>
      </c>
      <c r="L157" s="159">
        <v>2966529</v>
      </c>
      <c r="M157" s="154"/>
      <c r="N157" s="159">
        <v>7433451</v>
      </c>
      <c r="O157" s="159">
        <v>32539</v>
      </c>
      <c r="P157" s="159">
        <v>86633</v>
      </c>
      <c r="Q157" s="154"/>
      <c r="R157" s="154"/>
      <c r="S157" s="159">
        <v>21784</v>
      </c>
      <c r="T157" s="154"/>
      <c r="U157" s="154"/>
      <c r="V157" s="154"/>
      <c r="W157" s="154"/>
      <c r="X157" s="154"/>
      <c r="Y157" s="159">
        <v>21784</v>
      </c>
      <c r="Z157" s="154"/>
      <c r="AA157" s="159">
        <v>30810</v>
      </c>
      <c r="AB157" s="159">
        <v>188483</v>
      </c>
      <c r="AC157" s="154"/>
      <c r="AD157" s="159">
        <v>29080</v>
      </c>
      <c r="AE157" s="154"/>
      <c r="AF157" s="159">
        <v>29080</v>
      </c>
      <c r="AG157" s="154"/>
      <c r="AH157" s="159">
        <v>1433299</v>
      </c>
      <c r="AI157" s="159">
        <v>3137254</v>
      </c>
      <c r="AJ157" s="159">
        <v>4570553</v>
      </c>
      <c r="AK157" s="159">
        <v>2862898</v>
      </c>
      <c r="AL157" s="154"/>
      <c r="AM157" s="266" t="s">
        <v>10602</v>
      </c>
      <c r="AN157" t="e">
        <f t="shared" si="12"/>
        <v>#N/A</v>
      </c>
      <c r="AO157" t="e">
        <f t="shared" si="13"/>
        <v>#N/A</v>
      </c>
      <c r="AR157" s="230" t="str">
        <f t="shared" si="14"/>
        <v>Distribution Warehouse</v>
      </c>
    </row>
    <row r="158" spans="1:44" ht="12.75">
      <c r="A158" s="154" t="s">
        <v>10325</v>
      </c>
      <c r="B158" s="149">
        <v>407</v>
      </c>
      <c r="C158" s="154" t="s">
        <v>10326</v>
      </c>
      <c r="D158" s="266" t="s">
        <v>10327</v>
      </c>
      <c r="E158" s="154" t="s">
        <v>3642</v>
      </c>
      <c r="F158" s="154" t="s">
        <v>9942</v>
      </c>
      <c r="G158" s="154" t="s">
        <v>1911</v>
      </c>
      <c r="H158" s="266" t="s">
        <v>10060</v>
      </c>
      <c r="I158" s="154"/>
      <c r="J158" s="154"/>
      <c r="K158" s="154">
        <v>2023</v>
      </c>
      <c r="L158" s="159">
        <v>2897673</v>
      </c>
      <c r="M158" s="154"/>
      <c r="N158" s="159">
        <v>5335437</v>
      </c>
      <c r="O158" s="159">
        <v>29390</v>
      </c>
      <c r="P158" s="159">
        <v>83488</v>
      </c>
      <c r="Q158" s="154"/>
      <c r="R158" s="154"/>
      <c r="S158" s="159">
        <v>35137</v>
      </c>
      <c r="T158" s="154"/>
      <c r="U158" s="154"/>
      <c r="V158" s="154"/>
      <c r="W158" s="154"/>
      <c r="X158" s="154"/>
      <c r="Y158" s="159">
        <v>35137</v>
      </c>
      <c r="Z158" s="154"/>
      <c r="AA158" s="159">
        <v>33419</v>
      </c>
      <c r="AB158" s="159">
        <v>151223</v>
      </c>
      <c r="AC158" s="154"/>
      <c r="AD158" s="159">
        <v>24034</v>
      </c>
      <c r="AE158" s="154"/>
      <c r="AF158" s="159">
        <v>24034</v>
      </c>
      <c r="AG158" s="154"/>
      <c r="AH158" s="159">
        <v>541522</v>
      </c>
      <c r="AI158" s="159">
        <v>2045093</v>
      </c>
      <c r="AJ158" s="159">
        <v>2586615</v>
      </c>
      <c r="AK158" s="159">
        <v>2748822</v>
      </c>
      <c r="AL158" s="154"/>
      <c r="AM158" s="266" t="s">
        <v>10603</v>
      </c>
      <c r="AN158" t="e">
        <f t="shared" si="12"/>
        <v>#N/A</v>
      </c>
      <c r="AO158" t="e">
        <f t="shared" si="13"/>
        <v>#N/A</v>
      </c>
      <c r="AR158" s="230" t="str">
        <f t="shared" si="14"/>
        <v>Distribution Warehouse</v>
      </c>
    </row>
    <row r="159" spans="1:44" ht="25.5">
      <c r="A159" s="154" t="s">
        <v>10331</v>
      </c>
      <c r="B159" s="149">
        <v>407</v>
      </c>
      <c r="C159" s="154" t="s">
        <v>10332</v>
      </c>
      <c r="D159" s="266" t="s">
        <v>10333</v>
      </c>
      <c r="E159" s="154" t="s">
        <v>3966</v>
      </c>
      <c r="F159" s="154" t="s">
        <v>9942</v>
      </c>
      <c r="G159" s="154" t="s">
        <v>1911</v>
      </c>
      <c r="H159" s="266" t="s">
        <v>10060</v>
      </c>
      <c r="I159" s="154"/>
      <c r="J159" s="154"/>
      <c r="K159" s="154">
        <v>2024</v>
      </c>
      <c r="L159" s="159">
        <v>1502445</v>
      </c>
      <c r="M159" s="154"/>
      <c r="N159" s="159">
        <v>1698847</v>
      </c>
      <c r="O159" s="159">
        <v>18279</v>
      </c>
      <c r="P159" s="159">
        <v>45073</v>
      </c>
      <c r="Q159" s="154"/>
      <c r="R159" s="154"/>
      <c r="S159" s="159">
        <v>14583</v>
      </c>
      <c r="T159" s="154"/>
      <c r="U159" s="154"/>
      <c r="V159" s="154"/>
      <c r="W159" s="154"/>
      <c r="X159" s="154"/>
      <c r="Y159" s="159">
        <v>14583</v>
      </c>
      <c r="Z159" s="154"/>
      <c r="AA159" s="159">
        <v>30156</v>
      </c>
      <c r="AB159" s="159">
        <v>117922</v>
      </c>
      <c r="AC159" s="154"/>
      <c r="AD159" s="154"/>
      <c r="AE159" s="154"/>
      <c r="AF159" s="154"/>
      <c r="AG159" s="154"/>
      <c r="AH159" s="159">
        <v>268829</v>
      </c>
      <c r="AI159" s="159">
        <v>0</v>
      </c>
      <c r="AJ159" s="159">
        <v>268829</v>
      </c>
      <c r="AK159" s="159">
        <v>1430018</v>
      </c>
      <c r="AL159" s="154"/>
      <c r="AM159" s="266" t="s">
        <v>10604</v>
      </c>
      <c r="AN159" t="e">
        <f t="shared" si="12"/>
        <v>#N/A</v>
      </c>
      <c r="AO159" t="e">
        <f t="shared" si="13"/>
        <v>#N/A</v>
      </c>
      <c r="AR159" s="230" t="str">
        <f t="shared" si="14"/>
        <v>Distribution Warehouse</v>
      </c>
    </row>
    <row r="160" spans="1:44" ht="25.5">
      <c r="A160" s="154" t="s">
        <v>10331</v>
      </c>
      <c r="B160" s="149">
        <v>407</v>
      </c>
      <c r="C160" s="154" t="s">
        <v>10332</v>
      </c>
      <c r="D160" s="266" t="s">
        <v>10333</v>
      </c>
      <c r="E160" s="154" t="s">
        <v>3966</v>
      </c>
      <c r="F160" s="154" t="s">
        <v>9942</v>
      </c>
      <c r="G160" s="154" t="s">
        <v>1911</v>
      </c>
      <c r="H160" s="266" t="s">
        <v>10060</v>
      </c>
      <c r="I160" s="154"/>
      <c r="J160" s="154"/>
      <c r="K160" s="154">
        <v>2023</v>
      </c>
      <c r="L160" s="159">
        <v>1458685</v>
      </c>
      <c r="M160" s="154"/>
      <c r="N160" s="159">
        <v>1647477</v>
      </c>
      <c r="O160" s="159">
        <v>15865</v>
      </c>
      <c r="P160" s="159">
        <v>43761</v>
      </c>
      <c r="Q160" s="154"/>
      <c r="R160" s="154"/>
      <c r="S160" s="159">
        <v>12850</v>
      </c>
      <c r="T160" s="154"/>
      <c r="U160" s="154"/>
      <c r="V160" s="154"/>
      <c r="W160" s="154"/>
      <c r="X160" s="154"/>
      <c r="Y160" s="159">
        <v>12850</v>
      </c>
      <c r="Z160" s="154"/>
      <c r="AA160" s="159">
        <v>31555</v>
      </c>
      <c r="AB160" s="159">
        <v>112261</v>
      </c>
      <c r="AC160" s="154"/>
      <c r="AD160" s="154"/>
      <c r="AE160" s="154"/>
      <c r="AF160" s="154"/>
      <c r="AG160" s="154"/>
      <c r="AH160" s="159">
        <v>238940</v>
      </c>
      <c r="AI160" s="159">
        <v>0</v>
      </c>
      <c r="AJ160" s="159">
        <v>238940</v>
      </c>
      <c r="AK160" s="159">
        <v>1408537</v>
      </c>
      <c r="AL160" s="154"/>
      <c r="AM160" s="266" t="s">
        <v>10604</v>
      </c>
      <c r="AN160" t="e">
        <f t="shared" si="12"/>
        <v>#N/A</v>
      </c>
      <c r="AO160" t="e">
        <f t="shared" si="13"/>
        <v>#N/A</v>
      </c>
      <c r="AR160" s="230" t="str">
        <f t="shared" si="14"/>
        <v>Distribution Warehouse</v>
      </c>
    </row>
    <row r="161" spans="1:44" ht="25.5">
      <c r="A161" s="154" t="s">
        <v>10335</v>
      </c>
      <c r="B161" s="149">
        <v>407</v>
      </c>
      <c r="C161" s="154" t="s">
        <v>5721</v>
      </c>
      <c r="D161" s="266" t="s">
        <v>10336</v>
      </c>
      <c r="E161" s="154" t="s">
        <v>3966</v>
      </c>
      <c r="F161" s="154" t="s">
        <v>9942</v>
      </c>
      <c r="G161" s="154" t="s">
        <v>1911</v>
      </c>
      <c r="H161" s="266" t="s">
        <v>10060</v>
      </c>
      <c r="I161" s="154"/>
      <c r="J161" s="154"/>
      <c r="K161" s="154">
        <v>2024</v>
      </c>
      <c r="L161" s="159">
        <v>187536</v>
      </c>
      <c r="M161" s="154"/>
      <c r="N161" s="159">
        <v>335936</v>
      </c>
      <c r="O161" s="159">
        <v>185</v>
      </c>
      <c r="P161" s="159">
        <v>6539</v>
      </c>
      <c r="Q161" s="154"/>
      <c r="R161" s="154"/>
      <c r="S161" s="159">
        <v>6694</v>
      </c>
      <c r="T161" s="154"/>
      <c r="U161" s="154"/>
      <c r="V161" s="154"/>
      <c r="W161" s="154"/>
      <c r="X161" s="154"/>
      <c r="Y161" s="159">
        <v>6694</v>
      </c>
      <c r="Z161" s="154"/>
      <c r="AA161" s="159">
        <v>1378</v>
      </c>
      <c r="AB161" s="159">
        <v>13095</v>
      </c>
      <c r="AC161" s="154"/>
      <c r="AD161" s="159">
        <v>52</v>
      </c>
      <c r="AE161" s="159">
        <v>6714</v>
      </c>
      <c r="AF161" s="159">
        <v>6766</v>
      </c>
      <c r="AG161" s="154"/>
      <c r="AH161" s="159">
        <v>42252</v>
      </c>
      <c r="AI161" s="159">
        <v>100794</v>
      </c>
      <c r="AJ161" s="159">
        <v>143046</v>
      </c>
      <c r="AK161" s="159">
        <v>181918</v>
      </c>
      <c r="AL161" s="154"/>
      <c r="AM161" s="266" t="s">
        <v>10605</v>
      </c>
      <c r="AN161" t="e">
        <f t="shared" si="12"/>
        <v>#N/A</v>
      </c>
      <c r="AO161" t="e">
        <f t="shared" si="13"/>
        <v>#N/A</v>
      </c>
      <c r="AR161" s="230" t="str">
        <f t="shared" si="14"/>
        <v>Distribution Warehouse</v>
      </c>
    </row>
    <row r="162" spans="1:44" ht="25.5">
      <c r="A162" s="154" t="s">
        <v>10340</v>
      </c>
      <c r="B162" s="149">
        <v>407</v>
      </c>
      <c r="C162" s="154" t="s">
        <v>5721</v>
      </c>
      <c r="D162" s="266" t="s">
        <v>10341</v>
      </c>
      <c r="E162" s="154" t="s">
        <v>3966</v>
      </c>
      <c r="F162" s="154" t="s">
        <v>9942</v>
      </c>
      <c r="G162" s="154" t="s">
        <v>1911</v>
      </c>
      <c r="H162" s="266" t="s">
        <v>10060</v>
      </c>
      <c r="I162" s="154"/>
      <c r="J162" s="154"/>
      <c r="K162" s="154">
        <v>2024</v>
      </c>
      <c r="L162" s="159">
        <v>143974</v>
      </c>
      <c r="M162" s="154"/>
      <c r="N162" s="159">
        <v>314952</v>
      </c>
      <c r="O162" s="159">
        <v>375</v>
      </c>
      <c r="P162" s="159">
        <v>6224</v>
      </c>
      <c r="Q162" s="154"/>
      <c r="R162" s="154"/>
      <c r="S162" s="159">
        <v>13434</v>
      </c>
      <c r="T162" s="154"/>
      <c r="U162" s="154"/>
      <c r="V162" s="154"/>
      <c r="W162" s="154"/>
      <c r="X162" s="154"/>
      <c r="Y162" s="159">
        <v>13434</v>
      </c>
      <c r="Z162" s="154"/>
      <c r="AA162" s="159">
        <v>1877</v>
      </c>
      <c r="AB162" s="159">
        <v>25288</v>
      </c>
      <c r="AC162" s="154"/>
      <c r="AD162" s="159">
        <v>104</v>
      </c>
      <c r="AE162" s="159">
        <v>11552</v>
      </c>
      <c r="AF162" s="159">
        <v>11656</v>
      </c>
      <c r="AG162" s="154"/>
      <c r="AH162" s="159">
        <v>70908</v>
      </c>
      <c r="AI162" s="159">
        <v>203797</v>
      </c>
      <c r="AJ162" s="159">
        <v>274705</v>
      </c>
      <c r="AK162" s="159">
        <v>22624</v>
      </c>
      <c r="AL162" s="154"/>
      <c r="AM162" s="266" t="s">
        <v>10605</v>
      </c>
      <c r="AN162" t="e">
        <f t="shared" si="12"/>
        <v>#N/A</v>
      </c>
      <c r="AO162" t="e">
        <f t="shared" si="13"/>
        <v>#N/A</v>
      </c>
      <c r="AR162" s="230" t="str">
        <f t="shared" si="14"/>
        <v>Distribution Warehouse</v>
      </c>
    </row>
    <row r="163" spans="1:44" ht="25.5">
      <c r="A163" s="154" t="s">
        <v>10343</v>
      </c>
      <c r="B163" s="149">
        <v>407</v>
      </c>
      <c r="C163" s="154" t="s">
        <v>5721</v>
      </c>
      <c r="D163" s="266" t="s">
        <v>10344</v>
      </c>
      <c r="E163" s="154" t="s">
        <v>3966</v>
      </c>
      <c r="F163" s="154" t="s">
        <v>9942</v>
      </c>
      <c r="G163" s="154" t="s">
        <v>1911</v>
      </c>
      <c r="H163" s="266" t="s">
        <v>10060</v>
      </c>
      <c r="I163" s="154"/>
      <c r="J163" s="154"/>
      <c r="K163" s="154">
        <v>2024</v>
      </c>
      <c r="L163" s="159">
        <v>49334</v>
      </c>
      <c r="M163" s="154"/>
      <c r="N163" s="159">
        <v>85139</v>
      </c>
      <c r="O163" s="159">
        <v>153</v>
      </c>
      <c r="P163" s="159">
        <v>5032</v>
      </c>
      <c r="Q163" s="154"/>
      <c r="R163" s="154"/>
      <c r="S163" s="159">
        <v>10772</v>
      </c>
      <c r="T163" s="154"/>
      <c r="U163" s="154"/>
      <c r="V163" s="154"/>
      <c r="W163" s="154"/>
      <c r="X163" s="154"/>
      <c r="Y163" s="159">
        <v>10772</v>
      </c>
      <c r="Z163" s="154"/>
      <c r="AA163" s="159">
        <v>949</v>
      </c>
      <c r="AB163" s="159">
        <v>10894</v>
      </c>
      <c r="AC163" s="154"/>
      <c r="AD163" s="159">
        <v>207</v>
      </c>
      <c r="AE163" s="159">
        <v>8484</v>
      </c>
      <c r="AF163" s="159">
        <v>8691</v>
      </c>
      <c r="AG163" s="154"/>
      <c r="AH163" s="159">
        <v>57603</v>
      </c>
      <c r="AI163" s="159">
        <v>83077</v>
      </c>
      <c r="AJ163" s="159">
        <v>140680</v>
      </c>
      <c r="AK163" s="159">
        <v>-69674</v>
      </c>
      <c r="AL163" s="154"/>
      <c r="AM163" s="266" t="s">
        <v>10605</v>
      </c>
      <c r="AN163" t="e">
        <f t="shared" si="12"/>
        <v>#N/A</v>
      </c>
      <c r="AO163" t="e">
        <f t="shared" si="13"/>
        <v>#N/A</v>
      </c>
      <c r="AR163" s="230" t="str">
        <f t="shared" si="14"/>
        <v>Distribution Warehouse</v>
      </c>
    </row>
    <row r="164" spans="1:44" ht="38.25">
      <c r="A164" s="154" t="s">
        <v>10346</v>
      </c>
      <c r="B164" s="149">
        <v>210</v>
      </c>
      <c r="C164" s="154" t="s">
        <v>10347</v>
      </c>
      <c r="D164" s="266" t="s">
        <v>10348</v>
      </c>
      <c r="E164" s="154" t="s">
        <v>1304</v>
      </c>
      <c r="F164" s="154" t="s">
        <v>9942</v>
      </c>
      <c r="G164" s="154" t="s">
        <v>1911</v>
      </c>
      <c r="H164" s="266" t="s">
        <v>10349</v>
      </c>
      <c r="I164" s="154"/>
      <c r="J164" s="154">
        <v>33057</v>
      </c>
      <c r="K164" s="154">
        <v>2024</v>
      </c>
      <c r="L164" s="154"/>
      <c r="M164" s="154"/>
      <c r="N164" s="159">
        <v>388335</v>
      </c>
      <c r="O164" s="159">
        <v>27979</v>
      </c>
      <c r="P164" s="159">
        <v>15595</v>
      </c>
      <c r="Q164" s="154"/>
      <c r="R164" s="154"/>
      <c r="S164" s="154"/>
      <c r="T164" s="154"/>
      <c r="U164" s="159">
        <v>8229</v>
      </c>
      <c r="V164" s="154"/>
      <c r="W164" s="154"/>
      <c r="X164" s="159">
        <v>91284</v>
      </c>
      <c r="Y164" s="154"/>
      <c r="Z164" s="154"/>
      <c r="AA164" s="159">
        <v>4573</v>
      </c>
      <c r="AB164" s="159">
        <v>2505</v>
      </c>
      <c r="AC164" s="159">
        <v>52966</v>
      </c>
      <c r="AD164" s="154"/>
      <c r="AE164" s="154"/>
      <c r="AF164" s="159">
        <v>53314</v>
      </c>
      <c r="AG164" s="154"/>
      <c r="AH164" s="159">
        <v>247389</v>
      </c>
      <c r="AI164" s="154"/>
      <c r="AJ164" s="159">
        <v>247389</v>
      </c>
      <c r="AK164" s="159">
        <v>140946</v>
      </c>
      <c r="AL164" s="154"/>
      <c r="AM164" s="266" t="s">
        <v>10606</v>
      </c>
      <c r="AN164" t="e">
        <f t="shared" ref="AN164:AN197" si="15">IF(AND($B164=Subj_OccCode,Subj_BldgSF&gt;0,ABS($J164-Subj_BldgSF)&lt;=Subj_BldgSF*Subj_SizeTol),ABS($J164-Subj_BldgSF),NA())</f>
        <v>#N/A</v>
      </c>
      <c r="AO164" t="e">
        <f t="shared" ref="AO164:AO195" si="16">IF(ISNA(AN164),NA(),AN164+ROW()/10000000)</f>
        <v>#N/A</v>
      </c>
      <c r="AR164" s="230" t="str">
        <f t="shared" ref="AR164:AR197" si="17">IF(B164="","",IFERROR(INDEX(OCC_TABLE_DESC,MATCH(B164,OCC_TABLE_CODE,0)),"Unrecognized code"))</f>
        <v>Industrial Flex Mall Building</v>
      </c>
    </row>
    <row r="165" spans="1:44" ht="25.5">
      <c r="A165" s="154" t="s">
        <v>10353</v>
      </c>
      <c r="B165" s="149">
        <v>406</v>
      </c>
      <c r="C165" s="154" t="s">
        <v>10354</v>
      </c>
      <c r="D165" s="266" t="s">
        <v>10355</v>
      </c>
      <c r="E165" s="154" t="s">
        <v>3966</v>
      </c>
      <c r="F165" s="154" t="s">
        <v>9942</v>
      </c>
      <c r="G165" s="154" t="s">
        <v>1911</v>
      </c>
      <c r="H165" s="266" t="s">
        <v>10096</v>
      </c>
      <c r="I165" s="154">
        <v>1980</v>
      </c>
      <c r="J165" s="154">
        <v>233808</v>
      </c>
      <c r="K165" s="154">
        <v>2023</v>
      </c>
      <c r="L165" s="154"/>
      <c r="M165" s="154"/>
      <c r="N165" s="159">
        <v>2012921</v>
      </c>
      <c r="O165" s="159">
        <v>12170</v>
      </c>
      <c r="P165" s="159">
        <v>39036</v>
      </c>
      <c r="Q165" s="154"/>
      <c r="R165" s="154"/>
      <c r="S165" s="154"/>
      <c r="T165" s="154"/>
      <c r="U165" s="154"/>
      <c r="V165" s="154"/>
      <c r="W165" s="154"/>
      <c r="X165" s="159">
        <v>43894</v>
      </c>
      <c r="Y165" s="159">
        <v>43894</v>
      </c>
      <c r="Z165" s="154"/>
      <c r="AA165" s="159">
        <v>12324</v>
      </c>
      <c r="AB165" s="159">
        <v>32256</v>
      </c>
      <c r="AC165" s="159">
        <v>50799</v>
      </c>
      <c r="AD165" s="159">
        <v>28587</v>
      </c>
      <c r="AE165" s="154"/>
      <c r="AF165" s="159">
        <v>28587</v>
      </c>
      <c r="AG165" s="154"/>
      <c r="AH165" s="159">
        <v>184120</v>
      </c>
      <c r="AI165" s="159">
        <v>608865</v>
      </c>
      <c r="AJ165" s="159">
        <v>792985</v>
      </c>
      <c r="AK165" s="159">
        <v>1219936</v>
      </c>
      <c r="AL165" s="154"/>
      <c r="AM165" s="266" t="s">
        <v>10607</v>
      </c>
      <c r="AN165" t="e">
        <f t="shared" si="15"/>
        <v>#N/A</v>
      </c>
      <c r="AO165" t="e">
        <f t="shared" si="16"/>
        <v>#N/A</v>
      </c>
      <c r="AR165" s="230" t="str">
        <f t="shared" si="17"/>
        <v>Storage Warehouse</v>
      </c>
    </row>
    <row r="166" spans="1:44" ht="25.5">
      <c r="A166" s="154" t="s">
        <v>10353</v>
      </c>
      <c r="B166" s="149">
        <v>406</v>
      </c>
      <c r="C166" s="154" t="s">
        <v>10354</v>
      </c>
      <c r="D166" s="266" t="s">
        <v>10355</v>
      </c>
      <c r="E166" s="154" t="s">
        <v>3966</v>
      </c>
      <c r="F166" s="154" t="s">
        <v>9942</v>
      </c>
      <c r="G166" s="154" t="s">
        <v>1911</v>
      </c>
      <c r="H166" s="266" t="s">
        <v>10096</v>
      </c>
      <c r="I166" s="154">
        <v>1980</v>
      </c>
      <c r="J166" s="154">
        <v>233808</v>
      </c>
      <c r="K166" s="154">
        <v>2024</v>
      </c>
      <c r="L166" s="154"/>
      <c r="M166" s="154"/>
      <c r="N166" s="159">
        <v>2041933</v>
      </c>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9">
        <v>835113</v>
      </c>
      <c r="AK166" s="159">
        <v>1206819</v>
      </c>
      <c r="AL166" s="154"/>
      <c r="AM166" s="266" t="s">
        <v>10608</v>
      </c>
      <c r="AN166" t="e">
        <f t="shared" si="15"/>
        <v>#N/A</v>
      </c>
      <c r="AO166" t="e">
        <f t="shared" si="16"/>
        <v>#N/A</v>
      </c>
      <c r="AR166" s="230" t="str">
        <f t="shared" si="17"/>
        <v>Storage Warehouse</v>
      </c>
    </row>
    <row r="167" spans="1:44" ht="25.5">
      <c r="A167" s="154" t="s">
        <v>10358</v>
      </c>
      <c r="B167" s="149">
        <v>407</v>
      </c>
      <c r="C167" s="154" t="s">
        <v>5288</v>
      </c>
      <c r="D167" s="266" t="s">
        <v>10359</v>
      </c>
      <c r="E167" s="154" t="s">
        <v>8484</v>
      </c>
      <c r="F167" s="154" t="s">
        <v>9942</v>
      </c>
      <c r="G167" s="154" t="s">
        <v>1911</v>
      </c>
      <c r="H167" s="266" t="s">
        <v>10360</v>
      </c>
      <c r="I167" s="154">
        <v>2000</v>
      </c>
      <c r="J167" s="154">
        <v>80640</v>
      </c>
      <c r="K167" s="154">
        <v>2023</v>
      </c>
      <c r="L167" s="159">
        <v>503016</v>
      </c>
      <c r="M167" s="154"/>
      <c r="N167" s="154"/>
      <c r="O167" s="154"/>
      <c r="P167" s="154"/>
      <c r="Q167" s="154"/>
      <c r="R167" s="154"/>
      <c r="S167" s="154"/>
      <c r="T167" s="154"/>
      <c r="U167" s="154"/>
      <c r="V167" s="154"/>
      <c r="W167" s="154"/>
      <c r="X167" s="154"/>
      <c r="Y167" s="154"/>
      <c r="Z167" s="154"/>
      <c r="AA167" s="154"/>
      <c r="AB167" s="154"/>
      <c r="AC167" s="154"/>
      <c r="AD167" s="154"/>
      <c r="AE167" s="154"/>
      <c r="AF167" s="154"/>
      <c r="AG167" s="154"/>
      <c r="AH167" s="159">
        <v>16587</v>
      </c>
      <c r="AI167" s="154"/>
      <c r="AJ167" s="159">
        <v>16587</v>
      </c>
      <c r="AK167" s="159">
        <v>486429</v>
      </c>
      <c r="AL167" s="154"/>
      <c r="AM167" s="266" t="s">
        <v>10609</v>
      </c>
      <c r="AN167" t="e">
        <f t="shared" si="15"/>
        <v>#N/A</v>
      </c>
      <c r="AO167" t="e">
        <f t="shared" si="16"/>
        <v>#N/A</v>
      </c>
      <c r="AR167" s="230" t="str">
        <f t="shared" si="17"/>
        <v>Distribution Warehouse</v>
      </c>
    </row>
    <row r="168" spans="1:44" ht="25.5">
      <c r="A168" s="154" t="s">
        <v>10358</v>
      </c>
      <c r="B168" s="149">
        <v>407</v>
      </c>
      <c r="C168" s="154" t="s">
        <v>5288</v>
      </c>
      <c r="D168" s="266" t="s">
        <v>10359</v>
      </c>
      <c r="E168" s="154" t="s">
        <v>8484</v>
      </c>
      <c r="F168" s="154" t="s">
        <v>9942</v>
      </c>
      <c r="G168" s="154" t="s">
        <v>1911</v>
      </c>
      <c r="H168" s="266" t="s">
        <v>10360</v>
      </c>
      <c r="I168" s="154">
        <v>2000</v>
      </c>
      <c r="J168" s="154">
        <v>80640</v>
      </c>
      <c r="K168" s="154">
        <v>2024</v>
      </c>
      <c r="L168" s="159">
        <v>513072</v>
      </c>
      <c r="M168" s="154"/>
      <c r="N168" s="154"/>
      <c r="O168" s="154"/>
      <c r="P168" s="154"/>
      <c r="Q168" s="154"/>
      <c r="R168" s="154"/>
      <c r="S168" s="154"/>
      <c r="T168" s="154"/>
      <c r="U168" s="154"/>
      <c r="V168" s="154"/>
      <c r="W168" s="154"/>
      <c r="X168" s="154"/>
      <c r="Y168" s="154"/>
      <c r="Z168" s="154"/>
      <c r="AA168" s="154"/>
      <c r="AB168" s="154"/>
      <c r="AC168" s="154"/>
      <c r="AD168" s="154"/>
      <c r="AE168" s="154"/>
      <c r="AF168" s="154"/>
      <c r="AG168" s="154"/>
      <c r="AH168" s="159">
        <v>15492</v>
      </c>
      <c r="AI168" s="154"/>
      <c r="AJ168" s="159">
        <v>15492</v>
      </c>
      <c r="AK168" s="159">
        <v>497580</v>
      </c>
      <c r="AL168" s="154"/>
      <c r="AM168" s="266" t="s">
        <v>10610</v>
      </c>
      <c r="AN168" t="e">
        <f t="shared" si="15"/>
        <v>#N/A</v>
      </c>
      <c r="AO168" t="e">
        <f t="shared" si="16"/>
        <v>#N/A</v>
      </c>
      <c r="AR168" s="230" t="str">
        <f t="shared" si="17"/>
        <v>Distribution Warehouse</v>
      </c>
    </row>
    <row r="169" spans="1:44" ht="25.5">
      <c r="A169" s="154" t="s">
        <v>10362</v>
      </c>
      <c r="B169" s="149">
        <v>210</v>
      </c>
      <c r="C169" s="154" t="s">
        <v>10363</v>
      </c>
      <c r="D169" s="266" t="s">
        <v>10364</v>
      </c>
      <c r="E169" s="154" t="s">
        <v>3642</v>
      </c>
      <c r="F169" s="154" t="s">
        <v>9942</v>
      </c>
      <c r="G169" s="154" t="s">
        <v>1911</v>
      </c>
      <c r="H169" s="266" t="s">
        <v>10365</v>
      </c>
      <c r="I169" s="154"/>
      <c r="J169" s="154">
        <v>42299</v>
      </c>
      <c r="K169" s="154">
        <v>2024</v>
      </c>
      <c r="L169" s="154"/>
      <c r="M169" s="154"/>
      <c r="N169" s="159">
        <v>391669</v>
      </c>
      <c r="O169" s="154"/>
      <c r="P169" s="154"/>
      <c r="Q169" s="154"/>
      <c r="R169" s="154"/>
      <c r="S169" s="154"/>
      <c r="T169" s="154"/>
      <c r="U169" s="154"/>
      <c r="V169" s="154"/>
      <c r="W169" s="154"/>
      <c r="X169" s="154"/>
      <c r="Y169" s="154"/>
      <c r="Z169" s="154"/>
      <c r="AA169" s="154"/>
      <c r="AB169" s="154"/>
      <c r="AC169" s="154"/>
      <c r="AD169" s="154"/>
      <c r="AE169" s="154"/>
      <c r="AF169" s="154"/>
      <c r="AG169" s="154"/>
      <c r="AH169" s="159">
        <v>31334</v>
      </c>
      <c r="AI169" s="154"/>
      <c r="AJ169" s="159">
        <v>31334</v>
      </c>
      <c r="AK169" s="159">
        <v>360335</v>
      </c>
      <c r="AL169" s="154"/>
      <c r="AM169" s="266" t="s">
        <v>10611</v>
      </c>
      <c r="AN169" t="e">
        <f t="shared" si="15"/>
        <v>#N/A</v>
      </c>
      <c r="AO169" t="e">
        <f t="shared" si="16"/>
        <v>#N/A</v>
      </c>
      <c r="AR169" s="230" t="str">
        <f t="shared" si="17"/>
        <v>Industrial Flex Mall Building</v>
      </c>
    </row>
    <row r="170" spans="1:44" ht="38.25">
      <c r="A170" s="154" t="s">
        <v>10367</v>
      </c>
      <c r="B170" s="149">
        <v>407</v>
      </c>
      <c r="C170" s="154" t="s">
        <v>10368</v>
      </c>
      <c r="D170" s="266" t="s">
        <v>10369</v>
      </c>
      <c r="E170" s="154" t="s">
        <v>8758</v>
      </c>
      <c r="F170" s="154" t="s">
        <v>9942</v>
      </c>
      <c r="G170" s="154" t="s">
        <v>1911</v>
      </c>
      <c r="H170" s="266" t="s">
        <v>10360</v>
      </c>
      <c r="I170" s="154">
        <v>2016</v>
      </c>
      <c r="J170" s="154">
        <v>122106</v>
      </c>
      <c r="K170" s="154">
        <v>2023</v>
      </c>
      <c r="L170" s="154"/>
      <c r="M170" s="154"/>
      <c r="N170" s="154"/>
      <c r="O170" s="159">
        <v>7435</v>
      </c>
      <c r="P170" s="154"/>
      <c r="Q170" s="154"/>
      <c r="R170" s="154"/>
      <c r="S170" s="154"/>
      <c r="T170" s="154"/>
      <c r="U170" s="154"/>
      <c r="V170" s="154"/>
      <c r="W170" s="154"/>
      <c r="X170" s="154"/>
      <c r="Y170" s="154"/>
      <c r="Z170" s="154"/>
      <c r="AA170" s="154"/>
      <c r="AB170" s="154"/>
      <c r="AC170" s="159">
        <v>50680</v>
      </c>
      <c r="AD170" s="159">
        <v>58541</v>
      </c>
      <c r="AE170" s="154"/>
      <c r="AF170" s="159">
        <v>58541</v>
      </c>
      <c r="AG170" s="154"/>
      <c r="AH170" s="154"/>
      <c r="AI170" s="159">
        <v>394774</v>
      </c>
      <c r="AJ170" s="159">
        <v>511430</v>
      </c>
      <c r="AK170" s="154"/>
      <c r="AL170" s="154"/>
      <c r="AM170" s="266" t="s">
        <v>10612</v>
      </c>
      <c r="AN170" t="e">
        <f t="shared" si="15"/>
        <v>#N/A</v>
      </c>
      <c r="AO170" t="e">
        <f t="shared" si="16"/>
        <v>#N/A</v>
      </c>
      <c r="AR170" s="230" t="str">
        <f t="shared" si="17"/>
        <v>Distribution Warehouse</v>
      </c>
    </row>
    <row r="171" spans="1:44" ht="38.25">
      <c r="A171" s="154" t="s">
        <v>10367</v>
      </c>
      <c r="B171" s="149">
        <v>407</v>
      </c>
      <c r="C171" s="154" t="s">
        <v>10368</v>
      </c>
      <c r="D171" s="266" t="s">
        <v>10369</v>
      </c>
      <c r="E171" s="154" t="s">
        <v>8758</v>
      </c>
      <c r="F171" s="154" t="s">
        <v>9942</v>
      </c>
      <c r="G171" s="154" t="s">
        <v>1911</v>
      </c>
      <c r="H171" s="266" t="s">
        <v>10360</v>
      </c>
      <c r="I171" s="154">
        <v>2016</v>
      </c>
      <c r="J171" s="154">
        <v>122106</v>
      </c>
      <c r="K171" s="154">
        <v>2024</v>
      </c>
      <c r="L171" s="154"/>
      <c r="M171" s="154"/>
      <c r="N171" s="154"/>
      <c r="O171" s="159">
        <v>7635</v>
      </c>
      <c r="P171" s="154"/>
      <c r="Q171" s="154"/>
      <c r="R171" s="154"/>
      <c r="S171" s="154"/>
      <c r="T171" s="154"/>
      <c r="U171" s="154"/>
      <c r="V171" s="154"/>
      <c r="W171" s="154"/>
      <c r="X171" s="154"/>
      <c r="Y171" s="154"/>
      <c r="Z171" s="154"/>
      <c r="AA171" s="154"/>
      <c r="AB171" s="154"/>
      <c r="AC171" s="159">
        <v>64465</v>
      </c>
      <c r="AD171" s="159">
        <v>58541</v>
      </c>
      <c r="AE171" s="154"/>
      <c r="AF171" s="159">
        <v>58541</v>
      </c>
      <c r="AG171" s="154"/>
      <c r="AH171" s="154"/>
      <c r="AI171" s="159">
        <v>532140</v>
      </c>
      <c r="AJ171" s="159">
        <v>662781</v>
      </c>
      <c r="AK171" s="154"/>
      <c r="AL171" s="154"/>
      <c r="AM171" s="266" t="s">
        <v>10613</v>
      </c>
      <c r="AN171" t="e">
        <f t="shared" si="15"/>
        <v>#N/A</v>
      </c>
      <c r="AO171" t="e">
        <f t="shared" si="16"/>
        <v>#N/A</v>
      </c>
      <c r="AR171" s="230" t="str">
        <f t="shared" si="17"/>
        <v>Distribution Warehouse</v>
      </c>
    </row>
    <row r="172" spans="1:44" ht="38.25">
      <c r="A172" s="154" t="s">
        <v>10372</v>
      </c>
      <c r="B172" s="149">
        <v>407</v>
      </c>
      <c r="C172" s="154" t="s">
        <v>10373</v>
      </c>
      <c r="D172" s="266" t="s">
        <v>10374</v>
      </c>
      <c r="E172" s="154" t="s">
        <v>8758</v>
      </c>
      <c r="F172" s="154" t="s">
        <v>9942</v>
      </c>
      <c r="G172" s="154" t="s">
        <v>1911</v>
      </c>
      <c r="H172" s="266" t="s">
        <v>10360</v>
      </c>
      <c r="I172" s="154">
        <v>2000</v>
      </c>
      <c r="J172" s="154">
        <v>85200</v>
      </c>
      <c r="K172" s="154">
        <v>2023</v>
      </c>
      <c r="L172" s="154"/>
      <c r="M172" s="154"/>
      <c r="N172" s="154"/>
      <c r="O172" s="159">
        <v>20559</v>
      </c>
      <c r="P172" s="154"/>
      <c r="Q172" s="154"/>
      <c r="R172" s="154"/>
      <c r="S172" s="154"/>
      <c r="T172" s="154"/>
      <c r="U172" s="154"/>
      <c r="V172" s="154"/>
      <c r="W172" s="154"/>
      <c r="X172" s="154"/>
      <c r="Y172" s="154"/>
      <c r="Z172" s="154"/>
      <c r="AA172" s="154"/>
      <c r="AB172" s="154"/>
      <c r="AC172" s="159">
        <v>18539</v>
      </c>
      <c r="AD172" s="154"/>
      <c r="AE172" s="154"/>
      <c r="AF172" s="154"/>
      <c r="AG172" s="154"/>
      <c r="AH172" s="154"/>
      <c r="AI172" s="159">
        <v>305241</v>
      </c>
      <c r="AJ172" s="159">
        <v>344339</v>
      </c>
      <c r="AK172" s="154"/>
      <c r="AL172" s="154"/>
      <c r="AM172" s="266" t="s">
        <v>10614</v>
      </c>
      <c r="AN172" t="e">
        <f t="shared" si="15"/>
        <v>#N/A</v>
      </c>
      <c r="AO172" t="e">
        <f t="shared" si="16"/>
        <v>#N/A</v>
      </c>
      <c r="AR172" s="230" t="str">
        <f t="shared" si="17"/>
        <v>Distribution Warehouse</v>
      </c>
    </row>
    <row r="173" spans="1:44" ht="38.25">
      <c r="A173" s="154" t="s">
        <v>10372</v>
      </c>
      <c r="B173" s="149">
        <v>407</v>
      </c>
      <c r="C173" s="154" t="s">
        <v>10373</v>
      </c>
      <c r="D173" s="266" t="s">
        <v>10374</v>
      </c>
      <c r="E173" s="154" t="s">
        <v>8758</v>
      </c>
      <c r="F173" s="154" t="s">
        <v>9942</v>
      </c>
      <c r="G173" s="154" t="s">
        <v>1911</v>
      </c>
      <c r="H173" s="266" t="s">
        <v>10360</v>
      </c>
      <c r="I173" s="154">
        <v>2000</v>
      </c>
      <c r="J173" s="154">
        <v>85200</v>
      </c>
      <c r="K173" s="154">
        <v>2024</v>
      </c>
      <c r="L173" s="154"/>
      <c r="M173" s="154"/>
      <c r="N173" s="154"/>
      <c r="O173" s="159">
        <v>25578</v>
      </c>
      <c r="P173" s="154"/>
      <c r="Q173" s="154"/>
      <c r="R173" s="154"/>
      <c r="S173" s="154"/>
      <c r="T173" s="154"/>
      <c r="U173" s="154"/>
      <c r="V173" s="154"/>
      <c r="W173" s="154"/>
      <c r="X173" s="154"/>
      <c r="Y173" s="154"/>
      <c r="Z173" s="154"/>
      <c r="AA173" s="154"/>
      <c r="AB173" s="154"/>
      <c r="AC173" s="159">
        <v>21372</v>
      </c>
      <c r="AD173" s="154"/>
      <c r="AE173" s="154"/>
      <c r="AF173" s="154"/>
      <c r="AG173" s="154"/>
      <c r="AH173" s="154"/>
      <c r="AI173" s="159">
        <v>331811</v>
      </c>
      <c r="AJ173" s="159">
        <v>378761</v>
      </c>
      <c r="AK173" s="154"/>
      <c r="AL173" s="154"/>
      <c r="AM173" s="266" t="s">
        <v>10615</v>
      </c>
      <c r="AN173" t="e">
        <f t="shared" si="15"/>
        <v>#N/A</v>
      </c>
      <c r="AO173" t="e">
        <f t="shared" si="16"/>
        <v>#N/A</v>
      </c>
      <c r="AR173" s="230" t="str">
        <f t="shared" si="17"/>
        <v>Distribution Warehouse</v>
      </c>
    </row>
    <row r="174" spans="1:44" ht="38.25">
      <c r="A174" s="154" t="s">
        <v>10376</v>
      </c>
      <c r="B174" s="149">
        <v>584</v>
      </c>
      <c r="C174" s="154" t="s">
        <v>10028</v>
      </c>
      <c r="D174" s="266" t="s">
        <v>10377</v>
      </c>
      <c r="E174" s="154" t="s">
        <v>8758</v>
      </c>
      <c r="F174" s="154" t="s">
        <v>9942</v>
      </c>
      <c r="G174" s="154" t="s">
        <v>1911</v>
      </c>
      <c r="H174" s="266" t="s">
        <v>10378</v>
      </c>
      <c r="I174" s="154">
        <v>2019</v>
      </c>
      <c r="J174" s="154">
        <v>555867</v>
      </c>
      <c r="K174" s="154">
        <v>2024</v>
      </c>
      <c r="L174" s="154"/>
      <c r="M174" s="154"/>
      <c r="N174" s="154"/>
      <c r="O174" s="159">
        <v>86084</v>
      </c>
      <c r="P174" s="159">
        <v>64029</v>
      </c>
      <c r="Q174" s="154"/>
      <c r="R174" s="154"/>
      <c r="S174" s="154"/>
      <c r="T174" s="154"/>
      <c r="U174" s="154"/>
      <c r="V174" s="154"/>
      <c r="W174" s="154"/>
      <c r="X174" s="154"/>
      <c r="Y174" s="154"/>
      <c r="Z174" s="154"/>
      <c r="AA174" s="154"/>
      <c r="AB174" s="154"/>
      <c r="AC174" s="154"/>
      <c r="AD174" s="154"/>
      <c r="AE174" s="154"/>
      <c r="AF174" s="154"/>
      <c r="AG174" s="154"/>
      <c r="AH174" s="154"/>
      <c r="AI174" s="159">
        <v>2160792</v>
      </c>
      <c r="AJ174" s="159">
        <v>2310905</v>
      </c>
      <c r="AK174" s="154"/>
      <c r="AL174" s="154"/>
      <c r="AM174" s="266" t="s">
        <v>10616</v>
      </c>
      <c r="AN174" t="e">
        <f t="shared" si="15"/>
        <v>#N/A</v>
      </c>
      <c r="AO174" t="e">
        <f t="shared" si="16"/>
        <v>#N/A</v>
      </c>
      <c r="AR174" s="230" t="str">
        <f t="shared" si="17"/>
        <v>Mega Warehouse</v>
      </c>
    </row>
    <row r="175" spans="1:44" ht="38.25">
      <c r="A175" s="154" t="s">
        <v>10381</v>
      </c>
      <c r="B175" s="149">
        <v>447</v>
      </c>
      <c r="C175" s="154" t="s">
        <v>10382</v>
      </c>
      <c r="D175" s="266" t="s">
        <v>10383</v>
      </c>
      <c r="E175" s="154" t="s">
        <v>8758</v>
      </c>
      <c r="F175" s="154" t="s">
        <v>9942</v>
      </c>
      <c r="G175" s="154" t="s">
        <v>1911</v>
      </c>
      <c r="H175" s="266" t="s">
        <v>10384</v>
      </c>
      <c r="I175" s="154">
        <v>2012</v>
      </c>
      <c r="J175" s="154">
        <v>550031</v>
      </c>
      <c r="K175" s="154">
        <v>2024</v>
      </c>
      <c r="L175" s="154"/>
      <c r="M175" s="154"/>
      <c r="N175" s="154"/>
      <c r="O175" s="159">
        <v>77117</v>
      </c>
      <c r="P175" s="159">
        <v>138053</v>
      </c>
      <c r="Q175" s="154"/>
      <c r="R175" s="154"/>
      <c r="S175" s="154"/>
      <c r="T175" s="154"/>
      <c r="U175" s="154"/>
      <c r="V175" s="154"/>
      <c r="W175" s="154"/>
      <c r="X175" s="154"/>
      <c r="Y175" s="154"/>
      <c r="Z175" s="154"/>
      <c r="AA175" s="154"/>
      <c r="AB175" s="154"/>
      <c r="AC175" s="154"/>
      <c r="AD175" s="154"/>
      <c r="AE175" s="154"/>
      <c r="AF175" s="154"/>
      <c r="AG175" s="154"/>
      <c r="AH175" s="154"/>
      <c r="AI175" s="159">
        <v>2118655</v>
      </c>
      <c r="AJ175" s="159">
        <v>2333825</v>
      </c>
      <c r="AK175" s="154"/>
      <c r="AL175" s="154"/>
      <c r="AM175" s="266" t="s">
        <v>10617</v>
      </c>
      <c r="AN175" t="e">
        <f t="shared" si="15"/>
        <v>#N/A</v>
      </c>
      <c r="AO175" t="e">
        <f t="shared" si="16"/>
        <v>#N/A</v>
      </c>
      <c r="AR175" s="230" t="str">
        <f t="shared" si="17"/>
        <v>Cold Storage Warehouse</v>
      </c>
    </row>
    <row r="176" spans="1:44" ht="25.5">
      <c r="A176" s="154" t="s">
        <v>10386</v>
      </c>
      <c r="B176" s="149">
        <v>407</v>
      </c>
      <c r="C176" s="154" t="s">
        <v>10387</v>
      </c>
      <c r="D176" s="266" t="s">
        <v>10388</v>
      </c>
      <c r="E176" s="154" t="s">
        <v>8758</v>
      </c>
      <c r="F176" s="154" t="s">
        <v>9942</v>
      </c>
      <c r="G176" s="154" t="s">
        <v>1911</v>
      </c>
      <c r="H176" s="266" t="s">
        <v>10360</v>
      </c>
      <c r="I176" s="154">
        <v>1998</v>
      </c>
      <c r="J176" s="154">
        <v>64501</v>
      </c>
      <c r="K176" s="154">
        <v>2023</v>
      </c>
      <c r="L176" s="154"/>
      <c r="M176" s="154"/>
      <c r="N176" s="154"/>
      <c r="O176" s="159">
        <v>9589</v>
      </c>
      <c r="P176" s="159">
        <v>23542</v>
      </c>
      <c r="Q176" s="154"/>
      <c r="R176" s="154"/>
      <c r="S176" s="154"/>
      <c r="T176" s="154"/>
      <c r="U176" s="154"/>
      <c r="V176" s="154"/>
      <c r="W176" s="154"/>
      <c r="X176" s="154"/>
      <c r="Y176" s="154"/>
      <c r="Z176" s="154"/>
      <c r="AA176" s="154"/>
      <c r="AB176" s="154"/>
      <c r="AC176" s="154"/>
      <c r="AD176" s="154"/>
      <c r="AE176" s="154"/>
      <c r="AF176" s="154"/>
      <c r="AG176" s="154"/>
      <c r="AH176" s="154"/>
      <c r="AI176" s="159">
        <v>201248</v>
      </c>
      <c r="AJ176" s="159">
        <v>234379</v>
      </c>
      <c r="AK176" s="154"/>
      <c r="AL176" s="154"/>
      <c r="AM176" s="266" t="s">
        <v>10618</v>
      </c>
      <c r="AN176" t="e">
        <f t="shared" si="15"/>
        <v>#N/A</v>
      </c>
      <c r="AO176" t="e">
        <f t="shared" si="16"/>
        <v>#N/A</v>
      </c>
      <c r="AR176" s="230" t="str">
        <f t="shared" si="17"/>
        <v>Distribution Warehouse</v>
      </c>
    </row>
    <row r="177" spans="1:44" ht="25.5">
      <c r="A177" s="154" t="s">
        <v>10386</v>
      </c>
      <c r="B177" s="149">
        <v>407</v>
      </c>
      <c r="C177" s="154" t="s">
        <v>10387</v>
      </c>
      <c r="D177" s="266" t="s">
        <v>10388</v>
      </c>
      <c r="E177" s="154" t="s">
        <v>8758</v>
      </c>
      <c r="F177" s="154" t="s">
        <v>9942</v>
      </c>
      <c r="G177" s="154" t="s">
        <v>1911</v>
      </c>
      <c r="H177" s="266" t="s">
        <v>10360</v>
      </c>
      <c r="I177" s="154">
        <v>1998</v>
      </c>
      <c r="J177" s="154">
        <v>64501</v>
      </c>
      <c r="K177" s="154">
        <v>2024</v>
      </c>
      <c r="L177" s="154"/>
      <c r="M177" s="154"/>
      <c r="N177" s="154"/>
      <c r="O177" s="159">
        <v>7536</v>
      </c>
      <c r="P177" s="159">
        <v>23889</v>
      </c>
      <c r="Q177" s="154"/>
      <c r="R177" s="154"/>
      <c r="S177" s="154"/>
      <c r="T177" s="154"/>
      <c r="U177" s="154"/>
      <c r="V177" s="154"/>
      <c r="W177" s="154"/>
      <c r="X177" s="154"/>
      <c r="Y177" s="154"/>
      <c r="Z177" s="154"/>
      <c r="AA177" s="154"/>
      <c r="AB177" s="154"/>
      <c r="AC177" s="154"/>
      <c r="AD177" s="154"/>
      <c r="AE177" s="154"/>
      <c r="AF177" s="154"/>
      <c r="AG177" s="154"/>
      <c r="AH177" s="154"/>
      <c r="AI177" s="159">
        <v>244551</v>
      </c>
      <c r="AJ177" s="159">
        <v>275976</v>
      </c>
      <c r="AK177" s="154"/>
      <c r="AL177" s="154"/>
      <c r="AM177" s="266" t="s">
        <v>10619</v>
      </c>
      <c r="AN177" t="e">
        <f t="shared" si="15"/>
        <v>#N/A</v>
      </c>
      <c r="AO177" t="e">
        <f t="shared" si="16"/>
        <v>#N/A</v>
      </c>
      <c r="AR177" s="230" t="str">
        <f t="shared" si="17"/>
        <v>Distribution Warehouse</v>
      </c>
    </row>
    <row r="178" spans="1:44" ht="38.25">
      <c r="A178" s="154" t="s">
        <v>10099</v>
      </c>
      <c r="B178" s="149">
        <v>407</v>
      </c>
      <c r="C178" s="154" t="s">
        <v>10100</v>
      </c>
      <c r="D178" s="266" t="s">
        <v>10620</v>
      </c>
      <c r="E178" s="154" t="s">
        <v>8758</v>
      </c>
      <c r="F178" s="154" t="s">
        <v>9942</v>
      </c>
      <c r="G178" s="154" t="s">
        <v>1911</v>
      </c>
      <c r="H178" s="266" t="s">
        <v>10360</v>
      </c>
      <c r="I178" s="154"/>
      <c r="J178" s="154">
        <v>200094</v>
      </c>
      <c r="K178" s="154">
        <v>2024</v>
      </c>
      <c r="L178" s="154"/>
      <c r="M178" s="154"/>
      <c r="N178" s="154"/>
      <c r="O178" s="159">
        <v>26308</v>
      </c>
      <c r="P178" s="159">
        <v>48882</v>
      </c>
      <c r="Q178" s="154"/>
      <c r="R178" s="154"/>
      <c r="S178" s="154"/>
      <c r="T178" s="154"/>
      <c r="U178" s="154"/>
      <c r="V178" s="154"/>
      <c r="W178" s="154"/>
      <c r="X178" s="154"/>
      <c r="Y178" s="154"/>
      <c r="Z178" s="154"/>
      <c r="AA178" s="154"/>
      <c r="AB178" s="154"/>
      <c r="AC178" s="159">
        <v>80298</v>
      </c>
      <c r="AD178" s="159">
        <v>64237</v>
      </c>
      <c r="AE178" s="154"/>
      <c r="AF178" s="159">
        <v>64237</v>
      </c>
      <c r="AG178" s="154"/>
      <c r="AH178" s="154"/>
      <c r="AI178" s="159">
        <v>440287</v>
      </c>
      <c r="AJ178" s="159">
        <v>659712</v>
      </c>
      <c r="AK178" s="154"/>
      <c r="AL178" s="154"/>
      <c r="AM178" s="266" t="s">
        <v>10621</v>
      </c>
      <c r="AN178" t="e">
        <f t="shared" si="15"/>
        <v>#N/A</v>
      </c>
      <c r="AO178" t="e">
        <f t="shared" si="16"/>
        <v>#N/A</v>
      </c>
      <c r="AR178" s="230" t="str">
        <f t="shared" si="17"/>
        <v>Distribution Warehouse</v>
      </c>
    </row>
    <row r="179" spans="1:44" ht="38.25">
      <c r="A179" s="154" t="s">
        <v>10105</v>
      </c>
      <c r="B179" s="149">
        <v>407</v>
      </c>
      <c r="C179" s="154" t="s">
        <v>10106</v>
      </c>
      <c r="D179" s="266" t="s">
        <v>10622</v>
      </c>
      <c r="E179" s="154" t="s">
        <v>8758</v>
      </c>
      <c r="F179" s="154" t="s">
        <v>9942</v>
      </c>
      <c r="G179" s="154" t="s">
        <v>1911</v>
      </c>
      <c r="H179" s="266" t="s">
        <v>10360</v>
      </c>
      <c r="I179" s="154"/>
      <c r="J179" s="154"/>
      <c r="K179" s="154">
        <v>2024</v>
      </c>
      <c r="L179" s="154"/>
      <c r="M179" s="154"/>
      <c r="N179" s="154"/>
      <c r="O179" s="159">
        <v>24025</v>
      </c>
      <c r="P179" s="159">
        <v>65817</v>
      </c>
      <c r="Q179" s="154"/>
      <c r="R179" s="154"/>
      <c r="S179" s="154"/>
      <c r="T179" s="154"/>
      <c r="U179" s="154"/>
      <c r="V179" s="154"/>
      <c r="W179" s="154"/>
      <c r="X179" s="154"/>
      <c r="Y179" s="154"/>
      <c r="Z179" s="154"/>
      <c r="AA179" s="154"/>
      <c r="AB179" s="154"/>
      <c r="AC179" s="159">
        <v>128840</v>
      </c>
      <c r="AD179" s="159">
        <v>69481</v>
      </c>
      <c r="AE179" s="154"/>
      <c r="AF179" s="159">
        <v>69481</v>
      </c>
      <c r="AG179" s="154"/>
      <c r="AH179" s="154"/>
      <c r="AI179" s="159">
        <v>598274</v>
      </c>
      <c r="AJ179" s="159">
        <v>886437</v>
      </c>
      <c r="AK179" s="154"/>
      <c r="AL179" s="154"/>
      <c r="AM179" s="266" t="s">
        <v>10623</v>
      </c>
      <c r="AN179" t="e">
        <f t="shared" si="15"/>
        <v>#N/A</v>
      </c>
      <c r="AO179" t="e">
        <f t="shared" si="16"/>
        <v>#N/A</v>
      </c>
      <c r="AR179" s="230" t="str">
        <f t="shared" si="17"/>
        <v>Distribution Warehouse</v>
      </c>
    </row>
    <row r="180" spans="1:44" ht="38.25">
      <c r="A180" s="154" t="s">
        <v>10125</v>
      </c>
      <c r="B180" s="149">
        <v>407</v>
      </c>
      <c r="C180" s="154" t="s">
        <v>10126</v>
      </c>
      <c r="D180" s="266" t="s">
        <v>10624</v>
      </c>
      <c r="E180" s="154" t="s">
        <v>8758</v>
      </c>
      <c r="F180" s="154" t="s">
        <v>9942</v>
      </c>
      <c r="G180" s="154" t="s">
        <v>1911</v>
      </c>
      <c r="H180" s="266" t="s">
        <v>10360</v>
      </c>
      <c r="I180" s="154"/>
      <c r="J180" s="154">
        <v>215461</v>
      </c>
      <c r="K180" s="154">
        <v>2024</v>
      </c>
      <c r="L180" s="154"/>
      <c r="M180" s="154"/>
      <c r="N180" s="154"/>
      <c r="O180" s="159">
        <v>30832</v>
      </c>
      <c r="P180" s="159">
        <v>71321</v>
      </c>
      <c r="Q180" s="154"/>
      <c r="R180" s="154"/>
      <c r="S180" s="154"/>
      <c r="T180" s="154"/>
      <c r="U180" s="154"/>
      <c r="V180" s="154"/>
      <c r="W180" s="154"/>
      <c r="X180" s="154"/>
      <c r="Y180" s="154"/>
      <c r="Z180" s="154"/>
      <c r="AA180" s="154"/>
      <c r="AB180" s="154"/>
      <c r="AC180" s="159">
        <v>127177</v>
      </c>
      <c r="AD180" s="159">
        <v>101924</v>
      </c>
      <c r="AE180" s="154"/>
      <c r="AF180" s="159">
        <v>101924</v>
      </c>
      <c r="AG180" s="154"/>
      <c r="AH180" s="154"/>
      <c r="AI180" s="159">
        <v>564450</v>
      </c>
      <c r="AJ180" s="159">
        <v>895704</v>
      </c>
      <c r="AK180" s="154"/>
      <c r="AL180" s="154"/>
      <c r="AM180" s="266" t="s">
        <v>10625</v>
      </c>
      <c r="AN180" t="e">
        <f t="shared" si="15"/>
        <v>#N/A</v>
      </c>
      <c r="AO180" t="e">
        <f t="shared" si="16"/>
        <v>#N/A</v>
      </c>
      <c r="AR180" s="230" t="str">
        <f t="shared" si="17"/>
        <v>Distribution Warehouse</v>
      </c>
    </row>
    <row r="181" spans="1:44" ht="25.5">
      <c r="A181" s="154" t="s">
        <v>10131</v>
      </c>
      <c r="B181" s="149">
        <v>407</v>
      </c>
      <c r="C181" s="154" t="s">
        <v>10132</v>
      </c>
      <c r="D181" s="266" t="s">
        <v>10626</v>
      </c>
      <c r="E181" s="154" t="s">
        <v>8758</v>
      </c>
      <c r="F181" s="154" t="s">
        <v>9942</v>
      </c>
      <c r="G181" s="154" t="s">
        <v>1911</v>
      </c>
      <c r="H181" s="266" t="s">
        <v>10360</v>
      </c>
      <c r="I181" s="154"/>
      <c r="J181" s="154">
        <v>200000</v>
      </c>
      <c r="K181" s="154">
        <v>2024</v>
      </c>
      <c r="L181" s="154"/>
      <c r="M181" s="154"/>
      <c r="N181" s="154"/>
      <c r="O181" s="159">
        <v>30594</v>
      </c>
      <c r="P181" s="159">
        <v>36085</v>
      </c>
      <c r="Q181" s="154"/>
      <c r="R181" s="154"/>
      <c r="S181" s="154"/>
      <c r="T181" s="154"/>
      <c r="U181" s="154"/>
      <c r="V181" s="154"/>
      <c r="W181" s="154"/>
      <c r="X181" s="154"/>
      <c r="Y181" s="154"/>
      <c r="Z181" s="154"/>
      <c r="AA181" s="154"/>
      <c r="AB181" s="154"/>
      <c r="AC181" s="159">
        <v>95792</v>
      </c>
      <c r="AD181" s="154"/>
      <c r="AE181" s="154"/>
      <c r="AF181" s="154"/>
      <c r="AG181" s="154"/>
      <c r="AH181" s="154"/>
      <c r="AI181" s="159">
        <v>608209</v>
      </c>
      <c r="AJ181" s="159">
        <v>770680</v>
      </c>
      <c r="AK181" s="154"/>
      <c r="AL181" s="154"/>
      <c r="AM181" s="266" t="s">
        <v>10627</v>
      </c>
      <c r="AN181" t="e">
        <f t="shared" si="15"/>
        <v>#N/A</v>
      </c>
      <c r="AO181" t="e">
        <f t="shared" si="16"/>
        <v>#N/A</v>
      </c>
      <c r="AR181" s="230" t="str">
        <f t="shared" si="17"/>
        <v>Distribution Warehouse</v>
      </c>
    </row>
    <row r="182" spans="1:44" ht="38.25">
      <c r="A182" s="154" t="s">
        <v>10242</v>
      </c>
      <c r="B182" s="149">
        <v>584</v>
      </c>
      <c r="C182" s="154" t="s">
        <v>10243</v>
      </c>
      <c r="D182" s="266" t="s">
        <v>10628</v>
      </c>
      <c r="E182" s="154" t="s">
        <v>8758</v>
      </c>
      <c r="F182" s="154" t="s">
        <v>9942</v>
      </c>
      <c r="G182" s="154" t="s">
        <v>1911</v>
      </c>
      <c r="H182" s="266" t="s">
        <v>10360</v>
      </c>
      <c r="I182" s="154"/>
      <c r="J182" s="154">
        <v>277690</v>
      </c>
      <c r="K182" s="154">
        <v>2024</v>
      </c>
      <c r="L182" s="154"/>
      <c r="M182" s="154"/>
      <c r="N182" s="154"/>
      <c r="O182" s="159">
        <v>80849</v>
      </c>
      <c r="P182" s="159">
        <v>172937</v>
      </c>
      <c r="Q182" s="154"/>
      <c r="R182" s="154"/>
      <c r="S182" s="154"/>
      <c r="T182" s="154"/>
      <c r="U182" s="154"/>
      <c r="V182" s="154"/>
      <c r="W182" s="154"/>
      <c r="X182" s="154"/>
      <c r="Y182" s="154"/>
      <c r="Z182" s="154"/>
      <c r="AA182" s="154"/>
      <c r="AB182" s="154"/>
      <c r="AC182" s="159">
        <v>282651</v>
      </c>
      <c r="AD182" s="159">
        <v>195945</v>
      </c>
      <c r="AE182" s="154"/>
      <c r="AF182" s="159">
        <v>195945</v>
      </c>
      <c r="AG182" s="154"/>
      <c r="AH182" s="154"/>
      <c r="AI182" s="159">
        <v>788195</v>
      </c>
      <c r="AJ182" s="159">
        <v>1520577</v>
      </c>
      <c r="AK182" s="154"/>
      <c r="AL182" s="154"/>
      <c r="AM182" s="266" t="s">
        <v>10629</v>
      </c>
      <c r="AN182" t="e">
        <f t="shared" si="15"/>
        <v>#N/A</v>
      </c>
      <c r="AO182" t="e">
        <f t="shared" si="16"/>
        <v>#N/A</v>
      </c>
      <c r="AR182" s="230" t="str">
        <f t="shared" si="17"/>
        <v>Mega Warehouse</v>
      </c>
    </row>
    <row r="183" spans="1:44" ht="25.5">
      <c r="A183" s="154" t="s">
        <v>10280</v>
      </c>
      <c r="B183" s="149">
        <v>210</v>
      </c>
      <c r="C183" s="154" t="s">
        <v>10281</v>
      </c>
      <c r="D183" s="266" t="s">
        <v>10630</v>
      </c>
      <c r="E183" s="154" t="s">
        <v>8758</v>
      </c>
      <c r="F183" s="154" t="s">
        <v>9942</v>
      </c>
      <c r="G183" s="154" t="s">
        <v>1911</v>
      </c>
      <c r="H183" s="266" t="s">
        <v>1911</v>
      </c>
      <c r="I183" s="154"/>
      <c r="J183" s="154"/>
      <c r="K183" s="154">
        <v>2023</v>
      </c>
      <c r="L183" s="154"/>
      <c r="M183" s="154"/>
      <c r="N183" s="154"/>
      <c r="O183" s="154"/>
      <c r="P183" s="154"/>
      <c r="Q183" s="154"/>
      <c r="R183" s="154"/>
      <c r="S183" s="154"/>
      <c r="T183" s="154"/>
      <c r="U183" s="154"/>
      <c r="V183" s="154"/>
      <c r="W183" s="154"/>
      <c r="X183" s="154"/>
      <c r="Y183" s="154"/>
      <c r="Z183" s="154"/>
      <c r="AA183" s="154"/>
      <c r="AB183" s="154"/>
      <c r="AC183" s="154"/>
      <c r="AD183" s="154"/>
      <c r="AE183" s="154"/>
      <c r="AF183" s="154"/>
      <c r="AG183" s="154"/>
      <c r="AH183" s="154"/>
      <c r="AI183" s="154"/>
      <c r="AJ183" s="154"/>
      <c r="AK183" s="159">
        <v>951113</v>
      </c>
      <c r="AL183" s="154"/>
      <c r="AM183" s="266" t="s">
        <v>10631</v>
      </c>
      <c r="AN183" t="e">
        <f t="shared" si="15"/>
        <v>#N/A</v>
      </c>
      <c r="AO183" t="e">
        <f t="shared" si="16"/>
        <v>#N/A</v>
      </c>
      <c r="AR183" s="230" t="str">
        <f t="shared" si="17"/>
        <v>Industrial Flex Mall Building</v>
      </c>
    </row>
    <row r="184" spans="1:44" ht="25.5">
      <c r="A184" s="154" t="s">
        <v>10280</v>
      </c>
      <c r="B184" s="149">
        <v>210</v>
      </c>
      <c r="C184" s="154" t="s">
        <v>10281</v>
      </c>
      <c r="D184" s="266" t="s">
        <v>10630</v>
      </c>
      <c r="E184" s="154" t="s">
        <v>8758</v>
      </c>
      <c r="F184" s="154" t="s">
        <v>9942</v>
      </c>
      <c r="G184" s="154" t="s">
        <v>1911</v>
      </c>
      <c r="H184" s="266" t="s">
        <v>1911</v>
      </c>
      <c r="I184" s="154"/>
      <c r="J184" s="154"/>
      <c r="K184" s="154">
        <v>2024</v>
      </c>
      <c r="L184" s="154"/>
      <c r="M184" s="154"/>
      <c r="N184" s="154"/>
      <c r="O184" s="154"/>
      <c r="P184" s="154"/>
      <c r="Q184" s="154"/>
      <c r="R184" s="154"/>
      <c r="S184" s="154"/>
      <c r="T184" s="154"/>
      <c r="U184" s="154"/>
      <c r="V184" s="154"/>
      <c r="W184" s="154"/>
      <c r="X184" s="154"/>
      <c r="Y184" s="154"/>
      <c r="Z184" s="154"/>
      <c r="AA184" s="154"/>
      <c r="AB184" s="154"/>
      <c r="AC184" s="154"/>
      <c r="AD184" s="154"/>
      <c r="AE184" s="154"/>
      <c r="AF184" s="154"/>
      <c r="AG184" s="154"/>
      <c r="AH184" s="154"/>
      <c r="AI184" s="154"/>
      <c r="AJ184" s="154"/>
      <c r="AK184" s="159">
        <v>1005999</v>
      </c>
      <c r="AL184" s="154"/>
      <c r="AM184" s="266" t="s">
        <v>10632</v>
      </c>
      <c r="AN184" t="e">
        <f t="shared" si="15"/>
        <v>#N/A</v>
      </c>
      <c r="AO184" t="e">
        <f t="shared" si="16"/>
        <v>#N/A</v>
      </c>
      <c r="AR184" s="230" t="str">
        <f t="shared" si="17"/>
        <v>Industrial Flex Mall Building</v>
      </c>
    </row>
    <row r="185" spans="1:44" ht="38.25">
      <c r="A185" s="154" t="s">
        <v>10390</v>
      </c>
      <c r="B185" s="149">
        <v>407</v>
      </c>
      <c r="C185" s="154" t="s">
        <v>10391</v>
      </c>
      <c r="D185" s="266" t="s">
        <v>10392</v>
      </c>
      <c r="E185" s="154" t="s">
        <v>1304</v>
      </c>
      <c r="F185" s="154" t="s">
        <v>9942</v>
      </c>
      <c r="G185" s="154" t="s">
        <v>1911</v>
      </c>
      <c r="H185" s="266" t="s">
        <v>1136</v>
      </c>
      <c r="I185" s="154">
        <v>1971</v>
      </c>
      <c r="J185" s="154">
        <v>127900</v>
      </c>
      <c r="K185" s="154">
        <v>2024</v>
      </c>
      <c r="L185" s="159">
        <v>831350</v>
      </c>
      <c r="M185" s="154"/>
      <c r="N185" s="159">
        <v>781469</v>
      </c>
      <c r="O185" s="154"/>
      <c r="P185" s="154"/>
      <c r="Q185" s="154"/>
      <c r="R185" s="154"/>
      <c r="S185" s="154"/>
      <c r="T185" s="154"/>
      <c r="U185" s="154"/>
      <c r="V185" s="154"/>
      <c r="W185" s="154"/>
      <c r="X185" s="154"/>
      <c r="Y185" s="154"/>
      <c r="Z185" s="154"/>
      <c r="AA185" s="154"/>
      <c r="AB185" s="154"/>
      <c r="AC185" s="154"/>
      <c r="AD185" s="154"/>
      <c r="AE185" s="154"/>
      <c r="AF185" s="154"/>
      <c r="AG185" s="154"/>
      <c r="AH185" s="159">
        <v>62518</v>
      </c>
      <c r="AI185" s="154"/>
      <c r="AJ185" s="159">
        <v>62518</v>
      </c>
      <c r="AK185" s="159">
        <v>718951</v>
      </c>
      <c r="AL185" s="154"/>
      <c r="AM185" s="266" t="s">
        <v>10633</v>
      </c>
      <c r="AN185" t="e">
        <f t="shared" si="15"/>
        <v>#N/A</v>
      </c>
      <c r="AO185" t="e">
        <f t="shared" si="16"/>
        <v>#N/A</v>
      </c>
      <c r="AR185" s="230" t="str">
        <f t="shared" si="17"/>
        <v>Distribution Warehouse</v>
      </c>
    </row>
    <row r="186" spans="1:44" ht="38.25">
      <c r="A186" s="154" t="s">
        <v>10395</v>
      </c>
      <c r="B186" s="149">
        <v>386</v>
      </c>
      <c r="C186" s="154" t="s">
        <v>10396</v>
      </c>
      <c r="D186" s="266" t="s">
        <v>10397</v>
      </c>
      <c r="E186" s="154" t="s">
        <v>3966</v>
      </c>
      <c r="F186" s="154" t="s">
        <v>9942</v>
      </c>
      <c r="G186" s="154" t="s">
        <v>10154</v>
      </c>
      <c r="H186" s="266" t="s">
        <v>10154</v>
      </c>
      <c r="I186" s="154">
        <v>1984</v>
      </c>
      <c r="J186" s="154">
        <v>63989</v>
      </c>
      <c r="K186" s="154">
        <v>2024</v>
      </c>
      <c r="L186" s="159">
        <v>963336</v>
      </c>
      <c r="M186" s="159">
        <v>12500</v>
      </c>
      <c r="N186" s="159">
        <v>831336</v>
      </c>
      <c r="O186" s="154"/>
      <c r="P186" s="154"/>
      <c r="Q186" s="154"/>
      <c r="R186" s="154"/>
      <c r="S186" s="154"/>
      <c r="T186" s="154"/>
      <c r="U186" s="154"/>
      <c r="V186" s="154"/>
      <c r="W186" s="154"/>
      <c r="X186" s="154"/>
      <c r="Y186" s="154"/>
      <c r="Z186" s="154"/>
      <c r="AA186" s="154"/>
      <c r="AB186" s="154"/>
      <c r="AC186" s="154"/>
      <c r="AD186" s="154"/>
      <c r="AE186" s="154"/>
      <c r="AF186" s="154"/>
      <c r="AG186" s="154"/>
      <c r="AH186" s="159">
        <v>166267</v>
      </c>
      <c r="AI186" s="154"/>
      <c r="AJ186" s="159">
        <v>199520</v>
      </c>
      <c r="AK186" s="159">
        <v>631815</v>
      </c>
      <c r="AL186" s="159">
        <v>33253</v>
      </c>
      <c r="AM186" s="266" t="s">
        <v>10634</v>
      </c>
      <c r="AN186" t="e">
        <f t="shared" si="15"/>
        <v>#N/A</v>
      </c>
      <c r="AO186" t="e">
        <f t="shared" si="16"/>
        <v>#N/A</v>
      </c>
      <c r="AR186" s="230" t="str">
        <f t="shared" si="17"/>
        <v>Mini Warehouse</v>
      </c>
    </row>
    <row r="187" spans="1:44" ht="38.25">
      <c r="A187" s="154" t="s">
        <v>10400</v>
      </c>
      <c r="B187" s="149">
        <v>407</v>
      </c>
      <c r="C187" s="154" t="s">
        <v>10401</v>
      </c>
      <c r="D187" s="266" t="s">
        <v>10402</v>
      </c>
      <c r="E187" s="154" t="s">
        <v>3966</v>
      </c>
      <c r="F187" s="154" t="s">
        <v>9942</v>
      </c>
      <c r="G187" s="154" t="s">
        <v>1911</v>
      </c>
      <c r="H187" s="266" t="s">
        <v>10403</v>
      </c>
      <c r="I187" s="154"/>
      <c r="J187" s="154">
        <v>117280</v>
      </c>
      <c r="K187" s="154">
        <v>2024</v>
      </c>
      <c r="L187" s="154"/>
      <c r="M187" s="154"/>
      <c r="N187" s="154"/>
      <c r="O187" s="159">
        <v>56500</v>
      </c>
      <c r="P187" s="159">
        <v>452446</v>
      </c>
      <c r="Q187" s="154"/>
      <c r="R187" s="154"/>
      <c r="S187" s="154"/>
      <c r="T187" s="154"/>
      <c r="U187" s="154"/>
      <c r="V187" s="154"/>
      <c r="W187" s="154"/>
      <c r="X187" s="159">
        <v>219534</v>
      </c>
      <c r="Y187" s="159">
        <v>219534</v>
      </c>
      <c r="Z187" s="159">
        <v>13813</v>
      </c>
      <c r="AA187" s="159">
        <v>4696</v>
      </c>
      <c r="AB187" s="154"/>
      <c r="AC187" s="159">
        <v>18509</v>
      </c>
      <c r="AD187" s="154"/>
      <c r="AE187" s="154"/>
      <c r="AF187" s="159">
        <v>371508</v>
      </c>
      <c r="AG187" s="154"/>
      <c r="AH187" s="159">
        <v>1118497</v>
      </c>
      <c r="AI187" s="154"/>
      <c r="AJ187" s="159">
        <v>1118497</v>
      </c>
      <c r="AK187" s="154"/>
      <c r="AL187" s="154"/>
      <c r="AM187" s="266" t="s">
        <v>10635</v>
      </c>
      <c r="AN187" t="e">
        <f t="shared" si="15"/>
        <v>#N/A</v>
      </c>
      <c r="AO187" t="e">
        <f t="shared" si="16"/>
        <v>#N/A</v>
      </c>
      <c r="AR187" s="230" t="str">
        <f t="shared" si="17"/>
        <v>Distribution Warehouse</v>
      </c>
    </row>
    <row r="188" spans="1:44" ht="25.5">
      <c r="A188" s="154" t="s">
        <v>10406</v>
      </c>
      <c r="B188" s="149">
        <v>210</v>
      </c>
      <c r="C188" s="154" t="s">
        <v>10407</v>
      </c>
      <c r="D188" s="266" t="s">
        <v>10408</v>
      </c>
      <c r="E188" s="154" t="s">
        <v>3642</v>
      </c>
      <c r="F188" s="154" t="s">
        <v>9942</v>
      </c>
      <c r="G188" s="154" t="s">
        <v>1911</v>
      </c>
      <c r="H188" s="266" t="s">
        <v>10365</v>
      </c>
      <c r="I188" s="154"/>
      <c r="J188" s="154">
        <v>57200</v>
      </c>
      <c r="K188" s="154">
        <v>2023</v>
      </c>
      <c r="L188" s="159">
        <v>803900</v>
      </c>
      <c r="M188" s="154"/>
      <c r="N188" s="154"/>
      <c r="O188" s="159">
        <v>12548</v>
      </c>
      <c r="P188" s="159">
        <v>56144</v>
      </c>
      <c r="Q188" s="154"/>
      <c r="R188" s="154"/>
      <c r="S188" s="154"/>
      <c r="T188" s="154"/>
      <c r="U188" s="154"/>
      <c r="V188" s="154"/>
      <c r="W188" s="154"/>
      <c r="X188" s="159">
        <v>39723</v>
      </c>
      <c r="Y188" s="159">
        <v>39723</v>
      </c>
      <c r="Z188" s="159">
        <v>22410</v>
      </c>
      <c r="AA188" s="159">
        <v>1470</v>
      </c>
      <c r="AB188" s="154"/>
      <c r="AC188" s="159">
        <v>23880</v>
      </c>
      <c r="AD188" s="154"/>
      <c r="AE188" s="159">
        <v>6687</v>
      </c>
      <c r="AF188" s="159">
        <v>6687</v>
      </c>
      <c r="AG188" s="154"/>
      <c r="AH188" s="159">
        <v>138802</v>
      </c>
      <c r="AI188" s="154"/>
      <c r="AJ188" s="159">
        <v>138802</v>
      </c>
      <c r="AK188" s="154"/>
      <c r="AL188" s="154"/>
      <c r="AM188" s="266" t="s">
        <v>10636</v>
      </c>
      <c r="AN188" t="e">
        <f t="shared" si="15"/>
        <v>#N/A</v>
      </c>
      <c r="AO188" t="e">
        <f t="shared" si="16"/>
        <v>#N/A</v>
      </c>
      <c r="AR188" s="230" t="str">
        <f t="shared" si="17"/>
        <v>Industrial Flex Mall Building</v>
      </c>
    </row>
    <row r="189" spans="1:44" ht="38.25">
      <c r="A189" s="154" t="s">
        <v>10411</v>
      </c>
      <c r="B189" s="149">
        <v>210</v>
      </c>
      <c r="C189" s="154" t="s">
        <v>10412</v>
      </c>
      <c r="D189" s="266" t="s">
        <v>10413</v>
      </c>
      <c r="E189" s="154" t="s">
        <v>1304</v>
      </c>
      <c r="F189" s="154" t="s">
        <v>9942</v>
      </c>
      <c r="G189" s="154" t="s">
        <v>1911</v>
      </c>
      <c r="H189" s="266" t="s">
        <v>10414</v>
      </c>
      <c r="I189" s="154"/>
      <c r="J189" s="154">
        <v>70000</v>
      </c>
      <c r="K189" s="154">
        <v>2024</v>
      </c>
      <c r="L189" s="159">
        <v>539000</v>
      </c>
      <c r="M189" s="154"/>
      <c r="N189" s="154"/>
      <c r="O189" s="154"/>
      <c r="P189" s="159">
        <v>16170</v>
      </c>
      <c r="Q189" s="154"/>
      <c r="R189" s="154"/>
      <c r="S189" s="154"/>
      <c r="T189" s="154"/>
      <c r="U189" s="154"/>
      <c r="V189" s="154"/>
      <c r="W189" s="154"/>
      <c r="X189" s="159">
        <v>3600</v>
      </c>
      <c r="Y189" s="159">
        <v>3600</v>
      </c>
      <c r="Z189" s="154"/>
      <c r="AA189" s="159">
        <v>4000</v>
      </c>
      <c r="AB189" s="154"/>
      <c r="AC189" s="159">
        <v>4000</v>
      </c>
      <c r="AD189" s="154"/>
      <c r="AE189" s="154"/>
      <c r="AF189" s="154"/>
      <c r="AG189" s="154"/>
      <c r="AH189" s="159">
        <v>23770</v>
      </c>
      <c r="AI189" s="154"/>
      <c r="AJ189" s="159">
        <v>23770</v>
      </c>
      <c r="AK189" s="154"/>
      <c r="AL189" s="154"/>
      <c r="AM189" s="266" t="s">
        <v>10637</v>
      </c>
      <c r="AN189" t="e">
        <f t="shared" si="15"/>
        <v>#N/A</v>
      </c>
      <c r="AO189" t="e">
        <f t="shared" si="16"/>
        <v>#N/A</v>
      </c>
      <c r="AR189" s="230" t="str">
        <f t="shared" si="17"/>
        <v>Industrial Flex Mall Building</v>
      </c>
    </row>
    <row r="190" spans="1:44" ht="25.5">
      <c r="A190" s="154" t="s">
        <v>10416</v>
      </c>
      <c r="B190" s="149">
        <v>210</v>
      </c>
      <c r="C190" s="154" t="s">
        <v>10417</v>
      </c>
      <c r="D190" s="266" t="s">
        <v>10418</v>
      </c>
      <c r="E190" s="154" t="s">
        <v>3966</v>
      </c>
      <c r="F190" s="154" t="s">
        <v>9942</v>
      </c>
      <c r="G190" s="154" t="s">
        <v>1911</v>
      </c>
      <c r="H190" s="266" t="s">
        <v>10419</v>
      </c>
      <c r="I190" s="154"/>
      <c r="J190" s="154">
        <v>33574</v>
      </c>
      <c r="K190" s="154">
        <v>2024</v>
      </c>
      <c r="L190" s="159">
        <v>330000</v>
      </c>
      <c r="M190" s="154"/>
      <c r="N190" s="159">
        <v>330000</v>
      </c>
      <c r="O190" s="159">
        <v>8310</v>
      </c>
      <c r="P190" s="159">
        <v>16500</v>
      </c>
      <c r="Q190" s="154"/>
      <c r="R190" s="154"/>
      <c r="S190" s="154"/>
      <c r="T190" s="154"/>
      <c r="U190" s="154"/>
      <c r="V190" s="154"/>
      <c r="W190" s="154"/>
      <c r="X190" s="159">
        <v>18881</v>
      </c>
      <c r="Y190" s="159">
        <v>18881</v>
      </c>
      <c r="Z190" s="159">
        <v>9900</v>
      </c>
      <c r="AA190" s="159">
        <v>11300</v>
      </c>
      <c r="AB190" s="154"/>
      <c r="AC190" s="159">
        <v>21200</v>
      </c>
      <c r="AD190" s="154"/>
      <c r="AE190" s="159">
        <v>11540</v>
      </c>
      <c r="AF190" s="159">
        <v>11540</v>
      </c>
      <c r="AG190" s="154"/>
      <c r="AH190" s="159">
        <v>76431</v>
      </c>
      <c r="AI190" s="154"/>
      <c r="AJ190" s="159">
        <v>76431</v>
      </c>
      <c r="AK190" s="159">
        <v>253569</v>
      </c>
      <c r="AL190" s="154"/>
      <c r="AM190" s="266" t="s">
        <v>10638</v>
      </c>
      <c r="AN190" t="e">
        <f t="shared" si="15"/>
        <v>#N/A</v>
      </c>
      <c r="AO190" t="e">
        <f t="shared" si="16"/>
        <v>#N/A</v>
      </c>
      <c r="AR190" s="230" t="str">
        <f t="shared" si="17"/>
        <v>Industrial Flex Mall Building</v>
      </c>
    </row>
    <row r="191" spans="1:44" ht="51">
      <c r="A191" s="154" t="s">
        <v>10421</v>
      </c>
      <c r="B191" s="149">
        <v>1332</v>
      </c>
      <c r="C191" s="154" t="s">
        <v>10422</v>
      </c>
      <c r="D191" s="266" t="s">
        <v>10423</v>
      </c>
      <c r="E191" s="154" t="s">
        <v>3590</v>
      </c>
      <c r="F191" s="154" t="s">
        <v>9942</v>
      </c>
      <c r="G191" s="154" t="s">
        <v>10424</v>
      </c>
      <c r="H191" s="266" t="s">
        <v>10425</v>
      </c>
      <c r="I191" s="154">
        <v>1998</v>
      </c>
      <c r="J191" s="154"/>
      <c r="K191" s="154">
        <v>2024</v>
      </c>
      <c r="L191" s="159">
        <v>3007421</v>
      </c>
      <c r="M191" s="154"/>
      <c r="N191" s="159">
        <v>3007421</v>
      </c>
      <c r="O191" s="159">
        <v>45111</v>
      </c>
      <c r="P191" s="154"/>
      <c r="Q191" s="154"/>
      <c r="R191" s="154"/>
      <c r="S191" s="154"/>
      <c r="T191" s="154"/>
      <c r="U191" s="154"/>
      <c r="V191" s="154"/>
      <c r="W191" s="154"/>
      <c r="X191" s="154"/>
      <c r="Y191" s="154"/>
      <c r="Z191" s="154"/>
      <c r="AA191" s="154"/>
      <c r="AB191" s="154"/>
      <c r="AC191" s="154"/>
      <c r="AD191" s="154"/>
      <c r="AE191" s="154"/>
      <c r="AF191" s="154"/>
      <c r="AG191" s="159">
        <v>1975907</v>
      </c>
      <c r="AH191" s="159">
        <v>2143856</v>
      </c>
      <c r="AI191" s="154"/>
      <c r="AJ191" s="159">
        <v>2143856</v>
      </c>
      <c r="AK191" s="159">
        <v>863565</v>
      </c>
      <c r="AL191" s="154"/>
      <c r="AM191" s="266" t="s">
        <v>10639</v>
      </c>
      <c r="AN191" t="e">
        <f t="shared" si="15"/>
        <v>#N/A</v>
      </c>
      <c r="AO191" t="e">
        <f t="shared" si="16"/>
        <v>#N/A</v>
      </c>
      <c r="AR191" s="230" t="str">
        <f t="shared" si="17"/>
        <v>Hotels - Limited Service</v>
      </c>
    </row>
    <row r="192" spans="1:44" ht="51">
      <c r="A192" s="154" t="s">
        <v>10428</v>
      </c>
      <c r="B192" s="149">
        <v>332</v>
      </c>
      <c r="C192" s="154" t="s">
        <v>10429</v>
      </c>
      <c r="D192" s="266" t="s">
        <v>10430</v>
      </c>
      <c r="E192" s="154" t="s">
        <v>3966</v>
      </c>
      <c r="F192" s="154" t="s">
        <v>9942</v>
      </c>
      <c r="G192" s="154" t="s">
        <v>10424</v>
      </c>
      <c r="H192" s="266" t="s">
        <v>10431</v>
      </c>
      <c r="I192" s="154">
        <v>2023</v>
      </c>
      <c r="J192" s="154"/>
      <c r="K192" s="154">
        <v>2024</v>
      </c>
      <c r="L192" s="159">
        <v>11899487</v>
      </c>
      <c r="M192" s="154"/>
      <c r="N192" s="159">
        <v>11899487</v>
      </c>
      <c r="O192" s="159">
        <v>154693</v>
      </c>
      <c r="P192" s="154"/>
      <c r="Q192" s="154"/>
      <c r="R192" s="154"/>
      <c r="S192" s="154"/>
      <c r="T192" s="154"/>
      <c r="U192" s="154"/>
      <c r="V192" s="154"/>
      <c r="W192" s="154"/>
      <c r="X192" s="154"/>
      <c r="Y192" s="154"/>
      <c r="Z192" s="154"/>
      <c r="AA192" s="154"/>
      <c r="AB192" s="154"/>
      <c r="AC192" s="154"/>
      <c r="AD192" s="154"/>
      <c r="AE192" s="154"/>
      <c r="AF192" s="154"/>
      <c r="AG192" s="159">
        <v>8760469</v>
      </c>
      <c r="AH192" s="159">
        <v>8915468</v>
      </c>
      <c r="AI192" s="154"/>
      <c r="AJ192" s="159">
        <v>9391447</v>
      </c>
      <c r="AK192" s="159">
        <v>2984019</v>
      </c>
      <c r="AL192" s="159">
        <v>475979</v>
      </c>
      <c r="AM192" s="266" t="s">
        <v>10640</v>
      </c>
      <c r="AN192" t="e">
        <f t="shared" si="15"/>
        <v>#N/A</v>
      </c>
      <c r="AO192" t="e">
        <f t="shared" si="16"/>
        <v>#N/A</v>
      </c>
      <c r="AR192" s="230" t="str">
        <f t="shared" si="17"/>
        <v>Hotel - Full Service</v>
      </c>
    </row>
    <row r="193" spans="1:44" ht="63.75">
      <c r="A193" s="154" t="s">
        <v>10433</v>
      </c>
      <c r="B193" s="149">
        <v>332</v>
      </c>
      <c r="C193" s="154" t="s">
        <v>10434</v>
      </c>
      <c r="D193" s="266" t="s">
        <v>10435</v>
      </c>
      <c r="E193" s="154" t="s">
        <v>3590</v>
      </c>
      <c r="F193" s="154" t="s">
        <v>9942</v>
      </c>
      <c r="G193" s="154" t="s">
        <v>10424</v>
      </c>
      <c r="H193" s="266" t="s">
        <v>10431</v>
      </c>
      <c r="I193" s="154">
        <v>1984</v>
      </c>
      <c r="J193" s="154">
        <v>114796</v>
      </c>
      <c r="K193" s="154">
        <v>2024</v>
      </c>
      <c r="L193" s="159">
        <v>7626796</v>
      </c>
      <c r="M193" s="154"/>
      <c r="N193" s="159">
        <v>7626796</v>
      </c>
      <c r="O193" s="159">
        <v>99148</v>
      </c>
      <c r="P193" s="154"/>
      <c r="Q193" s="154"/>
      <c r="R193" s="154"/>
      <c r="S193" s="154"/>
      <c r="T193" s="154"/>
      <c r="U193" s="154"/>
      <c r="V193" s="154"/>
      <c r="W193" s="154"/>
      <c r="X193" s="154"/>
      <c r="Y193" s="154"/>
      <c r="Z193" s="154"/>
      <c r="AA193" s="154"/>
      <c r="AB193" s="154"/>
      <c r="AC193" s="154"/>
      <c r="AD193" s="154"/>
      <c r="AE193" s="154"/>
      <c r="AF193" s="154"/>
      <c r="AG193" s="159">
        <v>5596452</v>
      </c>
      <c r="AH193" s="159">
        <v>5901380</v>
      </c>
      <c r="AI193" s="154"/>
      <c r="AJ193" s="159">
        <v>6206452</v>
      </c>
      <c r="AK193" s="159">
        <v>1725416</v>
      </c>
      <c r="AL193" s="159">
        <v>305072</v>
      </c>
      <c r="AM193" s="266" t="s">
        <v>10641</v>
      </c>
      <c r="AN193" t="e">
        <f t="shared" si="15"/>
        <v>#N/A</v>
      </c>
      <c r="AO193" t="e">
        <f t="shared" si="16"/>
        <v>#N/A</v>
      </c>
      <c r="AR193" s="230" t="str">
        <f t="shared" si="17"/>
        <v>Hotel - Full Service</v>
      </c>
    </row>
    <row r="194" spans="1:44" ht="25.5">
      <c r="A194" s="154" t="s">
        <v>10437</v>
      </c>
      <c r="B194" s="149">
        <v>407</v>
      </c>
      <c r="C194" s="154" t="s">
        <v>9997</v>
      </c>
      <c r="D194" s="266" t="s">
        <v>10438</v>
      </c>
      <c r="E194" s="154" t="s">
        <v>3642</v>
      </c>
      <c r="F194" s="154" t="s">
        <v>9942</v>
      </c>
      <c r="G194" s="154" t="s">
        <v>1911</v>
      </c>
      <c r="H194" s="266" t="s">
        <v>10360</v>
      </c>
      <c r="I194" s="154"/>
      <c r="J194" s="154">
        <v>30000</v>
      </c>
      <c r="K194" s="154">
        <v>2024</v>
      </c>
      <c r="L194" s="159">
        <v>252000</v>
      </c>
      <c r="M194" s="154"/>
      <c r="N194" s="154"/>
      <c r="O194" s="159">
        <v>22704</v>
      </c>
      <c r="P194" s="159">
        <v>9500</v>
      </c>
      <c r="Q194" s="154"/>
      <c r="R194" s="154"/>
      <c r="S194" s="154"/>
      <c r="T194" s="154"/>
      <c r="U194" s="154"/>
      <c r="V194" s="154"/>
      <c r="W194" s="154"/>
      <c r="X194" s="159">
        <v>10941</v>
      </c>
      <c r="Y194" s="159">
        <v>10941</v>
      </c>
      <c r="Z194" s="159">
        <v>3493</v>
      </c>
      <c r="AA194" s="159">
        <v>6910</v>
      </c>
      <c r="AB194" s="154"/>
      <c r="AC194" s="159">
        <v>10403</v>
      </c>
      <c r="AD194" s="154"/>
      <c r="AE194" s="159">
        <v>1956</v>
      </c>
      <c r="AF194" s="159">
        <v>1956</v>
      </c>
      <c r="AG194" s="154"/>
      <c r="AH194" s="159">
        <v>55504</v>
      </c>
      <c r="AI194" s="154"/>
      <c r="AJ194" s="159">
        <v>55504</v>
      </c>
      <c r="AK194" s="154"/>
      <c r="AL194" s="154"/>
      <c r="AM194" s="266" t="s">
        <v>10642</v>
      </c>
      <c r="AN194" t="e">
        <f t="shared" si="15"/>
        <v>#N/A</v>
      </c>
      <c r="AO194" t="e">
        <f t="shared" si="16"/>
        <v>#N/A</v>
      </c>
      <c r="AR194" s="230" t="str">
        <f t="shared" si="17"/>
        <v>Distribution Warehouse</v>
      </c>
    </row>
    <row r="195" spans="1:44" ht="51">
      <c r="A195" s="154" t="s">
        <v>10367</v>
      </c>
      <c r="B195" s="149">
        <v>407</v>
      </c>
      <c r="C195" s="154" t="s">
        <v>10368</v>
      </c>
      <c r="D195" s="266" t="s">
        <v>10643</v>
      </c>
      <c r="E195" s="154" t="s">
        <v>3966</v>
      </c>
      <c r="F195" s="154" t="s">
        <v>9942</v>
      </c>
      <c r="G195" s="154" t="s">
        <v>1911</v>
      </c>
      <c r="H195" s="266" t="s">
        <v>10360</v>
      </c>
      <c r="I195" s="154">
        <v>2016</v>
      </c>
      <c r="J195" s="154">
        <v>122106</v>
      </c>
      <c r="K195" s="154">
        <v>2024</v>
      </c>
      <c r="L195" s="154"/>
      <c r="M195" s="154"/>
      <c r="N195" s="154"/>
      <c r="O195" s="159">
        <v>7635</v>
      </c>
      <c r="P195" s="154"/>
      <c r="Q195" s="154"/>
      <c r="R195" s="154"/>
      <c r="S195" s="154"/>
      <c r="T195" s="154"/>
      <c r="U195" s="154"/>
      <c r="V195" s="154"/>
      <c r="W195" s="154"/>
      <c r="X195" s="159">
        <v>38871</v>
      </c>
      <c r="Y195" s="159">
        <v>38871</v>
      </c>
      <c r="Z195" s="159">
        <v>13785</v>
      </c>
      <c r="AA195" s="159">
        <v>11809</v>
      </c>
      <c r="AB195" s="154"/>
      <c r="AC195" s="159">
        <v>25594</v>
      </c>
      <c r="AD195" s="159">
        <v>58541</v>
      </c>
      <c r="AE195" s="154"/>
      <c r="AF195" s="159">
        <v>58541</v>
      </c>
      <c r="AG195" s="154"/>
      <c r="AH195" s="154"/>
      <c r="AI195" s="159">
        <v>532140</v>
      </c>
      <c r="AJ195" s="159">
        <v>662781</v>
      </c>
      <c r="AK195" s="154"/>
      <c r="AL195" s="154"/>
      <c r="AM195" s="266" t="s">
        <v>10644</v>
      </c>
      <c r="AN195" t="e">
        <f t="shared" si="15"/>
        <v>#N/A</v>
      </c>
      <c r="AO195" t="e">
        <f t="shared" si="16"/>
        <v>#N/A</v>
      </c>
      <c r="AR195" s="230" t="str">
        <f t="shared" si="17"/>
        <v>Distribution Warehouse</v>
      </c>
    </row>
    <row r="196" spans="1:44" ht="52.5">
      <c r="A196" t="s">
        <v>10440</v>
      </c>
      <c r="B196" s="149">
        <v>210</v>
      </c>
      <c r="C196" t="s">
        <v>10441</v>
      </c>
      <c r="D196" s="243" t="s">
        <v>10442</v>
      </c>
      <c r="E196" t="s">
        <v>3966</v>
      </c>
      <c r="F196" t="s">
        <v>9942</v>
      </c>
      <c r="G196" t="s">
        <v>1911</v>
      </c>
      <c r="H196" s="243" t="s">
        <v>10443</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3" t="s">
        <v>10645</v>
      </c>
      <c r="AN196" t="e">
        <f t="shared" si="15"/>
        <v>#N/A</v>
      </c>
      <c r="AO196" t="e">
        <f t="shared" ref="AO196:AO197" si="18">IF(ISNA(AN196),NA(),AN196+ROW()/10000000)</f>
        <v>#N/A</v>
      </c>
      <c r="AR196" s="230" t="str">
        <f t="shared" si="17"/>
        <v>Industrial Flex Mall Building</v>
      </c>
    </row>
    <row r="197" spans="1:44" ht="52.5">
      <c r="A197" t="s">
        <v>10440</v>
      </c>
      <c r="B197" s="149">
        <v>210</v>
      </c>
      <c r="C197" t="s">
        <v>10441</v>
      </c>
      <c r="D197" s="243" t="s">
        <v>10442</v>
      </c>
      <c r="E197" t="s">
        <v>3966</v>
      </c>
      <c r="F197" t="s">
        <v>9942</v>
      </c>
      <c r="G197" t="s">
        <v>1911</v>
      </c>
      <c r="H197" s="243" t="s">
        <v>10443</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3" t="s">
        <v>10646</v>
      </c>
      <c r="AN197" t="e">
        <f t="shared" si="15"/>
        <v>#N/A</v>
      </c>
      <c r="AO197" t="e">
        <f t="shared" si="18"/>
        <v>#N/A</v>
      </c>
      <c r="AR197" s="230"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4A12-70C6-4E7C-849F-D5AFB1FE8158}">
  <sheetPr>
    <tabColor rgb="FFD97706"/>
  </sheetPr>
  <dimension ref="A1:AM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64062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100000000000001" customHeight="1">
      <c r="A1" s="575" t="s">
        <v>10647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c r="AI1" s="514"/>
      <c r="AJ1" s="514"/>
      <c r="AK1" s="514"/>
      <c r="AL1" s="514"/>
      <c r="AM1" s="514"/>
    </row>
    <row r="2" spans="1:39" ht="14.1" customHeight="1">
      <c r="A2" s="574" t="s">
        <v>10648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c r="AI2" s="514"/>
      <c r="AJ2" s="514"/>
      <c r="AK2" s="514"/>
      <c r="AL2" s="514"/>
      <c r="AM2" s="514"/>
    </row>
    <row r="3" spans="1:39" ht="32.1" customHeight="1">
      <c r="A3" s="237" t="s">
        <v>9927</v>
      </c>
      <c r="B3" s="229" t="s">
        <v>9928</v>
      </c>
      <c r="C3" s="237" t="s">
        <v>9929</v>
      </c>
      <c r="D3" s="267" t="s">
        <v>24</v>
      </c>
      <c r="E3" s="237" t="s">
        <v>7</v>
      </c>
      <c r="F3" s="237" t="s">
        <v>9930</v>
      </c>
      <c r="G3" s="237" t="s">
        <v>10449</v>
      </c>
      <c r="H3" s="267" t="s">
        <v>9931</v>
      </c>
      <c r="I3" s="237" t="s">
        <v>9932</v>
      </c>
      <c r="J3" s="237" t="s">
        <v>25</v>
      </c>
      <c r="K3" s="237" t="s">
        <v>26</v>
      </c>
      <c r="L3" s="237" t="s">
        <v>10450</v>
      </c>
      <c r="M3" s="237" t="s">
        <v>10451</v>
      </c>
      <c r="N3" s="237" t="s">
        <v>5855</v>
      </c>
      <c r="O3" s="237" t="s">
        <v>10452</v>
      </c>
      <c r="P3" s="237" t="s">
        <v>10453</v>
      </c>
      <c r="Q3" s="237" t="s">
        <v>10454</v>
      </c>
      <c r="R3" s="237" t="s">
        <v>10455</v>
      </c>
      <c r="S3" s="237" t="s">
        <v>10456</v>
      </c>
      <c r="T3" s="237" t="s">
        <v>10457</v>
      </c>
      <c r="U3" s="237" t="s">
        <v>10458</v>
      </c>
      <c r="V3" s="237" t="s">
        <v>10459</v>
      </c>
      <c r="W3" s="237" t="s">
        <v>10460</v>
      </c>
      <c r="X3" s="237" t="s">
        <v>10461</v>
      </c>
      <c r="Y3" s="237" t="s">
        <v>10462</v>
      </c>
      <c r="Z3" s="237" t="s">
        <v>10463</v>
      </c>
      <c r="AA3" s="237" t="s">
        <v>10464</v>
      </c>
      <c r="AB3" s="237" t="s">
        <v>10465</v>
      </c>
      <c r="AC3" s="237" t="s">
        <v>10466</v>
      </c>
      <c r="AD3" s="237" t="s">
        <v>10467</v>
      </c>
      <c r="AE3" s="237" t="s">
        <v>10468</v>
      </c>
      <c r="AF3" s="237" t="s">
        <v>10469</v>
      </c>
      <c r="AG3" s="237" t="s">
        <v>10470</v>
      </c>
      <c r="AH3" s="237" t="s">
        <v>10471</v>
      </c>
      <c r="AI3" s="237" t="s">
        <v>10472</v>
      </c>
      <c r="AJ3" s="237" t="s">
        <v>10473</v>
      </c>
      <c r="AK3" s="237" t="s">
        <v>5856</v>
      </c>
      <c r="AL3" s="237" t="s">
        <v>10474</v>
      </c>
      <c r="AM3" s="267" t="s">
        <v>1654</v>
      </c>
    </row>
    <row r="4" spans="1:39" ht="14.1" customHeight="1">
      <c r="A4" s="282" t="s">
        <v>9939</v>
      </c>
      <c r="B4" s="149">
        <v>407</v>
      </c>
      <c r="C4" s="282" t="s">
        <v>9940</v>
      </c>
      <c r="D4" s="283" t="s">
        <v>9941</v>
      </c>
      <c r="E4" s="282" t="s">
        <v>3642</v>
      </c>
      <c r="F4" s="282" t="s">
        <v>9942</v>
      </c>
      <c r="G4" s="282" t="s">
        <v>8499</v>
      </c>
      <c r="H4" s="283" t="s">
        <v>1136</v>
      </c>
      <c r="I4" s="284">
        <v>1988</v>
      </c>
      <c r="J4" s="284">
        <v>21000</v>
      </c>
      <c r="K4" s="284">
        <v>2021</v>
      </c>
      <c r="L4" s="285">
        <v>13.465</v>
      </c>
      <c r="M4" s="285">
        <v>0.3034</v>
      </c>
      <c r="N4" s="285">
        <v>13.7684</v>
      </c>
      <c r="O4" s="285">
        <v>0.23300000000000001</v>
      </c>
      <c r="P4" s="285">
        <v>0</v>
      </c>
      <c r="Q4" s="285">
        <v>5.45E-2</v>
      </c>
      <c r="R4" s="285">
        <v>0</v>
      </c>
      <c r="S4" s="285">
        <v>9.4999999999999998E-3</v>
      </c>
      <c r="T4" s="285">
        <v>0</v>
      </c>
      <c r="U4" s="285">
        <v>1.3299999999999999E-2</v>
      </c>
      <c r="V4" s="285">
        <v>4.0300000000000002E-2</v>
      </c>
      <c r="W4" s="285">
        <v>0.13919999999999999</v>
      </c>
      <c r="X4" s="285">
        <v>0</v>
      </c>
      <c r="Y4" s="285">
        <v>0.25669999999999998</v>
      </c>
      <c r="Z4" s="285">
        <v>0.31950000000000001</v>
      </c>
      <c r="AA4" s="285">
        <v>0.1845</v>
      </c>
      <c r="AB4" s="285">
        <v>4.1399999999999999E-2</v>
      </c>
      <c r="AC4" s="285">
        <v>0.54549999999999998</v>
      </c>
      <c r="AD4" s="285">
        <v>0.1593</v>
      </c>
      <c r="AE4" s="285">
        <v>3.09E-2</v>
      </c>
      <c r="AF4" s="285">
        <v>0.19009999999999999</v>
      </c>
      <c r="AG4" s="285">
        <v>3.6299999999999999E-2</v>
      </c>
      <c r="AH4" s="285">
        <v>1.2625999999999999</v>
      </c>
      <c r="AI4" s="285">
        <v>2.2982999999999998</v>
      </c>
      <c r="AJ4" s="285">
        <v>3.5609000000000002</v>
      </c>
      <c r="AK4" s="285">
        <v>10.2075</v>
      </c>
      <c r="AL4" s="285">
        <v>0.1258</v>
      </c>
      <c r="AM4" s="283" t="s">
        <v>10475</v>
      </c>
    </row>
    <row r="5" spans="1:39" ht="14.1" customHeight="1">
      <c r="A5" s="150" t="s">
        <v>9939</v>
      </c>
      <c r="B5" s="149">
        <v>407</v>
      </c>
      <c r="C5" s="150" t="s">
        <v>9940</v>
      </c>
      <c r="D5" s="266" t="s">
        <v>9941</v>
      </c>
      <c r="E5" s="150" t="s">
        <v>3642</v>
      </c>
      <c r="F5" s="150" t="s">
        <v>9942</v>
      </c>
      <c r="G5" s="150" t="s">
        <v>8499</v>
      </c>
      <c r="H5" s="266" t="s">
        <v>1136</v>
      </c>
      <c r="I5" s="160">
        <v>1988</v>
      </c>
      <c r="J5" s="160">
        <v>21000</v>
      </c>
      <c r="K5" s="160">
        <v>2022</v>
      </c>
      <c r="L5" s="161">
        <v>12.190099999999999</v>
      </c>
      <c r="M5" s="161">
        <v>0.1429</v>
      </c>
      <c r="N5" s="161">
        <v>12.333</v>
      </c>
      <c r="O5" s="161">
        <v>0.25119999999999998</v>
      </c>
      <c r="P5" s="161">
        <v>0</v>
      </c>
      <c r="Q5" s="161">
        <v>0.19600000000000001</v>
      </c>
      <c r="R5" s="161">
        <v>2.9100000000000001E-2</v>
      </c>
      <c r="S5" s="161">
        <v>0.1111</v>
      </c>
      <c r="T5" s="161">
        <v>0</v>
      </c>
      <c r="U5" s="161">
        <v>0</v>
      </c>
      <c r="V5" s="161">
        <v>0</v>
      </c>
      <c r="W5" s="161">
        <v>3.7100000000000001E-2</v>
      </c>
      <c r="X5" s="161">
        <v>0</v>
      </c>
      <c r="Y5" s="161">
        <v>0.37330000000000002</v>
      </c>
      <c r="Z5" s="161">
        <v>0.39539999999999997</v>
      </c>
      <c r="AA5" s="161">
        <v>0.20380000000000001</v>
      </c>
      <c r="AB5" s="161">
        <v>0</v>
      </c>
      <c r="AC5" s="161">
        <v>0.59919999999999995</v>
      </c>
      <c r="AD5" s="161">
        <v>0.1449</v>
      </c>
      <c r="AE5" s="161">
        <v>4.2299999999999997E-2</v>
      </c>
      <c r="AF5" s="161">
        <v>0.18720000000000001</v>
      </c>
      <c r="AG5" s="161">
        <v>3.1399999999999997E-2</v>
      </c>
      <c r="AH5" s="161">
        <v>1.4422999999999999</v>
      </c>
      <c r="AI5" s="161">
        <v>3.1478000000000002</v>
      </c>
      <c r="AJ5" s="161">
        <v>4.5902000000000003</v>
      </c>
      <c r="AK5" s="161">
        <v>7.7427999999999999</v>
      </c>
      <c r="AL5" s="161">
        <v>0.27579999999999999</v>
      </c>
      <c r="AM5" s="266" t="s">
        <v>10476</v>
      </c>
    </row>
    <row r="6" spans="1:39" ht="14.1" customHeight="1">
      <c r="A6" s="282" t="s">
        <v>9939</v>
      </c>
      <c r="B6" s="149">
        <v>407</v>
      </c>
      <c r="C6" s="282" t="s">
        <v>9940</v>
      </c>
      <c r="D6" s="283" t="s">
        <v>9941</v>
      </c>
      <c r="E6" s="282" t="s">
        <v>3642</v>
      </c>
      <c r="F6" s="282" t="s">
        <v>9942</v>
      </c>
      <c r="G6" s="282" t="s">
        <v>8499</v>
      </c>
      <c r="H6" s="283" t="s">
        <v>1136</v>
      </c>
      <c r="I6" s="284">
        <v>1988</v>
      </c>
      <c r="J6" s="284">
        <v>21000</v>
      </c>
      <c r="K6" s="284">
        <v>2023</v>
      </c>
      <c r="L6" s="285">
        <v>12.2</v>
      </c>
      <c r="M6" s="285">
        <v>0</v>
      </c>
      <c r="N6" s="285">
        <v>12.2</v>
      </c>
      <c r="O6" s="285">
        <v>0.27939999999999998</v>
      </c>
      <c r="P6" s="285">
        <v>3.8100000000000002E-2</v>
      </c>
      <c r="Q6" s="285">
        <v>5.21E-2</v>
      </c>
      <c r="R6" s="285">
        <v>4.7100000000000003E-2</v>
      </c>
      <c r="S6" s="285">
        <v>0</v>
      </c>
      <c r="T6" s="285">
        <v>0.18429999999999999</v>
      </c>
      <c r="U6" s="285">
        <v>2.29E-2</v>
      </c>
      <c r="V6" s="285">
        <v>2.9399999999999999E-2</v>
      </c>
      <c r="W6" s="285">
        <v>0</v>
      </c>
      <c r="X6" s="285">
        <v>2.29E-2</v>
      </c>
      <c r="Y6" s="285">
        <v>0.35870000000000002</v>
      </c>
      <c r="Z6" s="285">
        <v>0.45529999999999998</v>
      </c>
      <c r="AA6" s="285">
        <v>0.1048</v>
      </c>
      <c r="AB6" s="285">
        <v>0.1333</v>
      </c>
      <c r="AC6" s="285">
        <v>0.69340000000000002</v>
      </c>
      <c r="AD6" s="285">
        <v>0.3387</v>
      </c>
      <c r="AE6" s="285">
        <v>3.6200000000000003E-2</v>
      </c>
      <c r="AF6" s="285">
        <v>0.37490000000000001</v>
      </c>
      <c r="AG6" s="285">
        <v>2.8500000000000001E-2</v>
      </c>
      <c r="AH6" s="285">
        <v>1.5216000000000001</v>
      </c>
      <c r="AI6" s="285">
        <v>2.8565</v>
      </c>
      <c r="AJ6" s="285">
        <v>4.3780000000000001</v>
      </c>
      <c r="AK6" s="285">
        <v>7.8220000000000001</v>
      </c>
      <c r="AL6" s="285">
        <v>0</v>
      </c>
      <c r="AM6" s="286"/>
    </row>
    <row r="7" spans="1:39" ht="14.1" customHeight="1">
      <c r="A7" s="150" t="s">
        <v>9939</v>
      </c>
      <c r="B7" s="149">
        <v>407</v>
      </c>
      <c r="C7" s="150" t="s">
        <v>9940</v>
      </c>
      <c r="D7" s="266" t="s">
        <v>9941</v>
      </c>
      <c r="E7" s="150" t="s">
        <v>3642</v>
      </c>
      <c r="F7" s="150" t="s">
        <v>9942</v>
      </c>
      <c r="G7" s="150" t="s">
        <v>8499</v>
      </c>
      <c r="H7" s="266" t="s">
        <v>1136</v>
      </c>
      <c r="I7" s="160">
        <v>1988</v>
      </c>
      <c r="J7" s="160">
        <v>21000</v>
      </c>
      <c r="K7" s="160">
        <v>2024</v>
      </c>
      <c r="L7" s="161">
        <v>10.93</v>
      </c>
      <c r="M7" s="161">
        <v>0</v>
      </c>
      <c r="N7" s="161">
        <v>10.93</v>
      </c>
      <c r="O7" s="161">
        <v>8.7400000000000005E-2</v>
      </c>
      <c r="P7" s="161">
        <v>7.4800000000000005E-2</v>
      </c>
      <c r="Q7" s="161">
        <v>0</v>
      </c>
      <c r="R7" s="161">
        <v>0</v>
      </c>
      <c r="S7" s="161">
        <v>0.38100000000000001</v>
      </c>
      <c r="T7" s="161">
        <v>0.3952</v>
      </c>
      <c r="U7" s="161">
        <v>0</v>
      </c>
      <c r="V7" s="161">
        <v>8.3000000000000001E-3</v>
      </c>
      <c r="W7" s="161">
        <v>0</v>
      </c>
      <c r="X7" s="161">
        <v>3.9E-2</v>
      </c>
      <c r="Y7" s="161">
        <v>0.8236</v>
      </c>
      <c r="Z7" s="161">
        <v>0.40479999999999999</v>
      </c>
      <c r="AA7" s="161">
        <v>0.1595</v>
      </c>
      <c r="AB7" s="161">
        <v>0.05</v>
      </c>
      <c r="AC7" s="161">
        <v>0.61429999999999996</v>
      </c>
      <c r="AD7" s="161">
        <v>0.1638</v>
      </c>
      <c r="AE7" s="161">
        <v>3.39E-2</v>
      </c>
      <c r="AF7" s="161">
        <v>0.19769999999999999</v>
      </c>
      <c r="AG7" s="161">
        <v>2.86E-2</v>
      </c>
      <c r="AH7" s="161">
        <v>1.8167</v>
      </c>
      <c r="AI7" s="161">
        <v>3.3048000000000002</v>
      </c>
      <c r="AJ7" s="161">
        <v>5.1215999999999999</v>
      </c>
      <c r="AK7" s="161">
        <v>5.8085000000000004</v>
      </c>
      <c r="AL7" s="161">
        <v>0</v>
      </c>
      <c r="AM7" s="162"/>
    </row>
    <row r="8" spans="1:39" ht="14.1" customHeight="1">
      <c r="A8" s="238" t="s">
        <v>9948</v>
      </c>
      <c r="B8" s="149">
        <v>344</v>
      </c>
      <c r="C8" s="238" t="s">
        <v>9949</v>
      </c>
      <c r="D8" s="268" t="s">
        <v>9950</v>
      </c>
      <c r="E8" s="238" t="s">
        <v>8758</v>
      </c>
      <c r="F8" s="238" t="s">
        <v>9942</v>
      </c>
      <c r="G8" s="238" t="s">
        <v>9951</v>
      </c>
      <c r="H8" s="268" t="s">
        <v>9952</v>
      </c>
      <c r="I8" s="239"/>
      <c r="J8" s="239"/>
      <c r="K8" s="239">
        <v>2023</v>
      </c>
      <c r="L8" s="238"/>
      <c r="M8" s="238"/>
      <c r="N8" s="240">
        <v>258808</v>
      </c>
      <c r="O8" s="240">
        <v>3292</v>
      </c>
      <c r="P8" s="240">
        <v>18539</v>
      </c>
      <c r="Q8" s="238"/>
      <c r="R8" s="238"/>
      <c r="S8" s="238"/>
      <c r="T8" s="238"/>
      <c r="U8" s="238"/>
      <c r="V8" s="238"/>
      <c r="W8" s="238"/>
      <c r="X8" s="240">
        <v>24750</v>
      </c>
      <c r="Y8" s="240">
        <v>24750</v>
      </c>
      <c r="Z8" s="238"/>
      <c r="AA8" s="240">
        <v>13331</v>
      </c>
      <c r="AB8" s="238"/>
      <c r="AC8" s="240">
        <v>13331</v>
      </c>
      <c r="AD8" s="238"/>
      <c r="AE8" s="238"/>
      <c r="AF8" s="240">
        <v>3990</v>
      </c>
      <c r="AG8" s="240">
        <v>11264</v>
      </c>
      <c r="AH8" s="240">
        <v>75327</v>
      </c>
      <c r="AI8" s="240">
        <v>51707</v>
      </c>
      <c r="AJ8" s="240">
        <v>127034</v>
      </c>
      <c r="AK8" s="240">
        <v>131774</v>
      </c>
      <c r="AL8" s="238"/>
      <c r="AM8" s="268" t="s">
        <v>10649</v>
      </c>
    </row>
    <row r="9" spans="1:39" ht="14.1" customHeight="1">
      <c r="A9" s="238" t="s">
        <v>9948</v>
      </c>
      <c r="B9" s="149">
        <v>344</v>
      </c>
      <c r="C9" s="238" t="s">
        <v>9949</v>
      </c>
      <c r="D9" s="268" t="s">
        <v>9950</v>
      </c>
      <c r="E9" s="238" t="s">
        <v>8758</v>
      </c>
      <c r="F9" s="238" t="s">
        <v>9942</v>
      </c>
      <c r="G9" s="238" t="s">
        <v>9951</v>
      </c>
      <c r="H9" s="268" t="s">
        <v>9952</v>
      </c>
      <c r="I9" s="239"/>
      <c r="J9" s="239"/>
      <c r="K9" s="239">
        <v>2024</v>
      </c>
      <c r="L9" s="238"/>
      <c r="M9" s="238"/>
      <c r="N9" s="240">
        <v>264959</v>
      </c>
      <c r="O9" s="240">
        <v>7442</v>
      </c>
      <c r="P9" s="240">
        <v>18228</v>
      </c>
      <c r="Q9" s="238"/>
      <c r="R9" s="238"/>
      <c r="S9" s="238"/>
      <c r="T9" s="238"/>
      <c r="U9" s="238"/>
      <c r="V9" s="238"/>
      <c r="W9" s="238"/>
      <c r="X9" s="240">
        <v>37394</v>
      </c>
      <c r="Y9" s="240">
        <v>37394</v>
      </c>
      <c r="Z9" s="238"/>
      <c r="AA9" s="240">
        <v>11888</v>
      </c>
      <c r="AB9" s="238"/>
      <c r="AC9" s="240">
        <v>11888</v>
      </c>
      <c r="AD9" s="238"/>
      <c r="AE9" s="238"/>
      <c r="AF9" s="240">
        <v>5290</v>
      </c>
      <c r="AG9" s="240">
        <v>13341</v>
      </c>
      <c r="AH9" s="240">
        <v>93583</v>
      </c>
      <c r="AI9" s="240">
        <v>44649</v>
      </c>
      <c r="AJ9" s="240">
        <v>138232</v>
      </c>
      <c r="AK9" s="240">
        <v>126727</v>
      </c>
      <c r="AL9" s="238"/>
      <c r="AM9" s="268" t="s">
        <v>10650</v>
      </c>
    </row>
    <row r="10" spans="1:39" ht="14.1" customHeight="1">
      <c r="A10" s="238" t="s">
        <v>9956</v>
      </c>
      <c r="B10" s="149">
        <v>344</v>
      </c>
      <c r="C10" s="238" t="s">
        <v>9957</v>
      </c>
      <c r="D10" s="268" t="s">
        <v>10479</v>
      </c>
      <c r="E10" s="238" t="s">
        <v>3629</v>
      </c>
      <c r="F10" s="238" t="s">
        <v>9942</v>
      </c>
      <c r="G10" s="238" t="s">
        <v>9959</v>
      </c>
      <c r="H10" s="268" t="s">
        <v>9960</v>
      </c>
      <c r="I10" s="239"/>
      <c r="J10" s="239">
        <v>49479</v>
      </c>
      <c r="K10" s="239">
        <v>2023</v>
      </c>
      <c r="L10" s="241">
        <v>20.572900000000001</v>
      </c>
      <c r="M10" s="241">
        <v>1.8912</v>
      </c>
      <c r="N10" s="241">
        <v>22.464099999999998</v>
      </c>
      <c r="O10" s="238"/>
      <c r="P10" s="238"/>
      <c r="Q10" s="238"/>
      <c r="R10" s="238"/>
      <c r="S10" s="238"/>
      <c r="T10" s="238"/>
      <c r="U10" s="238"/>
      <c r="V10" s="238"/>
      <c r="W10" s="238"/>
      <c r="X10" s="238"/>
      <c r="Y10" s="238"/>
      <c r="Z10" s="238"/>
      <c r="AA10" s="238"/>
      <c r="AB10" s="238"/>
      <c r="AC10" s="238"/>
      <c r="AD10" s="238"/>
      <c r="AE10" s="238"/>
      <c r="AF10" s="238"/>
      <c r="AG10" s="238"/>
      <c r="AH10" s="241">
        <v>9.1651000000000007</v>
      </c>
      <c r="AI10" s="241">
        <v>3.7364000000000002</v>
      </c>
      <c r="AJ10" s="241">
        <v>12.9015</v>
      </c>
      <c r="AK10" s="241">
        <v>9.5625999999999998</v>
      </c>
      <c r="AL10" s="238"/>
      <c r="AM10" s="268" t="s">
        <v>10480</v>
      </c>
    </row>
    <row r="11" spans="1:39" ht="14.1" customHeight="1">
      <c r="A11" s="238" t="s">
        <v>9956</v>
      </c>
      <c r="B11" s="149">
        <v>344</v>
      </c>
      <c r="C11" s="238" t="s">
        <v>9957</v>
      </c>
      <c r="D11" s="268" t="s">
        <v>10479</v>
      </c>
      <c r="E11" s="238" t="s">
        <v>3629</v>
      </c>
      <c r="F11" s="238" t="s">
        <v>9942</v>
      </c>
      <c r="G11" s="238" t="s">
        <v>9959</v>
      </c>
      <c r="H11" s="268" t="s">
        <v>9960</v>
      </c>
      <c r="I11" s="239"/>
      <c r="J11" s="239">
        <v>49479</v>
      </c>
      <c r="K11" s="239">
        <v>2024</v>
      </c>
      <c r="L11" s="241">
        <v>19.079599999999999</v>
      </c>
      <c r="M11" s="241">
        <v>1.5757000000000001</v>
      </c>
      <c r="N11" s="241">
        <v>20.6553</v>
      </c>
      <c r="O11" s="238"/>
      <c r="P11" s="238"/>
      <c r="Q11" s="238"/>
      <c r="R11" s="238"/>
      <c r="S11" s="238"/>
      <c r="T11" s="238"/>
      <c r="U11" s="238"/>
      <c r="V11" s="238"/>
      <c r="W11" s="238"/>
      <c r="X11" s="238"/>
      <c r="Y11" s="238"/>
      <c r="Z11" s="238"/>
      <c r="AA11" s="238"/>
      <c r="AB11" s="238"/>
      <c r="AC11" s="238"/>
      <c r="AD11" s="238"/>
      <c r="AE11" s="238"/>
      <c r="AF11" s="238"/>
      <c r="AG11" s="238"/>
      <c r="AH11" s="241">
        <v>9.8675999999999995</v>
      </c>
      <c r="AI11" s="241">
        <v>3.6292</v>
      </c>
      <c r="AJ11" s="241">
        <v>13.4968</v>
      </c>
      <c r="AK11" s="241">
        <v>7.1585000000000001</v>
      </c>
      <c r="AL11" s="238"/>
      <c r="AM11" s="268" t="s">
        <v>10481</v>
      </c>
    </row>
    <row r="12" spans="1:39" ht="14.1" customHeight="1">
      <c r="A12" s="282" t="s">
        <v>9964</v>
      </c>
      <c r="B12" s="149">
        <v>412</v>
      </c>
      <c r="C12" s="282" t="s">
        <v>9965</v>
      </c>
      <c r="D12" s="283" t="s">
        <v>9966</v>
      </c>
      <c r="E12" s="282" t="s">
        <v>8758</v>
      </c>
      <c r="F12" s="282" t="s">
        <v>9942</v>
      </c>
      <c r="G12" s="282" t="s">
        <v>9967</v>
      </c>
      <c r="H12" s="283" t="s">
        <v>9968</v>
      </c>
      <c r="I12" s="284"/>
      <c r="J12" s="284">
        <v>65850</v>
      </c>
      <c r="K12" s="284">
        <v>2023</v>
      </c>
      <c r="L12" s="282"/>
      <c r="M12" s="282"/>
      <c r="N12" s="285">
        <v>8.6677999999999997</v>
      </c>
      <c r="O12" s="282"/>
      <c r="P12" s="282"/>
      <c r="Q12" s="282"/>
      <c r="R12" s="282"/>
      <c r="S12" s="282"/>
      <c r="T12" s="282"/>
      <c r="U12" s="282"/>
      <c r="V12" s="282"/>
      <c r="W12" s="282"/>
      <c r="X12" s="282"/>
      <c r="Y12" s="282"/>
      <c r="Z12" s="282"/>
      <c r="AA12" s="282"/>
      <c r="AB12" s="282"/>
      <c r="AC12" s="282"/>
      <c r="AD12" s="282"/>
      <c r="AE12" s="282"/>
      <c r="AF12" s="282"/>
      <c r="AG12" s="282"/>
      <c r="AH12" s="282"/>
      <c r="AI12" s="285">
        <v>1.1237999999999999</v>
      </c>
      <c r="AJ12" s="285">
        <v>4.0991999999999997</v>
      </c>
      <c r="AK12" s="285">
        <v>4.5686</v>
      </c>
      <c r="AL12" s="282"/>
      <c r="AM12" s="283" t="s">
        <v>10482</v>
      </c>
    </row>
    <row r="13" spans="1:39" ht="14.1" customHeight="1">
      <c r="A13" s="150" t="s">
        <v>9964</v>
      </c>
      <c r="B13" s="149">
        <v>412</v>
      </c>
      <c r="C13" s="150" t="s">
        <v>9965</v>
      </c>
      <c r="D13" s="266" t="s">
        <v>9966</v>
      </c>
      <c r="E13" s="150" t="s">
        <v>8758</v>
      </c>
      <c r="F13" s="150" t="s">
        <v>9942</v>
      </c>
      <c r="G13" s="150" t="s">
        <v>9967</v>
      </c>
      <c r="H13" s="266" t="s">
        <v>9968</v>
      </c>
      <c r="I13" s="160"/>
      <c r="J13" s="160">
        <v>65850</v>
      </c>
      <c r="K13" s="160">
        <v>2024</v>
      </c>
      <c r="L13" s="150"/>
      <c r="M13" s="150"/>
      <c r="N13" s="161">
        <v>8.9266000000000005</v>
      </c>
      <c r="O13" s="161">
        <v>0.77790000000000004</v>
      </c>
      <c r="P13" s="150"/>
      <c r="Q13" s="150"/>
      <c r="R13" s="150"/>
      <c r="S13" s="150"/>
      <c r="T13" s="150"/>
      <c r="U13" s="150"/>
      <c r="V13" s="150"/>
      <c r="W13" s="150"/>
      <c r="X13" s="161">
        <v>0.43919999999999998</v>
      </c>
      <c r="Y13" s="161">
        <v>0.43919999999999998</v>
      </c>
      <c r="Z13" s="161">
        <v>0.26669999999999999</v>
      </c>
      <c r="AA13" s="161">
        <v>3.04E-2</v>
      </c>
      <c r="AB13" s="161">
        <v>5.2900000000000003E-2</v>
      </c>
      <c r="AC13" s="161">
        <v>0.35</v>
      </c>
      <c r="AD13" s="161">
        <v>0.1958</v>
      </c>
      <c r="AE13" s="161">
        <v>0.1081</v>
      </c>
      <c r="AF13" s="161">
        <v>0.3039</v>
      </c>
      <c r="AG13" s="161">
        <v>0.16669999999999999</v>
      </c>
      <c r="AH13" s="161">
        <v>2.4196</v>
      </c>
      <c r="AI13" s="161">
        <v>1.6015999999999999</v>
      </c>
      <c r="AJ13" s="161">
        <v>4.0212000000000003</v>
      </c>
      <c r="AK13" s="161">
        <v>4.9054000000000002</v>
      </c>
      <c r="AL13" s="150"/>
      <c r="AM13" s="266" t="s">
        <v>10483</v>
      </c>
    </row>
    <row r="14" spans="1:39" ht="14.1" customHeight="1">
      <c r="A14" s="238" t="s">
        <v>9972</v>
      </c>
      <c r="B14" s="149">
        <v>344</v>
      </c>
      <c r="C14" s="238" t="s">
        <v>3588</v>
      </c>
      <c r="D14" s="268" t="s">
        <v>9973</v>
      </c>
      <c r="E14" s="238" t="s">
        <v>3590</v>
      </c>
      <c r="F14" s="238" t="s">
        <v>9942</v>
      </c>
      <c r="G14" s="238" t="s">
        <v>9959</v>
      </c>
      <c r="H14" s="268" t="s">
        <v>10484</v>
      </c>
      <c r="I14" s="239"/>
      <c r="J14" s="239">
        <v>91646</v>
      </c>
      <c r="K14" s="239">
        <v>2023</v>
      </c>
      <c r="L14" s="241">
        <v>21.953600000000002</v>
      </c>
      <c r="M14" s="241">
        <v>2.4799000000000002</v>
      </c>
      <c r="N14" s="241">
        <v>24.433499999999999</v>
      </c>
      <c r="O14" s="241">
        <v>0.26650000000000001</v>
      </c>
      <c r="P14" s="241">
        <v>1.4404999999999999</v>
      </c>
      <c r="Q14" s="238"/>
      <c r="R14" s="238"/>
      <c r="S14" s="238"/>
      <c r="T14" s="238"/>
      <c r="U14" s="238"/>
      <c r="V14" s="238"/>
      <c r="W14" s="238"/>
      <c r="X14" s="241">
        <v>1.5771999999999999</v>
      </c>
      <c r="Y14" s="241">
        <v>1.5771999999999999</v>
      </c>
      <c r="Z14" s="238"/>
      <c r="AA14" s="241">
        <v>1.1869000000000001</v>
      </c>
      <c r="AB14" s="241">
        <v>0.71120000000000005</v>
      </c>
      <c r="AC14" s="241">
        <v>2.9824999999999999</v>
      </c>
      <c r="AD14" s="241">
        <v>0.16109999999999999</v>
      </c>
      <c r="AE14" s="241">
        <v>2.4615</v>
      </c>
      <c r="AF14" s="241">
        <v>2.6225999999999998</v>
      </c>
      <c r="AG14" s="241">
        <v>0.35930000000000001</v>
      </c>
      <c r="AH14" s="241">
        <v>9.2291000000000007</v>
      </c>
      <c r="AI14" s="241">
        <v>4.0591999999999997</v>
      </c>
      <c r="AJ14" s="241">
        <v>13.288399999999999</v>
      </c>
      <c r="AK14" s="241">
        <v>11.145099999999999</v>
      </c>
      <c r="AL14" s="238"/>
      <c r="AM14" s="268" t="s">
        <v>10485</v>
      </c>
    </row>
    <row r="15" spans="1:39" ht="14.1" customHeight="1">
      <c r="A15" s="238" t="s">
        <v>9972</v>
      </c>
      <c r="B15" s="149">
        <v>344</v>
      </c>
      <c r="C15" s="238" t="s">
        <v>3588</v>
      </c>
      <c r="D15" s="268" t="s">
        <v>9973</v>
      </c>
      <c r="E15" s="238" t="s">
        <v>3590</v>
      </c>
      <c r="F15" s="238" t="s">
        <v>9942</v>
      </c>
      <c r="G15" s="238" t="s">
        <v>9959</v>
      </c>
      <c r="H15" s="268" t="s">
        <v>10484</v>
      </c>
      <c r="I15" s="239"/>
      <c r="J15" s="239">
        <v>91646</v>
      </c>
      <c r="K15" s="239">
        <v>2024</v>
      </c>
      <c r="L15" s="241">
        <v>22.396599999999999</v>
      </c>
      <c r="M15" s="241">
        <v>2.9417</v>
      </c>
      <c r="N15" s="241">
        <v>25.3383</v>
      </c>
      <c r="O15" s="241">
        <v>0.26479999999999998</v>
      </c>
      <c r="P15" s="241">
        <v>1.6305000000000001</v>
      </c>
      <c r="Q15" s="238"/>
      <c r="R15" s="238"/>
      <c r="S15" s="238"/>
      <c r="T15" s="238"/>
      <c r="U15" s="238"/>
      <c r="V15" s="238"/>
      <c r="W15" s="238"/>
      <c r="X15" s="241">
        <v>1.6417999999999999</v>
      </c>
      <c r="Y15" s="241">
        <v>1.6417999999999999</v>
      </c>
      <c r="Z15" s="238"/>
      <c r="AA15" s="241">
        <v>1.1913</v>
      </c>
      <c r="AB15" s="238"/>
      <c r="AC15" s="241">
        <v>2.8658000000000001</v>
      </c>
      <c r="AD15" s="238"/>
      <c r="AE15" s="238"/>
      <c r="AF15" s="241">
        <v>2.5333999999999999</v>
      </c>
      <c r="AG15" s="241">
        <v>0.4083</v>
      </c>
      <c r="AH15" s="241">
        <v>9.3445</v>
      </c>
      <c r="AI15" s="241">
        <v>4.5128000000000004</v>
      </c>
      <c r="AJ15" s="241">
        <v>13.8574</v>
      </c>
      <c r="AK15" s="241">
        <v>11.4809</v>
      </c>
      <c r="AL15" s="238"/>
      <c r="AM15" s="268" t="s">
        <v>10486</v>
      </c>
    </row>
    <row r="16" spans="1:39" ht="14.1" customHeight="1">
      <c r="A16" s="238" t="s">
        <v>9978</v>
      </c>
      <c r="B16" s="149">
        <v>210</v>
      </c>
      <c r="C16" s="238" t="s">
        <v>9979</v>
      </c>
      <c r="D16" s="268" t="s">
        <v>9980</v>
      </c>
      <c r="E16" s="238" t="s">
        <v>3629</v>
      </c>
      <c r="F16" s="238" t="s">
        <v>9942</v>
      </c>
      <c r="G16" s="238" t="s">
        <v>9981</v>
      </c>
      <c r="H16" s="268" t="s">
        <v>9952</v>
      </c>
      <c r="I16" s="239"/>
      <c r="J16" s="239">
        <v>37078</v>
      </c>
      <c r="K16" s="239">
        <v>2020</v>
      </c>
      <c r="L16" s="238"/>
      <c r="M16" s="238"/>
      <c r="N16" s="238"/>
      <c r="O16" s="241">
        <v>0.15579999999999999</v>
      </c>
      <c r="P16" s="241">
        <v>0.52590000000000003</v>
      </c>
      <c r="Q16" s="238"/>
      <c r="R16" s="238"/>
      <c r="S16" s="238"/>
      <c r="T16" s="238"/>
      <c r="U16" s="238"/>
      <c r="V16" s="238"/>
      <c r="W16" s="238"/>
      <c r="X16" s="238"/>
      <c r="Y16" s="238"/>
      <c r="Z16" s="238"/>
      <c r="AA16" s="238"/>
      <c r="AB16" s="238"/>
      <c r="AC16" s="241">
        <v>3.6055999999999999</v>
      </c>
      <c r="AD16" s="238"/>
      <c r="AE16" s="238"/>
      <c r="AF16" s="241">
        <v>3.1372</v>
      </c>
      <c r="AG16" s="238"/>
      <c r="AH16" s="241">
        <v>7.4245000000000001</v>
      </c>
      <c r="AI16" s="241">
        <v>2.3923999999999999</v>
      </c>
      <c r="AJ16" s="241">
        <v>9.8169000000000004</v>
      </c>
      <c r="AK16" s="238"/>
      <c r="AL16" s="238"/>
      <c r="AM16" s="268" t="s">
        <v>10487</v>
      </c>
    </row>
    <row r="17" spans="1:39" ht="14.1" customHeight="1">
      <c r="A17" s="238" t="s">
        <v>9978</v>
      </c>
      <c r="B17" s="149">
        <v>210</v>
      </c>
      <c r="C17" s="238" t="s">
        <v>9979</v>
      </c>
      <c r="D17" s="268" t="s">
        <v>9980</v>
      </c>
      <c r="E17" s="238" t="s">
        <v>3629</v>
      </c>
      <c r="F17" s="238" t="s">
        <v>9942</v>
      </c>
      <c r="G17" s="238" t="s">
        <v>9981</v>
      </c>
      <c r="H17" s="268" t="s">
        <v>9952</v>
      </c>
      <c r="I17" s="239"/>
      <c r="J17" s="239">
        <v>37078</v>
      </c>
      <c r="K17" s="239">
        <v>2021</v>
      </c>
      <c r="L17" s="238"/>
      <c r="M17" s="238"/>
      <c r="N17" s="238"/>
      <c r="O17" s="241">
        <v>0.18410000000000001</v>
      </c>
      <c r="P17" s="241">
        <v>0.48549999999999999</v>
      </c>
      <c r="Q17" s="238"/>
      <c r="R17" s="238"/>
      <c r="S17" s="238"/>
      <c r="T17" s="238"/>
      <c r="U17" s="238"/>
      <c r="V17" s="238"/>
      <c r="W17" s="238"/>
      <c r="X17" s="238"/>
      <c r="Y17" s="238"/>
      <c r="Z17" s="238"/>
      <c r="AA17" s="238"/>
      <c r="AB17" s="238"/>
      <c r="AC17" s="241">
        <v>2.8189000000000002</v>
      </c>
      <c r="AD17" s="238"/>
      <c r="AE17" s="238"/>
      <c r="AF17" s="241">
        <v>2.9359000000000002</v>
      </c>
      <c r="AG17" s="238"/>
      <c r="AH17" s="241">
        <v>6.4242999999999997</v>
      </c>
      <c r="AI17" s="241">
        <v>2.2709000000000001</v>
      </c>
      <c r="AJ17" s="241">
        <v>8.6951999999999998</v>
      </c>
      <c r="AK17" s="238"/>
      <c r="AL17" s="238"/>
      <c r="AM17" s="268" t="s">
        <v>10488</v>
      </c>
    </row>
    <row r="18" spans="1:39" ht="14.1" customHeight="1">
      <c r="A18" s="238" t="s">
        <v>9978</v>
      </c>
      <c r="B18" s="149">
        <v>210</v>
      </c>
      <c r="C18" s="238" t="s">
        <v>9979</v>
      </c>
      <c r="D18" s="268" t="s">
        <v>9980</v>
      </c>
      <c r="E18" s="238" t="s">
        <v>3629</v>
      </c>
      <c r="F18" s="238" t="s">
        <v>9942</v>
      </c>
      <c r="G18" s="238" t="s">
        <v>9981</v>
      </c>
      <c r="H18" s="268" t="s">
        <v>9952</v>
      </c>
      <c r="I18" s="239"/>
      <c r="J18" s="239">
        <v>37078</v>
      </c>
      <c r="K18" s="239">
        <v>2022</v>
      </c>
      <c r="L18" s="238"/>
      <c r="M18" s="238"/>
      <c r="N18" s="238"/>
      <c r="O18" s="241">
        <v>0.2122</v>
      </c>
      <c r="P18" s="241">
        <v>0.56510000000000005</v>
      </c>
      <c r="Q18" s="238"/>
      <c r="R18" s="238"/>
      <c r="S18" s="238"/>
      <c r="T18" s="238"/>
      <c r="U18" s="238"/>
      <c r="V18" s="238"/>
      <c r="W18" s="238"/>
      <c r="X18" s="238"/>
      <c r="Y18" s="238"/>
      <c r="Z18" s="238"/>
      <c r="AA18" s="238"/>
      <c r="AB18" s="238"/>
      <c r="AC18" s="241">
        <v>3.0261</v>
      </c>
      <c r="AD18" s="238"/>
      <c r="AE18" s="238"/>
      <c r="AF18" s="241">
        <v>3.0198</v>
      </c>
      <c r="AG18" s="238"/>
      <c r="AH18" s="241">
        <v>6.8231000000000002</v>
      </c>
      <c r="AI18" s="241">
        <v>3.6987000000000001</v>
      </c>
      <c r="AJ18" s="241">
        <v>10.5219</v>
      </c>
      <c r="AK18" s="238"/>
      <c r="AL18" s="238"/>
      <c r="AM18" s="268" t="s">
        <v>10489</v>
      </c>
    </row>
    <row r="19" spans="1:39" ht="14.1" customHeight="1">
      <c r="A19" s="238" t="s">
        <v>9978</v>
      </c>
      <c r="B19" s="149">
        <v>210</v>
      </c>
      <c r="C19" s="238" t="s">
        <v>9979</v>
      </c>
      <c r="D19" s="268" t="s">
        <v>9980</v>
      </c>
      <c r="E19" s="238" t="s">
        <v>3629</v>
      </c>
      <c r="F19" s="238" t="s">
        <v>9942</v>
      </c>
      <c r="G19" s="238" t="s">
        <v>9981</v>
      </c>
      <c r="H19" s="268" t="s">
        <v>9952</v>
      </c>
      <c r="I19" s="239"/>
      <c r="J19" s="239">
        <v>37078</v>
      </c>
      <c r="K19" s="239">
        <v>2023</v>
      </c>
      <c r="L19" s="238"/>
      <c r="M19" s="238"/>
      <c r="N19" s="238"/>
      <c r="O19" s="241">
        <v>0.2334</v>
      </c>
      <c r="P19" s="241">
        <v>0.48549999999999999</v>
      </c>
      <c r="Q19" s="238"/>
      <c r="R19" s="238"/>
      <c r="S19" s="238"/>
      <c r="T19" s="238"/>
      <c r="U19" s="238"/>
      <c r="V19" s="238"/>
      <c r="W19" s="238"/>
      <c r="X19" s="238"/>
      <c r="Y19" s="238"/>
      <c r="Z19" s="238"/>
      <c r="AA19" s="238"/>
      <c r="AB19" s="238"/>
      <c r="AC19" s="241">
        <v>3.1419000000000001</v>
      </c>
      <c r="AD19" s="238"/>
      <c r="AE19" s="238"/>
      <c r="AF19" s="241">
        <v>3.0179999999999998</v>
      </c>
      <c r="AG19" s="238"/>
      <c r="AH19" s="241">
        <v>6.8788</v>
      </c>
      <c r="AI19" s="241">
        <v>3.5539999999999998</v>
      </c>
      <c r="AJ19" s="241">
        <v>10.4328</v>
      </c>
      <c r="AK19" s="238"/>
      <c r="AL19" s="238"/>
      <c r="AM19" s="268" t="s">
        <v>10490</v>
      </c>
    </row>
    <row r="20" spans="1:39" ht="14.1" customHeight="1">
      <c r="A20" s="238" t="s">
        <v>9978</v>
      </c>
      <c r="B20" s="149">
        <v>210</v>
      </c>
      <c r="C20" s="238" t="s">
        <v>9979</v>
      </c>
      <c r="D20" s="268" t="s">
        <v>9980</v>
      </c>
      <c r="E20" s="238" t="s">
        <v>3629</v>
      </c>
      <c r="F20" s="238" t="s">
        <v>9942</v>
      </c>
      <c r="G20" s="238" t="s">
        <v>9981</v>
      </c>
      <c r="H20" s="268" t="s">
        <v>9952</v>
      </c>
      <c r="I20" s="239"/>
      <c r="J20" s="239">
        <v>37078</v>
      </c>
      <c r="K20" s="239">
        <v>2024</v>
      </c>
      <c r="L20" s="238"/>
      <c r="M20" s="238"/>
      <c r="N20" s="238"/>
      <c r="O20" s="241">
        <v>0.2334</v>
      </c>
      <c r="P20" s="241">
        <v>0.58260000000000001</v>
      </c>
      <c r="Q20" s="238"/>
      <c r="R20" s="238"/>
      <c r="S20" s="238"/>
      <c r="T20" s="238"/>
      <c r="U20" s="238"/>
      <c r="V20" s="238"/>
      <c r="W20" s="238"/>
      <c r="X20" s="238"/>
      <c r="Y20" s="238"/>
      <c r="Z20" s="238"/>
      <c r="AA20" s="238"/>
      <c r="AB20" s="238"/>
      <c r="AC20" s="241">
        <v>3.7703000000000002</v>
      </c>
      <c r="AD20" s="238"/>
      <c r="AE20" s="238"/>
      <c r="AF20" s="241">
        <v>3.6217000000000001</v>
      </c>
      <c r="AG20" s="238"/>
      <c r="AH20" s="241">
        <v>8.2079000000000004</v>
      </c>
      <c r="AI20" s="241">
        <v>3.5539999999999998</v>
      </c>
      <c r="AJ20" s="241">
        <v>11.761900000000001</v>
      </c>
      <c r="AK20" s="238"/>
      <c r="AL20" s="238"/>
      <c r="AM20" s="268" t="s">
        <v>10491</v>
      </c>
    </row>
    <row r="21" spans="1:39" ht="14.1" customHeight="1">
      <c r="A21" s="238" t="s">
        <v>9984</v>
      </c>
      <c r="B21" s="149">
        <v>341</v>
      </c>
      <c r="C21" s="238" t="s">
        <v>9985</v>
      </c>
      <c r="D21" s="268" t="s">
        <v>9986</v>
      </c>
      <c r="E21" s="238" t="s">
        <v>8758</v>
      </c>
      <c r="F21" s="238" t="s">
        <v>9942</v>
      </c>
      <c r="G21" s="238" t="s">
        <v>8507</v>
      </c>
      <c r="H21" s="268" t="s">
        <v>9952</v>
      </c>
      <c r="I21" s="239"/>
      <c r="J21" s="239">
        <v>19430</v>
      </c>
      <c r="K21" s="239">
        <v>2023</v>
      </c>
      <c r="L21" s="238"/>
      <c r="M21" s="238"/>
      <c r="N21" s="241">
        <v>20.2681</v>
      </c>
      <c r="O21" s="241">
        <v>0.48820000000000002</v>
      </c>
      <c r="P21" s="241">
        <v>0.52500000000000002</v>
      </c>
      <c r="Q21" s="238"/>
      <c r="R21" s="238"/>
      <c r="S21" s="238"/>
      <c r="T21" s="238"/>
      <c r="U21" s="241">
        <v>1.1125</v>
      </c>
      <c r="V21" s="238"/>
      <c r="W21" s="238"/>
      <c r="X21" s="241">
        <v>1.365</v>
      </c>
      <c r="Y21" s="241">
        <v>1.365</v>
      </c>
      <c r="Z21" s="241">
        <v>0.1046</v>
      </c>
      <c r="AA21" s="241">
        <v>0.60140000000000005</v>
      </c>
      <c r="AB21" s="241">
        <v>0.32619999999999999</v>
      </c>
      <c r="AC21" s="241">
        <v>1.0322</v>
      </c>
      <c r="AD21" s="241">
        <v>0.39419999999999999</v>
      </c>
      <c r="AE21" s="241">
        <v>1.9391</v>
      </c>
      <c r="AF21" s="241">
        <v>2.3332999999999999</v>
      </c>
      <c r="AG21" s="241">
        <v>0.93379999999999996</v>
      </c>
      <c r="AH21" s="241">
        <v>7.7897999999999996</v>
      </c>
      <c r="AI21" s="241">
        <v>2.7482000000000002</v>
      </c>
      <c r="AJ21" s="241">
        <v>10.5379</v>
      </c>
      <c r="AK21" s="241">
        <v>9.7302</v>
      </c>
      <c r="AL21" s="238"/>
      <c r="AM21" s="268" t="s">
        <v>10492</v>
      </c>
    </row>
    <row r="22" spans="1:39" ht="14.1" customHeight="1">
      <c r="A22" s="238" t="s">
        <v>9984</v>
      </c>
      <c r="B22" s="149">
        <v>341</v>
      </c>
      <c r="C22" s="238" t="s">
        <v>9985</v>
      </c>
      <c r="D22" s="268" t="s">
        <v>9986</v>
      </c>
      <c r="E22" s="238" t="s">
        <v>8758</v>
      </c>
      <c r="F22" s="238" t="s">
        <v>9942</v>
      </c>
      <c r="G22" s="238" t="s">
        <v>8507</v>
      </c>
      <c r="H22" s="268" t="s">
        <v>9952</v>
      </c>
      <c r="I22" s="239"/>
      <c r="J22" s="239">
        <v>19430</v>
      </c>
      <c r="K22" s="239">
        <v>2024</v>
      </c>
      <c r="L22" s="238"/>
      <c r="M22" s="238"/>
      <c r="N22" s="241">
        <v>20.0976</v>
      </c>
      <c r="O22" s="241">
        <v>0.71850000000000003</v>
      </c>
      <c r="P22" s="241">
        <v>1.9878</v>
      </c>
      <c r="Q22" s="238"/>
      <c r="R22" s="238"/>
      <c r="S22" s="238"/>
      <c r="T22" s="238"/>
      <c r="U22" s="241">
        <v>0.67249999999999999</v>
      </c>
      <c r="V22" s="238"/>
      <c r="W22" s="238"/>
      <c r="X22" s="241">
        <v>1.3295999999999999</v>
      </c>
      <c r="Y22" s="241">
        <v>1.3295999999999999</v>
      </c>
      <c r="Z22" s="241">
        <v>0.1008</v>
      </c>
      <c r="AA22" s="241">
        <v>0.80779999999999996</v>
      </c>
      <c r="AB22" s="241">
        <v>0.3029</v>
      </c>
      <c r="AC22" s="241">
        <v>1.2115</v>
      </c>
      <c r="AD22" s="241">
        <v>0.33050000000000002</v>
      </c>
      <c r="AE22" s="241">
        <v>1.7021999999999999</v>
      </c>
      <c r="AF22" s="241">
        <v>2.0327000000000002</v>
      </c>
      <c r="AG22" s="241">
        <v>0.8246</v>
      </c>
      <c r="AH22" s="241">
        <v>8.7771000000000008</v>
      </c>
      <c r="AI22" s="241">
        <v>3.2526999999999999</v>
      </c>
      <c r="AJ22" s="241">
        <v>12.0299</v>
      </c>
      <c r="AK22" s="241">
        <v>8.0678000000000001</v>
      </c>
      <c r="AL22" s="238"/>
      <c r="AM22" s="268" t="s">
        <v>10493</v>
      </c>
    </row>
    <row r="23" spans="1:39" ht="14.1" customHeight="1">
      <c r="A23" s="150" t="s">
        <v>9990</v>
      </c>
      <c r="B23" s="149">
        <v>210</v>
      </c>
      <c r="C23" s="150" t="s">
        <v>9991</v>
      </c>
      <c r="D23" s="266" t="s">
        <v>9992</v>
      </c>
      <c r="E23" s="150" t="s">
        <v>8758</v>
      </c>
      <c r="F23" s="150" t="s">
        <v>9942</v>
      </c>
      <c r="G23" s="150" t="s">
        <v>1911</v>
      </c>
      <c r="H23" s="266" t="s">
        <v>9993</v>
      </c>
      <c r="I23" s="160"/>
      <c r="J23" s="160">
        <v>330935</v>
      </c>
      <c r="K23" s="160">
        <v>2024</v>
      </c>
      <c r="L23" s="150"/>
      <c r="M23" s="150"/>
      <c r="N23" s="161">
        <v>8.3114000000000008</v>
      </c>
      <c r="O23" s="150"/>
      <c r="P23" s="150"/>
      <c r="Q23" s="150"/>
      <c r="R23" s="150"/>
      <c r="S23" s="150"/>
      <c r="T23" s="150"/>
      <c r="U23" s="150"/>
      <c r="V23" s="150"/>
      <c r="W23" s="150"/>
      <c r="X23" s="150"/>
      <c r="Y23" s="150"/>
      <c r="Z23" s="150"/>
      <c r="AA23" s="150"/>
      <c r="AB23" s="150"/>
      <c r="AC23" s="150"/>
      <c r="AD23" s="150"/>
      <c r="AE23" s="150"/>
      <c r="AF23" s="150"/>
      <c r="AG23" s="150"/>
      <c r="AH23" s="150"/>
      <c r="AI23" s="150"/>
      <c r="AJ23" s="161">
        <v>4.0444000000000004</v>
      </c>
      <c r="AK23" s="161">
        <v>4.2670000000000003</v>
      </c>
      <c r="AL23" s="150"/>
      <c r="AM23" s="266" t="s">
        <v>10494</v>
      </c>
    </row>
    <row r="24" spans="1:39" ht="14.1" customHeight="1">
      <c r="A24" s="282" t="s">
        <v>9996</v>
      </c>
      <c r="B24" s="149">
        <v>407</v>
      </c>
      <c r="C24" s="282" t="s">
        <v>9997</v>
      </c>
      <c r="D24" s="283" t="s">
        <v>9998</v>
      </c>
      <c r="E24" s="282" t="s">
        <v>8758</v>
      </c>
      <c r="F24" s="282" t="s">
        <v>9942</v>
      </c>
      <c r="G24" s="282" t="s">
        <v>1911</v>
      </c>
      <c r="H24" s="283" t="s">
        <v>9999</v>
      </c>
      <c r="I24" s="284"/>
      <c r="J24" s="284"/>
      <c r="K24" s="284">
        <v>2023</v>
      </c>
      <c r="L24" s="282"/>
      <c r="M24" s="282"/>
      <c r="N24" s="287">
        <v>332759</v>
      </c>
      <c r="O24" s="287">
        <v>22784</v>
      </c>
      <c r="P24" s="287">
        <v>4000</v>
      </c>
      <c r="Q24" s="282"/>
      <c r="R24" s="282"/>
      <c r="S24" s="282"/>
      <c r="T24" s="282"/>
      <c r="U24" s="282"/>
      <c r="V24" s="282"/>
      <c r="W24" s="282"/>
      <c r="X24" s="287">
        <v>12804</v>
      </c>
      <c r="Y24" s="287">
        <v>12804</v>
      </c>
      <c r="Z24" s="282"/>
      <c r="AA24" s="287">
        <v>6910</v>
      </c>
      <c r="AB24" s="287">
        <v>1800</v>
      </c>
      <c r="AC24" s="287">
        <v>8710</v>
      </c>
      <c r="AD24" s="287">
        <v>2209</v>
      </c>
      <c r="AE24" s="287">
        <v>1956</v>
      </c>
      <c r="AF24" s="287">
        <v>4165</v>
      </c>
      <c r="AG24" s="287">
        <v>8397</v>
      </c>
      <c r="AH24" s="287">
        <v>127005</v>
      </c>
      <c r="AI24" s="287">
        <v>60552</v>
      </c>
      <c r="AJ24" s="287">
        <v>187557</v>
      </c>
      <c r="AK24" s="287">
        <v>265550</v>
      </c>
      <c r="AL24" s="282"/>
      <c r="AM24" s="283" t="s">
        <v>10651</v>
      </c>
    </row>
    <row r="25" spans="1:39" ht="14.1" customHeight="1">
      <c r="A25" s="150" t="s">
        <v>9996</v>
      </c>
      <c r="B25" s="149">
        <v>407</v>
      </c>
      <c r="C25" s="150" t="s">
        <v>9997</v>
      </c>
      <c r="D25" s="266" t="s">
        <v>9998</v>
      </c>
      <c r="E25" s="150" t="s">
        <v>8758</v>
      </c>
      <c r="F25" s="150" t="s">
        <v>9942</v>
      </c>
      <c r="G25" s="150" t="s">
        <v>1911</v>
      </c>
      <c r="H25" s="266" t="s">
        <v>9999</v>
      </c>
      <c r="I25" s="160"/>
      <c r="J25" s="160"/>
      <c r="K25" s="160">
        <v>2024</v>
      </c>
      <c r="L25" s="150"/>
      <c r="M25" s="150"/>
      <c r="N25" s="163">
        <v>359583</v>
      </c>
      <c r="O25" s="163">
        <v>27489</v>
      </c>
      <c r="P25" s="163">
        <v>6000</v>
      </c>
      <c r="Q25" s="150"/>
      <c r="R25" s="150"/>
      <c r="S25" s="150"/>
      <c r="T25" s="150"/>
      <c r="U25" s="150"/>
      <c r="V25" s="150"/>
      <c r="W25" s="150"/>
      <c r="X25" s="163">
        <v>9601</v>
      </c>
      <c r="Y25" s="163">
        <v>9601</v>
      </c>
      <c r="Z25" s="150"/>
      <c r="AA25" s="163">
        <v>3045</v>
      </c>
      <c r="AB25" s="163">
        <v>1960</v>
      </c>
      <c r="AC25" s="163">
        <v>5005</v>
      </c>
      <c r="AD25" s="163">
        <v>3555</v>
      </c>
      <c r="AE25" s="163">
        <v>1567</v>
      </c>
      <c r="AF25" s="163">
        <v>5122</v>
      </c>
      <c r="AG25" s="163">
        <v>10035</v>
      </c>
      <c r="AH25" s="163">
        <v>69350</v>
      </c>
      <c r="AI25" s="163">
        <v>101114</v>
      </c>
      <c r="AJ25" s="163">
        <v>170464</v>
      </c>
      <c r="AK25" s="163">
        <v>290993</v>
      </c>
      <c r="AL25" s="150"/>
      <c r="AM25" s="266" t="s">
        <v>10652</v>
      </c>
    </row>
    <row r="26" spans="1:39" ht="14.1" customHeight="1">
      <c r="A26" s="282" t="s">
        <v>10003</v>
      </c>
      <c r="B26" s="149">
        <v>210</v>
      </c>
      <c r="C26" s="282" t="s">
        <v>10004</v>
      </c>
      <c r="D26" s="283" t="s">
        <v>10005</v>
      </c>
      <c r="E26" s="282" t="s">
        <v>1304</v>
      </c>
      <c r="F26" s="282" t="s">
        <v>9942</v>
      </c>
      <c r="G26" s="282" t="s">
        <v>10006</v>
      </c>
      <c r="H26" s="283" t="s">
        <v>10007</v>
      </c>
      <c r="I26" s="284"/>
      <c r="J26" s="284">
        <v>105000</v>
      </c>
      <c r="K26" s="284">
        <v>2023</v>
      </c>
      <c r="L26" s="285">
        <v>7.0284000000000004</v>
      </c>
      <c r="M26" s="285">
        <v>4.8451000000000004</v>
      </c>
      <c r="N26" s="285">
        <v>11.8736</v>
      </c>
      <c r="O26" s="285">
        <v>0.4657</v>
      </c>
      <c r="P26" s="285">
        <v>0.99339999999999995</v>
      </c>
      <c r="Q26" s="282"/>
      <c r="R26" s="282"/>
      <c r="S26" s="282"/>
      <c r="T26" s="282"/>
      <c r="U26" s="282"/>
      <c r="V26" s="282"/>
      <c r="W26" s="282"/>
      <c r="X26" s="285">
        <v>0.63280000000000003</v>
      </c>
      <c r="Y26" s="285">
        <v>0.63280000000000003</v>
      </c>
      <c r="Z26" s="285">
        <v>0.46689999999999998</v>
      </c>
      <c r="AA26" s="285">
        <v>0.2172</v>
      </c>
      <c r="AB26" s="285">
        <v>0.5585</v>
      </c>
      <c r="AC26" s="285">
        <v>1.2424999999999999</v>
      </c>
      <c r="AD26" s="285">
        <v>0.50970000000000004</v>
      </c>
      <c r="AE26" s="282"/>
      <c r="AF26" s="285">
        <v>0.72230000000000005</v>
      </c>
      <c r="AG26" s="282"/>
      <c r="AH26" s="285">
        <v>4.6140999999999996</v>
      </c>
      <c r="AI26" s="285">
        <v>2.1859000000000002</v>
      </c>
      <c r="AJ26" s="285">
        <v>6.8</v>
      </c>
      <c r="AK26" s="285">
        <v>5.0762</v>
      </c>
      <c r="AL26" s="282"/>
      <c r="AM26" s="283" t="s">
        <v>10497</v>
      </c>
    </row>
    <row r="27" spans="1:39" ht="14.1" customHeight="1">
      <c r="A27" s="150" t="s">
        <v>10003</v>
      </c>
      <c r="B27" s="149">
        <v>210</v>
      </c>
      <c r="C27" s="150" t="s">
        <v>10004</v>
      </c>
      <c r="D27" s="266" t="s">
        <v>10005</v>
      </c>
      <c r="E27" s="150" t="s">
        <v>1304</v>
      </c>
      <c r="F27" s="150" t="s">
        <v>9942</v>
      </c>
      <c r="G27" s="150" t="s">
        <v>10006</v>
      </c>
      <c r="H27" s="266" t="s">
        <v>10007</v>
      </c>
      <c r="I27" s="160"/>
      <c r="J27" s="160">
        <v>105000</v>
      </c>
      <c r="K27" s="160">
        <v>2024</v>
      </c>
      <c r="L27" s="161">
        <v>8.5978999999999992</v>
      </c>
      <c r="M27" s="161">
        <v>7.4692999999999996</v>
      </c>
      <c r="N27" s="161">
        <v>16.0672</v>
      </c>
      <c r="O27" s="161">
        <v>0.48099999999999998</v>
      </c>
      <c r="P27" s="161">
        <v>1.1752</v>
      </c>
      <c r="Q27" s="150"/>
      <c r="R27" s="150"/>
      <c r="S27" s="150"/>
      <c r="T27" s="150"/>
      <c r="U27" s="150"/>
      <c r="V27" s="150"/>
      <c r="W27" s="150"/>
      <c r="X27" s="161">
        <v>0.71550000000000002</v>
      </c>
      <c r="Y27" s="161">
        <v>0.71550000000000002</v>
      </c>
      <c r="Z27" s="161">
        <v>0.56189999999999996</v>
      </c>
      <c r="AA27" s="161">
        <v>0.17280000000000001</v>
      </c>
      <c r="AB27" s="161">
        <v>0.49840000000000001</v>
      </c>
      <c r="AC27" s="161">
        <v>1.2330000000000001</v>
      </c>
      <c r="AD27" s="161">
        <v>0.83040000000000003</v>
      </c>
      <c r="AE27" s="150"/>
      <c r="AF27" s="161">
        <v>0.95420000000000005</v>
      </c>
      <c r="AG27" s="150"/>
      <c r="AH27" s="161">
        <v>4.7874999999999996</v>
      </c>
      <c r="AI27" s="161">
        <v>5.1839000000000004</v>
      </c>
      <c r="AJ27" s="161">
        <v>9.9713999999999992</v>
      </c>
      <c r="AK27" s="161">
        <v>6.0952000000000002</v>
      </c>
      <c r="AL27" s="150"/>
      <c r="AM27" s="266" t="s">
        <v>10498</v>
      </c>
    </row>
    <row r="28" spans="1:39" ht="14.1" customHeight="1">
      <c r="A28" s="282" t="s">
        <v>10010</v>
      </c>
      <c r="B28" s="149">
        <v>210</v>
      </c>
      <c r="C28" s="282" t="s">
        <v>10011</v>
      </c>
      <c r="D28" s="283" t="s">
        <v>10012</v>
      </c>
      <c r="E28" s="282" t="s">
        <v>8758</v>
      </c>
      <c r="F28" s="282" t="s">
        <v>9942</v>
      </c>
      <c r="G28" s="282" t="s">
        <v>10013</v>
      </c>
      <c r="H28" s="283" t="s">
        <v>9952</v>
      </c>
      <c r="I28" s="284"/>
      <c r="J28" s="284"/>
      <c r="K28" s="284">
        <v>2022</v>
      </c>
      <c r="L28" s="282"/>
      <c r="M28" s="282"/>
      <c r="N28" s="287">
        <v>502006</v>
      </c>
      <c r="O28" s="287">
        <v>16872</v>
      </c>
      <c r="P28" s="287">
        <v>54025</v>
      </c>
      <c r="Q28" s="282"/>
      <c r="R28" s="282"/>
      <c r="S28" s="282"/>
      <c r="T28" s="282"/>
      <c r="U28" s="282"/>
      <c r="V28" s="282"/>
      <c r="W28" s="282"/>
      <c r="X28" s="287">
        <v>71762</v>
      </c>
      <c r="Y28" s="287">
        <v>71762</v>
      </c>
      <c r="Z28" s="282"/>
      <c r="AA28" s="287">
        <v>6528</v>
      </c>
      <c r="AB28" s="282"/>
      <c r="AC28" s="287">
        <v>6528</v>
      </c>
      <c r="AD28" s="287">
        <v>4858</v>
      </c>
      <c r="AE28" s="287">
        <v>525</v>
      </c>
      <c r="AF28" s="287">
        <v>5383</v>
      </c>
      <c r="AG28" s="282"/>
      <c r="AH28" s="287">
        <v>209625</v>
      </c>
      <c r="AI28" s="287">
        <v>64792</v>
      </c>
      <c r="AJ28" s="287">
        <v>274417</v>
      </c>
      <c r="AK28" s="287">
        <v>227649</v>
      </c>
      <c r="AL28" s="282"/>
      <c r="AM28" s="283" t="s">
        <v>10653</v>
      </c>
    </row>
    <row r="29" spans="1:39" ht="14.1" customHeight="1">
      <c r="A29" s="150" t="s">
        <v>10010</v>
      </c>
      <c r="B29" s="149">
        <v>210</v>
      </c>
      <c r="C29" s="150" t="s">
        <v>10011</v>
      </c>
      <c r="D29" s="266" t="s">
        <v>10012</v>
      </c>
      <c r="E29" s="150" t="s">
        <v>8758</v>
      </c>
      <c r="F29" s="150" t="s">
        <v>9942</v>
      </c>
      <c r="G29" s="150" t="s">
        <v>10013</v>
      </c>
      <c r="H29" s="266" t="s">
        <v>9952</v>
      </c>
      <c r="I29" s="160"/>
      <c r="J29" s="160"/>
      <c r="K29" s="160">
        <v>2023</v>
      </c>
      <c r="L29" s="150"/>
      <c r="M29" s="150"/>
      <c r="N29" s="163">
        <v>532468</v>
      </c>
      <c r="O29" s="163">
        <v>15442</v>
      </c>
      <c r="P29" s="150"/>
      <c r="Q29" s="150"/>
      <c r="R29" s="150"/>
      <c r="S29" s="150"/>
      <c r="T29" s="150"/>
      <c r="U29" s="150"/>
      <c r="V29" s="150"/>
      <c r="W29" s="150"/>
      <c r="X29" s="163">
        <v>83293</v>
      </c>
      <c r="Y29" s="163">
        <v>83293</v>
      </c>
      <c r="Z29" s="150"/>
      <c r="AA29" s="163">
        <v>6029</v>
      </c>
      <c r="AB29" s="150"/>
      <c r="AC29" s="163">
        <v>6029</v>
      </c>
      <c r="AD29" s="163">
        <v>6487</v>
      </c>
      <c r="AE29" s="150"/>
      <c r="AF29" s="163">
        <v>6487</v>
      </c>
      <c r="AG29" s="150"/>
      <c r="AH29" s="163">
        <v>141304</v>
      </c>
      <c r="AI29" s="163">
        <v>63133</v>
      </c>
      <c r="AJ29" s="163">
        <v>204437</v>
      </c>
      <c r="AK29" s="163">
        <v>328030</v>
      </c>
      <c r="AL29" s="150"/>
      <c r="AM29" s="266" t="s">
        <v>10654</v>
      </c>
    </row>
    <row r="30" spans="1:39" ht="14.1" customHeight="1">
      <c r="A30" s="282" t="s">
        <v>10010</v>
      </c>
      <c r="B30" s="149">
        <v>210</v>
      </c>
      <c r="C30" s="282" t="s">
        <v>10011</v>
      </c>
      <c r="D30" s="283" t="s">
        <v>10012</v>
      </c>
      <c r="E30" s="282" t="s">
        <v>8758</v>
      </c>
      <c r="F30" s="282" t="s">
        <v>9942</v>
      </c>
      <c r="G30" s="282" t="s">
        <v>10013</v>
      </c>
      <c r="H30" s="283" t="s">
        <v>9952</v>
      </c>
      <c r="I30" s="284"/>
      <c r="J30" s="284"/>
      <c r="K30" s="284">
        <v>2024</v>
      </c>
      <c r="L30" s="282"/>
      <c r="M30" s="282"/>
      <c r="N30" s="287">
        <v>517234</v>
      </c>
      <c r="O30" s="287">
        <v>20795</v>
      </c>
      <c r="P30" s="282"/>
      <c r="Q30" s="282"/>
      <c r="R30" s="282"/>
      <c r="S30" s="282"/>
      <c r="T30" s="282"/>
      <c r="U30" s="282"/>
      <c r="V30" s="282"/>
      <c r="W30" s="282"/>
      <c r="X30" s="287">
        <v>32385</v>
      </c>
      <c r="Y30" s="287">
        <v>32385</v>
      </c>
      <c r="Z30" s="282"/>
      <c r="AA30" s="287">
        <v>4814</v>
      </c>
      <c r="AB30" s="282"/>
      <c r="AC30" s="287">
        <v>4814</v>
      </c>
      <c r="AD30" s="287">
        <v>5690</v>
      </c>
      <c r="AE30" s="282"/>
      <c r="AF30" s="287">
        <v>5690</v>
      </c>
      <c r="AG30" s="282"/>
      <c r="AH30" s="282"/>
      <c r="AI30" s="282"/>
      <c r="AJ30" s="287">
        <v>331645</v>
      </c>
      <c r="AK30" s="287">
        <v>185389</v>
      </c>
      <c r="AL30" s="282"/>
      <c r="AM30" s="283" t="s">
        <v>10655</v>
      </c>
    </row>
    <row r="31" spans="1:39" ht="14.1" customHeight="1">
      <c r="A31" s="238" t="s">
        <v>10016</v>
      </c>
      <c r="B31" s="149">
        <v>344</v>
      </c>
      <c r="C31" s="238" t="s">
        <v>10017</v>
      </c>
      <c r="D31" s="268" t="s">
        <v>10018</v>
      </c>
      <c r="E31" s="238" t="s">
        <v>8758</v>
      </c>
      <c r="F31" s="238" t="s">
        <v>9942</v>
      </c>
      <c r="G31" s="238" t="s">
        <v>9959</v>
      </c>
      <c r="H31" s="268" t="s">
        <v>9952</v>
      </c>
      <c r="I31" s="239"/>
      <c r="J31" s="239">
        <v>20170</v>
      </c>
      <c r="K31" s="239">
        <v>2023</v>
      </c>
      <c r="L31" s="238"/>
      <c r="M31" s="238"/>
      <c r="N31" s="241">
        <v>13.6708</v>
      </c>
      <c r="O31" s="238"/>
      <c r="P31" s="238"/>
      <c r="Q31" s="238"/>
      <c r="R31" s="238"/>
      <c r="S31" s="238"/>
      <c r="T31" s="238"/>
      <c r="U31" s="238"/>
      <c r="V31" s="238"/>
      <c r="W31" s="238"/>
      <c r="X31" s="238"/>
      <c r="Y31" s="238"/>
      <c r="Z31" s="238"/>
      <c r="AA31" s="238"/>
      <c r="AB31" s="238"/>
      <c r="AC31" s="238"/>
      <c r="AD31" s="238"/>
      <c r="AE31" s="238"/>
      <c r="AF31" s="238"/>
      <c r="AG31" s="238"/>
      <c r="AH31" s="241">
        <v>5.3592000000000004</v>
      </c>
      <c r="AI31" s="241">
        <v>2.2399</v>
      </c>
      <c r="AJ31" s="241">
        <v>7.5991999999999997</v>
      </c>
      <c r="AK31" s="241">
        <v>8.3116000000000003</v>
      </c>
      <c r="AL31" s="238"/>
      <c r="AM31" s="268" t="s">
        <v>10502</v>
      </c>
    </row>
    <row r="32" spans="1:39" ht="14.1" customHeight="1">
      <c r="A32" s="238" t="s">
        <v>10016</v>
      </c>
      <c r="B32" s="149">
        <v>344</v>
      </c>
      <c r="C32" s="238" t="s">
        <v>10017</v>
      </c>
      <c r="D32" s="268" t="s">
        <v>10018</v>
      </c>
      <c r="E32" s="238" t="s">
        <v>8758</v>
      </c>
      <c r="F32" s="238" t="s">
        <v>9942</v>
      </c>
      <c r="G32" s="238" t="s">
        <v>9959</v>
      </c>
      <c r="H32" s="268" t="s">
        <v>9952</v>
      </c>
      <c r="I32" s="239"/>
      <c r="J32" s="239">
        <v>20170</v>
      </c>
      <c r="K32" s="239">
        <v>2024</v>
      </c>
      <c r="L32" s="238"/>
      <c r="M32" s="238"/>
      <c r="N32" s="241">
        <v>14.802</v>
      </c>
      <c r="O32" s="238"/>
      <c r="P32" s="238"/>
      <c r="Q32" s="238"/>
      <c r="R32" s="238"/>
      <c r="S32" s="238"/>
      <c r="T32" s="238"/>
      <c r="U32" s="238"/>
      <c r="V32" s="238"/>
      <c r="W32" s="238"/>
      <c r="X32" s="238"/>
      <c r="Y32" s="238"/>
      <c r="Z32" s="238"/>
      <c r="AA32" s="238"/>
      <c r="AB32" s="238"/>
      <c r="AC32" s="238"/>
      <c r="AD32" s="238"/>
      <c r="AE32" s="238"/>
      <c r="AF32" s="238"/>
      <c r="AG32" s="238"/>
      <c r="AH32" s="241">
        <v>6.3208000000000002</v>
      </c>
      <c r="AI32" s="241">
        <v>2.1665000000000001</v>
      </c>
      <c r="AJ32" s="241">
        <v>9.1814</v>
      </c>
      <c r="AK32" s="241">
        <v>8.4811999999999994</v>
      </c>
      <c r="AL32" s="238"/>
      <c r="AM32" s="268" t="s">
        <v>10503</v>
      </c>
    </row>
    <row r="33" spans="1:39" ht="14.1" customHeight="1">
      <c r="A33" s="238" t="s">
        <v>10021</v>
      </c>
      <c r="B33" s="149">
        <v>353</v>
      </c>
      <c r="C33" s="238" t="s">
        <v>10022</v>
      </c>
      <c r="D33" s="268" t="s">
        <v>10504</v>
      </c>
      <c r="E33" s="238" t="s">
        <v>8758</v>
      </c>
      <c r="F33" s="238" t="s">
        <v>9942</v>
      </c>
      <c r="G33" s="238" t="s">
        <v>10024</v>
      </c>
      <c r="H33" s="268" t="s">
        <v>9952</v>
      </c>
      <c r="I33" s="239">
        <v>2023</v>
      </c>
      <c r="J33" s="239"/>
      <c r="K33" s="239">
        <v>2023</v>
      </c>
      <c r="L33" s="240">
        <v>270793</v>
      </c>
      <c r="M33" s="240">
        <v>258323</v>
      </c>
      <c r="N33" s="240">
        <v>524533</v>
      </c>
      <c r="O33" s="240">
        <v>16865</v>
      </c>
      <c r="P33" s="240">
        <v>26496</v>
      </c>
      <c r="Q33" s="238"/>
      <c r="R33" s="238"/>
      <c r="S33" s="238"/>
      <c r="T33" s="238"/>
      <c r="U33" s="238"/>
      <c r="V33" s="238"/>
      <c r="W33" s="238"/>
      <c r="X33" s="240">
        <v>50972</v>
      </c>
      <c r="Y33" s="240">
        <v>50972</v>
      </c>
      <c r="Z33" s="238"/>
      <c r="AA33" s="240">
        <v>7543</v>
      </c>
      <c r="AB33" s="238"/>
      <c r="AC33" s="240">
        <v>7543</v>
      </c>
      <c r="AD33" s="240">
        <v>4602</v>
      </c>
      <c r="AE33" s="240">
        <v>51467</v>
      </c>
      <c r="AF33" s="240">
        <v>56069</v>
      </c>
      <c r="AG33" s="238"/>
      <c r="AH33" s="240">
        <v>157946</v>
      </c>
      <c r="AI33" s="240">
        <v>125577</v>
      </c>
      <c r="AJ33" s="240">
        <v>283523</v>
      </c>
      <c r="AK33" s="240">
        <v>241009</v>
      </c>
      <c r="AL33" s="238"/>
      <c r="AM33" s="268" t="s">
        <v>10656</v>
      </c>
    </row>
    <row r="34" spans="1:39" ht="14.1" customHeight="1">
      <c r="A34" s="238" t="s">
        <v>10021</v>
      </c>
      <c r="B34" s="149">
        <v>353</v>
      </c>
      <c r="C34" s="238" t="s">
        <v>10022</v>
      </c>
      <c r="D34" s="268" t="s">
        <v>10504</v>
      </c>
      <c r="E34" s="238" t="s">
        <v>8758</v>
      </c>
      <c r="F34" s="238" t="s">
        <v>9942</v>
      </c>
      <c r="G34" s="238" t="s">
        <v>10024</v>
      </c>
      <c r="H34" s="268" t="s">
        <v>9952</v>
      </c>
      <c r="I34" s="239">
        <v>2023</v>
      </c>
      <c r="J34" s="239"/>
      <c r="K34" s="239">
        <v>2024</v>
      </c>
      <c r="L34" s="240">
        <v>260040</v>
      </c>
      <c r="M34" s="240">
        <v>337015</v>
      </c>
      <c r="N34" s="240">
        <v>597056</v>
      </c>
      <c r="O34" s="240">
        <v>12437</v>
      </c>
      <c r="P34" s="240">
        <v>26717</v>
      </c>
      <c r="Q34" s="238"/>
      <c r="R34" s="238"/>
      <c r="S34" s="238"/>
      <c r="T34" s="238"/>
      <c r="U34" s="238"/>
      <c r="V34" s="238"/>
      <c r="W34" s="238"/>
      <c r="X34" s="240">
        <v>36931</v>
      </c>
      <c r="Y34" s="240">
        <v>36931</v>
      </c>
      <c r="Z34" s="238"/>
      <c r="AA34" s="240">
        <v>27159</v>
      </c>
      <c r="AB34" s="238"/>
      <c r="AC34" s="240">
        <v>27159</v>
      </c>
      <c r="AD34" s="240">
        <v>5043</v>
      </c>
      <c r="AE34" s="240">
        <v>54230</v>
      </c>
      <c r="AF34" s="240">
        <v>59273</v>
      </c>
      <c r="AG34" s="238"/>
      <c r="AH34" s="240">
        <v>162518</v>
      </c>
      <c r="AI34" s="240">
        <v>156074</v>
      </c>
      <c r="AJ34" s="240">
        <v>318592</v>
      </c>
      <c r="AK34" s="240">
        <v>278464</v>
      </c>
      <c r="AL34" s="238"/>
      <c r="AM34" s="268" t="s">
        <v>10657</v>
      </c>
    </row>
    <row r="35" spans="1:39" ht="14.1" customHeight="1">
      <c r="A35" s="150" t="s">
        <v>10027</v>
      </c>
      <c r="B35" s="149">
        <v>407</v>
      </c>
      <c r="C35" s="150" t="s">
        <v>10028</v>
      </c>
      <c r="D35" s="266" t="s">
        <v>10029</v>
      </c>
      <c r="E35" s="150" t="s">
        <v>3966</v>
      </c>
      <c r="F35" s="150" t="s">
        <v>9942</v>
      </c>
      <c r="G35" s="150" t="s">
        <v>10030</v>
      </c>
      <c r="H35" s="266" t="s">
        <v>10031</v>
      </c>
      <c r="I35" s="160"/>
      <c r="J35" s="160">
        <v>555840</v>
      </c>
      <c r="K35" s="160">
        <v>2023</v>
      </c>
      <c r="L35" s="161">
        <v>5.6192000000000002</v>
      </c>
      <c r="M35" s="150"/>
      <c r="N35" s="161">
        <v>5.6192000000000002</v>
      </c>
      <c r="O35" s="161">
        <v>0.15490000000000001</v>
      </c>
      <c r="P35" s="161">
        <v>0.1124</v>
      </c>
      <c r="Q35" s="150"/>
      <c r="R35" s="150"/>
      <c r="S35" s="150"/>
      <c r="T35" s="150"/>
      <c r="U35" s="150"/>
      <c r="V35" s="150"/>
      <c r="W35" s="150"/>
      <c r="X35" s="150"/>
      <c r="Y35" s="150"/>
      <c r="Z35" s="150"/>
      <c r="AA35" s="150"/>
      <c r="AB35" s="150"/>
      <c r="AC35" s="161">
        <v>4.02E-2</v>
      </c>
      <c r="AD35" s="150"/>
      <c r="AE35" s="150"/>
      <c r="AF35" s="161">
        <v>2E-3</v>
      </c>
      <c r="AG35" s="150"/>
      <c r="AH35" s="161">
        <v>0.35510000000000003</v>
      </c>
      <c r="AI35" s="161">
        <v>2.9096000000000002</v>
      </c>
      <c r="AJ35" s="161">
        <v>3.2646999999999999</v>
      </c>
      <c r="AK35" s="150"/>
      <c r="AL35" s="150"/>
      <c r="AM35" s="266" t="s">
        <v>10507</v>
      </c>
    </row>
    <row r="36" spans="1:39" ht="14.1" customHeight="1">
      <c r="A36" s="282" t="s">
        <v>10027</v>
      </c>
      <c r="B36" s="149">
        <v>407</v>
      </c>
      <c r="C36" s="282" t="s">
        <v>10028</v>
      </c>
      <c r="D36" s="283" t="s">
        <v>10029</v>
      </c>
      <c r="E36" s="282" t="s">
        <v>3966</v>
      </c>
      <c r="F36" s="282" t="s">
        <v>9942</v>
      </c>
      <c r="G36" s="282" t="s">
        <v>10030</v>
      </c>
      <c r="H36" s="283" t="s">
        <v>10031</v>
      </c>
      <c r="I36" s="284"/>
      <c r="J36" s="284">
        <v>555840</v>
      </c>
      <c r="K36" s="284">
        <v>2024</v>
      </c>
      <c r="L36" s="285">
        <v>5.7596999999999996</v>
      </c>
      <c r="M36" s="282"/>
      <c r="N36" s="285">
        <v>5.7596999999999996</v>
      </c>
      <c r="O36" s="285">
        <v>0.16159999999999999</v>
      </c>
      <c r="P36" s="285">
        <v>0.1152</v>
      </c>
      <c r="Q36" s="282"/>
      <c r="R36" s="282"/>
      <c r="S36" s="282"/>
      <c r="T36" s="282"/>
      <c r="U36" s="282"/>
      <c r="V36" s="282"/>
      <c r="W36" s="282"/>
      <c r="X36" s="282"/>
      <c r="Y36" s="282"/>
      <c r="Z36" s="282"/>
      <c r="AA36" s="282"/>
      <c r="AB36" s="285">
        <v>3.8E-3</v>
      </c>
      <c r="AC36" s="285">
        <v>3.1399999999999997E-2</v>
      </c>
      <c r="AD36" s="282"/>
      <c r="AE36" s="282"/>
      <c r="AF36" s="285">
        <v>3.5999999999999999E-3</v>
      </c>
      <c r="AG36" s="282"/>
      <c r="AH36" s="285">
        <v>0.27829999999999999</v>
      </c>
      <c r="AI36" s="285">
        <v>3.8893</v>
      </c>
      <c r="AJ36" s="285">
        <v>4.1677</v>
      </c>
      <c r="AK36" s="282"/>
      <c r="AL36" s="282"/>
      <c r="AM36" s="283" t="s">
        <v>10508</v>
      </c>
    </row>
    <row r="37" spans="1:39" ht="14.1" customHeight="1">
      <c r="A37" s="150" t="s">
        <v>10035</v>
      </c>
      <c r="B37" s="149">
        <v>407</v>
      </c>
      <c r="C37" s="150" t="s">
        <v>5443</v>
      </c>
      <c r="D37" s="266" t="s">
        <v>10036</v>
      </c>
      <c r="E37" s="150" t="s">
        <v>3966</v>
      </c>
      <c r="F37" s="150" t="s">
        <v>9942</v>
      </c>
      <c r="G37" s="150" t="s">
        <v>1911</v>
      </c>
      <c r="H37" s="266" t="s">
        <v>10037</v>
      </c>
      <c r="I37" s="160">
        <v>2019</v>
      </c>
      <c r="J37" s="160">
        <v>163386</v>
      </c>
      <c r="K37" s="160">
        <v>2023</v>
      </c>
      <c r="L37" s="161">
        <v>12.829000000000001</v>
      </c>
      <c r="M37" s="150"/>
      <c r="N37" s="161">
        <v>12.829000000000001</v>
      </c>
      <c r="O37" s="161">
        <v>0.24909999999999999</v>
      </c>
      <c r="P37" s="161">
        <v>0.33710000000000001</v>
      </c>
      <c r="Q37" s="150"/>
      <c r="R37" s="150"/>
      <c r="S37" s="150"/>
      <c r="T37" s="150"/>
      <c r="U37" s="150"/>
      <c r="V37" s="150"/>
      <c r="W37" s="150"/>
      <c r="X37" s="150"/>
      <c r="Y37" s="161">
        <v>3.95E-2</v>
      </c>
      <c r="Z37" s="150"/>
      <c r="AA37" s="161">
        <v>8.8800000000000004E-2</v>
      </c>
      <c r="AB37" s="161">
        <v>0.33939999999999998</v>
      </c>
      <c r="AC37" s="150"/>
      <c r="AD37" s="150"/>
      <c r="AE37" s="150"/>
      <c r="AF37" s="161">
        <v>0.26879999999999998</v>
      </c>
      <c r="AG37" s="161">
        <v>0.97619999999999996</v>
      </c>
      <c r="AH37" s="161">
        <v>2.3250999999999999</v>
      </c>
      <c r="AI37" s="161">
        <v>5.6528</v>
      </c>
      <c r="AJ37" s="161">
        <v>7.9779</v>
      </c>
      <c r="AK37" s="161">
        <v>4.8512000000000004</v>
      </c>
      <c r="AL37" s="150"/>
      <c r="AM37" s="266" t="s">
        <v>10509</v>
      </c>
    </row>
    <row r="38" spans="1:39" ht="14.1" customHeight="1">
      <c r="A38" s="282" t="s">
        <v>10035</v>
      </c>
      <c r="B38" s="149">
        <v>407</v>
      </c>
      <c r="C38" s="282" t="s">
        <v>5443</v>
      </c>
      <c r="D38" s="283" t="s">
        <v>10036</v>
      </c>
      <c r="E38" s="282" t="s">
        <v>3966</v>
      </c>
      <c r="F38" s="282" t="s">
        <v>9942</v>
      </c>
      <c r="G38" s="282" t="s">
        <v>1911</v>
      </c>
      <c r="H38" s="283" t="s">
        <v>10037</v>
      </c>
      <c r="I38" s="284">
        <v>2019</v>
      </c>
      <c r="J38" s="284">
        <v>163386</v>
      </c>
      <c r="K38" s="284">
        <v>2024</v>
      </c>
      <c r="L38" s="285">
        <v>13.1836</v>
      </c>
      <c r="M38" s="282"/>
      <c r="N38" s="285">
        <v>13.1836</v>
      </c>
      <c r="O38" s="285">
        <v>0.29430000000000001</v>
      </c>
      <c r="P38" s="285">
        <v>0.45810000000000001</v>
      </c>
      <c r="Q38" s="282"/>
      <c r="R38" s="282"/>
      <c r="S38" s="282"/>
      <c r="T38" s="282"/>
      <c r="U38" s="282"/>
      <c r="V38" s="282"/>
      <c r="W38" s="282"/>
      <c r="X38" s="282"/>
      <c r="Y38" s="285">
        <v>3.2199999999999999E-2</v>
      </c>
      <c r="Z38" s="282"/>
      <c r="AA38" s="285">
        <v>8.2199999999999995E-2</v>
      </c>
      <c r="AB38" s="285">
        <v>0.28560000000000002</v>
      </c>
      <c r="AC38" s="282"/>
      <c r="AD38" s="282"/>
      <c r="AE38" s="282"/>
      <c r="AF38" s="285">
        <v>0.32990000000000003</v>
      </c>
      <c r="AG38" s="285">
        <v>0.81130000000000002</v>
      </c>
      <c r="AH38" s="285">
        <v>2.4144999999999999</v>
      </c>
      <c r="AI38" s="285">
        <v>5.5842999999999998</v>
      </c>
      <c r="AJ38" s="285">
        <v>7.9988000000000001</v>
      </c>
      <c r="AK38" s="285">
        <v>5.1848000000000001</v>
      </c>
      <c r="AL38" s="282"/>
      <c r="AM38" s="283" t="s">
        <v>10510</v>
      </c>
    </row>
    <row r="39" spans="1:39" ht="14.1" customHeight="1">
      <c r="A39" s="150" t="s">
        <v>10040</v>
      </c>
      <c r="B39" s="149">
        <v>584</v>
      </c>
      <c r="C39" s="150" t="s">
        <v>10041</v>
      </c>
      <c r="D39" s="266" t="s">
        <v>10042</v>
      </c>
      <c r="E39" s="150" t="s">
        <v>3966</v>
      </c>
      <c r="F39" s="150" t="s">
        <v>9942</v>
      </c>
      <c r="G39" s="150" t="s">
        <v>1911</v>
      </c>
      <c r="H39" s="266" t="s">
        <v>10043</v>
      </c>
      <c r="I39" s="160">
        <v>1983</v>
      </c>
      <c r="J39" s="160">
        <v>384953</v>
      </c>
      <c r="K39" s="160">
        <v>2024</v>
      </c>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0"/>
      <c r="AM39" s="266" t="s">
        <v>10511</v>
      </c>
    </row>
    <row r="40" spans="1:39" ht="14.1" customHeight="1">
      <c r="A40" s="282" t="s">
        <v>10046</v>
      </c>
      <c r="B40" s="149">
        <v>210</v>
      </c>
      <c r="C40" s="282" t="s">
        <v>10047</v>
      </c>
      <c r="D40" s="283" t="s">
        <v>10048</v>
      </c>
      <c r="E40" s="282" t="s">
        <v>1304</v>
      </c>
      <c r="F40" s="282" t="s">
        <v>9942</v>
      </c>
      <c r="G40" s="282" t="s">
        <v>1911</v>
      </c>
      <c r="H40" s="283" t="s">
        <v>10049</v>
      </c>
      <c r="I40" s="284">
        <v>1972</v>
      </c>
      <c r="J40" s="284">
        <v>63348</v>
      </c>
      <c r="K40" s="284">
        <v>2024</v>
      </c>
      <c r="L40" s="282"/>
      <c r="M40" s="282"/>
      <c r="N40" s="282"/>
      <c r="O40" s="282"/>
      <c r="P40" s="282"/>
      <c r="Q40" s="282"/>
      <c r="R40" s="282"/>
      <c r="S40" s="282"/>
      <c r="T40" s="282"/>
      <c r="U40" s="282"/>
      <c r="V40" s="282"/>
      <c r="W40" s="282"/>
      <c r="X40" s="282"/>
      <c r="Y40" s="282"/>
      <c r="Z40" s="282"/>
      <c r="AA40" s="282"/>
      <c r="AB40" s="282"/>
      <c r="AC40" s="282"/>
      <c r="AD40" s="282"/>
      <c r="AE40" s="282"/>
      <c r="AF40" s="282"/>
      <c r="AG40" s="282"/>
      <c r="AH40" s="282"/>
      <c r="AI40" s="282"/>
      <c r="AJ40" s="282"/>
      <c r="AK40" s="282"/>
      <c r="AL40" s="282"/>
      <c r="AM40" s="283" t="s">
        <v>10512</v>
      </c>
    </row>
    <row r="41" spans="1:39" ht="14.1" customHeight="1">
      <c r="A41" s="150" t="s">
        <v>10051</v>
      </c>
      <c r="B41" s="149">
        <v>406</v>
      </c>
      <c r="C41" s="150" t="s">
        <v>10052</v>
      </c>
      <c r="D41" s="266" t="s">
        <v>10053</v>
      </c>
      <c r="E41" s="150" t="s">
        <v>1304</v>
      </c>
      <c r="F41" s="150" t="s">
        <v>9942</v>
      </c>
      <c r="G41" s="150" t="s">
        <v>1911</v>
      </c>
      <c r="H41" s="266" t="s">
        <v>10054</v>
      </c>
      <c r="I41" s="160">
        <v>2004</v>
      </c>
      <c r="J41" s="160">
        <v>18720</v>
      </c>
      <c r="K41" s="160">
        <v>2024</v>
      </c>
      <c r="L41" s="161">
        <v>13.2904</v>
      </c>
      <c r="M41" s="150"/>
      <c r="N41" s="161">
        <v>16.022500000000001</v>
      </c>
      <c r="O41" s="161">
        <v>0.20610000000000001</v>
      </c>
      <c r="P41" s="150"/>
      <c r="Q41" s="150"/>
      <c r="R41" s="150"/>
      <c r="S41" s="150"/>
      <c r="T41" s="150"/>
      <c r="U41" s="150"/>
      <c r="V41" s="150"/>
      <c r="W41" s="150"/>
      <c r="X41" s="150"/>
      <c r="Y41" s="150"/>
      <c r="Z41" s="150"/>
      <c r="AA41" s="150"/>
      <c r="AB41" s="150"/>
      <c r="AC41" s="161">
        <v>0.12959999999999999</v>
      </c>
      <c r="AD41" s="150"/>
      <c r="AE41" s="150"/>
      <c r="AF41" s="150"/>
      <c r="AG41" s="150"/>
      <c r="AH41" s="161">
        <v>0.3357</v>
      </c>
      <c r="AI41" s="161">
        <v>2.3963999999999999</v>
      </c>
      <c r="AJ41" s="161">
        <v>2.7321</v>
      </c>
      <c r="AK41" s="161">
        <v>13.2904</v>
      </c>
      <c r="AL41" s="150"/>
      <c r="AM41" s="266" t="s">
        <v>10513</v>
      </c>
    </row>
    <row r="42" spans="1:39" ht="14.1" customHeight="1">
      <c r="A42" s="282" t="s">
        <v>10051</v>
      </c>
      <c r="B42" s="149">
        <v>406</v>
      </c>
      <c r="C42" s="282" t="s">
        <v>10052</v>
      </c>
      <c r="D42" s="283" t="s">
        <v>10053</v>
      </c>
      <c r="E42" s="282" t="s">
        <v>1304</v>
      </c>
      <c r="F42" s="282" t="s">
        <v>9942</v>
      </c>
      <c r="G42" s="282" t="s">
        <v>1911</v>
      </c>
      <c r="H42" s="283" t="s">
        <v>10054</v>
      </c>
      <c r="I42" s="284">
        <v>2004</v>
      </c>
      <c r="J42" s="284">
        <v>18720</v>
      </c>
      <c r="K42" s="284">
        <v>2023</v>
      </c>
      <c r="L42" s="285">
        <v>13.0298</v>
      </c>
      <c r="M42" s="282"/>
      <c r="N42" s="285">
        <v>15.761900000000001</v>
      </c>
      <c r="O42" s="285">
        <v>0.20610000000000001</v>
      </c>
      <c r="P42" s="282"/>
      <c r="Q42" s="282"/>
      <c r="R42" s="282"/>
      <c r="S42" s="282"/>
      <c r="T42" s="282"/>
      <c r="U42" s="282"/>
      <c r="V42" s="282"/>
      <c r="W42" s="282"/>
      <c r="X42" s="282"/>
      <c r="Y42" s="282"/>
      <c r="Z42" s="282"/>
      <c r="AA42" s="282"/>
      <c r="AB42" s="282"/>
      <c r="AC42" s="285">
        <v>0.12959999999999999</v>
      </c>
      <c r="AD42" s="282"/>
      <c r="AE42" s="282"/>
      <c r="AF42" s="282"/>
      <c r="AG42" s="282"/>
      <c r="AH42" s="285">
        <v>0.3357</v>
      </c>
      <c r="AI42" s="285">
        <v>2.3963999999999999</v>
      </c>
      <c r="AJ42" s="285">
        <v>2.7321</v>
      </c>
      <c r="AK42" s="285">
        <v>13.0298</v>
      </c>
      <c r="AL42" s="282"/>
      <c r="AM42" s="283" t="s">
        <v>10513</v>
      </c>
    </row>
    <row r="43" spans="1:39" ht="14.1" customHeight="1">
      <c r="A43" s="150" t="s">
        <v>10057</v>
      </c>
      <c r="B43" s="149">
        <v>407</v>
      </c>
      <c r="C43" s="150" t="s">
        <v>10058</v>
      </c>
      <c r="D43" s="266" t="s">
        <v>10059</v>
      </c>
      <c r="E43" s="150" t="s">
        <v>3642</v>
      </c>
      <c r="F43" s="150" t="s">
        <v>9942</v>
      </c>
      <c r="G43" s="150" t="s">
        <v>1911</v>
      </c>
      <c r="H43" s="266" t="s">
        <v>10060</v>
      </c>
      <c r="I43" s="160">
        <v>2021</v>
      </c>
      <c r="J43" s="160">
        <v>329940</v>
      </c>
      <c r="K43" s="160">
        <v>2024</v>
      </c>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266" t="s">
        <v>10514</v>
      </c>
    </row>
    <row r="44" spans="1:39" ht="14.1" customHeight="1">
      <c r="A44" s="282" t="s">
        <v>10063</v>
      </c>
      <c r="B44" s="149">
        <v>584</v>
      </c>
      <c r="C44" s="282" t="s">
        <v>5763</v>
      </c>
      <c r="D44" s="283" t="s">
        <v>10064</v>
      </c>
      <c r="E44" s="282" t="s">
        <v>3642</v>
      </c>
      <c r="F44" s="282" t="s">
        <v>9942</v>
      </c>
      <c r="G44" s="282" t="s">
        <v>1911</v>
      </c>
      <c r="H44" s="283" t="s">
        <v>10065</v>
      </c>
      <c r="I44" s="284">
        <v>2021</v>
      </c>
      <c r="J44" s="284">
        <v>999780</v>
      </c>
      <c r="K44" s="284">
        <v>2023</v>
      </c>
      <c r="L44" s="285">
        <v>12.3992</v>
      </c>
      <c r="M44" s="282"/>
      <c r="N44" s="285">
        <v>12.3992</v>
      </c>
      <c r="O44" s="285">
        <v>0.15049999999999999</v>
      </c>
      <c r="P44" s="285">
        <v>0.10050000000000001</v>
      </c>
      <c r="Q44" s="282"/>
      <c r="R44" s="282"/>
      <c r="S44" s="282"/>
      <c r="T44" s="282"/>
      <c r="U44" s="282"/>
      <c r="V44" s="282"/>
      <c r="W44" s="282"/>
      <c r="X44" s="282"/>
      <c r="Y44" s="285">
        <v>5.33E-2</v>
      </c>
      <c r="Z44" s="282"/>
      <c r="AA44" s="285">
        <v>5.0799999999999998E-2</v>
      </c>
      <c r="AB44" s="285">
        <v>0.1178</v>
      </c>
      <c r="AC44" s="282"/>
      <c r="AD44" s="282"/>
      <c r="AE44" s="282"/>
      <c r="AF44" s="282"/>
      <c r="AG44" s="285">
        <v>8.3999999999999995E-3</v>
      </c>
      <c r="AH44" s="285">
        <v>1.355</v>
      </c>
      <c r="AI44" s="285">
        <v>4.9234</v>
      </c>
      <c r="AJ44" s="285">
        <v>8.2796000000000003</v>
      </c>
      <c r="AK44" s="285">
        <v>4.1196000000000002</v>
      </c>
      <c r="AL44" s="282"/>
      <c r="AM44" s="283" t="s">
        <v>10515</v>
      </c>
    </row>
    <row r="45" spans="1:39" ht="14.1" customHeight="1">
      <c r="A45" s="150" t="s">
        <v>10063</v>
      </c>
      <c r="B45" s="149">
        <v>584</v>
      </c>
      <c r="C45" s="150" t="s">
        <v>5763</v>
      </c>
      <c r="D45" s="266" t="s">
        <v>10064</v>
      </c>
      <c r="E45" s="150" t="s">
        <v>3642</v>
      </c>
      <c r="F45" s="150" t="s">
        <v>9942</v>
      </c>
      <c r="G45" s="150" t="s">
        <v>1911</v>
      </c>
      <c r="H45" s="266" t="s">
        <v>10065</v>
      </c>
      <c r="I45" s="160">
        <v>2021</v>
      </c>
      <c r="J45" s="160">
        <v>999780</v>
      </c>
      <c r="K45" s="160">
        <v>2024</v>
      </c>
      <c r="L45" s="161">
        <v>10.003</v>
      </c>
      <c r="M45" s="150"/>
      <c r="N45" s="161">
        <v>10.003</v>
      </c>
      <c r="O45" s="161">
        <v>0.17199999999999999</v>
      </c>
      <c r="P45" s="161">
        <v>0.1016</v>
      </c>
      <c r="Q45" s="150"/>
      <c r="R45" s="150"/>
      <c r="S45" s="150"/>
      <c r="T45" s="150"/>
      <c r="U45" s="150"/>
      <c r="V45" s="150"/>
      <c r="W45" s="150"/>
      <c r="X45" s="150"/>
      <c r="Y45" s="161">
        <v>0.1205</v>
      </c>
      <c r="Z45" s="150"/>
      <c r="AA45" s="161">
        <v>3.78E-2</v>
      </c>
      <c r="AB45" s="161">
        <v>0.13189999999999999</v>
      </c>
      <c r="AC45" s="150"/>
      <c r="AD45" s="150"/>
      <c r="AE45" s="150"/>
      <c r="AF45" s="150"/>
      <c r="AG45" s="161">
        <v>3.0800000000000001E-2</v>
      </c>
      <c r="AH45" s="161">
        <v>0.79759999999999998</v>
      </c>
      <c r="AI45" s="161">
        <v>4.9977</v>
      </c>
      <c r="AJ45" s="161">
        <v>5.7953000000000001</v>
      </c>
      <c r="AK45" s="161">
        <v>4.2077</v>
      </c>
      <c r="AL45" s="150"/>
      <c r="AM45" s="266" t="s">
        <v>10516</v>
      </c>
    </row>
    <row r="46" spans="1:39" ht="14.1" customHeight="1">
      <c r="A46" s="282" t="s">
        <v>10067</v>
      </c>
      <c r="B46" s="149">
        <v>210</v>
      </c>
      <c r="C46" s="282" t="s">
        <v>10068</v>
      </c>
      <c r="D46" s="283" t="s">
        <v>10069</v>
      </c>
      <c r="E46" s="282" t="s">
        <v>3642</v>
      </c>
      <c r="F46" s="282" t="s">
        <v>9942</v>
      </c>
      <c r="G46" s="282" t="s">
        <v>1911</v>
      </c>
      <c r="H46" s="283" t="s">
        <v>10070</v>
      </c>
      <c r="I46" s="284">
        <v>1999</v>
      </c>
      <c r="J46" s="284">
        <v>90000</v>
      </c>
      <c r="K46" s="284">
        <v>2023</v>
      </c>
      <c r="L46" s="285">
        <v>10.5459</v>
      </c>
      <c r="M46" s="282"/>
      <c r="N46" s="285">
        <v>13.759399999999999</v>
      </c>
      <c r="O46" s="285">
        <v>0.17599999999999999</v>
      </c>
      <c r="P46" s="285">
        <v>0.51600000000000001</v>
      </c>
      <c r="Q46" s="285">
        <v>4.41E-2</v>
      </c>
      <c r="R46" s="282"/>
      <c r="S46" s="285">
        <v>0.30320000000000003</v>
      </c>
      <c r="T46" s="285">
        <v>7.3099999999999998E-2</v>
      </c>
      <c r="U46" s="282"/>
      <c r="V46" s="282"/>
      <c r="W46" s="282"/>
      <c r="X46" s="285">
        <v>0.25790000000000002</v>
      </c>
      <c r="Y46" s="285">
        <v>0.67830000000000001</v>
      </c>
      <c r="Z46" s="285">
        <v>1.03E-2</v>
      </c>
      <c r="AA46" s="285">
        <v>5.3100000000000001E-2</v>
      </c>
      <c r="AB46" s="285">
        <v>0.12520000000000001</v>
      </c>
      <c r="AC46" s="285">
        <v>0.18859999999999999</v>
      </c>
      <c r="AD46" s="285">
        <v>0.15740000000000001</v>
      </c>
      <c r="AE46" s="285">
        <v>6.2100000000000002E-2</v>
      </c>
      <c r="AF46" s="285">
        <v>0.21959999999999999</v>
      </c>
      <c r="AG46" s="282"/>
      <c r="AH46" s="285">
        <v>1.8053999999999999</v>
      </c>
      <c r="AI46" s="285">
        <v>3.1511</v>
      </c>
      <c r="AJ46" s="285">
        <v>4.9565000000000001</v>
      </c>
      <c r="AK46" s="285">
        <v>8.8028999999999993</v>
      </c>
      <c r="AL46" s="282"/>
      <c r="AM46" s="283" t="s">
        <v>10517</v>
      </c>
    </row>
    <row r="47" spans="1:39" ht="14.1" customHeight="1">
      <c r="A47" s="150" t="s">
        <v>10067</v>
      </c>
      <c r="B47" s="149">
        <v>210</v>
      </c>
      <c r="C47" s="150" t="s">
        <v>10068</v>
      </c>
      <c r="D47" s="266" t="s">
        <v>10069</v>
      </c>
      <c r="E47" s="150" t="s">
        <v>3642</v>
      </c>
      <c r="F47" s="150" t="s">
        <v>9942</v>
      </c>
      <c r="G47" s="150" t="s">
        <v>1911</v>
      </c>
      <c r="H47" s="266" t="s">
        <v>10070</v>
      </c>
      <c r="I47" s="160">
        <v>1999</v>
      </c>
      <c r="J47" s="160">
        <v>90000</v>
      </c>
      <c r="K47" s="160">
        <v>2024</v>
      </c>
      <c r="L47" s="161">
        <v>10.132300000000001</v>
      </c>
      <c r="M47" s="150"/>
      <c r="N47" s="161">
        <v>14.5242</v>
      </c>
      <c r="O47" s="161">
        <v>0.1757</v>
      </c>
      <c r="P47" s="161">
        <v>0.72499999999999998</v>
      </c>
      <c r="Q47" s="161">
        <v>6.8999999999999999E-3</v>
      </c>
      <c r="R47" s="150"/>
      <c r="S47" s="161">
        <v>0.39960000000000001</v>
      </c>
      <c r="T47" s="161">
        <v>8.6999999999999994E-2</v>
      </c>
      <c r="U47" s="150"/>
      <c r="V47" s="150"/>
      <c r="W47" s="150"/>
      <c r="X47" s="161">
        <v>0.2445</v>
      </c>
      <c r="Y47" s="161">
        <v>0.73799999999999999</v>
      </c>
      <c r="Z47" s="161">
        <v>1.3100000000000001E-2</v>
      </c>
      <c r="AA47" s="161">
        <v>4.9599999999999998E-2</v>
      </c>
      <c r="AB47" s="161">
        <v>0.1661</v>
      </c>
      <c r="AC47" s="161">
        <v>0.2288</v>
      </c>
      <c r="AD47" s="161">
        <v>0.17480000000000001</v>
      </c>
      <c r="AE47" s="161">
        <v>6.3700000000000007E-2</v>
      </c>
      <c r="AF47" s="161">
        <v>0.23849999999999999</v>
      </c>
      <c r="AG47" s="150"/>
      <c r="AH47" s="161">
        <v>1.7608999999999999</v>
      </c>
      <c r="AI47" s="161">
        <v>3.2332000000000001</v>
      </c>
      <c r="AJ47" s="161">
        <v>4.9941000000000004</v>
      </c>
      <c r="AK47" s="161">
        <v>9.3635999999999999</v>
      </c>
      <c r="AL47" s="150"/>
      <c r="AM47" s="266" t="s">
        <v>10518</v>
      </c>
    </row>
    <row r="48" spans="1:39" ht="14.1" customHeight="1">
      <c r="A48" s="282" t="s">
        <v>10074</v>
      </c>
      <c r="B48" s="149">
        <v>210</v>
      </c>
      <c r="C48" s="282" t="s">
        <v>10075</v>
      </c>
      <c r="D48" s="283" t="s">
        <v>10076</v>
      </c>
      <c r="E48" s="282" t="s">
        <v>3966</v>
      </c>
      <c r="F48" s="282" t="s">
        <v>9942</v>
      </c>
      <c r="G48" s="282" t="s">
        <v>1911</v>
      </c>
      <c r="H48" s="283" t="s">
        <v>10077</v>
      </c>
      <c r="I48" s="284"/>
      <c r="J48" s="284"/>
      <c r="K48" s="284">
        <v>2024</v>
      </c>
      <c r="L48" s="287">
        <v>548918</v>
      </c>
      <c r="M48" s="282"/>
      <c r="N48" s="287">
        <v>766859</v>
      </c>
      <c r="O48" s="287">
        <v>23025</v>
      </c>
      <c r="P48" s="282"/>
      <c r="Q48" s="282"/>
      <c r="R48" s="282"/>
      <c r="S48" s="282"/>
      <c r="T48" s="282"/>
      <c r="U48" s="282"/>
      <c r="V48" s="282"/>
      <c r="W48" s="282"/>
      <c r="X48" s="282"/>
      <c r="Y48" s="282"/>
      <c r="Z48" s="282"/>
      <c r="AA48" s="282"/>
      <c r="AB48" s="282"/>
      <c r="AC48" s="282"/>
      <c r="AD48" s="287">
        <v>7986</v>
      </c>
      <c r="AE48" s="287">
        <v>33669</v>
      </c>
      <c r="AF48" s="287">
        <v>41655</v>
      </c>
      <c r="AG48" s="282"/>
      <c r="AH48" s="282"/>
      <c r="AI48" s="287">
        <v>129107</v>
      </c>
      <c r="AJ48" s="287">
        <v>250157</v>
      </c>
      <c r="AK48" s="287">
        <v>374789</v>
      </c>
      <c r="AL48" s="282"/>
      <c r="AM48" s="283" t="s">
        <v>10658</v>
      </c>
    </row>
    <row r="49" spans="1:39" ht="14.1" customHeight="1">
      <c r="A49" s="150" t="s">
        <v>10080</v>
      </c>
      <c r="B49" s="149">
        <v>407</v>
      </c>
      <c r="C49" s="150" t="s">
        <v>10081</v>
      </c>
      <c r="D49" s="266" t="s">
        <v>10082</v>
      </c>
      <c r="E49" s="150" t="s">
        <v>3966</v>
      </c>
      <c r="F49" s="150" t="s">
        <v>9942</v>
      </c>
      <c r="G49" s="150" t="s">
        <v>1911</v>
      </c>
      <c r="H49" s="266" t="s">
        <v>10083</v>
      </c>
      <c r="I49" s="160"/>
      <c r="J49" s="160">
        <v>155033</v>
      </c>
      <c r="K49" s="160">
        <v>2023</v>
      </c>
      <c r="L49" s="161">
        <v>6.2561999999999998</v>
      </c>
      <c r="M49" s="150"/>
      <c r="N49" s="161">
        <v>6.2460000000000004</v>
      </c>
      <c r="O49" s="161">
        <v>0.13189999999999999</v>
      </c>
      <c r="P49" s="161">
        <v>0.19320000000000001</v>
      </c>
      <c r="Q49" s="150"/>
      <c r="R49" s="150"/>
      <c r="S49" s="150"/>
      <c r="T49" s="150"/>
      <c r="U49" s="150"/>
      <c r="V49" s="150"/>
      <c r="W49" s="150"/>
      <c r="X49" s="150"/>
      <c r="Y49" s="150"/>
      <c r="Z49" s="150"/>
      <c r="AA49" s="161">
        <v>2.5700000000000001E-2</v>
      </c>
      <c r="AB49" s="150"/>
      <c r="AC49" s="150"/>
      <c r="AD49" s="161">
        <v>0.24490000000000001</v>
      </c>
      <c r="AE49" s="161">
        <v>8.8499999999999995E-2</v>
      </c>
      <c r="AF49" s="161">
        <v>0.33339999999999997</v>
      </c>
      <c r="AG49" s="150"/>
      <c r="AH49" s="161">
        <v>1.9053</v>
      </c>
      <c r="AI49" s="161">
        <v>0.5968</v>
      </c>
      <c r="AJ49" s="161">
        <v>2.5021</v>
      </c>
      <c r="AK49" s="161">
        <v>3.7439</v>
      </c>
      <c r="AL49" s="150"/>
      <c r="AM49" s="266" t="s">
        <v>10520</v>
      </c>
    </row>
    <row r="50" spans="1:39" ht="14.1" customHeight="1">
      <c r="A50" s="282" t="s">
        <v>10080</v>
      </c>
      <c r="B50" s="149">
        <v>407</v>
      </c>
      <c r="C50" s="282" t="s">
        <v>10081</v>
      </c>
      <c r="D50" s="283" t="s">
        <v>10082</v>
      </c>
      <c r="E50" s="282" t="s">
        <v>3966</v>
      </c>
      <c r="F50" s="282" t="s">
        <v>9942</v>
      </c>
      <c r="G50" s="282" t="s">
        <v>1911</v>
      </c>
      <c r="H50" s="283" t="s">
        <v>10083</v>
      </c>
      <c r="I50" s="284"/>
      <c r="J50" s="284">
        <v>155033</v>
      </c>
      <c r="K50" s="284">
        <v>2024</v>
      </c>
      <c r="L50" s="285">
        <v>6.5223000000000004</v>
      </c>
      <c r="M50" s="282"/>
      <c r="N50" s="285">
        <v>6.5223000000000004</v>
      </c>
      <c r="O50" s="285">
        <v>0.183</v>
      </c>
      <c r="P50" s="285">
        <v>0.18940000000000001</v>
      </c>
      <c r="Q50" s="282"/>
      <c r="R50" s="282"/>
      <c r="S50" s="282"/>
      <c r="T50" s="282"/>
      <c r="U50" s="282"/>
      <c r="V50" s="282"/>
      <c r="W50" s="282"/>
      <c r="X50" s="282"/>
      <c r="Y50" s="282"/>
      <c r="Z50" s="282"/>
      <c r="AA50" s="282"/>
      <c r="AB50" s="282"/>
      <c r="AC50" s="282"/>
      <c r="AD50" s="285">
        <v>0.23649999999999999</v>
      </c>
      <c r="AE50" s="285">
        <v>0.1764</v>
      </c>
      <c r="AF50" s="285">
        <v>0.41289999999999999</v>
      </c>
      <c r="AG50" s="282"/>
      <c r="AH50" s="285">
        <v>1.7081999999999999</v>
      </c>
      <c r="AI50" s="285">
        <v>0.77990000000000004</v>
      </c>
      <c r="AJ50" s="285">
        <v>2.4881000000000002</v>
      </c>
      <c r="AK50" s="285">
        <v>4.0342000000000002</v>
      </c>
      <c r="AL50" s="282"/>
      <c r="AM50" s="283" t="s">
        <v>10521</v>
      </c>
    </row>
    <row r="51" spans="1:39" ht="14.1" customHeight="1">
      <c r="A51" s="150" t="s">
        <v>10085</v>
      </c>
      <c r="B51" s="149">
        <v>407</v>
      </c>
      <c r="C51" s="150" t="s">
        <v>10086</v>
      </c>
      <c r="D51" s="266" t="s">
        <v>10087</v>
      </c>
      <c r="E51" s="150" t="s">
        <v>3966</v>
      </c>
      <c r="F51" s="150" t="s">
        <v>9942</v>
      </c>
      <c r="G51" s="150" t="s">
        <v>1911</v>
      </c>
      <c r="H51" s="266" t="s">
        <v>10083</v>
      </c>
      <c r="I51" s="160"/>
      <c r="J51" s="160">
        <v>200000</v>
      </c>
      <c r="K51" s="160">
        <v>2023</v>
      </c>
      <c r="L51" s="161">
        <v>6.9558</v>
      </c>
      <c r="M51" s="150"/>
      <c r="N51" s="161">
        <v>6.7858000000000001</v>
      </c>
      <c r="O51" s="161">
        <v>0.02</v>
      </c>
      <c r="P51" s="150"/>
      <c r="Q51" s="150"/>
      <c r="R51" s="150"/>
      <c r="S51" s="150"/>
      <c r="T51" s="150"/>
      <c r="U51" s="150"/>
      <c r="V51" s="150"/>
      <c r="W51" s="150"/>
      <c r="X51" s="150"/>
      <c r="Y51" s="150"/>
      <c r="Z51" s="150"/>
      <c r="AA51" s="150"/>
      <c r="AB51" s="150"/>
      <c r="AC51" s="150"/>
      <c r="AD51" s="150"/>
      <c r="AE51" s="161">
        <v>1.21E-2</v>
      </c>
      <c r="AF51" s="161">
        <v>1.21E-2</v>
      </c>
      <c r="AG51" s="150"/>
      <c r="AH51" s="161">
        <v>1.179</v>
      </c>
      <c r="AI51" s="161">
        <v>1.7399999999999999E-2</v>
      </c>
      <c r="AJ51" s="161">
        <v>1.1963999999999999</v>
      </c>
      <c r="AK51" s="161">
        <v>5.5895000000000001</v>
      </c>
      <c r="AL51" s="150"/>
      <c r="AM51" s="266" t="s">
        <v>10522</v>
      </c>
    </row>
    <row r="52" spans="1:39" ht="14.1" customHeight="1">
      <c r="A52" s="282" t="s">
        <v>10089</v>
      </c>
      <c r="B52" s="149">
        <v>210</v>
      </c>
      <c r="C52" s="282" t="s">
        <v>10090</v>
      </c>
      <c r="D52" s="283" t="s">
        <v>10091</v>
      </c>
      <c r="E52" s="282" t="s">
        <v>3966</v>
      </c>
      <c r="F52" s="282" t="s">
        <v>9942</v>
      </c>
      <c r="G52" s="282" t="s">
        <v>1911</v>
      </c>
      <c r="H52" s="283" t="s">
        <v>10092</v>
      </c>
      <c r="I52" s="284"/>
      <c r="J52" s="284">
        <v>159047</v>
      </c>
      <c r="K52" s="284">
        <v>2023</v>
      </c>
      <c r="L52" s="282"/>
      <c r="M52" s="282"/>
      <c r="N52" s="285">
        <v>13.494400000000001</v>
      </c>
      <c r="O52" s="282"/>
      <c r="P52" s="285">
        <v>3.6700000000000003E-2</v>
      </c>
      <c r="Q52" s="282"/>
      <c r="R52" s="282"/>
      <c r="S52" s="282"/>
      <c r="T52" s="282"/>
      <c r="U52" s="282"/>
      <c r="V52" s="282"/>
      <c r="W52" s="282"/>
      <c r="X52" s="282"/>
      <c r="Y52" s="282"/>
      <c r="Z52" s="282"/>
      <c r="AA52" s="282"/>
      <c r="AB52" s="285">
        <v>1.77E-2</v>
      </c>
      <c r="AC52" s="282"/>
      <c r="AD52" s="282"/>
      <c r="AE52" s="282"/>
      <c r="AF52" s="282"/>
      <c r="AG52" s="282"/>
      <c r="AH52" s="282"/>
      <c r="AI52" s="282"/>
      <c r="AJ52" s="285">
        <v>6.3823999999999996</v>
      </c>
      <c r="AK52" s="285">
        <v>7.1120000000000001</v>
      </c>
      <c r="AL52" s="282"/>
      <c r="AM52" s="283" t="s">
        <v>10523</v>
      </c>
    </row>
    <row r="53" spans="1:39" ht="14.1" customHeight="1">
      <c r="A53" s="150" t="s">
        <v>10089</v>
      </c>
      <c r="B53" s="149">
        <v>210</v>
      </c>
      <c r="C53" s="150" t="s">
        <v>10090</v>
      </c>
      <c r="D53" s="266" t="s">
        <v>10091</v>
      </c>
      <c r="E53" s="150" t="s">
        <v>3966</v>
      </c>
      <c r="F53" s="150" t="s">
        <v>9942</v>
      </c>
      <c r="G53" s="150" t="s">
        <v>1911</v>
      </c>
      <c r="H53" s="266" t="s">
        <v>10092</v>
      </c>
      <c r="I53" s="160"/>
      <c r="J53" s="160">
        <v>159047</v>
      </c>
      <c r="K53" s="160">
        <v>2024</v>
      </c>
      <c r="L53" s="150"/>
      <c r="M53" s="150"/>
      <c r="N53" s="161">
        <v>13.507</v>
      </c>
      <c r="O53" s="150"/>
      <c r="P53" s="150"/>
      <c r="Q53" s="150"/>
      <c r="R53" s="150"/>
      <c r="S53" s="150"/>
      <c r="T53" s="150"/>
      <c r="U53" s="150"/>
      <c r="V53" s="150"/>
      <c r="W53" s="150"/>
      <c r="X53" s="150"/>
      <c r="Y53" s="150"/>
      <c r="Z53" s="150"/>
      <c r="AA53" s="150"/>
      <c r="AB53" s="161">
        <v>1.77E-2</v>
      </c>
      <c r="AC53" s="150"/>
      <c r="AD53" s="150"/>
      <c r="AE53" s="150"/>
      <c r="AF53" s="150"/>
      <c r="AG53" s="150"/>
      <c r="AH53" s="150"/>
      <c r="AI53" s="150"/>
      <c r="AJ53" s="161">
        <v>7.3989000000000003</v>
      </c>
      <c r="AK53" s="161">
        <v>6.1082000000000001</v>
      </c>
      <c r="AL53" s="150"/>
      <c r="AM53" s="266" t="s">
        <v>10523</v>
      </c>
    </row>
    <row r="54" spans="1:39" ht="14.1" customHeight="1">
      <c r="A54" s="282" t="s">
        <v>10094</v>
      </c>
      <c r="B54" s="149">
        <v>406</v>
      </c>
      <c r="C54" s="282" t="s">
        <v>3084</v>
      </c>
      <c r="D54" s="283" t="s">
        <v>10095</v>
      </c>
      <c r="E54" s="282" t="s">
        <v>3642</v>
      </c>
      <c r="F54" s="282" t="s">
        <v>9942</v>
      </c>
      <c r="G54" s="282" t="s">
        <v>1911</v>
      </c>
      <c r="H54" s="283" t="s">
        <v>10096</v>
      </c>
      <c r="I54" s="284"/>
      <c r="J54" s="284">
        <v>29512</v>
      </c>
      <c r="K54" s="284">
        <v>2024</v>
      </c>
      <c r="L54" s="282"/>
      <c r="M54" s="282"/>
      <c r="N54" s="285">
        <v>14.213100000000001</v>
      </c>
      <c r="O54" s="285">
        <v>0.15</v>
      </c>
      <c r="P54" s="285">
        <v>0.3553</v>
      </c>
      <c r="Q54" s="282"/>
      <c r="R54" s="282"/>
      <c r="S54" s="282"/>
      <c r="T54" s="282"/>
      <c r="U54" s="282"/>
      <c r="V54" s="282"/>
      <c r="W54" s="282"/>
      <c r="X54" s="285">
        <v>0.55000000000000004</v>
      </c>
      <c r="Y54" s="285">
        <v>0.55000000000000004</v>
      </c>
      <c r="Z54" s="282"/>
      <c r="AA54" s="282"/>
      <c r="AB54" s="282"/>
      <c r="AC54" s="282"/>
      <c r="AD54" s="282"/>
      <c r="AE54" s="282"/>
      <c r="AF54" s="285">
        <v>0.25</v>
      </c>
      <c r="AG54" s="285">
        <v>0.5</v>
      </c>
      <c r="AH54" s="285">
        <v>2.0053000000000001</v>
      </c>
      <c r="AI54" s="285">
        <v>3.3149999999999999</v>
      </c>
      <c r="AJ54" s="285">
        <v>5.3202999999999996</v>
      </c>
      <c r="AK54" s="285">
        <v>8.8927999999999994</v>
      </c>
      <c r="AL54" s="285">
        <v>0.2</v>
      </c>
      <c r="AM54" s="283" t="s">
        <v>10524</v>
      </c>
    </row>
    <row r="55" spans="1:39" ht="14.1" customHeight="1">
      <c r="A55" s="150" t="s">
        <v>10074</v>
      </c>
      <c r="B55" s="149">
        <v>210</v>
      </c>
      <c r="C55" s="150" t="s">
        <v>10075</v>
      </c>
      <c r="D55" s="266" t="s">
        <v>10076</v>
      </c>
      <c r="E55" s="150" t="s">
        <v>3966</v>
      </c>
      <c r="F55" s="150" t="s">
        <v>9942</v>
      </c>
      <c r="G55" s="150" t="s">
        <v>1911</v>
      </c>
      <c r="H55" s="266" t="s">
        <v>10077</v>
      </c>
      <c r="I55" s="160">
        <v>1998</v>
      </c>
      <c r="J55" s="160">
        <v>123603</v>
      </c>
      <c r="K55" s="160">
        <v>2021</v>
      </c>
      <c r="L55" s="150"/>
      <c r="M55" s="150"/>
      <c r="N55" s="150"/>
      <c r="O55" s="161">
        <v>8.3900000000000002E-2</v>
      </c>
      <c r="P55" s="161">
        <v>0.35099999999999998</v>
      </c>
      <c r="Q55" s="150"/>
      <c r="R55" s="150"/>
      <c r="S55" s="150"/>
      <c r="T55" s="150"/>
      <c r="U55" s="150"/>
      <c r="V55" s="150"/>
      <c r="W55" s="150"/>
      <c r="X55" s="150"/>
      <c r="Y55" s="150"/>
      <c r="Z55" s="150"/>
      <c r="AA55" s="150"/>
      <c r="AB55" s="150"/>
      <c r="AC55" s="161">
        <v>0.71699999999999997</v>
      </c>
      <c r="AD55" s="150"/>
      <c r="AE55" s="150"/>
      <c r="AF55" s="161">
        <v>0.29980000000000001</v>
      </c>
      <c r="AG55" s="150"/>
      <c r="AH55" s="161">
        <v>1.4518</v>
      </c>
      <c r="AI55" s="161">
        <v>2.3391999999999999</v>
      </c>
      <c r="AJ55" s="161">
        <v>3.7909999999999999</v>
      </c>
      <c r="AK55" s="150"/>
      <c r="AL55" s="150"/>
      <c r="AM55" s="266" t="s">
        <v>10525</v>
      </c>
    </row>
    <row r="56" spans="1:39" ht="14.1" customHeight="1">
      <c r="A56" s="282" t="s">
        <v>10074</v>
      </c>
      <c r="B56" s="149">
        <v>210</v>
      </c>
      <c r="C56" s="282" t="s">
        <v>10075</v>
      </c>
      <c r="D56" s="283" t="s">
        <v>10076</v>
      </c>
      <c r="E56" s="282" t="s">
        <v>3966</v>
      </c>
      <c r="F56" s="282" t="s">
        <v>9942</v>
      </c>
      <c r="G56" s="282" t="s">
        <v>1911</v>
      </c>
      <c r="H56" s="283" t="s">
        <v>10077</v>
      </c>
      <c r="I56" s="284">
        <v>1998</v>
      </c>
      <c r="J56" s="284">
        <v>123603</v>
      </c>
      <c r="K56" s="284">
        <v>2022</v>
      </c>
      <c r="L56" s="282"/>
      <c r="M56" s="282"/>
      <c r="N56" s="282"/>
      <c r="O56" s="285">
        <v>8.9300000000000004E-2</v>
      </c>
      <c r="P56" s="285">
        <v>0.3221</v>
      </c>
      <c r="Q56" s="282"/>
      <c r="R56" s="282"/>
      <c r="S56" s="282"/>
      <c r="T56" s="282"/>
      <c r="U56" s="282"/>
      <c r="V56" s="282"/>
      <c r="W56" s="282"/>
      <c r="X56" s="282"/>
      <c r="Y56" s="282"/>
      <c r="Z56" s="282"/>
      <c r="AA56" s="282"/>
      <c r="AB56" s="282"/>
      <c r="AC56" s="285">
        <v>0.74390000000000001</v>
      </c>
      <c r="AD56" s="282"/>
      <c r="AE56" s="282"/>
      <c r="AF56" s="285">
        <v>0.31119999999999998</v>
      </c>
      <c r="AG56" s="282"/>
      <c r="AH56" s="285">
        <v>1.4663999999999999</v>
      </c>
      <c r="AI56" s="285">
        <v>2.5796000000000001</v>
      </c>
      <c r="AJ56" s="285">
        <v>4.0460000000000003</v>
      </c>
      <c r="AK56" s="282"/>
      <c r="AL56" s="282"/>
      <c r="AM56" s="283" t="s">
        <v>10525</v>
      </c>
    </row>
    <row r="57" spans="1:39" ht="14.1" customHeight="1">
      <c r="A57" s="150" t="s">
        <v>10085</v>
      </c>
      <c r="B57" s="149">
        <v>407</v>
      </c>
      <c r="C57" s="150" t="s">
        <v>10086</v>
      </c>
      <c r="D57" s="266" t="s">
        <v>10087</v>
      </c>
      <c r="E57" s="150" t="s">
        <v>3966</v>
      </c>
      <c r="F57" s="150" t="s">
        <v>9942</v>
      </c>
      <c r="G57" s="150" t="s">
        <v>1911</v>
      </c>
      <c r="H57" s="266" t="s">
        <v>10083</v>
      </c>
      <c r="I57" s="160">
        <v>1998</v>
      </c>
      <c r="J57" s="160">
        <v>199962</v>
      </c>
      <c r="K57" s="160">
        <v>2019</v>
      </c>
      <c r="L57" s="150"/>
      <c r="M57" s="150"/>
      <c r="N57" s="150"/>
      <c r="O57" s="161">
        <v>4.2299999999999997E-2</v>
      </c>
      <c r="P57" s="161">
        <v>0.13100000000000001</v>
      </c>
      <c r="Q57" s="150"/>
      <c r="R57" s="150"/>
      <c r="S57" s="150"/>
      <c r="T57" s="150"/>
      <c r="U57" s="150"/>
      <c r="V57" s="150"/>
      <c r="W57" s="150"/>
      <c r="X57" s="150"/>
      <c r="Y57" s="150"/>
      <c r="Z57" s="150"/>
      <c r="AA57" s="150"/>
      <c r="AB57" s="150"/>
      <c r="AC57" s="161">
        <v>1.3087</v>
      </c>
      <c r="AD57" s="150"/>
      <c r="AE57" s="150"/>
      <c r="AF57" s="150"/>
      <c r="AG57" s="150"/>
      <c r="AH57" s="161">
        <v>1.482</v>
      </c>
      <c r="AI57" s="161">
        <v>2.4741</v>
      </c>
      <c r="AJ57" s="161">
        <v>3.9561000000000002</v>
      </c>
      <c r="AK57" s="150"/>
      <c r="AL57" s="150"/>
      <c r="AM57" s="266" t="s">
        <v>10525</v>
      </c>
    </row>
    <row r="58" spans="1:39" ht="14.1" customHeight="1">
      <c r="A58" s="282" t="s">
        <v>10085</v>
      </c>
      <c r="B58" s="149">
        <v>407</v>
      </c>
      <c r="C58" s="282" t="s">
        <v>10086</v>
      </c>
      <c r="D58" s="283" t="s">
        <v>10087</v>
      </c>
      <c r="E58" s="282" t="s">
        <v>3966</v>
      </c>
      <c r="F58" s="282" t="s">
        <v>9942</v>
      </c>
      <c r="G58" s="282" t="s">
        <v>1911</v>
      </c>
      <c r="H58" s="283" t="s">
        <v>10083</v>
      </c>
      <c r="I58" s="284">
        <v>1998</v>
      </c>
      <c r="J58" s="284">
        <v>199962</v>
      </c>
      <c r="K58" s="284">
        <v>2020</v>
      </c>
      <c r="L58" s="282"/>
      <c r="M58" s="282"/>
      <c r="N58" s="282"/>
      <c r="O58" s="285">
        <v>4.8399999999999999E-2</v>
      </c>
      <c r="P58" s="285">
        <v>0.13320000000000001</v>
      </c>
      <c r="Q58" s="282"/>
      <c r="R58" s="282"/>
      <c r="S58" s="282"/>
      <c r="T58" s="282"/>
      <c r="U58" s="282"/>
      <c r="V58" s="282"/>
      <c r="W58" s="282"/>
      <c r="X58" s="282"/>
      <c r="Y58" s="282"/>
      <c r="Z58" s="282"/>
      <c r="AA58" s="282"/>
      <c r="AB58" s="282"/>
      <c r="AC58" s="285">
        <v>0.72419999999999995</v>
      </c>
      <c r="AD58" s="282"/>
      <c r="AE58" s="282"/>
      <c r="AF58" s="282"/>
      <c r="AG58" s="282"/>
      <c r="AH58" s="285">
        <v>0.90580000000000005</v>
      </c>
      <c r="AI58" s="285">
        <v>2.0783999999999998</v>
      </c>
      <c r="AJ58" s="285">
        <v>2.9841000000000002</v>
      </c>
      <c r="AK58" s="282"/>
      <c r="AL58" s="282"/>
      <c r="AM58" s="283" t="s">
        <v>10525</v>
      </c>
    </row>
    <row r="59" spans="1:39" ht="14.1" customHeight="1">
      <c r="A59" s="150" t="s">
        <v>10089</v>
      </c>
      <c r="B59" s="149">
        <v>210</v>
      </c>
      <c r="C59" s="150" t="s">
        <v>10090</v>
      </c>
      <c r="D59" s="266" t="s">
        <v>10091</v>
      </c>
      <c r="E59" s="150" t="s">
        <v>3966</v>
      </c>
      <c r="F59" s="150" t="s">
        <v>9942</v>
      </c>
      <c r="G59" s="150" t="s">
        <v>1911</v>
      </c>
      <c r="H59" s="266" t="s">
        <v>10092</v>
      </c>
      <c r="I59" s="160">
        <v>2017</v>
      </c>
      <c r="J59" s="160">
        <v>159047</v>
      </c>
      <c r="K59" s="160">
        <v>2021</v>
      </c>
      <c r="L59" s="150"/>
      <c r="M59" s="150"/>
      <c r="N59" s="150"/>
      <c r="O59" s="161">
        <v>9.5600000000000004E-2</v>
      </c>
      <c r="P59" s="161">
        <v>0.33789999999999998</v>
      </c>
      <c r="Q59" s="150"/>
      <c r="R59" s="150"/>
      <c r="S59" s="150"/>
      <c r="T59" s="150"/>
      <c r="U59" s="150"/>
      <c r="V59" s="150"/>
      <c r="W59" s="150"/>
      <c r="X59" s="150"/>
      <c r="Y59" s="150"/>
      <c r="Z59" s="150"/>
      <c r="AA59" s="150"/>
      <c r="AB59" s="150"/>
      <c r="AC59" s="161">
        <v>0.37669999999999998</v>
      </c>
      <c r="AD59" s="150"/>
      <c r="AE59" s="150"/>
      <c r="AF59" s="161">
        <v>0.2913</v>
      </c>
      <c r="AG59" s="150"/>
      <c r="AH59" s="161">
        <v>1.1014999999999999</v>
      </c>
      <c r="AI59" s="161">
        <v>3.4893000000000001</v>
      </c>
      <c r="AJ59" s="161">
        <v>4.5907999999999998</v>
      </c>
      <c r="AK59" s="150"/>
      <c r="AL59" s="150"/>
      <c r="AM59" s="266" t="s">
        <v>10525</v>
      </c>
    </row>
    <row r="60" spans="1:39" ht="14.1" customHeight="1">
      <c r="A60" s="282" t="s">
        <v>10089</v>
      </c>
      <c r="B60" s="149">
        <v>210</v>
      </c>
      <c r="C60" s="282" t="s">
        <v>10090</v>
      </c>
      <c r="D60" s="283" t="s">
        <v>10091</v>
      </c>
      <c r="E60" s="282" t="s">
        <v>3966</v>
      </c>
      <c r="F60" s="282" t="s">
        <v>9942</v>
      </c>
      <c r="G60" s="282" t="s">
        <v>1911</v>
      </c>
      <c r="H60" s="283" t="s">
        <v>10092</v>
      </c>
      <c r="I60" s="284">
        <v>2017</v>
      </c>
      <c r="J60" s="284">
        <v>159047</v>
      </c>
      <c r="K60" s="284">
        <v>2022</v>
      </c>
      <c r="L60" s="282"/>
      <c r="M60" s="282"/>
      <c r="N60" s="282"/>
      <c r="O60" s="285">
        <v>0.1017</v>
      </c>
      <c r="P60" s="285">
        <v>0.31019999999999998</v>
      </c>
      <c r="Q60" s="282"/>
      <c r="R60" s="282"/>
      <c r="S60" s="282"/>
      <c r="T60" s="282"/>
      <c r="U60" s="282"/>
      <c r="V60" s="282"/>
      <c r="W60" s="282"/>
      <c r="X60" s="282"/>
      <c r="Y60" s="282"/>
      <c r="Z60" s="282"/>
      <c r="AA60" s="282"/>
      <c r="AB60" s="282"/>
      <c r="AC60" s="285">
        <v>0.33529999999999999</v>
      </c>
      <c r="AD60" s="282"/>
      <c r="AE60" s="282"/>
      <c r="AF60" s="285">
        <v>0.32319999999999999</v>
      </c>
      <c r="AG60" s="282"/>
      <c r="AH60" s="285">
        <v>1.0704</v>
      </c>
      <c r="AI60" s="285">
        <v>2.9479000000000002</v>
      </c>
      <c r="AJ60" s="285">
        <v>4.0183</v>
      </c>
      <c r="AK60" s="282"/>
      <c r="AL60" s="282"/>
      <c r="AM60" s="283" t="s">
        <v>10525</v>
      </c>
    </row>
    <row r="61" spans="1:39" ht="14.1" customHeight="1">
      <c r="A61" s="150" t="s">
        <v>10099</v>
      </c>
      <c r="B61" s="149">
        <v>407</v>
      </c>
      <c r="C61" s="150" t="s">
        <v>10100</v>
      </c>
      <c r="D61" s="266" t="s">
        <v>10101</v>
      </c>
      <c r="E61" s="150" t="s">
        <v>3642</v>
      </c>
      <c r="F61" s="150" t="s">
        <v>9942</v>
      </c>
      <c r="G61" s="150" t="s">
        <v>1911</v>
      </c>
      <c r="H61" s="266" t="s">
        <v>10102</v>
      </c>
      <c r="I61" s="160">
        <v>2001</v>
      </c>
      <c r="J61" s="160">
        <v>200094</v>
      </c>
      <c r="K61" s="160">
        <v>2021</v>
      </c>
      <c r="L61" s="150"/>
      <c r="M61" s="150"/>
      <c r="N61" s="150"/>
      <c r="O61" s="161">
        <v>7.1499999999999994E-2</v>
      </c>
      <c r="P61" s="161">
        <v>0.2651</v>
      </c>
      <c r="Q61" s="150"/>
      <c r="R61" s="150"/>
      <c r="S61" s="150"/>
      <c r="T61" s="150"/>
      <c r="U61" s="150"/>
      <c r="V61" s="150"/>
      <c r="W61" s="150"/>
      <c r="X61" s="150"/>
      <c r="Y61" s="150"/>
      <c r="Z61" s="150"/>
      <c r="AA61" s="150"/>
      <c r="AB61" s="150"/>
      <c r="AC61" s="161">
        <v>0.49</v>
      </c>
      <c r="AD61" s="150"/>
      <c r="AE61" s="150"/>
      <c r="AF61" s="161">
        <v>0.35389999999999999</v>
      </c>
      <c r="AG61" s="150"/>
      <c r="AH61" s="161">
        <v>1.1805000000000001</v>
      </c>
      <c r="AI61" s="161">
        <v>2.8519000000000001</v>
      </c>
      <c r="AJ61" s="161">
        <v>4.0324</v>
      </c>
      <c r="AK61" s="150"/>
      <c r="AL61" s="150"/>
      <c r="AM61" s="266" t="s">
        <v>10526</v>
      </c>
    </row>
    <row r="62" spans="1:39" ht="14.1" customHeight="1">
      <c r="A62" s="282" t="s">
        <v>10099</v>
      </c>
      <c r="B62" s="149">
        <v>407</v>
      </c>
      <c r="C62" s="282" t="s">
        <v>10100</v>
      </c>
      <c r="D62" s="283" t="s">
        <v>10101</v>
      </c>
      <c r="E62" s="282" t="s">
        <v>3642</v>
      </c>
      <c r="F62" s="282" t="s">
        <v>9942</v>
      </c>
      <c r="G62" s="282" t="s">
        <v>1911</v>
      </c>
      <c r="H62" s="283" t="s">
        <v>10102</v>
      </c>
      <c r="I62" s="284">
        <v>2001</v>
      </c>
      <c r="J62" s="284">
        <v>200094</v>
      </c>
      <c r="K62" s="284">
        <v>2022</v>
      </c>
      <c r="L62" s="282"/>
      <c r="M62" s="282"/>
      <c r="N62" s="282"/>
      <c r="O62" s="285">
        <v>7.6100000000000001E-2</v>
      </c>
      <c r="P62" s="285">
        <v>0.24740000000000001</v>
      </c>
      <c r="Q62" s="282"/>
      <c r="R62" s="282"/>
      <c r="S62" s="282"/>
      <c r="T62" s="282"/>
      <c r="U62" s="282"/>
      <c r="V62" s="282"/>
      <c r="W62" s="282"/>
      <c r="X62" s="282"/>
      <c r="Y62" s="282"/>
      <c r="Z62" s="282"/>
      <c r="AA62" s="282"/>
      <c r="AB62" s="282"/>
      <c r="AC62" s="285">
        <v>0.49</v>
      </c>
      <c r="AD62" s="282"/>
      <c r="AE62" s="282"/>
      <c r="AF62" s="285">
        <v>0.35389999999999999</v>
      </c>
      <c r="AG62" s="282"/>
      <c r="AH62" s="285">
        <v>1.1674</v>
      </c>
      <c r="AI62" s="285">
        <v>2.2574999999999998</v>
      </c>
      <c r="AJ62" s="285">
        <v>3.4249000000000001</v>
      </c>
      <c r="AK62" s="282"/>
      <c r="AL62" s="282"/>
      <c r="AM62" s="283" t="s">
        <v>10526</v>
      </c>
    </row>
    <row r="63" spans="1:39" ht="14.1" customHeight="1">
      <c r="A63" s="150" t="s">
        <v>10105</v>
      </c>
      <c r="B63" s="149">
        <v>407</v>
      </c>
      <c r="C63" s="150" t="s">
        <v>10106</v>
      </c>
      <c r="D63" s="266" t="s">
        <v>10107</v>
      </c>
      <c r="E63" s="150" t="s">
        <v>3642</v>
      </c>
      <c r="F63" s="150" t="s">
        <v>9942</v>
      </c>
      <c r="G63" s="150" t="s">
        <v>1911</v>
      </c>
      <c r="H63" s="266" t="s">
        <v>10102</v>
      </c>
      <c r="I63" s="160">
        <v>1997</v>
      </c>
      <c r="J63" s="160">
        <v>177736</v>
      </c>
      <c r="K63" s="160">
        <v>2021</v>
      </c>
      <c r="L63" s="150"/>
      <c r="M63" s="150"/>
      <c r="N63" s="150"/>
      <c r="O63" s="161">
        <v>7.3599999999999999E-2</v>
      </c>
      <c r="P63" s="161">
        <v>0.31140000000000001</v>
      </c>
      <c r="Q63" s="150"/>
      <c r="R63" s="150"/>
      <c r="S63" s="150"/>
      <c r="T63" s="150"/>
      <c r="U63" s="150"/>
      <c r="V63" s="150"/>
      <c r="W63" s="150"/>
      <c r="X63" s="150"/>
      <c r="Y63" s="150"/>
      <c r="Z63" s="150"/>
      <c r="AA63" s="150"/>
      <c r="AB63" s="150"/>
      <c r="AC63" s="161">
        <v>0.55200000000000005</v>
      </c>
      <c r="AD63" s="150"/>
      <c r="AE63" s="150"/>
      <c r="AF63" s="161">
        <v>0.28920000000000001</v>
      </c>
      <c r="AG63" s="150"/>
      <c r="AH63" s="161">
        <v>1.2262</v>
      </c>
      <c r="AI63" s="161">
        <v>2.7187999999999999</v>
      </c>
      <c r="AJ63" s="161">
        <v>3.9449999999999998</v>
      </c>
      <c r="AK63" s="150"/>
      <c r="AL63" s="150"/>
      <c r="AM63" s="266" t="s">
        <v>10527</v>
      </c>
    </row>
    <row r="64" spans="1:39" ht="14.1" customHeight="1">
      <c r="A64" s="282" t="s">
        <v>10105</v>
      </c>
      <c r="B64" s="149">
        <v>407</v>
      </c>
      <c r="C64" s="282" t="s">
        <v>10106</v>
      </c>
      <c r="D64" s="283" t="s">
        <v>10107</v>
      </c>
      <c r="E64" s="282" t="s">
        <v>3642</v>
      </c>
      <c r="F64" s="282" t="s">
        <v>9942</v>
      </c>
      <c r="G64" s="282" t="s">
        <v>1911</v>
      </c>
      <c r="H64" s="283" t="s">
        <v>10102</v>
      </c>
      <c r="I64" s="284">
        <v>1997</v>
      </c>
      <c r="J64" s="284">
        <v>177736</v>
      </c>
      <c r="K64" s="284">
        <v>2022</v>
      </c>
      <c r="L64" s="282"/>
      <c r="M64" s="282"/>
      <c r="N64" s="282"/>
      <c r="O64" s="285">
        <v>7.8299999999999995E-2</v>
      </c>
      <c r="P64" s="285">
        <v>0.31140000000000001</v>
      </c>
      <c r="Q64" s="282"/>
      <c r="R64" s="282"/>
      <c r="S64" s="282"/>
      <c r="T64" s="282"/>
      <c r="U64" s="282"/>
      <c r="V64" s="282"/>
      <c r="W64" s="282"/>
      <c r="X64" s="282"/>
      <c r="Y64" s="282"/>
      <c r="Z64" s="282"/>
      <c r="AA64" s="282"/>
      <c r="AB64" s="282"/>
      <c r="AC64" s="285">
        <v>0.65910000000000002</v>
      </c>
      <c r="AD64" s="282"/>
      <c r="AE64" s="282"/>
      <c r="AF64" s="285">
        <v>0.35589999999999999</v>
      </c>
      <c r="AG64" s="282"/>
      <c r="AH64" s="285">
        <v>1.4047000000000001</v>
      </c>
      <c r="AI64" s="285">
        <v>2.8511000000000002</v>
      </c>
      <c r="AJ64" s="285">
        <v>4.2557999999999998</v>
      </c>
      <c r="AK64" s="282"/>
      <c r="AL64" s="282"/>
      <c r="AM64" s="283" t="s">
        <v>10527</v>
      </c>
    </row>
    <row r="65" spans="1:39" ht="14.1" customHeight="1">
      <c r="A65" s="150" t="s">
        <v>10108</v>
      </c>
      <c r="B65" s="149">
        <v>407</v>
      </c>
      <c r="C65" s="150" t="s">
        <v>10109</v>
      </c>
      <c r="D65" s="266" t="s">
        <v>10110</v>
      </c>
      <c r="E65" s="150" t="s">
        <v>3642</v>
      </c>
      <c r="F65" s="150" t="s">
        <v>9942</v>
      </c>
      <c r="G65" s="150" t="s">
        <v>1911</v>
      </c>
      <c r="H65" s="266" t="s">
        <v>10102</v>
      </c>
      <c r="I65" s="160">
        <v>1997</v>
      </c>
      <c r="J65" s="160">
        <v>200371</v>
      </c>
      <c r="K65" s="160">
        <v>2021</v>
      </c>
      <c r="L65" s="150"/>
      <c r="M65" s="150"/>
      <c r="N65" s="150"/>
      <c r="O65" s="161">
        <v>6.8599999999999994E-2</v>
      </c>
      <c r="P65" s="161">
        <v>0.1605</v>
      </c>
      <c r="Q65" s="150"/>
      <c r="R65" s="150"/>
      <c r="S65" s="150"/>
      <c r="T65" s="150"/>
      <c r="U65" s="150"/>
      <c r="V65" s="150"/>
      <c r="W65" s="150"/>
      <c r="X65" s="150"/>
      <c r="Y65" s="150"/>
      <c r="Z65" s="150"/>
      <c r="AA65" s="150"/>
      <c r="AB65" s="150"/>
      <c r="AC65" s="161">
        <v>0.58689999999999998</v>
      </c>
      <c r="AD65" s="150"/>
      <c r="AE65" s="150"/>
      <c r="AF65" s="150"/>
      <c r="AG65" s="150"/>
      <c r="AH65" s="161">
        <v>0.81599999999999995</v>
      </c>
      <c r="AI65" s="161">
        <v>2.4918999999999998</v>
      </c>
      <c r="AJ65" s="161">
        <v>3.3079000000000001</v>
      </c>
      <c r="AK65" s="150"/>
      <c r="AL65" s="150"/>
      <c r="AM65" s="266" t="s">
        <v>10528</v>
      </c>
    </row>
    <row r="66" spans="1:39" ht="14.1" customHeight="1">
      <c r="A66" s="282" t="s">
        <v>10108</v>
      </c>
      <c r="B66" s="149">
        <v>407</v>
      </c>
      <c r="C66" s="282" t="s">
        <v>10109</v>
      </c>
      <c r="D66" s="283" t="s">
        <v>10110</v>
      </c>
      <c r="E66" s="282" t="s">
        <v>3642</v>
      </c>
      <c r="F66" s="282" t="s">
        <v>9942</v>
      </c>
      <c r="G66" s="282" t="s">
        <v>1911</v>
      </c>
      <c r="H66" s="283" t="s">
        <v>10102</v>
      </c>
      <c r="I66" s="284">
        <v>1997</v>
      </c>
      <c r="J66" s="284">
        <v>200371</v>
      </c>
      <c r="K66" s="284">
        <v>2022</v>
      </c>
      <c r="L66" s="282"/>
      <c r="M66" s="282"/>
      <c r="N66" s="282"/>
      <c r="O66" s="285">
        <v>7.2999999999999995E-2</v>
      </c>
      <c r="P66" s="285">
        <v>0.14960000000000001</v>
      </c>
      <c r="Q66" s="282"/>
      <c r="R66" s="282"/>
      <c r="S66" s="282"/>
      <c r="T66" s="282"/>
      <c r="U66" s="282"/>
      <c r="V66" s="282"/>
      <c r="W66" s="282"/>
      <c r="X66" s="282"/>
      <c r="Y66" s="282"/>
      <c r="Z66" s="282"/>
      <c r="AA66" s="282"/>
      <c r="AB66" s="282"/>
      <c r="AC66" s="285">
        <v>0.51870000000000005</v>
      </c>
      <c r="AD66" s="282"/>
      <c r="AE66" s="282"/>
      <c r="AF66" s="282"/>
      <c r="AG66" s="282"/>
      <c r="AH66" s="285">
        <v>0.74129999999999996</v>
      </c>
      <c r="AI66" s="285">
        <v>2.5893000000000002</v>
      </c>
      <c r="AJ66" s="285">
        <v>3.3306</v>
      </c>
      <c r="AK66" s="282"/>
      <c r="AL66" s="282"/>
      <c r="AM66" s="283" t="s">
        <v>10528</v>
      </c>
    </row>
    <row r="67" spans="1:39" ht="14.1" customHeight="1">
      <c r="A67" s="150" t="s">
        <v>10111</v>
      </c>
      <c r="B67" s="149">
        <v>584</v>
      </c>
      <c r="C67" s="150" t="s">
        <v>10112</v>
      </c>
      <c r="D67" s="266" t="s">
        <v>10113</v>
      </c>
      <c r="E67" s="150" t="s">
        <v>3642</v>
      </c>
      <c r="F67" s="150" t="s">
        <v>9942</v>
      </c>
      <c r="G67" s="150" t="s">
        <v>1911</v>
      </c>
      <c r="H67" s="266" t="s">
        <v>10102</v>
      </c>
      <c r="I67" s="160">
        <v>2021</v>
      </c>
      <c r="J67" s="160">
        <v>548510</v>
      </c>
      <c r="K67" s="160">
        <v>2022</v>
      </c>
      <c r="L67" s="150"/>
      <c r="M67" s="150"/>
      <c r="N67" s="150"/>
      <c r="O67" s="161">
        <v>0.1167</v>
      </c>
      <c r="P67" s="161">
        <v>0.1062</v>
      </c>
      <c r="Q67" s="150"/>
      <c r="R67" s="150"/>
      <c r="S67" s="150"/>
      <c r="T67" s="150"/>
      <c r="U67" s="150"/>
      <c r="V67" s="150"/>
      <c r="W67" s="150"/>
      <c r="X67" s="150"/>
      <c r="Y67" s="150"/>
      <c r="Z67" s="150"/>
      <c r="AA67" s="150"/>
      <c r="AB67" s="150"/>
      <c r="AC67" s="161">
        <v>0.1767</v>
      </c>
      <c r="AD67" s="150"/>
      <c r="AE67" s="150"/>
      <c r="AF67" s="161">
        <v>3.7999999999999999E-2</v>
      </c>
      <c r="AG67" s="150"/>
      <c r="AH67" s="161">
        <v>0.43759999999999999</v>
      </c>
      <c r="AI67" s="161">
        <v>2.2709999999999999</v>
      </c>
      <c r="AJ67" s="161">
        <v>2.7086999999999999</v>
      </c>
      <c r="AK67" s="150"/>
      <c r="AL67" s="150"/>
      <c r="AM67" s="266" t="s">
        <v>10529</v>
      </c>
    </row>
    <row r="68" spans="1:39" ht="14.1" customHeight="1">
      <c r="A68" s="282" t="s">
        <v>10115</v>
      </c>
      <c r="B68" s="149">
        <v>407</v>
      </c>
      <c r="C68" s="282" t="s">
        <v>10116</v>
      </c>
      <c r="D68" s="283" t="s">
        <v>10117</v>
      </c>
      <c r="E68" s="282" t="s">
        <v>3642</v>
      </c>
      <c r="F68" s="282" t="s">
        <v>9942</v>
      </c>
      <c r="G68" s="282" t="s">
        <v>1911</v>
      </c>
      <c r="H68" s="283" t="s">
        <v>10102</v>
      </c>
      <c r="I68" s="284">
        <v>2000</v>
      </c>
      <c r="J68" s="284">
        <v>149175</v>
      </c>
      <c r="K68" s="284">
        <v>2019</v>
      </c>
      <c r="L68" s="282"/>
      <c r="M68" s="282"/>
      <c r="N68" s="282"/>
      <c r="O68" s="285">
        <v>4.3700000000000003E-2</v>
      </c>
      <c r="P68" s="285">
        <v>0.1522</v>
      </c>
      <c r="Q68" s="282"/>
      <c r="R68" s="282"/>
      <c r="S68" s="282"/>
      <c r="T68" s="282"/>
      <c r="U68" s="282"/>
      <c r="V68" s="282"/>
      <c r="W68" s="282"/>
      <c r="X68" s="282"/>
      <c r="Y68" s="282"/>
      <c r="Z68" s="282"/>
      <c r="AA68" s="282"/>
      <c r="AB68" s="282"/>
      <c r="AC68" s="285">
        <v>0.68220000000000003</v>
      </c>
      <c r="AD68" s="282"/>
      <c r="AE68" s="282"/>
      <c r="AF68" s="282"/>
      <c r="AG68" s="282"/>
      <c r="AH68" s="285">
        <v>0.87809999999999999</v>
      </c>
      <c r="AI68" s="285">
        <v>1.8902000000000001</v>
      </c>
      <c r="AJ68" s="285">
        <v>2.7683</v>
      </c>
      <c r="AK68" s="282"/>
      <c r="AL68" s="282"/>
      <c r="AM68" s="283" t="s">
        <v>10530</v>
      </c>
    </row>
    <row r="69" spans="1:39" ht="14.1" customHeight="1">
      <c r="A69" s="150" t="s">
        <v>10115</v>
      </c>
      <c r="B69" s="149">
        <v>407</v>
      </c>
      <c r="C69" s="150" t="s">
        <v>10116</v>
      </c>
      <c r="D69" s="266" t="s">
        <v>10117</v>
      </c>
      <c r="E69" s="150" t="s">
        <v>3642</v>
      </c>
      <c r="F69" s="150" t="s">
        <v>9942</v>
      </c>
      <c r="G69" s="150" t="s">
        <v>1911</v>
      </c>
      <c r="H69" s="266" t="s">
        <v>10102</v>
      </c>
      <c r="I69" s="160">
        <v>2000</v>
      </c>
      <c r="J69" s="160">
        <v>149175</v>
      </c>
      <c r="K69" s="160">
        <v>2020</v>
      </c>
      <c r="L69" s="150"/>
      <c r="M69" s="150"/>
      <c r="N69" s="150"/>
      <c r="O69" s="161">
        <v>4.99E-2</v>
      </c>
      <c r="P69" s="161">
        <v>2.64E-2</v>
      </c>
      <c r="Q69" s="150"/>
      <c r="R69" s="150"/>
      <c r="S69" s="150"/>
      <c r="T69" s="150"/>
      <c r="U69" s="150"/>
      <c r="V69" s="150"/>
      <c r="W69" s="150"/>
      <c r="X69" s="150"/>
      <c r="Y69" s="150"/>
      <c r="Z69" s="150"/>
      <c r="AA69" s="150"/>
      <c r="AB69" s="150"/>
      <c r="AC69" s="161">
        <v>0.16039999999999999</v>
      </c>
      <c r="AD69" s="150"/>
      <c r="AE69" s="150"/>
      <c r="AF69" s="161">
        <v>1.107</v>
      </c>
      <c r="AG69" s="150"/>
      <c r="AH69" s="161">
        <v>1.3438000000000001</v>
      </c>
      <c r="AI69" s="161">
        <v>1.897</v>
      </c>
      <c r="AJ69" s="161">
        <v>3.2408000000000001</v>
      </c>
      <c r="AK69" s="150"/>
      <c r="AL69" s="150"/>
      <c r="AM69" s="266" t="s">
        <v>10530</v>
      </c>
    </row>
    <row r="70" spans="1:39" ht="14.1" customHeight="1">
      <c r="A70" s="282" t="s">
        <v>10119</v>
      </c>
      <c r="B70" s="149">
        <v>407</v>
      </c>
      <c r="C70" s="282" t="s">
        <v>10120</v>
      </c>
      <c r="D70" s="283" t="s">
        <v>10121</v>
      </c>
      <c r="E70" s="282" t="s">
        <v>3642</v>
      </c>
      <c r="F70" s="282" t="s">
        <v>9942</v>
      </c>
      <c r="G70" s="282" t="s">
        <v>1911</v>
      </c>
      <c r="H70" s="283" t="s">
        <v>10102</v>
      </c>
      <c r="I70" s="284">
        <v>1999</v>
      </c>
      <c r="J70" s="284">
        <v>279640</v>
      </c>
      <c r="K70" s="284">
        <v>2021</v>
      </c>
      <c r="L70" s="282"/>
      <c r="M70" s="282"/>
      <c r="N70" s="282"/>
      <c r="O70" s="285">
        <v>8.8099999999999998E-2</v>
      </c>
      <c r="P70" s="285">
        <v>0.2248</v>
      </c>
      <c r="Q70" s="282"/>
      <c r="R70" s="282"/>
      <c r="S70" s="282"/>
      <c r="T70" s="282"/>
      <c r="U70" s="282"/>
      <c r="V70" s="282"/>
      <c r="W70" s="282"/>
      <c r="X70" s="282"/>
      <c r="Y70" s="282"/>
      <c r="Z70" s="282"/>
      <c r="AA70" s="282"/>
      <c r="AB70" s="282"/>
      <c r="AC70" s="285">
        <v>0.3589</v>
      </c>
      <c r="AD70" s="282"/>
      <c r="AE70" s="282"/>
      <c r="AF70" s="282"/>
      <c r="AG70" s="282"/>
      <c r="AH70" s="285">
        <v>0.67179999999999995</v>
      </c>
      <c r="AI70" s="285">
        <v>2.2917999999999998</v>
      </c>
      <c r="AJ70" s="285">
        <v>2.9636</v>
      </c>
      <c r="AK70" s="282"/>
      <c r="AL70" s="282"/>
      <c r="AM70" s="283" t="s">
        <v>10531</v>
      </c>
    </row>
    <row r="71" spans="1:39" ht="14.1" customHeight="1">
      <c r="A71" s="150" t="s">
        <v>10119</v>
      </c>
      <c r="B71" s="149">
        <v>407</v>
      </c>
      <c r="C71" s="150" t="s">
        <v>10120</v>
      </c>
      <c r="D71" s="266" t="s">
        <v>10121</v>
      </c>
      <c r="E71" s="150" t="s">
        <v>3642</v>
      </c>
      <c r="F71" s="150" t="s">
        <v>9942</v>
      </c>
      <c r="G71" s="150" t="s">
        <v>1911</v>
      </c>
      <c r="H71" s="266" t="s">
        <v>10102</v>
      </c>
      <c r="I71" s="160">
        <v>1999</v>
      </c>
      <c r="J71" s="160">
        <v>279640</v>
      </c>
      <c r="K71" s="160">
        <v>2022</v>
      </c>
      <c r="L71" s="150"/>
      <c r="M71" s="150"/>
      <c r="N71" s="150"/>
      <c r="O71" s="161">
        <v>9.3700000000000006E-2</v>
      </c>
      <c r="P71" s="161">
        <v>0.2268</v>
      </c>
      <c r="Q71" s="150"/>
      <c r="R71" s="150"/>
      <c r="S71" s="150"/>
      <c r="T71" s="150"/>
      <c r="U71" s="150"/>
      <c r="V71" s="150"/>
      <c r="W71" s="150"/>
      <c r="X71" s="150"/>
      <c r="Y71" s="150"/>
      <c r="Z71" s="150"/>
      <c r="AA71" s="150"/>
      <c r="AB71" s="150"/>
      <c r="AC71" s="161">
        <v>6.5100000000000005E-2</v>
      </c>
      <c r="AD71" s="150"/>
      <c r="AE71" s="150"/>
      <c r="AF71" s="150"/>
      <c r="AG71" s="150"/>
      <c r="AH71" s="161">
        <v>0.3856</v>
      </c>
      <c r="AI71" s="161">
        <v>2.3496999999999999</v>
      </c>
      <c r="AJ71" s="161">
        <v>2.7353000000000001</v>
      </c>
      <c r="AK71" s="150"/>
      <c r="AL71" s="150"/>
      <c r="AM71" s="266" t="s">
        <v>10531</v>
      </c>
    </row>
    <row r="72" spans="1:39" ht="14.1" customHeight="1">
      <c r="A72" s="282" t="s">
        <v>10122</v>
      </c>
      <c r="B72" s="149">
        <v>407</v>
      </c>
      <c r="C72" s="282" t="s">
        <v>10123</v>
      </c>
      <c r="D72" s="283" t="s">
        <v>10124</v>
      </c>
      <c r="E72" s="282" t="s">
        <v>3642</v>
      </c>
      <c r="F72" s="282" t="s">
        <v>9942</v>
      </c>
      <c r="G72" s="282" t="s">
        <v>1911</v>
      </c>
      <c r="H72" s="283" t="s">
        <v>10102</v>
      </c>
      <c r="I72" s="284">
        <v>2002</v>
      </c>
      <c r="J72" s="284">
        <v>280098</v>
      </c>
      <c r="K72" s="284">
        <v>2021</v>
      </c>
      <c r="L72" s="282"/>
      <c r="M72" s="282"/>
      <c r="N72" s="282"/>
      <c r="O72" s="285">
        <v>7.1300000000000002E-2</v>
      </c>
      <c r="P72" s="285">
        <v>0.23100000000000001</v>
      </c>
      <c r="Q72" s="282"/>
      <c r="R72" s="282"/>
      <c r="S72" s="282"/>
      <c r="T72" s="282"/>
      <c r="U72" s="282"/>
      <c r="V72" s="282"/>
      <c r="W72" s="282"/>
      <c r="X72" s="282"/>
      <c r="Y72" s="282"/>
      <c r="Z72" s="282"/>
      <c r="AA72" s="282"/>
      <c r="AB72" s="282"/>
      <c r="AC72" s="285">
        <v>0.26329999999999998</v>
      </c>
      <c r="AD72" s="282"/>
      <c r="AE72" s="282"/>
      <c r="AF72" s="285">
        <v>0.30669999999999997</v>
      </c>
      <c r="AG72" s="282"/>
      <c r="AH72" s="285">
        <v>0.87229999999999996</v>
      </c>
      <c r="AI72" s="285">
        <v>2.2816000000000001</v>
      </c>
      <c r="AJ72" s="285">
        <v>3.1539000000000001</v>
      </c>
      <c r="AK72" s="282"/>
      <c r="AL72" s="282"/>
      <c r="AM72" s="283" t="s">
        <v>10532</v>
      </c>
    </row>
    <row r="73" spans="1:39" ht="14.1" customHeight="1">
      <c r="A73" s="150" t="s">
        <v>10122</v>
      </c>
      <c r="B73" s="149">
        <v>407</v>
      </c>
      <c r="C73" s="150" t="s">
        <v>10123</v>
      </c>
      <c r="D73" s="266" t="s">
        <v>10124</v>
      </c>
      <c r="E73" s="150" t="s">
        <v>3642</v>
      </c>
      <c r="F73" s="150" t="s">
        <v>9942</v>
      </c>
      <c r="G73" s="150" t="s">
        <v>1911</v>
      </c>
      <c r="H73" s="266" t="s">
        <v>10102</v>
      </c>
      <c r="I73" s="160">
        <v>2002</v>
      </c>
      <c r="J73" s="160">
        <v>280098</v>
      </c>
      <c r="K73" s="160">
        <v>2022</v>
      </c>
      <c r="L73" s="150"/>
      <c r="M73" s="150"/>
      <c r="N73" s="150"/>
      <c r="O73" s="161">
        <v>7.5899999999999995E-2</v>
      </c>
      <c r="P73" s="161">
        <v>0.2109</v>
      </c>
      <c r="Q73" s="150"/>
      <c r="R73" s="150"/>
      <c r="S73" s="150"/>
      <c r="T73" s="150"/>
      <c r="U73" s="150"/>
      <c r="V73" s="150"/>
      <c r="W73" s="150"/>
      <c r="X73" s="150"/>
      <c r="Y73" s="150"/>
      <c r="Z73" s="150"/>
      <c r="AA73" s="150"/>
      <c r="AB73" s="150"/>
      <c r="AC73" s="161">
        <v>0.43180000000000002</v>
      </c>
      <c r="AD73" s="150"/>
      <c r="AE73" s="150"/>
      <c r="AF73" s="161">
        <v>0.33839999999999998</v>
      </c>
      <c r="AG73" s="150"/>
      <c r="AH73" s="161">
        <v>1.0569999999999999</v>
      </c>
      <c r="AI73" s="161">
        <v>2.3887999999999998</v>
      </c>
      <c r="AJ73" s="161">
        <v>3.4457</v>
      </c>
      <c r="AK73" s="150"/>
      <c r="AL73" s="150"/>
      <c r="AM73" s="266" t="s">
        <v>10532</v>
      </c>
    </row>
    <row r="74" spans="1:39" ht="14.1" customHeight="1">
      <c r="A74" s="282" t="s">
        <v>10125</v>
      </c>
      <c r="B74" s="149">
        <v>407</v>
      </c>
      <c r="C74" s="282" t="s">
        <v>10126</v>
      </c>
      <c r="D74" s="283" t="s">
        <v>10127</v>
      </c>
      <c r="E74" s="282" t="s">
        <v>3642</v>
      </c>
      <c r="F74" s="282" t="s">
        <v>9942</v>
      </c>
      <c r="G74" s="282" t="s">
        <v>1911</v>
      </c>
      <c r="H74" s="283" t="s">
        <v>10102</v>
      </c>
      <c r="I74" s="284">
        <v>2008</v>
      </c>
      <c r="J74" s="284">
        <v>215461</v>
      </c>
      <c r="K74" s="284">
        <v>2021</v>
      </c>
      <c r="L74" s="282"/>
      <c r="M74" s="282"/>
      <c r="N74" s="282"/>
      <c r="O74" s="285">
        <v>8.09E-2</v>
      </c>
      <c r="P74" s="285">
        <v>0.3054</v>
      </c>
      <c r="Q74" s="282"/>
      <c r="R74" s="282"/>
      <c r="S74" s="282"/>
      <c r="T74" s="282"/>
      <c r="U74" s="282"/>
      <c r="V74" s="282"/>
      <c r="W74" s="282"/>
      <c r="X74" s="282"/>
      <c r="Y74" s="282"/>
      <c r="Z74" s="282"/>
      <c r="AA74" s="282"/>
      <c r="AB74" s="282"/>
      <c r="AC74" s="285">
        <v>0.46860000000000002</v>
      </c>
      <c r="AD74" s="282"/>
      <c r="AE74" s="282"/>
      <c r="AF74" s="285">
        <v>0.33950000000000002</v>
      </c>
      <c r="AG74" s="282"/>
      <c r="AH74" s="285">
        <v>1.1943999999999999</v>
      </c>
      <c r="AI74" s="285">
        <v>2.8498999999999999</v>
      </c>
      <c r="AJ74" s="285">
        <v>4.0442999999999998</v>
      </c>
      <c r="AK74" s="282"/>
      <c r="AL74" s="282"/>
      <c r="AM74" s="283" t="s">
        <v>10533</v>
      </c>
    </row>
    <row r="75" spans="1:39" ht="14.1" customHeight="1">
      <c r="A75" s="150" t="s">
        <v>10125</v>
      </c>
      <c r="B75" s="149">
        <v>407</v>
      </c>
      <c r="C75" s="150" t="s">
        <v>10126</v>
      </c>
      <c r="D75" s="266" t="s">
        <v>10127</v>
      </c>
      <c r="E75" s="150" t="s">
        <v>3642</v>
      </c>
      <c r="F75" s="150" t="s">
        <v>9942</v>
      </c>
      <c r="G75" s="150" t="s">
        <v>1911</v>
      </c>
      <c r="H75" s="266" t="s">
        <v>10102</v>
      </c>
      <c r="I75" s="160">
        <v>2008</v>
      </c>
      <c r="J75" s="160">
        <v>215461</v>
      </c>
      <c r="K75" s="160">
        <v>2022</v>
      </c>
      <c r="L75" s="150"/>
      <c r="M75" s="150"/>
      <c r="N75" s="150"/>
      <c r="O75" s="161">
        <v>8.5199999999999998E-2</v>
      </c>
      <c r="P75" s="161">
        <v>0.2898</v>
      </c>
      <c r="Q75" s="150"/>
      <c r="R75" s="150"/>
      <c r="S75" s="150"/>
      <c r="T75" s="150"/>
      <c r="U75" s="150"/>
      <c r="V75" s="150"/>
      <c r="W75" s="150"/>
      <c r="X75" s="150"/>
      <c r="Y75" s="150"/>
      <c r="Z75" s="150"/>
      <c r="AA75" s="150"/>
      <c r="AB75" s="150"/>
      <c r="AC75" s="161">
        <v>0.34089999999999998</v>
      </c>
      <c r="AD75" s="150"/>
      <c r="AE75" s="150"/>
      <c r="AF75" s="161">
        <v>0.34799999999999998</v>
      </c>
      <c r="AG75" s="150"/>
      <c r="AH75" s="161">
        <v>1.0639000000000001</v>
      </c>
      <c r="AI75" s="161">
        <v>2.7418999999999998</v>
      </c>
      <c r="AJ75" s="161">
        <v>3.8058000000000001</v>
      </c>
      <c r="AK75" s="150"/>
      <c r="AL75" s="150"/>
      <c r="AM75" s="266" t="s">
        <v>10533</v>
      </c>
    </row>
    <row r="76" spans="1:39" ht="14.1" customHeight="1">
      <c r="A76" s="282" t="s">
        <v>10128</v>
      </c>
      <c r="B76" s="149">
        <v>407</v>
      </c>
      <c r="C76" s="282" t="s">
        <v>10129</v>
      </c>
      <c r="D76" s="283" t="s">
        <v>10130</v>
      </c>
      <c r="E76" s="282" t="s">
        <v>3642</v>
      </c>
      <c r="F76" s="282" t="s">
        <v>9942</v>
      </c>
      <c r="G76" s="282" t="s">
        <v>1911</v>
      </c>
      <c r="H76" s="283" t="s">
        <v>10102</v>
      </c>
      <c r="I76" s="284">
        <v>2007</v>
      </c>
      <c r="J76" s="284">
        <v>215560</v>
      </c>
      <c r="K76" s="284">
        <v>2021</v>
      </c>
      <c r="L76" s="282"/>
      <c r="M76" s="282"/>
      <c r="N76" s="282"/>
      <c r="O76" s="285">
        <v>9.7500000000000003E-2</v>
      </c>
      <c r="P76" s="285">
        <v>0.2429</v>
      </c>
      <c r="Q76" s="282"/>
      <c r="R76" s="282"/>
      <c r="S76" s="282"/>
      <c r="T76" s="282"/>
      <c r="U76" s="282"/>
      <c r="V76" s="282"/>
      <c r="W76" s="282"/>
      <c r="X76" s="282"/>
      <c r="Y76" s="282"/>
      <c r="Z76" s="282"/>
      <c r="AA76" s="282"/>
      <c r="AB76" s="282"/>
      <c r="AC76" s="285">
        <v>0.2979</v>
      </c>
      <c r="AD76" s="282"/>
      <c r="AE76" s="282"/>
      <c r="AF76" s="285">
        <v>0.31140000000000001</v>
      </c>
      <c r="AG76" s="282"/>
      <c r="AH76" s="285">
        <v>0.94969999999999999</v>
      </c>
      <c r="AI76" s="285">
        <v>2.4921000000000002</v>
      </c>
      <c r="AJ76" s="285">
        <v>3.4419</v>
      </c>
      <c r="AK76" s="282"/>
      <c r="AL76" s="282"/>
      <c r="AM76" s="283" t="s">
        <v>10534</v>
      </c>
    </row>
    <row r="77" spans="1:39" ht="14.1" customHeight="1">
      <c r="A77" s="150" t="s">
        <v>10128</v>
      </c>
      <c r="B77" s="149">
        <v>407</v>
      </c>
      <c r="C77" s="150" t="s">
        <v>10129</v>
      </c>
      <c r="D77" s="266" t="s">
        <v>10130</v>
      </c>
      <c r="E77" s="150" t="s">
        <v>3642</v>
      </c>
      <c r="F77" s="150" t="s">
        <v>9942</v>
      </c>
      <c r="G77" s="150" t="s">
        <v>1911</v>
      </c>
      <c r="H77" s="266" t="s">
        <v>10102</v>
      </c>
      <c r="I77" s="160">
        <v>2007</v>
      </c>
      <c r="J77" s="160">
        <v>215560</v>
      </c>
      <c r="K77" s="160">
        <v>2022</v>
      </c>
      <c r="L77" s="150"/>
      <c r="M77" s="150"/>
      <c r="N77" s="150"/>
      <c r="O77" s="161">
        <v>0.1037</v>
      </c>
      <c r="P77" s="161">
        <v>0.25559999999999999</v>
      </c>
      <c r="Q77" s="150"/>
      <c r="R77" s="150"/>
      <c r="S77" s="150"/>
      <c r="T77" s="150"/>
      <c r="U77" s="150"/>
      <c r="V77" s="150"/>
      <c r="W77" s="150"/>
      <c r="X77" s="150"/>
      <c r="Y77" s="150"/>
      <c r="Z77" s="150"/>
      <c r="AA77" s="150"/>
      <c r="AB77" s="150"/>
      <c r="AC77" s="161">
        <v>0.31209999999999999</v>
      </c>
      <c r="AD77" s="150"/>
      <c r="AE77" s="150"/>
      <c r="AF77" s="161">
        <v>0.3342</v>
      </c>
      <c r="AG77" s="150"/>
      <c r="AH77" s="161">
        <v>1.0056</v>
      </c>
      <c r="AI77" s="161">
        <v>2.5895999999999999</v>
      </c>
      <c r="AJ77" s="161">
        <v>3.5952000000000002</v>
      </c>
      <c r="AK77" s="150"/>
      <c r="AL77" s="150"/>
      <c r="AM77" s="266" t="s">
        <v>10534</v>
      </c>
    </row>
    <row r="78" spans="1:39" ht="14.1" customHeight="1">
      <c r="A78" s="282" t="s">
        <v>10131</v>
      </c>
      <c r="B78" s="149">
        <v>407</v>
      </c>
      <c r="C78" s="282" t="s">
        <v>10132</v>
      </c>
      <c r="D78" s="283" t="s">
        <v>10133</v>
      </c>
      <c r="E78" s="282" t="s">
        <v>3642</v>
      </c>
      <c r="F78" s="282" t="s">
        <v>9942</v>
      </c>
      <c r="G78" s="282" t="s">
        <v>1911</v>
      </c>
      <c r="H78" s="283" t="s">
        <v>10102</v>
      </c>
      <c r="I78" s="284">
        <v>2007</v>
      </c>
      <c r="J78" s="284">
        <v>202091</v>
      </c>
      <c r="K78" s="284">
        <v>2021</v>
      </c>
      <c r="L78" s="282"/>
      <c r="M78" s="282"/>
      <c r="N78" s="282"/>
      <c r="O78" s="285">
        <v>8.6300000000000002E-2</v>
      </c>
      <c r="P78" s="285">
        <v>0.15409999999999999</v>
      </c>
      <c r="Q78" s="282"/>
      <c r="R78" s="282"/>
      <c r="S78" s="282"/>
      <c r="T78" s="282"/>
      <c r="U78" s="282"/>
      <c r="V78" s="282"/>
      <c r="W78" s="282"/>
      <c r="X78" s="282"/>
      <c r="Y78" s="282"/>
      <c r="Z78" s="282"/>
      <c r="AA78" s="282"/>
      <c r="AB78" s="282"/>
      <c r="AC78" s="285">
        <v>0.41139999999999999</v>
      </c>
      <c r="AD78" s="282"/>
      <c r="AE78" s="282"/>
      <c r="AF78" s="282"/>
      <c r="AG78" s="282"/>
      <c r="AH78" s="285">
        <v>0.65180000000000005</v>
      </c>
      <c r="AI78" s="285">
        <v>2.4691999999999998</v>
      </c>
      <c r="AJ78" s="285">
        <v>3.121</v>
      </c>
      <c r="AK78" s="282"/>
      <c r="AL78" s="282"/>
      <c r="AM78" s="283" t="s">
        <v>10535</v>
      </c>
    </row>
    <row r="79" spans="1:39" ht="14.1" customHeight="1">
      <c r="A79" s="150" t="s">
        <v>10131</v>
      </c>
      <c r="B79" s="149">
        <v>407</v>
      </c>
      <c r="C79" s="150" t="s">
        <v>10132</v>
      </c>
      <c r="D79" s="266" t="s">
        <v>10133</v>
      </c>
      <c r="E79" s="150" t="s">
        <v>3642</v>
      </c>
      <c r="F79" s="150" t="s">
        <v>9942</v>
      </c>
      <c r="G79" s="150" t="s">
        <v>1911</v>
      </c>
      <c r="H79" s="266" t="s">
        <v>10102</v>
      </c>
      <c r="I79" s="160">
        <v>2007</v>
      </c>
      <c r="J79" s="160">
        <v>202091</v>
      </c>
      <c r="K79" s="160">
        <v>2022</v>
      </c>
      <c r="L79" s="150"/>
      <c r="M79" s="150"/>
      <c r="N79" s="150"/>
      <c r="O79" s="161">
        <v>9.1800000000000007E-2</v>
      </c>
      <c r="P79" s="161">
        <v>0.1363</v>
      </c>
      <c r="Q79" s="150"/>
      <c r="R79" s="150"/>
      <c r="S79" s="150"/>
      <c r="T79" s="150"/>
      <c r="U79" s="150"/>
      <c r="V79" s="150"/>
      <c r="W79" s="150"/>
      <c r="X79" s="150"/>
      <c r="Y79" s="150"/>
      <c r="Z79" s="150"/>
      <c r="AA79" s="150"/>
      <c r="AB79" s="150"/>
      <c r="AC79" s="161">
        <v>0.32750000000000001</v>
      </c>
      <c r="AD79" s="150"/>
      <c r="AE79" s="150"/>
      <c r="AF79" s="150"/>
      <c r="AG79" s="150"/>
      <c r="AH79" s="161">
        <v>0.55559999999999998</v>
      </c>
      <c r="AI79" s="161">
        <v>2.5219</v>
      </c>
      <c r="AJ79" s="161">
        <v>3.0775000000000001</v>
      </c>
      <c r="AK79" s="150"/>
      <c r="AL79" s="150"/>
      <c r="AM79" s="266" t="s">
        <v>10535</v>
      </c>
    </row>
    <row r="80" spans="1:39" ht="14.1" customHeight="1">
      <c r="A80" s="282" t="s">
        <v>10134</v>
      </c>
      <c r="B80" s="149">
        <v>407</v>
      </c>
      <c r="C80" s="282" t="s">
        <v>10135</v>
      </c>
      <c r="D80" s="283" t="s">
        <v>10136</v>
      </c>
      <c r="E80" s="282" t="s">
        <v>3642</v>
      </c>
      <c r="F80" s="282" t="s">
        <v>9942</v>
      </c>
      <c r="G80" s="282" t="s">
        <v>1911</v>
      </c>
      <c r="H80" s="283" t="s">
        <v>10102</v>
      </c>
      <c r="I80" s="284">
        <v>2001</v>
      </c>
      <c r="J80" s="284">
        <v>150027</v>
      </c>
      <c r="K80" s="284">
        <v>2021</v>
      </c>
      <c r="L80" s="282"/>
      <c r="M80" s="282"/>
      <c r="N80" s="282"/>
      <c r="O80" s="285">
        <v>7.7899999999999997E-2</v>
      </c>
      <c r="P80" s="285">
        <v>0.27679999999999999</v>
      </c>
      <c r="Q80" s="282"/>
      <c r="R80" s="282"/>
      <c r="S80" s="282"/>
      <c r="T80" s="282"/>
      <c r="U80" s="282"/>
      <c r="V80" s="282"/>
      <c r="W80" s="282"/>
      <c r="X80" s="282"/>
      <c r="Y80" s="282"/>
      <c r="Z80" s="282"/>
      <c r="AA80" s="282"/>
      <c r="AB80" s="282"/>
      <c r="AC80" s="285">
        <v>0.3322</v>
      </c>
      <c r="AD80" s="282"/>
      <c r="AE80" s="282"/>
      <c r="AF80" s="282"/>
      <c r="AG80" s="282"/>
      <c r="AH80" s="285">
        <v>0.68679999999999997</v>
      </c>
      <c r="AI80" s="285">
        <v>2.8525</v>
      </c>
      <c r="AJ80" s="285">
        <v>3.5392999999999999</v>
      </c>
      <c r="AK80" s="282"/>
      <c r="AL80" s="282"/>
      <c r="AM80" s="283" t="s">
        <v>10536</v>
      </c>
    </row>
    <row r="81" spans="1:39" ht="14.1" customHeight="1">
      <c r="A81" s="150" t="s">
        <v>10134</v>
      </c>
      <c r="B81" s="149">
        <v>407</v>
      </c>
      <c r="C81" s="150" t="s">
        <v>10135</v>
      </c>
      <c r="D81" s="266" t="s">
        <v>10136</v>
      </c>
      <c r="E81" s="150" t="s">
        <v>3642</v>
      </c>
      <c r="F81" s="150" t="s">
        <v>9942</v>
      </c>
      <c r="G81" s="150" t="s">
        <v>1911</v>
      </c>
      <c r="H81" s="266" t="s">
        <v>10102</v>
      </c>
      <c r="I81" s="160">
        <v>2001</v>
      </c>
      <c r="J81" s="160">
        <v>150027</v>
      </c>
      <c r="K81" s="160">
        <v>2022</v>
      </c>
      <c r="L81" s="150"/>
      <c r="M81" s="150"/>
      <c r="N81" s="150"/>
      <c r="O81" s="161">
        <v>8.2799999999999999E-2</v>
      </c>
      <c r="P81" s="161">
        <v>0.22939999999999999</v>
      </c>
      <c r="Q81" s="150"/>
      <c r="R81" s="150"/>
      <c r="S81" s="150"/>
      <c r="T81" s="150"/>
      <c r="U81" s="150"/>
      <c r="V81" s="150"/>
      <c r="W81" s="150"/>
      <c r="X81" s="150"/>
      <c r="Y81" s="150"/>
      <c r="Z81" s="150"/>
      <c r="AA81" s="150"/>
      <c r="AB81" s="150"/>
      <c r="AC81" s="161">
        <v>0.36170000000000002</v>
      </c>
      <c r="AD81" s="150"/>
      <c r="AE81" s="150"/>
      <c r="AF81" s="150"/>
      <c r="AG81" s="150"/>
      <c r="AH81" s="161">
        <v>0.67390000000000005</v>
      </c>
      <c r="AI81" s="161">
        <v>2.7387999999999999</v>
      </c>
      <c r="AJ81" s="161">
        <v>3.4127000000000001</v>
      </c>
      <c r="AK81" s="150"/>
      <c r="AL81" s="150"/>
      <c r="AM81" s="266" t="s">
        <v>10536</v>
      </c>
    </row>
    <row r="82" spans="1:39" ht="14.1" customHeight="1">
      <c r="A82" s="282" t="s">
        <v>10137</v>
      </c>
      <c r="B82" s="149">
        <v>584</v>
      </c>
      <c r="C82" s="282" t="s">
        <v>10138</v>
      </c>
      <c r="D82" s="283" t="s">
        <v>10139</v>
      </c>
      <c r="E82" s="282" t="s">
        <v>3642</v>
      </c>
      <c r="F82" s="282" t="s">
        <v>9942</v>
      </c>
      <c r="G82" s="282" t="s">
        <v>1911</v>
      </c>
      <c r="H82" s="283" t="s">
        <v>10102</v>
      </c>
      <c r="I82" s="284">
        <v>2013</v>
      </c>
      <c r="J82" s="284">
        <v>500358</v>
      </c>
      <c r="K82" s="284">
        <v>2021</v>
      </c>
      <c r="L82" s="282"/>
      <c r="M82" s="282"/>
      <c r="N82" s="282"/>
      <c r="O82" s="285">
        <v>7.4300000000000005E-2</v>
      </c>
      <c r="P82" s="285">
        <v>0.2354</v>
      </c>
      <c r="Q82" s="282"/>
      <c r="R82" s="282"/>
      <c r="S82" s="282"/>
      <c r="T82" s="282"/>
      <c r="U82" s="282"/>
      <c r="V82" s="282"/>
      <c r="W82" s="282"/>
      <c r="X82" s="282"/>
      <c r="Y82" s="282"/>
      <c r="Z82" s="282"/>
      <c r="AA82" s="282"/>
      <c r="AB82" s="282"/>
      <c r="AC82" s="285">
        <v>0.31280000000000002</v>
      </c>
      <c r="AD82" s="282"/>
      <c r="AE82" s="282"/>
      <c r="AF82" s="285">
        <v>0.2341</v>
      </c>
      <c r="AG82" s="282"/>
      <c r="AH82" s="285">
        <v>0.85660000000000003</v>
      </c>
      <c r="AI82" s="285">
        <v>2.2837999999999998</v>
      </c>
      <c r="AJ82" s="285">
        <v>3.1402999999999999</v>
      </c>
      <c r="AK82" s="282"/>
      <c r="AL82" s="282"/>
      <c r="AM82" s="283" t="s">
        <v>10537</v>
      </c>
    </row>
    <row r="83" spans="1:39" ht="14.1" customHeight="1">
      <c r="A83" s="150" t="s">
        <v>10137</v>
      </c>
      <c r="B83" s="149">
        <v>584</v>
      </c>
      <c r="C83" s="150" t="s">
        <v>10138</v>
      </c>
      <c r="D83" s="266" t="s">
        <v>10139</v>
      </c>
      <c r="E83" s="150" t="s">
        <v>3642</v>
      </c>
      <c r="F83" s="150" t="s">
        <v>9942</v>
      </c>
      <c r="G83" s="150" t="s">
        <v>1911</v>
      </c>
      <c r="H83" s="266" t="s">
        <v>10102</v>
      </c>
      <c r="I83" s="160">
        <v>2013</v>
      </c>
      <c r="J83" s="160">
        <v>500358</v>
      </c>
      <c r="K83" s="160">
        <v>2022</v>
      </c>
      <c r="L83" s="150"/>
      <c r="M83" s="150"/>
      <c r="N83" s="150"/>
      <c r="O83" s="161">
        <v>7.9000000000000001E-2</v>
      </c>
      <c r="P83" s="161">
        <v>0.2014</v>
      </c>
      <c r="Q83" s="150"/>
      <c r="R83" s="150"/>
      <c r="S83" s="150"/>
      <c r="T83" s="150"/>
      <c r="U83" s="150"/>
      <c r="V83" s="150"/>
      <c r="W83" s="150"/>
      <c r="X83" s="150"/>
      <c r="Y83" s="150"/>
      <c r="Z83" s="150"/>
      <c r="AA83" s="150"/>
      <c r="AB83" s="150"/>
      <c r="AC83" s="161">
        <v>0.23280000000000001</v>
      </c>
      <c r="AD83" s="150"/>
      <c r="AE83" s="150"/>
      <c r="AF83" s="161">
        <v>0.2263</v>
      </c>
      <c r="AG83" s="150"/>
      <c r="AH83" s="161">
        <v>0.73960000000000004</v>
      </c>
      <c r="AI83" s="161">
        <v>2.5398000000000001</v>
      </c>
      <c r="AJ83" s="161">
        <v>3.2793999999999999</v>
      </c>
      <c r="AK83" s="150"/>
      <c r="AL83" s="150"/>
      <c r="AM83" s="266" t="s">
        <v>10537</v>
      </c>
    </row>
    <row r="84" spans="1:39" ht="14.1" customHeight="1">
      <c r="A84" s="282" t="s">
        <v>10140</v>
      </c>
      <c r="B84" s="149">
        <v>584</v>
      </c>
      <c r="C84" s="282" t="s">
        <v>10141</v>
      </c>
      <c r="D84" s="283" t="s">
        <v>10142</v>
      </c>
      <c r="E84" s="282" t="s">
        <v>3642</v>
      </c>
      <c r="F84" s="282" t="s">
        <v>9942</v>
      </c>
      <c r="G84" s="282" t="s">
        <v>1911</v>
      </c>
      <c r="H84" s="283" t="s">
        <v>10102</v>
      </c>
      <c r="I84" s="284">
        <v>2017</v>
      </c>
      <c r="J84" s="284">
        <v>522120</v>
      </c>
      <c r="K84" s="284">
        <v>2021</v>
      </c>
      <c r="L84" s="282"/>
      <c r="M84" s="282"/>
      <c r="N84" s="282"/>
      <c r="O84" s="285">
        <v>8.2199999999999995E-2</v>
      </c>
      <c r="P84" s="285">
        <v>0.25819999999999999</v>
      </c>
      <c r="Q84" s="282"/>
      <c r="R84" s="282"/>
      <c r="S84" s="282"/>
      <c r="T84" s="282"/>
      <c r="U84" s="282"/>
      <c r="V84" s="282"/>
      <c r="W84" s="282"/>
      <c r="X84" s="282"/>
      <c r="Y84" s="282"/>
      <c r="Z84" s="282"/>
      <c r="AA84" s="282"/>
      <c r="AB84" s="282"/>
      <c r="AC84" s="285">
        <v>0.28249999999999997</v>
      </c>
      <c r="AD84" s="282"/>
      <c r="AE84" s="282"/>
      <c r="AF84" s="285">
        <v>0.17929999999999999</v>
      </c>
      <c r="AG84" s="282"/>
      <c r="AH84" s="285">
        <v>0.80220000000000002</v>
      </c>
      <c r="AI84" s="285">
        <v>2.1785000000000001</v>
      </c>
      <c r="AJ84" s="285">
        <v>2.9807000000000001</v>
      </c>
      <c r="AK84" s="282"/>
      <c r="AL84" s="282"/>
      <c r="AM84" s="283" t="s">
        <v>10538</v>
      </c>
    </row>
    <row r="85" spans="1:39" ht="14.1" customHeight="1">
      <c r="A85" s="150" t="s">
        <v>10140</v>
      </c>
      <c r="B85" s="149">
        <v>584</v>
      </c>
      <c r="C85" s="150" t="s">
        <v>10141</v>
      </c>
      <c r="D85" s="266" t="s">
        <v>10142</v>
      </c>
      <c r="E85" s="150" t="s">
        <v>3642</v>
      </c>
      <c r="F85" s="150" t="s">
        <v>9942</v>
      </c>
      <c r="G85" s="150" t="s">
        <v>1911</v>
      </c>
      <c r="H85" s="266" t="s">
        <v>10102</v>
      </c>
      <c r="I85" s="160">
        <v>2017</v>
      </c>
      <c r="J85" s="160">
        <v>522120</v>
      </c>
      <c r="K85" s="160">
        <v>2022</v>
      </c>
      <c r="L85" s="150"/>
      <c r="M85" s="150"/>
      <c r="N85" s="150"/>
      <c r="O85" s="161">
        <v>8.7400000000000005E-2</v>
      </c>
      <c r="P85" s="161">
        <v>0.22189999999999999</v>
      </c>
      <c r="Q85" s="150"/>
      <c r="R85" s="150"/>
      <c r="S85" s="150"/>
      <c r="T85" s="150"/>
      <c r="U85" s="150"/>
      <c r="V85" s="150"/>
      <c r="W85" s="150"/>
      <c r="X85" s="150"/>
      <c r="Y85" s="150"/>
      <c r="Z85" s="150"/>
      <c r="AA85" s="150"/>
      <c r="AB85" s="150"/>
      <c r="AC85" s="161">
        <v>0.1719</v>
      </c>
      <c r="AD85" s="150"/>
      <c r="AE85" s="150"/>
      <c r="AF85" s="161">
        <v>0.17380000000000001</v>
      </c>
      <c r="AG85" s="150"/>
      <c r="AH85" s="161">
        <v>0.65500000000000003</v>
      </c>
      <c r="AI85" s="161">
        <v>2.2402000000000002</v>
      </c>
      <c r="AJ85" s="161">
        <v>2.8952</v>
      </c>
      <c r="AK85" s="150"/>
      <c r="AL85" s="150"/>
      <c r="AM85" s="266" t="s">
        <v>10538</v>
      </c>
    </row>
    <row r="86" spans="1:39" ht="14.1" customHeight="1">
      <c r="A86" s="282" t="s">
        <v>10143</v>
      </c>
      <c r="B86" s="149">
        <v>407</v>
      </c>
      <c r="C86" s="282" t="s">
        <v>10144</v>
      </c>
      <c r="D86" s="283" t="s">
        <v>10145</v>
      </c>
      <c r="E86" s="282" t="s">
        <v>10146</v>
      </c>
      <c r="F86" s="282" t="s">
        <v>9942</v>
      </c>
      <c r="G86" s="282" t="s">
        <v>1911</v>
      </c>
      <c r="H86" s="283" t="s">
        <v>10147</v>
      </c>
      <c r="I86" s="284"/>
      <c r="J86" s="284"/>
      <c r="K86" s="284">
        <v>2021</v>
      </c>
      <c r="L86" s="287">
        <v>2633716</v>
      </c>
      <c r="M86" s="282"/>
      <c r="N86" s="287">
        <v>3256403</v>
      </c>
      <c r="O86" s="287">
        <v>56624</v>
      </c>
      <c r="P86" s="282"/>
      <c r="Q86" s="287">
        <v>300</v>
      </c>
      <c r="R86" s="282"/>
      <c r="S86" s="282"/>
      <c r="T86" s="282"/>
      <c r="U86" s="282"/>
      <c r="V86" s="282"/>
      <c r="W86" s="282"/>
      <c r="X86" s="287">
        <v>29535</v>
      </c>
      <c r="Y86" s="287">
        <v>30138</v>
      </c>
      <c r="Z86" s="282"/>
      <c r="AA86" s="287">
        <v>54136</v>
      </c>
      <c r="AB86" s="287">
        <v>127274</v>
      </c>
      <c r="AC86" s="282"/>
      <c r="AD86" s="282"/>
      <c r="AE86" s="282"/>
      <c r="AF86" s="287">
        <v>18748</v>
      </c>
      <c r="AG86" s="282"/>
      <c r="AH86" s="287">
        <v>731951</v>
      </c>
      <c r="AI86" s="282"/>
      <c r="AJ86" s="282"/>
      <c r="AK86" s="287">
        <v>2524452</v>
      </c>
      <c r="AL86" s="282"/>
      <c r="AM86" s="283" t="s">
        <v>10659</v>
      </c>
    </row>
    <row r="87" spans="1:39" ht="14.1" customHeight="1">
      <c r="A87" s="150" t="s">
        <v>10143</v>
      </c>
      <c r="B87" s="149">
        <v>407</v>
      </c>
      <c r="C87" s="150" t="s">
        <v>10144</v>
      </c>
      <c r="D87" s="266" t="s">
        <v>10145</v>
      </c>
      <c r="E87" s="150" t="s">
        <v>10146</v>
      </c>
      <c r="F87" s="150" t="s">
        <v>9942</v>
      </c>
      <c r="G87" s="150" t="s">
        <v>1911</v>
      </c>
      <c r="H87" s="266" t="s">
        <v>10147</v>
      </c>
      <c r="I87" s="160"/>
      <c r="J87" s="160"/>
      <c r="K87" s="160">
        <v>2022</v>
      </c>
      <c r="L87" s="150"/>
      <c r="M87" s="150"/>
      <c r="N87" s="150"/>
      <c r="O87" s="150"/>
      <c r="P87" s="163">
        <v>69999</v>
      </c>
      <c r="Q87" s="150"/>
      <c r="R87" s="150"/>
      <c r="S87" s="150"/>
      <c r="T87" s="150"/>
      <c r="U87" s="150"/>
      <c r="V87" s="150"/>
      <c r="W87" s="150"/>
      <c r="X87" s="150"/>
      <c r="Y87" s="150"/>
      <c r="Z87" s="150"/>
      <c r="AA87" s="150"/>
      <c r="AB87" s="150"/>
      <c r="AC87" s="150"/>
      <c r="AD87" s="150"/>
      <c r="AE87" s="150"/>
      <c r="AF87" s="150"/>
      <c r="AG87" s="150"/>
      <c r="AH87" s="150"/>
      <c r="AI87" s="163">
        <v>1080500</v>
      </c>
      <c r="AJ87" s="163">
        <v>1527913</v>
      </c>
      <c r="AK87" s="163">
        <v>2475461</v>
      </c>
      <c r="AL87" s="150"/>
      <c r="AM87" s="266" t="s">
        <v>10660</v>
      </c>
    </row>
    <row r="88" spans="1:39" ht="14.1" customHeight="1">
      <c r="A88" s="282" t="s">
        <v>10151</v>
      </c>
      <c r="B88" s="149">
        <v>386</v>
      </c>
      <c r="C88" s="282" t="s">
        <v>10152</v>
      </c>
      <c r="D88" s="283" t="s">
        <v>10153</v>
      </c>
      <c r="E88" s="282" t="s">
        <v>3590</v>
      </c>
      <c r="F88" s="282" t="s">
        <v>9942</v>
      </c>
      <c r="G88" s="282" t="s">
        <v>10154</v>
      </c>
      <c r="H88" s="283" t="s">
        <v>10155</v>
      </c>
      <c r="I88" s="284"/>
      <c r="J88" s="284">
        <v>65766</v>
      </c>
      <c r="K88" s="284">
        <v>2021</v>
      </c>
      <c r="L88" s="282"/>
      <c r="M88" s="282"/>
      <c r="N88" s="285">
        <v>13.380699999999999</v>
      </c>
      <c r="O88" s="282"/>
      <c r="P88" s="282"/>
      <c r="Q88" s="282"/>
      <c r="R88" s="282"/>
      <c r="S88" s="282"/>
      <c r="T88" s="282"/>
      <c r="U88" s="282"/>
      <c r="V88" s="282"/>
      <c r="W88" s="282"/>
      <c r="X88" s="282"/>
      <c r="Y88" s="282"/>
      <c r="Z88" s="282"/>
      <c r="AA88" s="282"/>
      <c r="AB88" s="282"/>
      <c r="AC88" s="282"/>
      <c r="AD88" s="282"/>
      <c r="AE88" s="282"/>
      <c r="AF88" s="282"/>
      <c r="AG88" s="282"/>
      <c r="AH88" s="282"/>
      <c r="AI88" s="282"/>
      <c r="AJ88" s="285">
        <v>6.3574000000000002</v>
      </c>
      <c r="AK88" s="285">
        <v>7.0232999999999999</v>
      </c>
      <c r="AL88" s="282"/>
      <c r="AM88" s="283" t="s">
        <v>10541</v>
      </c>
    </row>
    <row r="89" spans="1:39" ht="14.1" customHeight="1">
      <c r="A89" s="282" t="s">
        <v>10151</v>
      </c>
      <c r="B89" s="149">
        <v>386</v>
      </c>
      <c r="C89" s="282" t="s">
        <v>10152</v>
      </c>
      <c r="D89" s="283" t="s">
        <v>10153</v>
      </c>
      <c r="E89" s="282" t="s">
        <v>3590</v>
      </c>
      <c r="F89" s="282" t="s">
        <v>9942</v>
      </c>
      <c r="G89" s="282" t="s">
        <v>10154</v>
      </c>
      <c r="H89" s="283" t="s">
        <v>10155</v>
      </c>
      <c r="I89" s="284"/>
      <c r="J89" s="284">
        <v>65766</v>
      </c>
      <c r="K89" s="284">
        <v>2022</v>
      </c>
      <c r="L89" s="282"/>
      <c r="M89" s="282"/>
      <c r="N89" s="285">
        <v>14.0623</v>
      </c>
      <c r="O89" s="282"/>
      <c r="P89" s="282"/>
      <c r="Q89" s="282"/>
      <c r="R89" s="282"/>
      <c r="S89" s="282"/>
      <c r="T89" s="282"/>
      <c r="U89" s="282"/>
      <c r="V89" s="282"/>
      <c r="W89" s="282"/>
      <c r="X89" s="282"/>
      <c r="Y89" s="282"/>
      <c r="Z89" s="282"/>
      <c r="AA89" s="282"/>
      <c r="AB89" s="282"/>
      <c r="AC89" s="282"/>
      <c r="AD89" s="282"/>
      <c r="AE89" s="282"/>
      <c r="AF89" s="282"/>
      <c r="AG89" s="282"/>
      <c r="AH89" s="282"/>
      <c r="AI89" s="282"/>
      <c r="AJ89" s="285">
        <v>6.9302000000000001</v>
      </c>
      <c r="AK89" s="285">
        <v>7.1322000000000001</v>
      </c>
      <c r="AL89" s="282"/>
      <c r="AM89" s="283" t="s">
        <v>10541</v>
      </c>
    </row>
    <row r="90" spans="1:39" ht="14.1" customHeight="1">
      <c r="A90" s="282" t="s">
        <v>10151</v>
      </c>
      <c r="B90" s="149">
        <v>386</v>
      </c>
      <c r="C90" s="282" t="s">
        <v>10152</v>
      </c>
      <c r="D90" s="283" t="s">
        <v>10153</v>
      </c>
      <c r="E90" s="282" t="s">
        <v>3590</v>
      </c>
      <c r="F90" s="282" t="s">
        <v>9942</v>
      </c>
      <c r="G90" s="282" t="s">
        <v>10154</v>
      </c>
      <c r="H90" s="283" t="s">
        <v>10155</v>
      </c>
      <c r="I90" s="284"/>
      <c r="J90" s="284">
        <v>65766</v>
      </c>
      <c r="K90" s="284">
        <v>2023</v>
      </c>
      <c r="L90" s="282"/>
      <c r="M90" s="282"/>
      <c r="N90" s="285">
        <v>14.16</v>
      </c>
      <c r="O90" s="285">
        <v>0.63060000000000005</v>
      </c>
      <c r="P90" s="285">
        <v>1.5829</v>
      </c>
      <c r="Q90" s="282"/>
      <c r="R90" s="282"/>
      <c r="S90" s="282"/>
      <c r="T90" s="282"/>
      <c r="U90" s="282"/>
      <c r="V90" s="282"/>
      <c r="W90" s="282"/>
      <c r="X90" s="282"/>
      <c r="Y90" s="285">
        <v>0.23669999999999999</v>
      </c>
      <c r="Z90" s="282"/>
      <c r="AA90" s="282"/>
      <c r="AB90" s="282"/>
      <c r="AC90" s="282"/>
      <c r="AD90" s="282"/>
      <c r="AE90" s="282"/>
      <c r="AF90" s="285">
        <v>0.56440000000000001</v>
      </c>
      <c r="AG90" s="282"/>
      <c r="AH90" s="285">
        <v>4.4790000000000001</v>
      </c>
      <c r="AI90" s="285">
        <v>2.7357999999999998</v>
      </c>
      <c r="AJ90" s="285">
        <v>7.2146999999999997</v>
      </c>
      <c r="AK90" s="285">
        <v>7.1426999999999996</v>
      </c>
      <c r="AL90" s="282"/>
      <c r="AM90" s="283" t="s">
        <v>10541</v>
      </c>
    </row>
    <row r="91" spans="1:39" ht="14.1" customHeight="1">
      <c r="A91" s="282" t="s">
        <v>10158</v>
      </c>
      <c r="B91" s="149">
        <v>386</v>
      </c>
      <c r="C91" s="282" t="s">
        <v>10159</v>
      </c>
      <c r="D91" s="283" t="s">
        <v>10160</v>
      </c>
      <c r="E91" s="282" t="s">
        <v>3547</v>
      </c>
      <c r="F91" s="282" t="s">
        <v>9942</v>
      </c>
      <c r="G91" s="282" t="s">
        <v>10154</v>
      </c>
      <c r="H91" s="283" t="s">
        <v>10155</v>
      </c>
      <c r="I91" s="284"/>
      <c r="J91" s="284">
        <v>79950</v>
      </c>
      <c r="K91" s="284">
        <v>2021</v>
      </c>
      <c r="L91" s="282"/>
      <c r="M91" s="282"/>
      <c r="N91" s="285">
        <v>11.9617</v>
      </c>
      <c r="O91" s="282"/>
      <c r="P91" s="282"/>
      <c r="Q91" s="282"/>
      <c r="R91" s="282"/>
      <c r="S91" s="282"/>
      <c r="T91" s="282"/>
      <c r="U91" s="282"/>
      <c r="V91" s="282"/>
      <c r="W91" s="282"/>
      <c r="X91" s="282"/>
      <c r="Y91" s="282"/>
      <c r="Z91" s="282"/>
      <c r="AA91" s="282"/>
      <c r="AB91" s="282"/>
      <c r="AC91" s="282"/>
      <c r="AD91" s="282"/>
      <c r="AE91" s="282"/>
      <c r="AF91" s="282"/>
      <c r="AG91" s="282"/>
      <c r="AH91" s="282"/>
      <c r="AI91" s="282"/>
      <c r="AJ91" s="285">
        <v>6.0239000000000003</v>
      </c>
      <c r="AK91" s="285">
        <v>6.4381000000000004</v>
      </c>
      <c r="AL91" s="282"/>
      <c r="AM91" s="283" t="s">
        <v>10542</v>
      </c>
    </row>
    <row r="92" spans="1:39" ht="14.1" customHeight="1">
      <c r="A92" s="282" t="s">
        <v>10158</v>
      </c>
      <c r="B92" s="149">
        <v>386</v>
      </c>
      <c r="C92" s="282" t="s">
        <v>10159</v>
      </c>
      <c r="D92" s="283" t="s">
        <v>10160</v>
      </c>
      <c r="E92" s="282" t="s">
        <v>3547</v>
      </c>
      <c r="F92" s="282" t="s">
        <v>9942</v>
      </c>
      <c r="G92" s="282" t="s">
        <v>10154</v>
      </c>
      <c r="H92" s="283" t="s">
        <v>10155</v>
      </c>
      <c r="I92" s="284"/>
      <c r="J92" s="284">
        <v>79950</v>
      </c>
      <c r="K92" s="284">
        <v>2022</v>
      </c>
      <c r="L92" s="282"/>
      <c r="M92" s="282"/>
      <c r="N92" s="285">
        <v>12.732100000000001</v>
      </c>
      <c r="O92" s="282"/>
      <c r="P92" s="282"/>
      <c r="Q92" s="282"/>
      <c r="R92" s="282"/>
      <c r="S92" s="282"/>
      <c r="T92" s="282"/>
      <c r="U92" s="282"/>
      <c r="V92" s="282"/>
      <c r="W92" s="282"/>
      <c r="X92" s="282"/>
      <c r="Y92" s="282"/>
      <c r="Z92" s="282"/>
      <c r="AA92" s="282"/>
      <c r="AB92" s="282"/>
      <c r="AC92" s="282"/>
      <c r="AD92" s="282"/>
      <c r="AE92" s="282"/>
      <c r="AF92" s="282"/>
      <c r="AG92" s="282"/>
      <c r="AH92" s="282"/>
      <c r="AI92" s="282"/>
      <c r="AJ92" s="285">
        <v>5.4063999999999997</v>
      </c>
      <c r="AK92" s="285">
        <v>7.3257000000000003</v>
      </c>
      <c r="AL92" s="282"/>
      <c r="AM92" s="283" t="s">
        <v>10542</v>
      </c>
    </row>
    <row r="93" spans="1:39" ht="14.1" customHeight="1">
      <c r="A93" s="282" t="s">
        <v>10158</v>
      </c>
      <c r="B93" s="149">
        <v>386</v>
      </c>
      <c r="C93" s="282" t="s">
        <v>10159</v>
      </c>
      <c r="D93" s="283" t="s">
        <v>10160</v>
      </c>
      <c r="E93" s="282" t="s">
        <v>3547</v>
      </c>
      <c r="F93" s="282" t="s">
        <v>9942</v>
      </c>
      <c r="G93" s="282" t="s">
        <v>10154</v>
      </c>
      <c r="H93" s="283" t="s">
        <v>10155</v>
      </c>
      <c r="I93" s="284"/>
      <c r="J93" s="284">
        <v>79950</v>
      </c>
      <c r="K93" s="284">
        <v>2023</v>
      </c>
      <c r="L93" s="282"/>
      <c r="M93" s="282"/>
      <c r="N93" s="285">
        <v>11.94</v>
      </c>
      <c r="O93" s="285">
        <v>0.51049999999999995</v>
      </c>
      <c r="P93" s="285">
        <v>1.3573999999999999</v>
      </c>
      <c r="Q93" s="282"/>
      <c r="R93" s="282"/>
      <c r="S93" s="282"/>
      <c r="T93" s="282"/>
      <c r="U93" s="282"/>
      <c r="V93" s="282"/>
      <c r="W93" s="282"/>
      <c r="X93" s="282"/>
      <c r="Y93" s="285">
        <v>0.30099999999999999</v>
      </c>
      <c r="Z93" s="282"/>
      <c r="AA93" s="282"/>
      <c r="AB93" s="282"/>
      <c r="AC93" s="282"/>
      <c r="AD93" s="282"/>
      <c r="AE93" s="282"/>
      <c r="AF93" s="285">
        <v>0.25869999999999999</v>
      </c>
      <c r="AG93" s="282"/>
      <c r="AH93" s="285">
        <v>3.4355000000000002</v>
      </c>
      <c r="AI93" s="285">
        <v>3.0609999999999999</v>
      </c>
      <c r="AJ93" s="285">
        <v>6.4964000000000004</v>
      </c>
      <c r="AK93" s="285">
        <v>5.4436</v>
      </c>
      <c r="AL93" s="282"/>
      <c r="AM93" s="283" t="s">
        <v>10542</v>
      </c>
    </row>
    <row r="94" spans="1:39" ht="14.1" customHeight="1">
      <c r="A94" s="282" t="s">
        <v>10162</v>
      </c>
      <c r="B94" s="149">
        <v>386</v>
      </c>
      <c r="C94" s="282" t="s">
        <v>10163</v>
      </c>
      <c r="D94" s="283" t="s">
        <v>10164</v>
      </c>
      <c r="E94" s="282" t="s">
        <v>3547</v>
      </c>
      <c r="F94" s="282" t="s">
        <v>9942</v>
      </c>
      <c r="G94" s="282" t="s">
        <v>10154</v>
      </c>
      <c r="H94" s="283" t="s">
        <v>10165</v>
      </c>
      <c r="I94" s="284"/>
      <c r="J94" s="284">
        <v>83756</v>
      </c>
      <c r="K94" s="284">
        <v>2021</v>
      </c>
      <c r="L94" s="282"/>
      <c r="M94" s="282"/>
      <c r="N94" s="285">
        <v>9.7278000000000002</v>
      </c>
      <c r="O94" s="282"/>
      <c r="P94" s="282"/>
      <c r="Q94" s="282"/>
      <c r="R94" s="282"/>
      <c r="S94" s="282"/>
      <c r="T94" s="282"/>
      <c r="U94" s="282"/>
      <c r="V94" s="282"/>
      <c r="W94" s="282"/>
      <c r="X94" s="282"/>
      <c r="Y94" s="282"/>
      <c r="Z94" s="282"/>
      <c r="AA94" s="282"/>
      <c r="AB94" s="282"/>
      <c r="AC94" s="282"/>
      <c r="AD94" s="282"/>
      <c r="AE94" s="282"/>
      <c r="AF94" s="282"/>
      <c r="AG94" s="282"/>
      <c r="AH94" s="282"/>
      <c r="AI94" s="282"/>
      <c r="AJ94" s="285">
        <v>5.2126999999999999</v>
      </c>
      <c r="AK94" s="285">
        <v>4.5151000000000003</v>
      </c>
      <c r="AL94" s="282"/>
      <c r="AM94" s="283" t="s">
        <v>10542</v>
      </c>
    </row>
    <row r="95" spans="1:39" ht="14.1" customHeight="1">
      <c r="A95" s="282" t="s">
        <v>10162</v>
      </c>
      <c r="B95" s="149">
        <v>386</v>
      </c>
      <c r="C95" s="282" t="s">
        <v>10163</v>
      </c>
      <c r="D95" s="283" t="s">
        <v>10164</v>
      </c>
      <c r="E95" s="282" t="s">
        <v>3547</v>
      </c>
      <c r="F95" s="282" t="s">
        <v>9942</v>
      </c>
      <c r="G95" s="282" t="s">
        <v>10154</v>
      </c>
      <c r="H95" s="283" t="s">
        <v>10165</v>
      </c>
      <c r="I95" s="284"/>
      <c r="J95" s="284">
        <v>83756</v>
      </c>
      <c r="K95" s="284">
        <v>2022</v>
      </c>
      <c r="L95" s="282"/>
      <c r="M95" s="282"/>
      <c r="N95" s="285">
        <v>11.7102</v>
      </c>
      <c r="O95" s="282"/>
      <c r="P95" s="282"/>
      <c r="Q95" s="282"/>
      <c r="R95" s="282"/>
      <c r="S95" s="282"/>
      <c r="T95" s="282"/>
      <c r="U95" s="282"/>
      <c r="V95" s="282"/>
      <c r="W95" s="282"/>
      <c r="X95" s="282"/>
      <c r="Y95" s="282"/>
      <c r="Z95" s="282"/>
      <c r="AA95" s="282"/>
      <c r="AB95" s="282"/>
      <c r="AC95" s="282"/>
      <c r="AD95" s="282"/>
      <c r="AE95" s="282"/>
      <c r="AF95" s="282"/>
      <c r="AG95" s="282"/>
      <c r="AH95" s="282"/>
      <c r="AI95" s="282"/>
      <c r="AJ95" s="285">
        <v>5.4425999999999997</v>
      </c>
      <c r="AK95" s="285">
        <v>6.2675000000000001</v>
      </c>
      <c r="AL95" s="282"/>
      <c r="AM95" s="283" t="s">
        <v>10542</v>
      </c>
    </row>
    <row r="96" spans="1:39" ht="14.1" customHeight="1">
      <c r="A96" s="282" t="s">
        <v>10162</v>
      </c>
      <c r="B96" s="149">
        <v>386</v>
      </c>
      <c r="C96" s="282" t="s">
        <v>10163</v>
      </c>
      <c r="D96" s="283" t="s">
        <v>10164</v>
      </c>
      <c r="E96" s="282" t="s">
        <v>3547</v>
      </c>
      <c r="F96" s="282" t="s">
        <v>9942</v>
      </c>
      <c r="G96" s="282" t="s">
        <v>10154</v>
      </c>
      <c r="H96" s="283" t="s">
        <v>10165</v>
      </c>
      <c r="I96" s="284"/>
      <c r="J96" s="284">
        <v>83756</v>
      </c>
      <c r="K96" s="284">
        <v>2023</v>
      </c>
      <c r="L96" s="282"/>
      <c r="M96" s="282"/>
      <c r="N96" s="285">
        <v>12.082100000000001</v>
      </c>
      <c r="O96" s="285">
        <v>0.56240000000000001</v>
      </c>
      <c r="P96" s="285">
        <v>1.3342000000000001</v>
      </c>
      <c r="Q96" s="282"/>
      <c r="R96" s="282"/>
      <c r="S96" s="282"/>
      <c r="T96" s="282"/>
      <c r="U96" s="282"/>
      <c r="V96" s="282"/>
      <c r="W96" s="282"/>
      <c r="X96" s="282"/>
      <c r="Y96" s="285">
        <v>0.1222</v>
      </c>
      <c r="Z96" s="282"/>
      <c r="AA96" s="282"/>
      <c r="AB96" s="282"/>
      <c r="AC96" s="282"/>
      <c r="AD96" s="282"/>
      <c r="AE96" s="282"/>
      <c r="AF96" s="285">
        <v>0.19040000000000001</v>
      </c>
      <c r="AG96" s="282"/>
      <c r="AH96" s="285">
        <v>3.0787</v>
      </c>
      <c r="AI96" s="285">
        <v>2.42</v>
      </c>
      <c r="AJ96" s="285">
        <v>5.4985999999999997</v>
      </c>
      <c r="AK96" s="285">
        <v>6.5858999999999996</v>
      </c>
      <c r="AL96" s="282"/>
      <c r="AM96" s="283" t="s">
        <v>10542</v>
      </c>
    </row>
    <row r="97" spans="1:39" ht="14.1" customHeight="1">
      <c r="A97" s="282" t="s">
        <v>10167</v>
      </c>
      <c r="B97" s="149">
        <v>386</v>
      </c>
      <c r="C97" s="282" t="s">
        <v>10168</v>
      </c>
      <c r="D97" s="283" t="s">
        <v>10169</v>
      </c>
      <c r="E97" s="282" t="s">
        <v>3590</v>
      </c>
      <c r="F97" s="282" t="s">
        <v>9942</v>
      </c>
      <c r="G97" s="282" t="s">
        <v>10154</v>
      </c>
      <c r="H97" s="283" t="s">
        <v>10165</v>
      </c>
      <c r="I97" s="284"/>
      <c r="J97" s="284">
        <v>71909</v>
      </c>
      <c r="K97" s="284">
        <v>2021</v>
      </c>
      <c r="L97" s="282"/>
      <c r="M97" s="282"/>
      <c r="N97" s="285">
        <v>11.6457</v>
      </c>
      <c r="O97" s="282"/>
      <c r="P97" s="282"/>
      <c r="Q97" s="282"/>
      <c r="R97" s="282"/>
      <c r="S97" s="282"/>
      <c r="T97" s="282"/>
      <c r="U97" s="282"/>
      <c r="V97" s="282"/>
      <c r="W97" s="282"/>
      <c r="X97" s="282"/>
      <c r="Y97" s="282"/>
      <c r="Z97" s="282"/>
      <c r="AA97" s="282"/>
      <c r="AB97" s="282"/>
      <c r="AC97" s="282"/>
      <c r="AD97" s="282"/>
      <c r="AE97" s="282"/>
      <c r="AF97" s="282"/>
      <c r="AG97" s="282"/>
      <c r="AH97" s="282"/>
      <c r="AI97" s="282"/>
      <c r="AJ97" s="285">
        <v>6.1981000000000002</v>
      </c>
      <c r="AK97" s="285">
        <v>5.4476000000000004</v>
      </c>
      <c r="AL97" s="282"/>
      <c r="AM97" s="283" t="s">
        <v>10543</v>
      </c>
    </row>
    <row r="98" spans="1:39" ht="14.1" customHeight="1">
      <c r="A98" s="282" t="s">
        <v>10167</v>
      </c>
      <c r="B98" s="149">
        <v>386</v>
      </c>
      <c r="C98" s="282" t="s">
        <v>10168</v>
      </c>
      <c r="D98" s="283" t="s">
        <v>10169</v>
      </c>
      <c r="E98" s="282" t="s">
        <v>3590</v>
      </c>
      <c r="F98" s="282" t="s">
        <v>9942</v>
      </c>
      <c r="G98" s="282" t="s">
        <v>10154</v>
      </c>
      <c r="H98" s="283" t="s">
        <v>10165</v>
      </c>
      <c r="I98" s="284"/>
      <c r="J98" s="284">
        <v>71909</v>
      </c>
      <c r="K98" s="284">
        <v>2022</v>
      </c>
      <c r="L98" s="282"/>
      <c r="M98" s="282"/>
      <c r="N98" s="285">
        <v>13.1494</v>
      </c>
      <c r="O98" s="282"/>
      <c r="P98" s="282"/>
      <c r="Q98" s="282"/>
      <c r="R98" s="282"/>
      <c r="S98" s="282"/>
      <c r="T98" s="282"/>
      <c r="U98" s="282"/>
      <c r="V98" s="282"/>
      <c r="W98" s="282"/>
      <c r="X98" s="282"/>
      <c r="Y98" s="282"/>
      <c r="Z98" s="282"/>
      <c r="AA98" s="282"/>
      <c r="AB98" s="282"/>
      <c r="AC98" s="282"/>
      <c r="AD98" s="282"/>
      <c r="AE98" s="282"/>
      <c r="AF98" s="282"/>
      <c r="AG98" s="282"/>
      <c r="AH98" s="282"/>
      <c r="AI98" s="282"/>
      <c r="AJ98" s="285">
        <v>6.1981000000000002</v>
      </c>
      <c r="AK98" s="285">
        <v>6.4846000000000004</v>
      </c>
      <c r="AL98" s="282"/>
      <c r="AM98" s="283" t="s">
        <v>10543</v>
      </c>
    </row>
    <row r="99" spans="1:39" ht="14.1" customHeight="1">
      <c r="A99" s="282" t="s">
        <v>10167</v>
      </c>
      <c r="B99" s="149">
        <v>386</v>
      </c>
      <c r="C99" s="282" t="s">
        <v>10168</v>
      </c>
      <c r="D99" s="283" t="s">
        <v>10169</v>
      </c>
      <c r="E99" s="282" t="s">
        <v>3590</v>
      </c>
      <c r="F99" s="282" t="s">
        <v>9942</v>
      </c>
      <c r="G99" s="282" t="s">
        <v>10154</v>
      </c>
      <c r="H99" s="283" t="s">
        <v>10165</v>
      </c>
      <c r="I99" s="284"/>
      <c r="J99" s="284">
        <v>71909</v>
      </c>
      <c r="K99" s="284">
        <v>2023</v>
      </c>
      <c r="L99" s="282"/>
      <c r="M99" s="282"/>
      <c r="N99" s="285">
        <v>13.639200000000001</v>
      </c>
      <c r="O99" s="285">
        <v>0.60360000000000003</v>
      </c>
      <c r="P99" s="285">
        <v>1.9705999999999999</v>
      </c>
      <c r="Q99" s="282"/>
      <c r="R99" s="282"/>
      <c r="S99" s="282"/>
      <c r="T99" s="282"/>
      <c r="U99" s="282"/>
      <c r="V99" s="282"/>
      <c r="W99" s="282"/>
      <c r="X99" s="282"/>
      <c r="Y99" s="285">
        <v>0.248</v>
      </c>
      <c r="Z99" s="282"/>
      <c r="AA99" s="282"/>
      <c r="AB99" s="282"/>
      <c r="AC99" s="282"/>
      <c r="AD99" s="282"/>
      <c r="AE99" s="282"/>
      <c r="AF99" s="285">
        <v>0.29799999999999999</v>
      </c>
      <c r="AG99" s="282"/>
      <c r="AH99" s="285">
        <v>4.1574</v>
      </c>
      <c r="AI99" s="285">
        <v>2.5916999999999999</v>
      </c>
      <c r="AJ99" s="285">
        <v>6.7491000000000003</v>
      </c>
      <c r="AK99" s="285">
        <v>6.8461999999999996</v>
      </c>
      <c r="AL99" s="282"/>
      <c r="AM99" s="283" t="s">
        <v>10543</v>
      </c>
    </row>
    <row r="100" spans="1:39" ht="14.1" customHeight="1">
      <c r="A100" s="282" t="s">
        <v>10171</v>
      </c>
      <c r="B100" s="149">
        <v>386</v>
      </c>
      <c r="C100" s="282" t="s">
        <v>10172</v>
      </c>
      <c r="D100" s="283" t="s">
        <v>10544</v>
      </c>
      <c r="E100" s="282" t="s">
        <v>3590</v>
      </c>
      <c r="F100" s="282" t="s">
        <v>9942</v>
      </c>
      <c r="G100" s="282" t="s">
        <v>10154</v>
      </c>
      <c r="H100" s="283" t="s">
        <v>10165</v>
      </c>
      <c r="I100" s="284"/>
      <c r="J100" s="284">
        <v>41900</v>
      </c>
      <c r="K100" s="284">
        <v>2024</v>
      </c>
      <c r="L100" s="282"/>
      <c r="M100" s="282"/>
      <c r="N100" s="285">
        <v>17.137499999999999</v>
      </c>
      <c r="O100" s="285">
        <v>0.45429999999999998</v>
      </c>
      <c r="P100" s="285">
        <v>2.2427999999999999</v>
      </c>
      <c r="Q100" s="282"/>
      <c r="R100" s="282"/>
      <c r="S100" s="282"/>
      <c r="T100" s="282"/>
      <c r="U100" s="282"/>
      <c r="V100" s="282"/>
      <c r="W100" s="282"/>
      <c r="X100" s="282"/>
      <c r="Y100" s="285">
        <v>0.28089999999999998</v>
      </c>
      <c r="Z100" s="282"/>
      <c r="AA100" s="282"/>
      <c r="AB100" s="282"/>
      <c r="AC100" s="282"/>
      <c r="AD100" s="282"/>
      <c r="AE100" s="282"/>
      <c r="AF100" s="285">
        <v>0.1293</v>
      </c>
      <c r="AG100" s="282"/>
      <c r="AH100" s="285">
        <v>4.9831000000000003</v>
      </c>
      <c r="AI100" s="285">
        <v>4.2130000000000001</v>
      </c>
      <c r="AJ100" s="285">
        <v>9.1959999999999997</v>
      </c>
      <c r="AK100" s="285">
        <v>7.9413999999999998</v>
      </c>
      <c r="AL100" s="282"/>
      <c r="AM100" s="283" t="s">
        <v>10545</v>
      </c>
    </row>
    <row r="101" spans="1:39" ht="14.1" customHeight="1">
      <c r="A101" s="282" t="s">
        <v>10176</v>
      </c>
      <c r="B101" s="149">
        <v>386</v>
      </c>
      <c r="C101" s="282" t="s">
        <v>5672</v>
      </c>
      <c r="D101" s="283" t="s">
        <v>10177</v>
      </c>
      <c r="E101" s="282" t="s">
        <v>8758</v>
      </c>
      <c r="F101" s="282" t="s">
        <v>9942</v>
      </c>
      <c r="G101" s="282" t="s">
        <v>10154</v>
      </c>
      <c r="H101" s="283" t="s">
        <v>10155</v>
      </c>
      <c r="I101" s="284"/>
      <c r="J101" s="284">
        <v>94736</v>
      </c>
      <c r="K101" s="284"/>
      <c r="L101" s="282"/>
      <c r="M101" s="282"/>
      <c r="N101" s="285">
        <v>16.7</v>
      </c>
      <c r="O101" s="285">
        <v>0.41830000000000001</v>
      </c>
      <c r="P101" s="285">
        <v>1.7665999999999999</v>
      </c>
      <c r="Q101" s="282"/>
      <c r="R101" s="282"/>
      <c r="S101" s="282"/>
      <c r="T101" s="282"/>
      <c r="U101" s="282"/>
      <c r="V101" s="282"/>
      <c r="W101" s="282"/>
      <c r="X101" s="282"/>
      <c r="Y101" s="285">
        <v>0.4073</v>
      </c>
      <c r="Z101" s="282"/>
      <c r="AA101" s="282"/>
      <c r="AB101" s="282"/>
      <c r="AC101" s="282"/>
      <c r="AD101" s="282"/>
      <c r="AE101" s="282"/>
      <c r="AF101" s="285">
        <v>0.20699999999999999</v>
      </c>
      <c r="AG101" s="282"/>
      <c r="AH101" s="285">
        <v>3.6865999999999999</v>
      </c>
      <c r="AI101" s="285">
        <v>4.4740000000000002</v>
      </c>
      <c r="AJ101" s="285">
        <v>8.1606000000000005</v>
      </c>
      <c r="AK101" s="285">
        <v>8.5394000000000005</v>
      </c>
      <c r="AL101" s="282"/>
      <c r="AM101" s="283" t="s">
        <v>10546</v>
      </c>
    </row>
    <row r="102" spans="1:39" ht="14.1" customHeight="1">
      <c r="A102" s="282" t="s">
        <v>10180</v>
      </c>
      <c r="B102" s="149">
        <v>386</v>
      </c>
      <c r="C102" s="282" t="s">
        <v>10181</v>
      </c>
      <c r="D102" s="283" t="s">
        <v>10182</v>
      </c>
      <c r="E102" s="282" t="s">
        <v>8758</v>
      </c>
      <c r="F102" s="282" t="s">
        <v>9942</v>
      </c>
      <c r="G102" s="282" t="s">
        <v>10154</v>
      </c>
      <c r="H102" s="283" t="s">
        <v>10165</v>
      </c>
      <c r="I102" s="284"/>
      <c r="J102" s="284">
        <v>73500</v>
      </c>
      <c r="K102" s="284"/>
      <c r="L102" s="282"/>
      <c r="M102" s="282"/>
      <c r="N102" s="285">
        <v>11.351800000000001</v>
      </c>
      <c r="O102" s="285">
        <v>0.25040000000000001</v>
      </c>
      <c r="P102" s="285">
        <v>0.88449999999999995</v>
      </c>
      <c r="Q102" s="282"/>
      <c r="R102" s="282"/>
      <c r="S102" s="282"/>
      <c r="T102" s="282"/>
      <c r="U102" s="282"/>
      <c r="V102" s="282"/>
      <c r="W102" s="282"/>
      <c r="X102" s="282"/>
      <c r="Y102" s="285">
        <v>0.33679999999999999</v>
      </c>
      <c r="Z102" s="282"/>
      <c r="AA102" s="282"/>
      <c r="AB102" s="282"/>
      <c r="AC102" s="282"/>
      <c r="AD102" s="282"/>
      <c r="AE102" s="282"/>
      <c r="AF102" s="285">
        <v>0.23480000000000001</v>
      </c>
      <c r="AG102" s="282"/>
      <c r="AH102" s="285">
        <v>2.7023999999999999</v>
      </c>
      <c r="AI102" s="285">
        <v>2.1440000000000001</v>
      </c>
      <c r="AJ102" s="285">
        <v>4.8463000000000003</v>
      </c>
      <c r="AK102" s="285">
        <v>6.5054999999999996</v>
      </c>
      <c r="AL102" s="282"/>
      <c r="AM102" s="283" t="s">
        <v>10547</v>
      </c>
    </row>
    <row r="103" spans="1:39" ht="14.1" customHeight="1">
      <c r="A103" s="282" t="s">
        <v>10184</v>
      </c>
      <c r="B103" s="149">
        <v>386</v>
      </c>
      <c r="C103" s="282" t="s">
        <v>10185</v>
      </c>
      <c r="D103" s="283" t="s">
        <v>10186</v>
      </c>
      <c r="E103" s="282" t="s">
        <v>8758</v>
      </c>
      <c r="F103" s="282" t="s">
        <v>9942</v>
      </c>
      <c r="G103" s="282" t="s">
        <v>10154</v>
      </c>
      <c r="H103" s="283" t="s">
        <v>10165</v>
      </c>
      <c r="I103" s="284"/>
      <c r="J103" s="284">
        <v>44975</v>
      </c>
      <c r="K103" s="284"/>
      <c r="L103" s="282"/>
      <c r="M103" s="282"/>
      <c r="N103" s="285">
        <v>13.0923</v>
      </c>
      <c r="O103" s="285">
        <v>0.49330000000000002</v>
      </c>
      <c r="P103" s="285">
        <v>0.85609999999999997</v>
      </c>
      <c r="Q103" s="282"/>
      <c r="R103" s="282"/>
      <c r="S103" s="282"/>
      <c r="T103" s="282"/>
      <c r="U103" s="282"/>
      <c r="V103" s="282"/>
      <c r="W103" s="282"/>
      <c r="X103" s="282"/>
      <c r="Y103" s="285">
        <v>0.85970000000000002</v>
      </c>
      <c r="Z103" s="282"/>
      <c r="AA103" s="282"/>
      <c r="AB103" s="282"/>
      <c r="AC103" s="282"/>
      <c r="AD103" s="282"/>
      <c r="AE103" s="282"/>
      <c r="AF103" s="285">
        <v>0.69469999999999998</v>
      </c>
      <c r="AG103" s="282"/>
      <c r="AH103" s="285">
        <v>3.1997</v>
      </c>
      <c r="AI103" s="285">
        <v>2.8576000000000001</v>
      </c>
      <c r="AJ103" s="285">
        <v>6.0572999999999997</v>
      </c>
      <c r="AK103" s="285">
        <v>7.0350000000000001</v>
      </c>
      <c r="AL103" s="282"/>
      <c r="AM103" s="283" t="s">
        <v>10548</v>
      </c>
    </row>
    <row r="104" spans="1:39" ht="14.1" customHeight="1">
      <c r="A104" s="282" t="s">
        <v>10188</v>
      </c>
      <c r="B104" s="149">
        <v>386</v>
      </c>
      <c r="C104" s="282" t="s">
        <v>10189</v>
      </c>
      <c r="D104" s="283" t="s">
        <v>10549</v>
      </c>
      <c r="E104" s="282" t="s">
        <v>8758</v>
      </c>
      <c r="F104" s="282" t="s">
        <v>9942</v>
      </c>
      <c r="G104" s="282" t="s">
        <v>10154</v>
      </c>
      <c r="H104" s="283" t="s">
        <v>10155</v>
      </c>
      <c r="I104" s="284"/>
      <c r="J104" s="284">
        <v>94797</v>
      </c>
      <c r="K104" s="284"/>
      <c r="L104" s="282"/>
      <c r="M104" s="282"/>
      <c r="N104" s="285">
        <v>12.495200000000001</v>
      </c>
      <c r="O104" s="285">
        <v>0.26679999999999998</v>
      </c>
      <c r="P104" s="285">
        <v>2.1804999999999999</v>
      </c>
      <c r="Q104" s="282"/>
      <c r="R104" s="282"/>
      <c r="S104" s="282"/>
      <c r="T104" s="282"/>
      <c r="U104" s="282"/>
      <c r="V104" s="282"/>
      <c r="W104" s="282"/>
      <c r="X104" s="282"/>
      <c r="Y104" s="285">
        <v>0.30130000000000001</v>
      </c>
      <c r="Z104" s="282"/>
      <c r="AA104" s="282"/>
      <c r="AB104" s="282"/>
      <c r="AC104" s="282"/>
      <c r="AD104" s="282"/>
      <c r="AE104" s="282"/>
      <c r="AF104" s="285">
        <v>0.52210000000000001</v>
      </c>
      <c r="AG104" s="282"/>
      <c r="AH104" s="285">
        <v>4.5787000000000004</v>
      </c>
      <c r="AI104" s="285">
        <v>2.7378</v>
      </c>
      <c r="AJ104" s="285">
        <v>7.3164999999999996</v>
      </c>
      <c r="AK104" s="285">
        <v>5.1786000000000003</v>
      </c>
      <c r="AL104" s="282"/>
      <c r="AM104" s="283" t="s">
        <v>10550</v>
      </c>
    </row>
    <row r="105" spans="1:39" ht="14.1" customHeight="1">
      <c r="A105" s="282" t="s">
        <v>10192</v>
      </c>
      <c r="B105" s="149">
        <v>386</v>
      </c>
      <c r="C105" s="282" t="s">
        <v>10193</v>
      </c>
      <c r="D105" s="283" t="s">
        <v>10194</v>
      </c>
      <c r="E105" s="282" t="s">
        <v>8758</v>
      </c>
      <c r="F105" s="282" t="s">
        <v>9942</v>
      </c>
      <c r="G105" s="282" t="s">
        <v>10154</v>
      </c>
      <c r="H105" s="283" t="s">
        <v>10165</v>
      </c>
      <c r="I105" s="284"/>
      <c r="J105" s="284">
        <v>39525</v>
      </c>
      <c r="K105" s="284"/>
      <c r="L105" s="282"/>
      <c r="M105" s="282"/>
      <c r="N105" s="285">
        <v>13.712199999999999</v>
      </c>
      <c r="O105" s="285">
        <v>0.2102</v>
      </c>
      <c r="P105" s="285">
        <v>2.3853</v>
      </c>
      <c r="Q105" s="282"/>
      <c r="R105" s="282"/>
      <c r="S105" s="282"/>
      <c r="T105" s="282"/>
      <c r="U105" s="282"/>
      <c r="V105" s="282"/>
      <c r="W105" s="282"/>
      <c r="X105" s="282"/>
      <c r="Y105" s="285">
        <v>0.53869999999999996</v>
      </c>
      <c r="Z105" s="282"/>
      <c r="AA105" s="282"/>
      <c r="AB105" s="282"/>
      <c r="AC105" s="282"/>
      <c r="AD105" s="282"/>
      <c r="AE105" s="282"/>
      <c r="AF105" s="285">
        <v>0.41720000000000002</v>
      </c>
      <c r="AG105" s="282"/>
      <c r="AH105" s="285">
        <v>3.7856000000000001</v>
      </c>
      <c r="AI105" s="285">
        <v>5.2912999999999997</v>
      </c>
      <c r="AJ105" s="285">
        <v>9.0769000000000002</v>
      </c>
      <c r="AK105" s="285">
        <v>4.6352000000000002</v>
      </c>
      <c r="AL105" s="282"/>
      <c r="AM105" s="283" t="s">
        <v>10551</v>
      </c>
    </row>
    <row r="106" spans="1:39" ht="14.1" customHeight="1">
      <c r="A106" s="282" t="s">
        <v>10196</v>
      </c>
      <c r="B106" s="149">
        <v>386</v>
      </c>
      <c r="C106" s="282" t="s">
        <v>10197</v>
      </c>
      <c r="D106" s="283" t="s">
        <v>10198</v>
      </c>
      <c r="E106" s="282" t="s">
        <v>8758</v>
      </c>
      <c r="F106" s="282" t="s">
        <v>9942</v>
      </c>
      <c r="G106" s="282" t="s">
        <v>10154</v>
      </c>
      <c r="H106" s="283" t="s">
        <v>10199</v>
      </c>
      <c r="I106" s="284"/>
      <c r="J106" s="284">
        <v>45980</v>
      </c>
      <c r="K106" s="284"/>
      <c r="L106" s="282"/>
      <c r="M106" s="282"/>
      <c r="N106" s="285">
        <v>14.0604</v>
      </c>
      <c r="O106" s="285">
        <v>0.1085</v>
      </c>
      <c r="P106" s="285">
        <v>1.5224</v>
      </c>
      <c r="Q106" s="282"/>
      <c r="R106" s="282"/>
      <c r="S106" s="282"/>
      <c r="T106" s="282"/>
      <c r="U106" s="282"/>
      <c r="V106" s="282"/>
      <c r="W106" s="282"/>
      <c r="X106" s="282"/>
      <c r="Y106" s="285">
        <v>0.26100000000000001</v>
      </c>
      <c r="Z106" s="282"/>
      <c r="AA106" s="282"/>
      <c r="AB106" s="282"/>
      <c r="AC106" s="282"/>
      <c r="AD106" s="282"/>
      <c r="AE106" s="282"/>
      <c r="AF106" s="285">
        <v>0.26040000000000002</v>
      </c>
      <c r="AG106" s="282"/>
      <c r="AH106" s="285">
        <v>3.1926000000000001</v>
      </c>
      <c r="AI106" s="285">
        <v>1.806</v>
      </c>
      <c r="AJ106" s="285">
        <v>4.9985999999999997</v>
      </c>
      <c r="AK106" s="285">
        <v>9.0617000000000001</v>
      </c>
      <c r="AL106" s="282"/>
      <c r="AM106" s="283" t="s">
        <v>10552</v>
      </c>
    </row>
    <row r="107" spans="1:39" ht="14.1" customHeight="1">
      <c r="A107" s="282" t="s">
        <v>10201</v>
      </c>
      <c r="B107" s="149">
        <v>386</v>
      </c>
      <c r="C107" s="282" t="s">
        <v>10202</v>
      </c>
      <c r="D107" s="283" t="s">
        <v>10203</v>
      </c>
      <c r="E107" s="282" t="s">
        <v>8758</v>
      </c>
      <c r="F107" s="282" t="s">
        <v>9942</v>
      </c>
      <c r="G107" s="282" t="s">
        <v>10154</v>
      </c>
      <c r="H107" s="283" t="s">
        <v>10165</v>
      </c>
      <c r="I107" s="284"/>
      <c r="J107" s="284">
        <v>88043</v>
      </c>
      <c r="K107" s="284"/>
      <c r="L107" s="282"/>
      <c r="M107" s="282"/>
      <c r="N107" s="285">
        <v>13.704700000000001</v>
      </c>
      <c r="O107" s="285">
        <v>0.14169999999999999</v>
      </c>
      <c r="P107" s="285">
        <v>2.0341</v>
      </c>
      <c r="Q107" s="282"/>
      <c r="R107" s="282"/>
      <c r="S107" s="282"/>
      <c r="T107" s="282"/>
      <c r="U107" s="282"/>
      <c r="V107" s="282"/>
      <c r="W107" s="282"/>
      <c r="X107" s="282"/>
      <c r="Y107" s="285">
        <v>0.2303</v>
      </c>
      <c r="Z107" s="282"/>
      <c r="AA107" s="282"/>
      <c r="AB107" s="282"/>
      <c r="AC107" s="282"/>
      <c r="AD107" s="282"/>
      <c r="AE107" s="282"/>
      <c r="AF107" s="285">
        <v>0.19259999999999999</v>
      </c>
      <c r="AG107" s="282"/>
      <c r="AH107" s="285">
        <v>3.2267000000000001</v>
      </c>
      <c r="AI107" s="285">
        <v>4.4240000000000004</v>
      </c>
      <c r="AJ107" s="285">
        <v>7.6506999999999996</v>
      </c>
      <c r="AK107" s="285">
        <v>6.0540000000000003</v>
      </c>
      <c r="AL107" s="282"/>
      <c r="AM107" s="283" t="s">
        <v>10553</v>
      </c>
    </row>
    <row r="108" spans="1:39" ht="14.1" customHeight="1">
      <c r="A108" s="282" t="s">
        <v>10205</v>
      </c>
      <c r="B108" s="149">
        <v>386</v>
      </c>
      <c r="C108" s="282" t="s">
        <v>10206</v>
      </c>
      <c r="D108" s="283" t="s">
        <v>10207</v>
      </c>
      <c r="E108" s="282" t="s">
        <v>8758</v>
      </c>
      <c r="F108" s="282" t="s">
        <v>9942</v>
      </c>
      <c r="G108" s="282" t="s">
        <v>10154</v>
      </c>
      <c r="H108" s="283" t="s">
        <v>10165</v>
      </c>
      <c r="I108" s="284"/>
      <c r="J108" s="284">
        <v>41764</v>
      </c>
      <c r="K108" s="284"/>
      <c r="L108" s="282"/>
      <c r="M108" s="282"/>
      <c r="N108" s="285">
        <v>18.852699999999999</v>
      </c>
      <c r="O108" s="285">
        <v>0.2311</v>
      </c>
      <c r="P108" s="285">
        <v>1.9950000000000001</v>
      </c>
      <c r="Q108" s="282"/>
      <c r="R108" s="282"/>
      <c r="S108" s="282"/>
      <c r="T108" s="282"/>
      <c r="U108" s="282"/>
      <c r="V108" s="282"/>
      <c r="W108" s="282"/>
      <c r="X108" s="282"/>
      <c r="Y108" s="285">
        <v>0.6139</v>
      </c>
      <c r="Z108" s="282"/>
      <c r="AA108" s="282"/>
      <c r="AB108" s="282"/>
      <c r="AC108" s="282"/>
      <c r="AD108" s="282"/>
      <c r="AE108" s="282"/>
      <c r="AF108" s="285">
        <v>0.3821</v>
      </c>
      <c r="AG108" s="282"/>
      <c r="AH108" s="285">
        <v>4.6124000000000001</v>
      </c>
      <c r="AI108" s="285">
        <v>4.8634000000000004</v>
      </c>
      <c r="AJ108" s="285">
        <v>9.4757999999999996</v>
      </c>
      <c r="AK108" s="285">
        <v>9.3768999999999991</v>
      </c>
      <c r="AL108" s="282"/>
      <c r="AM108" s="283" t="s">
        <v>10554</v>
      </c>
    </row>
    <row r="109" spans="1:39" ht="14.1" customHeight="1">
      <c r="A109" s="150" t="s">
        <v>10040</v>
      </c>
      <c r="B109" s="149">
        <v>584</v>
      </c>
      <c r="C109" s="150" t="s">
        <v>10041</v>
      </c>
      <c r="D109" s="266" t="s">
        <v>10042</v>
      </c>
      <c r="E109" s="150" t="s">
        <v>3966</v>
      </c>
      <c r="F109" s="150" t="s">
        <v>9942</v>
      </c>
      <c r="G109" s="150" t="s">
        <v>1911</v>
      </c>
      <c r="H109" s="266" t="s">
        <v>10043</v>
      </c>
      <c r="I109" s="160">
        <v>1983</v>
      </c>
      <c r="J109" s="160">
        <v>377729</v>
      </c>
      <c r="K109" s="160">
        <v>2023</v>
      </c>
      <c r="L109" s="161">
        <v>7.8883999999999999</v>
      </c>
      <c r="M109" s="150"/>
      <c r="N109" s="161">
        <v>7.8883999999999999</v>
      </c>
      <c r="O109" s="150"/>
      <c r="P109" s="161">
        <v>1.0200000000000001E-2</v>
      </c>
      <c r="Q109" s="150"/>
      <c r="R109" s="150"/>
      <c r="S109" s="150"/>
      <c r="T109" s="150"/>
      <c r="U109" s="150"/>
      <c r="V109" s="150"/>
      <c r="W109" s="150"/>
      <c r="X109" s="150"/>
      <c r="Y109" s="150"/>
      <c r="Z109" s="150"/>
      <c r="AA109" s="150"/>
      <c r="AB109" s="150"/>
      <c r="AC109" s="150"/>
      <c r="AD109" s="150"/>
      <c r="AE109" s="150"/>
      <c r="AF109" s="150"/>
      <c r="AG109" s="161">
        <v>2.06E-2</v>
      </c>
      <c r="AH109" s="161">
        <v>0.1095</v>
      </c>
      <c r="AI109" s="161">
        <v>0</v>
      </c>
      <c r="AJ109" s="161">
        <v>0.1095</v>
      </c>
      <c r="AK109" s="161">
        <v>7.7789000000000001</v>
      </c>
      <c r="AL109" s="150"/>
      <c r="AM109" s="266" t="s">
        <v>10555</v>
      </c>
    </row>
    <row r="110" spans="1:39" ht="14.1" customHeight="1">
      <c r="A110" s="282" t="s">
        <v>10040</v>
      </c>
      <c r="B110" s="149">
        <v>584</v>
      </c>
      <c r="C110" s="282" t="s">
        <v>10041</v>
      </c>
      <c r="D110" s="283" t="s">
        <v>10042</v>
      </c>
      <c r="E110" s="282" t="s">
        <v>3966</v>
      </c>
      <c r="F110" s="282" t="s">
        <v>9942</v>
      </c>
      <c r="G110" s="282" t="s">
        <v>1911</v>
      </c>
      <c r="H110" s="283" t="s">
        <v>10043</v>
      </c>
      <c r="I110" s="284">
        <v>1983</v>
      </c>
      <c r="J110" s="284">
        <v>377729</v>
      </c>
      <c r="K110" s="284">
        <v>2024</v>
      </c>
      <c r="L110" s="285">
        <v>8.0676000000000005</v>
      </c>
      <c r="M110" s="282"/>
      <c r="N110" s="285">
        <v>8.0676000000000005</v>
      </c>
      <c r="O110" s="282"/>
      <c r="P110" s="285">
        <v>1.06E-2</v>
      </c>
      <c r="Q110" s="282"/>
      <c r="R110" s="282"/>
      <c r="S110" s="282"/>
      <c r="T110" s="282"/>
      <c r="U110" s="282"/>
      <c r="V110" s="282"/>
      <c r="W110" s="282"/>
      <c r="X110" s="282"/>
      <c r="Y110" s="282"/>
      <c r="Z110" s="282"/>
      <c r="AA110" s="282"/>
      <c r="AB110" s="282"/>
      <c r="AC110" s="282"/>
      <c r="AD110" s="282"/>
      <c r="AE110" s="282"/>
      <c r="AF110" s="282"/>
      <c r="AG110" s="285">
        <v>6.8500000000000005E-2</v>
      </c>
      <c r="AH110" s="285">
        <v>0.15579999999999999</v>
      </c>
      <c r="AI110" s="285">
        <v>0</v>
      </c>
      <c r="AJ110" s="285">
        <v>0.15579999999999999</v>
      </c>
      <c r="AK110" s="285">
        <v>7.9118000000000004</v>
      </c>
      <c r="AL110" s="282"/>
      <c r="AM110" s="283" t="s">
        <v>10555</v>
      </c>
    </row>
    <row r="111" spans="1:39" ht="14.1" customHeight="1">
      <c r="A111" s="150" t="s">
        <v>10125</v>
      </c>
      <c r="B111" s="149">
        <v>407</v>
      </c>
      <c r="C111" s="150" t="s">
        <v>10126</v>
      </c>
      <c r="D111" s="266" t="s">
        <v>10127</v>
      </c>
      <c r="E111" s="150" t="s">
        <v>3642</v>
      </c>
      <c r="F111" s="150" t="s">
        <v>9942</v>
      </c>
      <c r="G111" s="150" t="s">
        <v>1911</v>
      </c>
      <c r="H111" s="266" t="s">
        <v>10102</v>
      </c>
      <c r="I111" s="160">
        <v>2008</v>
      </c>
      <c r="J111" s="160">
        <v>215461</v>
      </c>
      <c r="K111" s="160">
        <v>2024</v>
      </c>
      <c r="L111" s="161">
        <v>7.1487999999999996</v>
      </c>
      <c r="M111" s="150"/>
      <c r="N111" s="161">
        <v>7.1487999999999996</v>
      </c>
      <c r="O111" s="150"/>
      <c r="P111" s="150"/>
      <c r="Q111" s="150"/>
      <c r="R111" s="150"/>
      <c r="S111" s="150"/>
      <c r="T111" s="150"/>
      <c r="U111" s="150"/>
      <c r="V111" s="150"/>
      <c r="W111" s="150"/>
      <c r="X111" s="150"/>
      <c r="Y111" s="150"/>
      <c r="Z111" s="150"/>
      <c r="AA111" s="161">
        <v>4.5900000000000003E-2</v>
      </c>
      <c r="AB111" s="161">
        <v>0.13869999999999999</v>
      </c>
      <c r="AC111" s="150"/>
      <c r="AD111" s="150"/>
      <c r="AE111" s="150"/>
      <c r="AF111" s="150"/>
      <c r="AG111" s="150"/>
      <c r="AH111" s="150"/>
      <c r="AI111" s="150"/>
      <c r="AJ111" s="150"/>
      <c r="AK111" s="150"/>
      <c r="AL111" s="150"/>
      <c r="AM111" s="266" t="s">
        <v>10556</v>
      </c>
    </row>
    <row r="112" spans="1:39" ht="14.1" customHeight="1">
      <c r="A112" s="282" t="s">
        <v>10131</v>
      </c>
      <c r="B112" s="149">
        <v>407</v>
      </c>
      <c r="C112" s="282" t="s">
        <v>10132</v>
      </c>
      <c r="D112" s="283" t="s">
        <v>10133</v>
      </c>
      <c r="E112" s="282" t="s">
        <v>3642</v>
      </c>
      <c r="F112" s="282" t="s">
        <v>9942</v>
      </c>
      <c r="G112" s="282" t="s">
        <v>1911</v>
      </c>
      <c r="H112" s="283" t="s">
        <v>10102</v>
      </c>
      <c r="I112" s="284">
        <v>2007</v>
      </c>
      <c r="J112" s="284">
        <v>202091</v>
      </c>
      <c r="K112" s="284">
        <v>2024</v>
      </c>
      <c r="L112" s="282"/>
      <c r="M112" s="282"/>
      <c r="N112" s="285">
        <v>5.2329999999999997</v>
      </c>
      <c r="O112" s="282"/>
      <c r="P112" s="282"/>
      <c r="Q112" s="282"/>
      <c r="R112" s="282"/>
      <c r="S112" s="282"/>
      <c r="T112" s="282"/>
      <c r="U112" s="282"/>
      <c r="V112" s="282"/>
      <c r="W112" s="282"/>
      <c r="X112" s="282"/>
      <c r="Y112" s="282"/>
      <c r="Z112" s="282"/>
      <c r="AA112" s="282"/>
      <c r="AB112" s="282"/>
      <c r="AC112" s="282"/>
      <c r="AD112" s="282"/>
      <c r="AE112" s="282"/>
      <c r="AF112" s="282"/>
      <c r="AG112" s="282"/>
      <c r="AH112" s="285">
        <v>3.5731000000000002</v>
      </c>
      <c r="AI112" s="282"/>
      <c r="AJ112" s="285">
        <v>3.5731000000000002</v>
      </c>
      <c r="AK112" s="285">
        <v>1.6598999999999999</v>
      </c>
      <c r="AL112" s="282"/>
      <c r="AM112" s="283" t="s">
        <v>10557</v>
      </c>
    </row>
    <row r="113" spans="1:39" ht="14.1" customHeight="1">
      <c r="A113" s="150" t="s">
        <v>10209</v>
      </c>
      <c r="B113" s="149">
        <v>210</v>
      </c>
      <c r="C113" s="150" t="s">
        <v>5480</v>
      </c>
      <c r="D113" s="266" t="s">
        <v>10210</v>
      </c>
      <c r="E113" s="150" t="s">
        <v>3966</v>
      </c>
      <c r="F113" s="150" t="s">
        <v>9942</v>
      </c>
      <c r="G113" s="150" t="s">
        <v>1911</v>
      </c>
      <c r="H113" s="266" t="s">
        <v>10211</v>
      </c>
      <c r="I113" s="160"/>
      <c r="J113" s="160"/>
      <c r="K113" s="160">
        <v>2023</v>
      </c>
      <c r="L113" s="150"/>
      <c r="M113" s="150"/>
      <c r="N113" s="163">
        <v>2454080</v>
      </c>
      <c r="O113" s="163">
        <v>41179</v>
      </c>
      <c r="P113" s="163">
        <v>58394</v>
      </c>
      <c r="Q113" s="150"/>
      <c r="R113" s="150"/>
      <c r="S113" s="163">
        <v>36166</v>
      </c>
      <c r="T113" s="163">
        <v>1942</v>
      </c>
      <c r="U113" s="150"/>
      <c r="V113" s="150"/>
      <c r="W113" s="150"/>
      <c r="X113" s="163">
        <v>549</v>
      </c>
      <c r="Y113" s="163">
        <v>38657</v>
      </c>
      <c r="Z113" s="150"/>
      <c r="AA113" s="163">
        <v>15068</v>
      </c>
      <c r="AB113" s="163">
        <v>55875</v>
      </c>
      <c r="AC113" s="163">
        <v>70943</v>
      </c>
      <c r="AD113" s="163">
        <v>25682</v>
      </c>
      <c r="AE113" s="150"/>
      <c r="AF113" s="163">
        <v>25682</v>
      </c>
      <c r="AG113" s="163">
        <v>1654</v>
      </c>
      <c r="AH113" s="163">
        <v>220784</v>
      </c>
      <c r="AI113" s="163">
        <v>1347168</v>
      </c>
      <c r="AJ113" s="163">
        <v>1568172</v>
      </c>
      <c r="AK113" s="163">
        <v>885908</v>
      </c>
      <c r="AL113" s="150"/>
      <c r="AM113" s="266" t="s">
        <v>10661</v>
      </c>
    </row>
    <row r="114" spans="1:39" ht="14.1" customHeight="1">
      <c r="A114" s="282" t="s">
        <v>10209</v>
      </c>
      <c r="B114" s="149">
        <v>210</v>
      </c>
      <c r="C114" s="282" t="s">
        <v>5480</v>
      </c>
      <c r="D114" s="283" t="s">
        <v>10210</v>
      </c>
      <c r="E114" s="282" t="s">
        <v>3966</v>
      </c>
      <c r="F114" s="282" t="s">
        <v>9942</v>
      </c>
      <c r="G114" s="282" t="s">
        <v>1911</v>
      </c>
      <c r="H114" s="283" t="s">
        <v>10211</v>
      </c>
      <c r="I114" s="284"/>
      <c r="J114" s="284"/>
      <c r="K114" s="284">
        <v>2024</v>
      </c>
      <c r="L114" s="282"/>
      <c r="M114" s="282"/>
      <c r="N114" s="287">
        <v>2720117</v>
      </c>
      <c r="O114" s="287">
        <v>53324</v>
      </c>
      <c r="P114" s="287">
        <v>85426</v>
      </c>
      <c r="Q114" s="282"/>
      <c r="R114" s="282"/>
      <c r="S114" s="287">
        <v>10052</v>
      </c>
      <c r="T114" s="287">
        <v>12752</v>
      </c>
      <c r="U114" s="282"/>
      <c r="V114" s="282"/>
      <c r="W114" s="282"/>
      <c r="X114" s="287">
        <v>789</v>
      </c>
      <c r="Y114" s="287">
        <v>23593</v>
      </c>
      <c r="Z114" s="282"/>
      <c r="AA114" s="287">
        <v>16126</v>
      </c>
      <c r="AB114" s="287">
        <v>57314</v>
      </c>
      <c r="AC114" s="287">
        <v>73440</v>
      </c>
      <c r="AD114" s="287">
        <v>21725</v>
      </c>
      <c r="AE114" s="282"/>
      <c r="AF114" s="287">
        <v>21725</v>
      </c>
      <c r="AG114" s="287">
        <v>2601</v>
      </c>
      <c r="AH114" s="287">
        <v>265585</v>
      </c>
      <c r="AI114" s="287">
        <v>1331347</v>
      </c>
      <c r="AJ114" s="287">
        <v>1596932</v>
      </c>
      <c r="AK114" s="287">
        <v>1123184</v>
      </c>
      <c r="AL114" s="282"/>
      <c r="AM114" s="283" t="s">
        <v>10662</v>
      </c>
    </row>
    <row r="115" spans="1:39" ht="14.1" customHeight="1">
      <c r="A115" s="150" t="s">
        <v>10215</v>
      </c>
      <c r="B115" s="149">
        <v>407</v>
      </c>
      <c r="C115" s="150" t="s">
        <v>10216</v>
      </c>
      <c r="D115" s="266" t="s">
        <v>10217</v>
      </c>
      <c r="E115" s="150" t="s">
        <v>3966</v>
      </c>
      <c r="F115" s="150" t="s">
        <v>9942</v>
      </c>
      <c r="G115" s="150" t="s">
        <v>1911</v>
      </c>
      <c r="H115" s="266" t="s">
        <v>10060</v>
      </c>
      <c r="I115" s="160"/>
      <c r="J115" s="160"/>
      <c r="K115" s="160">
        <v>2023</v>
      </c>
      <c r="L115" s="163">
        <v>1865903</v>
      </c>
      <c r="M115" s="150"/>
      <c r="N115" s="163">
        <v>2819460</v>
      </c>
      <c r="O115" s="163">
        <v>30551</v>
      </c>
      <c r="P115" s="163">
        <v>174961</v>
      </c>
      <c r="Q115" s="150"/>
      <c r="R115" s="150"/>
      <c r="S115" s="163">
        <v>38995</v>
      </c>
      <c r="T115" s="163">
        <v>27460</v>
      </c>
      <c r="U115" s="150"/>
      <c r="V115" s="150"/>
      <c r="W115" s="150"/>
      <c r="X115" s="163">
        <v>2475</v>
      </c>
      <c r="Y115" s="163">
        <v>68930</v>
      </c>
      <c r="Z115" s="150"/>
      <c r="AA115" s="163">
        <v>18672</v>
      </c>
      <c r="AB115" s="163">
        <v>19945</v>
      </c>
      <c r="AC115" s="163">
        <v>38617</v>
      </c>
      <c r="AD115" s="150"/>
      <c r="AE115" s="150"/>
      <c r="AF115" s="163">
        <v>58172</v>
      </c>
      <c r="AG115" s="163">
        <v>18488</v>
      </c>
      <c r="AH115" s="163">
        <v>379535</v>
      </c>
      <c r="AI115" s="163">
        <v>895967</v>
      </c>
      <c r="AJ115" s="163">
        <v>1013502</v>
      </c>
      <c r="AK115" s="163">
        <v>1805958</v>
      </c>
      <c r="AL115" s="150"/>
      <c r="AM115" s="266" t="s">
        <v>10663</v>
      </c>
    </row>
    <row r="116" spans="1:39" ht="14.1" customHeight="1">
      <c r="A116" s="282" t="s">
        <v>10215</v>
      </c>
      <c r="B116" s="149">
        <v>407</v>
      </c>
      <c r="C116" s="282" t="s">
        <v>10216</v>
      </c>
      <c r="D116" s="283" t="s">
        <v>10217</v>
      </c>
      <c r="E116" s="282" t="s">
        <v>3966</v>
      </c>
      <c r="F116" s="282" t="s">
        <v>9942</v>
      </c>
      <c r="G116" s="282" t="s">
        <v>1911</v>
      </c>
      <c r="H116" s="283" t="s">
        <v>10060</v>
      </c>
      <c r="I116" s="284"/>
      <c r="J116" s="284"/>
      <c r="K116" s="284">
        <v>2024</v>
      </c>
      <c r="L116" s="287">
        <v>2075908</v>
      </c>
      <c r="M116" s="282"/>
      <c r="N116" s="287">
        <v>3348615</v>
      </c>
      <c r="O116" s="287">
        <v>35750</v>
      </c>
      <c r="P116" s="287">
        <v>200286</v>
      </c>
      <c r="Q116" s="282"/>
      <c r="R116" s="282"/>
      <c r="S116" s="287">
        <v>22119</v>
      </c>
      <c r="T116" s="287">
        <v>33962</v>
      </c>
      <c r="U116" s="282"/>
      <c r="V116" s="282"/>
      <c r="W116" s="282"/>
      <c r="X116" s="287">
        <v>3333</v>
      </c>
      <c r="Y116" s="287">
        <v>59414</v>
      </c>
      <c r="Z116" s="282"/>
      <c r="AA116" s="287">
        <v>26689</v>
      </c>
      <c r="AB116" s="287">
        <v>56296</v>
      </c>
      <c r="AC116" s="287">
        <v>82985</v>
      </c>
      <c r="AD116" s="282"/>
      <c r="AE116" s="282"/>
      <c r="AF116" s="287">
        <v>34195</v>
      </c>
      <c r="AG116" s="287">
        <v>4284</v>
      </c>
      <c r="AH116" s="287">
        <v>341787</v>
      </c>
      <c r="AI116" s="287">
        <v>989805</v>
      </c>
      <c r="AJ116" s="287">
        <v>1331592</v>
      </c>
      <c r="AK116" s="287">
        <v>2017023</v>
      </c>
      <c r="AL116" s="282"/>
      <c r="AM116" s="283" t="s">
        <v>10664</v>
      </c>
    </row>
    <row r="117" spans="1:39" ht="14.1" customHeight="1">
      <c r="A117" s="150" t="s">
        <v>10221</v>
      </c>
      <c r="B117" s="149">
        <v>407</v>
      </c>
      <c r="C117" s="150" t="s">
        <v>10222</v>
      </c>
      <c r="D117" s="266" t="s">
        <v>10223</v>
      </c>
      <c r="E117" s="150" t="s">
        <v>3590</v>
      </c>
      <c r="F117" s="150" t="s">
        <v>9942</v>
      </c>
      <c r="G117" s="150" t="s">
        <v>1911</v>
      </c>
      <c r="H117" s="266" t="s">
        <v>10060</v>
      </c>
      <c r="I117" s="160">
        <v>2022</v>
      </c>
      <c r="J117" s="160"/>
      <c r="K117" s="160">
        <v>2024</v>
      </c>
      <c r="L117" s="163">
        <v>646186</v>
      </c>
      <c r="M117" s="150"/>
      <c r="N117" s="163">
        <v>839307</v>
      </c>
      <c r="O117" s="163">
        <v>11813</v>
      </c>
      <c r="P117" s="163">
        <v>47295</v>
      </c>
      <c r="Q117" s="150"/>
      <c r="R117" s="150"/>
      <c r="S117" s="150"/>
      <c r="T117" s="163">
        <v>9156</v>
      </c>
      <c r="U117" s="150"/>
      <c r="V117" s="150"/>
      <c r="W117" s="150"/>
      <c r="X117" s="163">
        <v>3898</v>
      </c>
      <c r="Y117" s="163">
        <v>13054</v>
      </c>
      <c r="Z117" s="150"/>
      <c r="AA117" s="163">
        <v>11343</v>
      </c>
      <c r="AB117" s="163">
        <v>24799</v>
      </c>
      <c r="AC117" s="163">
        <v>36142</v>
      </c>
      <c r="AD117" s="150"/>
      <c r="AE117" s="150"/>
      <c r="AF117" s="163">
        <v>27895</v>
      </c>
      <c r="AG117" s="150"/>
      <c r="AH117" s="163">
        <v>146517</v>
      </c>
      <c r="AI117" s="163">
        <v>558285</v>
      </c>
      <c r="AJ117" s="163">
        <v>705154</v>
      </c>
      <c r="AK117" s="163">
        <v>134153</v>
      </c>
      <c r="AL117" s="150"/>
      <c r="AM117" s="266" t="s">
        <v>10665</v>
      </c>
    </row>
    <row r="118" spans="1:39" ht="14.1" customHeight="1">
      <c r="A118" s="282" t="s">
        <v>10226</v>
      </c>
      <c r="B118" s="149">
        <v>407</v>
      </c>
      <c r="C118" s="282" t="s">
        <v>10227</v>
      </c>
      <c r="D118" s="283" t="s">
        <v>10228</v>
      </c>
      <c r="E118" s="282" t="s">
        <v>3590</v>
      </c>
      <c r="F118" s="282" t="s">
        <v>9942</v>
      </c>
      <c r="G118" s="282" t="s">
        <v>1911</v>
      </c>
      <c r="H118" s="283" t="s">
        <v>10060</v>
      </c>
      <c r="I118" s="284">
        <v>2022</v>
      </c>
      <c r="J118" s="284"/>
      <c r="K118" s="284">
        <v>2024</v>
      </c>
      <c r="L118" s="287">
        <v>898845</v>
      </c>
      <c r="M118" s="282"/>
      <c r="N118" s="287">
        <v>1373599</v>
      </c>
      <c r="O118" s="287">
        <v>21888</v>
      </c>
      <c r="P118" s="287">
        <v>72220</v>
      </c>
      <c r="Q118" s="282"/>
      <c r="R118" s="282"/>
      <c r="S118" s="282"/>
      <c r="T118" s="287">
        <v>8438</v>
      </c>
      <c r="U118" s="282"/>
      <c r="V118" s="282"/>
      <c r="W118" s="282"/>
      <c r="X118" s="287">
        <v>5773</v>
      </c>
      <c r="Y118" s="287">
        <v>14211</v>
      </c>
      <c r="Z118" s="282"/>
      <c r="AA118" s="287">
        <v>21287</v>
      </c>
      <c r="AB118" s="287">
        <v>29625</v>
      </c>
      <c r="AC118" s="287">
        <v>50912</v>
      </c>
      <c r="AD118" s="282"/>
      <c r="AE118" s="282"/>
      <c r="AF118" s="287">
        <v>51235</v>
      </c>
      <c r="AG118" s="282"/>
      <c r="AH118" s="287">
        <v>209004</v>
      </c>
      <c r="AI118" s="287">
        <v>762465</v>
      </c>
      <c r="AJ118" s="287">
        <v>971469</v>
      </c>
      <c r="AK118" s="287">
        <v>402131</v>
      </c>
      <c r="AL118" s="282"/>
      <c r="AM118" s="283" t="s">
        <v>10665</v>
      </c>
    </row>
    <row r="119" spans="1:39" ht="14.1" customHeight="1">
      <c r="A119" s="150" t="s">
        <v>10229</v>
      </c>
      <c r="B119" s="149">
        <v>407</v>
      </c>
      <c r="C119" s="150" t="s">
        <v>10230</v>
      </c>
      <c r="D119" s="266" t="s">
        <v>10231</v>
      </c>
      <c r="E119" s="150" t="s">
        <v>3966</v>
      </c>
      <c r="F119" s="150" t="s">
        <v>9942</v>
      </c>
      <c r="G119" s="150" t="s">
        <v>1911</v>
      </c>
      <c r="H119" s="266" t="s">
        <v>10232</v>
      </c>
      <c r="I119" s="160">
        <v>1995</v>
      </c>
      <c r="J119" s="160">
        <v>32600</v>
      </c>
      <c r="K119" s="160">
        <v>2023</v>
      </c>
      <c r="L119" s="161">
        <v>9.1033000000000008</v>
      </c>
      <c r="M119" s="150"/>
      <c r="N119" s="161">
        <v>13.773099999999999</v>
      </c>
      <c r="O119" s="161">
        <v>0.1782</v>
      </c>
      <c r="P119" s="161">
        <v>0.5171</v>
      </c>
      <c r="Q119" s="161">
        <v>3.6900000000000002E-2</v>
      </c>
      <c r="R119" s="150"/>
      <c r="S119" s="161">
        <v>0.30719999999999997</v>
      </c>
      <c r="T119" s="161">
        <v>1.5299999999999999E-2</v>
      </c>
      <c r="U119" s="150"/>
      <c r="V119" s="150"/>
      <c r="W119" s="150"/>
      <c r="X119" s="161">
        <v>0.23799999999999999</v>
      </c>
      <c r="Y119" s="161">
        <v>0.59750000000000003</v>
      </c>
      <c r="Z119" s="161">
        <v>4.1700000000000001E-2</v>
      </c>
      <c r="AA119" s="150"/>
      <c r="AB119" s="150"/>
      <c r="AC119" s="161">
        <v>4.1700000000000001E-2</v>
      </c>
      <c r="AD119" s="161">
        <v>0.18720000000000001</v>
      </c>
      <c r="AE119" s="150"/>
      <c r="AF119" s="161">
        <v>0.18720000000000001</v>
      </c>
      <c r="AG119" s="161">
        <v>0.23769999999999999</v>
      </c>
      <c r="AH119" s="161">
        <v>1.7505999999999999</v>
      </c>
      <c r="AI119" s="161">
        <v>3.1503000000000001</v>
      </c>
      <c r="AJ119" s="161">
        <v>4.8937999999999997</v>
      </c>
      <c r="AK119" s="161">
        <v>8.8793000000000006</v>
      </c>
      <c r="AL119" s="150"/>
      <c r="AM119" s="266" t="s">
        <v>10563</v>
      </c>
    </row>
    <row r="120" spans="1:39" ht="14.1" customHeight="1">
      <c r="A120" s="282" t="s">
        <v>10229</v>
      </c>
      <c r="B120" s="149">
        <v>407</v>
      </c>
      <c r="C120" s="282" t="s">
        <v>10230</v>
      </c>
      <c r="D120" s="283" t="s">
        <v>10231</v>
      </c>
      <c r="E120" s="282" t="s">
        <v>3966</v>
      </c>
      <c r="F120" s="282" t="s">
        <v>9942</v>
      </c>
      <c r="G120" s="282" t="s">
        <v>1911</v>
      </c>
      <c r="H120" s="283" t="s">
        <v>10232</v>
      </c>
      <c r="I120" s="284">
        <v>1995</v>
      </c>
      <c r="J120" s="284">
        <v>32600</v>
      </c>
      <c r="K120" s="284">
        <v>2024</v>
      </c>
      <c r="L120" s="285">
        <v>9.5827000000000009</v>
      </c>
      <c r="M120" s="282"/>
      <c r="N120" s="285">
        <v>15.275700000000001</v>
      </c>
      <c r="O120" s="285">
        <v>0.18090000000000001</v>
      </c>
      <c r="P120" s="285">
        <v>0.56979999999999997</v>
      </c>
      <c r="Q120" s="285">
        <v>3.8399999999999997E-2</v>
      </c>
      <c r="R120" s="282"/>
      <c r="S120" s="285">
        <v>0.2311</v>
      </c>
      <c r="T120" s="285">
        <v>3.7499999999999999E-2</v>
      </c>
      <c r="U120" s="282"/>
      <c r="V120" s="282"/>
      <c r="W120" s="282"/>
      <c r="X120" s="285">
        <v>0.223</v>
      </c>
      <c r="Y120" s="285">
        <v>0.53</v>
      </c>
      <c r="Z120" s="285">
        <v>4.2200000000000001E-2</v>
      </c>
      <c r="AA120" s="282"/>
      <c r="AB120" s="282"/>
      <c r="AC120" s="285">
        <v>4.2200000000000001E-2</v>
      </c>
      <c r="AD120" s="285">
        <v>0.20949999999999999</v>
      </c>
      <c r="AE120" s="282"/>
      <c r="AF120" s="285">
        <v>0.20949999999999999</v>
      </c>
      <c r="AG120" s="285">
        <v>0.77159999999999995</v>
      </c>
      <c r="AH120" s="285">
        <v>2.1240000000000001</v>
      </c>
      <c r="AI120" s="285">
        <v>3.2469999999999999</v>
      </c>
      <c r="AJ120" s="285">
        <v>5.2789999999999999</v>
      </c>
      <c r="AK120" s="285">
        <v>9.9967000000000006</v>
      </c>
      <c r="AL120" s="282"/>
      <c r="AM120" s="283" t="s">
        <v>10564</v>
      </c>
    </row>
    <row r="121" spans="1:39" ht="14.1" customHeight="1">
      <c r="A121" s="150" t="s">
        <v>10234</v>
      </c>
      <c r="B121" s="149">
        <v>407</v>
      </c>
      <c r="C121" s="150" t="s">
        <v>10235</v>
      </c>
      <c r="D121" s="266" t="s">
        <v>10565</v>
      </c>
      <c r="E121" s="150" t="s">
        <v>3966</v>
      </c>
      <c r="F121" s="150" t="s">
        <v>9942</v>
      </c>
      <c r="G121" s="150" t="s">
        <v>1911</v>
      </c>
      <c r="H121" s="266" t="s">
        <v>10232</v>
      </c>
      <c r="I121" s="160"/>
      <c r="J121" s="160"/>
      <c r="K121" s="160">
        <v>2023</v>
      </c>
      <c r="L121" s="163">
        <v>340825</v>
      </c>
      <c r="M121" s="150"/>
      <c r="N121" s="163">
        <v>817280</v>
      </c>
      <c r="O121" s="163">
        <v>396</v>
      </c>
      <c r="P121" s="163">
        <v>24226</v>
      </c>
      <c r="Q121" s="163">
        <v>2790</v>
      </c>
      <c r="R121" s="150"/>
      <c r="S121" s="163">
        <v>17586</v>
      </c>
      <c r="T121" s="150"/>
      <c r="U121" s="150"/>
      <c r="V121" s="150"/>
      <c r="W121" s="150"/>
      <c r="X121" s="163">
        <v>1690</v>
      </c>
      <c r="Y121" s="163">
        <v>22066</v>
      </c>
      <c r="Z121" s="163">
        <v>1690</v>
      </c>
      <c r="AA121" s="163">
        <v>10029</v>
      </c>
      <c r="AB121" s="163">
        <v>13406</v>
      </c>
      <c r="AC121" s="163">
        <v>15096</v>
      </c>
      <c r="AD121" s="163">
        <v>8414</v>
      </c>
      <c r="AE121" s="150"/>
      <c r="AF121" s="163">
        <v>8414</v>
      </c>
      <c r="AG121" s="163">
        <v>7749</v>
      </c>
      <c r="AH121" s="163">
        <v>82990</v>
      </c>
      <c r="AI121" s="163">
        <v>262422</v>
      </c>
      <c r="AJ121" s="163">
        <v>345412</v>
      </c>
      <c r="AK121" s="163">
        <v>471868</v>
      </c>
      <c r="AL121" s="150"/>
      <c r="AM121" s="266" t="s">
        <v>10666</v>
      </c>
    </row>
    <row r="122" spans="1:39" ht="14.1" customHeight="1">
      <c r="A122" s="282" t="s">
        <v>10234</v>
      </c>
      <c r="B122" s="149">
        <v>407</v>
      </c>
      <c r="C122" s="282" t="s">
        <v>10235</v>
      </c>
      <c r="D122" s="283" t="s">
        <v>10565</v>
      </c>
      <c r="E122" s="282" t="s">
        <v>3966</v>
      </c>
      <c r="F122" s="282" t="s">
        <v>9942</v>
      </c>
      <c r="G122" s="282" t="s">
        <v>1911</v>
      </c>
      <c r="H122" s="283" t="s">
        <v>10232</v>
      </c>
      <c r="I122" s="284"/>
      <c r="J122" s="284"/>
      <c r="K122" s="284">
        <v>2024</v>
      </c>
      <c r="L122" s="287">
        <v>343350</v>
      </c>
      <c r="M122" s="282"/>
      <c r="N122" s="287">
        <v>632272</v>
      </c>
      <c r="O122" s="287">
        <v>9737</v>
      </c>
      <c r="P122" s="282"/>
      <c r="Q122" s="282"/>
      <c r="R122" s="282"/>
      <c r="S122" s="282"/>
      <c r="T122" s="282"/>
      <c r="U122" s="282"/>
      <c r="V122" s="282"/>
      <c r="W122" s="282"/>
      <c r="X122" s="282"/>
      <c r="Y122" s="282"/>
      <c r="Z122" s="282"/>
      <c r="AA122" s="282"/>
      <c r="AB122" s="282"/>
      <c r="AC122" s="282"/>
      <c r="AD122" s="282"/>
      <c r="AE122" s="282"/>
      <c r="AF122" s="282"/>
      <c r="AG122" s="282"/>
      <c r="AH122" s="287">
        <v>119649</v>
      </c>
      <c r="AI122" s="287">
        <v>159461</v>
      </c>
      <c r="AJ122" s="287">
        <v>279110</v>
      </c>
      <c r="AK122" s="287">
        <v>353163</v>
      </c>
      <c r="AL122" s="282"/>
      <c r="AM122" s="283" t="s">
        <v>10667</v>
      </c>
    </row>
    <row r="123" spans="1:39" ht="14.1" customHeight="1">
      <c r="A123" s="150" t="s">
        <v>10238</v>
      </c>
      <c r="B123" s="149">
        <v>407</v>
      </c>
      <c r="C123" s="150" t="s">
        <v>10239</v>
      </c>
      <c r="D123" s="266" t="s">
        <v>10240</v>
      </c>
      <c r="E123" s="150" t="s">
        <v>3966</v>
      </c>
      <c r="F123" s="150" t="s">
        <v>9942</v>
      </c>
      <c r="G123" s="150" t="s">
        <v>1911</v>
      </c>
      <c r="H123" s="266" t="s">
        <v>10232</v>
      </c>
      <c r="I123" s="160"/>
      <c r="J123" s="160"/>
      <c r="K123" s="160">
        <v>2023</v>
      </c>
      <c r="L123" s="163">
        <v>246837</v>
      </c>
      <c r="M123" s="150"/>
      <c r="N123" s="163">
        <v>340193</v>
      </c>
      <c r="O123" s="163">
        <v>7355</v>
      </c>
      <c r="P123" s="163">
        <v>12734</v>
      </c>
      <c r="Q123" s="163">
        <v>1711</v>
      </c>
      <c r="R123" s="150"/>
      <c r="S123" s="163">
        <v>24740</v>
      </c>
      <c r="T123" s="163">
        <v>6577</v>
      </c>
      <c r="U123" s="150"/>
      <c r="V123" s="150"/>
      <c r="W123" s="150"/>
      <c r="X123" s="163">
        <v>10612</v>
      </c>
      <c r="Y123" s="163">
        <v>43640</v>
      </c>
      <c r="Z123" s="163">
        <v>2451</v>
      </c>
      <c r="AA123" s="163">
        <v>2474</v>
      </c>
      <c r="AB123" s="163">
        <v>9457</v>
      </c>
      <c r="AC123" s="163">
        <v>14382</v>
      </c>
      <c r="AD123" s="163">
        <v>4092</v>
      </c>
      <c r="AE123" s="150"/>
      <c r="AF123" s="163">
        <v>4092</v>
      </c>
      <c r="AG123" s="150"/>
      <c r="AH123" s="163">
        <v>68233</v>
      </c>
      <c r="AI123" s="163">
        <v>92861</v>
      </c>
      <c r="AJ123" s="163">
        <v>161094</v>
      </c>
      <c r="AK123" s="163">
        <v>179099</v>
      </c>
      <c r="AL123" s="150"/>
      <c r="AM123" s="266" t="s">
        <v>10668</v>
      </c>
    </row>
    <row r="124" spans="1:39" ht="14.1" customHeight="1">
      <c r="A124" s="282" t="s">
        <v>10238</v>
      </c>
      <c r="B124" s="149">
        <v>407</v>
      </c>
      <c r="C124" s="282" t="s">
        <v>10239</v>
      </c>
      <c r="D124" s="283" t="s">
        <v>10240</v>
      </c>
      <c r="E124" s="282" t="s">
        <v>3966</v>
      </c>
      <c r="F124" s="282" t="s">
        <v>9942</v>
      </c>
      <c r="G124" s="282" t="s">
        <v>1911</v>
      </c>
      <c r="H124" s="283" t="s">
        <v>10232</v>
      </c>
      <c r="I124" s="284"/>
      <c r="J124" s="284"/>
      <c r="K124" s="284">
        <v>2024</v>
      </c>
      <c r="L124" s="287">
        <v>239823</v>
      </c>
      <c r="M124" s="282"/>
      <c r="N124" s="287">
        <v>375845</v>
      </c>
      <c r="O124" s="287">
        <v>7287</v>
      </c>
      <c r="P124" s="287">
        <v>18575</v>
      </c>
      <c r="Q124" s="287">
        <v>816</v>
      </c>
      <c r="R124" s="282"/>
      <c r="S124" s="287">
        <v>25607</v>
      </c>
      <c r="T124" s="287">
        <v>7834</v>
      </c>
      <c r="U124" s="282"/>
      <c r="V124" s="282"/>
      <c r="W124" s="282"/>
      <c r="X124" s="287">
        <v>8752</v>
      </c>
      <c r="Y124" s="287">
        <v>42009</v>
      </c>
      <c r="Z124" s="287">
        <v>2982</v>
      </c>
      <c r="AA124" s="287">
        <v>2720</v>
      </c>
      <c r="AB124" s="287">
        <v>10994</v>
      </c>
      <c r="AC124" s="287">
        <v>16696</v>
      </c>
      <c r="AD124" s="287">
        <v>4502</v>
      </c>
      <c r="AE124" s="282"/>
      <c r="AF124" s="287">
        <v>4502</v>
      </c>
      <c r="AG124" s="282"/>
      <c r="AH124" s="287">
        <v>69570</v>
      </c>
      <c r="AI124" s="287">
        <v>102524</v>
      </c>
      <c r="AJ124" s="287">
        <v>172094</v>
      </c>
      <c r="AK124" s="287">
        <v>203752</v>
      </c>
      <c r="AL124" s="282"/>
      <c r="AM124" s="283" t="s">
        <v>10668</v>
      </c>
    </row>
    <row r="125" spans="1:39" ht="14.1" customHeight="1">
      <c r="A125" s="150" t="s">
        <v>10242</v>
      </c>
      <c r="B125" s="149">
        <v>584</v>
      </c>
      <c r="C125" s="150" t="s">
        <v>10243</v>
      </c>
      <c r="D125" s="266" t="s">
        <v>10569</v>
      </c>
      <c r="E125" s="150" t="s">
        <v>3966</v>
      </c>
      <c r="F125" s="150" t="s">
        <v>9942</v>
      </c>
      <c r="G125" s="150" t="s">
        <v>1911</v>
      </c>
      <c r="H125" s="266" t="s">
        <v>10043</v>
      </c>
      <c r="I125" s="160"/>
      <c r="J125" s="160">
        <v>278538</v>
      </c>
      <c r="K125" s="160">
        <v>2024</v>
      </c>
      <c r="L125" s="161">
        <v>4.4607999999999999</v>
      </c>
      <c r="M125" s="150"/>
      <c r="N125" s="161">
        <v>10.6014</v>
      </c>
      <c r="O125" s="150"/>
      <c r="P125" s="150"/>
      <c r="Q125" s="150"/>
      <c r="R125" s="150"/>
      <c r="S125" s="150"/>
      <c r="T125" s="150"/>
      <c r="U125" s="150"/>
      <c r="V125" s="150"/>
      <c r="W125" s="150"/>
      <c r="X125" s="150"/>
      <c r="Y125" s="150"/>
      <c r="Z125" s="150"/>
      <c r="AA125" s="150"/>
      <c r="AB125" s="150"/>
      <c r="AC125" s="150"/>
      <c r="AD125" s="150"/>
      <c r="AE125" s="150"/>
      <c r="AF125" s="161">
        <v>0.70350000000000001</v>
      </c>
      <c r="AG125" s="150"/>
      <c r="AH125" s="150"/>
      <c r="AI125" s="150"/>
      <c r="AJ125" s="150"/>
      <c r="AK125" s="150"/>
      <c r="AL125" s="150"/>
      <c r="AM125" s="266" t="s">
        <v>10570</v>
      </c>
    </row>
    <row r="126" spans="1:39" ht="14.1" customHeight="1">
      <c r="A126" s="282" t="s">
        <v>10248</v>
      </c>
      <c r="B126" s="149">
        <v>407</v>
      </c>
      <c r="C126" s="282" t="s">
        <v>10249</v>
      </c>
      <c r="D126" s="283" t="s">
        <v>10250</v>
      </c>
      <c r="E126" s="282" t="s">
        <v>3966</v>
      </c>
      <c r="F126" s="282" t="s">
        <v>9942</v>
      </c>
      <c r="G126" s="282" t="s">
        <v>1911</v>
      </c>
      <c r="H126" s="283" t="s">
        <v>10083</v>
      </c>
      <c r="I126" s="284">
        <v>2019</v>
      </c>
      <c r="J126" s="284">
        <v>36212</v>
      </c>
      <c r="K126" s="284">
        <v>2023</v>
      </c>
      <c r="L126" s="285">
        <v>7.5190000000000001</v>
      </c>
      <c r="M126" s="282"/>
      <c r="N126" s="285">
        <v>7.5190000000000001</v>
      </c>
      <c r="O126" s="282"/>
      <c r="P126" s="282"/>
      <c r="Q126" s="282"/>
      <c r="R126" s="282"/>
      <c r="S126" s="282"/>
      <c r="T126" s="282"/>
      <c r="U126" s="282"/>
      <c r="V126" s="282"/>
      <c r="W126" s="282"/>
      <c r="X126" s="282"/>
      <c r="Y126" s="282"/>
      <c r="Z126" s="282"/>
      <c r="AA126" s="282"/>
      <c r="AB126" s="282"/>
      <c r="AC126" s="282"/>
      <c r="AD126" s="282"/>
      <c r="AE126" s="282"/>
      <c r="AF126" s="282"/>
      <c r="AG126" s="282"/>
      <c r="AH126" s="282"/>
      <c r="AI126" s="282"/>
      <c r="AJ126" s="282"/>
      <c r="AK126" s="282"/>
      <c r="AL126" s="282"/>
      <c r="AM126" s="283" t="s">
        <v>10571</v>
      </c>
    </row>
    <row r="127" spans="1:39" ht="14.1" customHeight="1">
      <c r="A127" s="150" t="s">
        <v>10248</v>
      </c>
      <c r="B127" s="149">
        <v>407</v>
      </c>
      <c r="C127" s="150" t="s">
        <v>10249</v>
      </c>
      <c r="D127" s="266" t="s">
        <v>10250</v>
      </c>
      <c r="E127" s="150" t="s">
        <v>3966</v>
      </c>
      <c r="F127" s="150" t="s">
        <v>9942</v>
      </c>
      <c r="G127" s="150" t="s">
        <v>1911</v>
      </c>
      <c r="H127" s="266" t="s">
        <v>10083</v>
      </c>
      <c r="I127" s="160">
        <v>2019</v>
      </c>
      <c r="J127" s="160">
        <v>36212</v>
      </c>
      <c r="K127" s="160">
        <v>2024</v>
      </c>
      <c r="L127" s="161">
        <v>7.7446000000000002</v>
      </c>
      <c r="M127" s="150"/>
      <c r="N127" s="161">
        <v>7.7446000000000002</v>
      </c>
      <c r="O127" s="150"/>
      <c r="P127" s="150"/>
      <c r="Q127" s="150"/>
      <c r="R127" s="150"/>
      <c r="S127" s="150"/>
      <c r="T127" s="150"/>
      <c r="U127" s="150"/>
      <c r="V127" s="150"/>
      <c r="W127" s="150"/>
      <c r="X127" s="150"/>
      <c r="Y127" s="150"/>
      <c r="Z127" s="150"/>
      <c r="AA127" s="150"/>
      <c r="AB127" s="150"/>
      <c r="AC127" s="150"/>
      <c r="AD127" s="150"/>
      <c r="AE127" s="150"/>
      <c r="AF127" s="150"/>
      <c r="AG127" s="150"/>
      <c r="AH127" s="150"/>
      <c r="AI127" s="150"/>
      <c r="AJ127" s="150"/>
      <c r="AK127" s="150"/>
      <c r="AL127" s="150"/>
      <c r="AM127" s="266" t="s">
        <v>10572</v>
      </c>
    </row>
    <row r="128" spans="1:39" ht="14.1" customHeight="1">
      <c r="A128" s="238" t="s">
        <v>10254</v>
      </c>
      <c r="B128" s="149">
        <v>344</v>
      </c>
      <c r="C128" s="238" t="s">
        <v>2583</v>
      </c>
      <c r="D128" s="268" t="s">
        <v>10255</v>
      </c>
      <c r="E128" s="238" t="s">
        <v>3590</v>
      </c>
      <c r="F128" s="238" t="s">
        <v>9942</v>
      </c>
      <c r="G128" s="238" t="s">
        <v>9959</v>
      </c>
      <c r="H128" s="268" t="s">
        <v>10256</v>
      </c>
      <c r="I128" s="239"/>
      <c r="J128" s="239">
        <v>19764</v>
      </c>
      <c r="K128" s="239">
        <v>2023</v>
      </c>
      <c r="L128" s="238"/>
      <c r="M128" s="238"/>
      <c r="N128" s="238"/>
      <c r="O128" s="241">
        <v>0.1585</v>
      </c>
      <c r="P128" s="241">
        <v>0.46479999999999999</v>
      </c>
      <c r="Q128" s="238"/>
      <c r="R128" s="238"/>
      <c r="S128" s="238"/>
      <c r="T128" s="238"/>
      <c r="U128" s="238"/>
      <c r="V128" s="238"/>
      <c r="W128" s="238"/>
      <c r="X128" s="241">
        <v>2.4350999999999998</v>
      </c>
      <c r="Y128" s="241">
        <v>2.4350999999999998</v>
      </c>
      <c r="Z128" s="238"/>
      <c r="AA128" s="241">
        <v>0.49759999999999999</v>
      </c>
      <c r="AB128" s="238"/>
      <c r="AC128" s="241">
        <v>0.49759999999999999</v>
      </c>
      <c r="AD128" s="238"/>
      <c r="AE128" s="238"/>
      <c r="AF128" s="241">
        <v>1.8997999999999999</v>
      </c>
      <c r="AG128" s="241">
        <v>0.41710000000000003</v>
      </c>
      <c r="AH128" s="241">
        <v>6.7472000000000003</v>
      </c>
      <c r="AI128" s="241">
        <v>2.0600999999999998</v>
      </c>
      <c r="AJ128" s="241">
        <v>8.8072999999999997</v>
      </c>
      <c r="AK128" s="241">
        <v>2.7530999999999999</v>
      </c>
      <c r="AL128" s="238"/>
      <c r="AM128" s="268" t="s">
        <v>10573</v>
      </c>
    </row>
    <row r="129" spans="1:39" ht="14.1" customHeight="1">
      <c r="A129" s="238" t="s">
        <v>10254</v>
      </c>
      <c r="B129" s="149">
        <v>344</v>
      </c>
      <c r="C129" s="238" t="s">
        <v>2583</v>
      </c>
      <c r="D129" s="268" t="s">
        <v>10255</v>
      </c>
      <c r="E129" s="238" t="s">
        <v>3590</v>
      </c>
      <c r="F129" s="238" t="s">
        <v>9942</v>
      </c>
      <c r="G129" s="238" t="s">
        <v>9959</v>
      </c>
      <c r="H129" s="268" t="s">
        <v>10256</v>
      </c>
      <c r="I129" s="239"/>
      <c r="J129" s="239">
        <v>19764</v>
      </c>
      <c r="K129" s="239">
        <v>2024</v>
      </c>
      <c r="L129" s="238"/>
      <c r="M129" s="238"/>
      <c r="N129" s="238"/>
      <c r="O129" s="241">
        <v>0.56520000000000004</v>
      </c>
      <c r="P129" s="241">
        <v>0.45540000000000003</v>
      </c>
      <c r="Q129" s="238"/>
      <c r="R129" s="238"/>
      <c r="S129" s="238"/>
      <c r="T129" s="238"/>
      <c r="U129" s="238"/>
      <c r="V129" s="238"/>
      <c r="W129" s="238"/>
      <c r="X129" s="241">
        <v>2.4622999999999999</v>
      </c>
      <c r="Y129" s="241">
        <v>2.4622999999999999</v>
      </c>
      <c r="Z129" s="238"/>
      <c r="AA129" s="241">
        <v>0.58879999999999999</v>
      </c>
      <c r="AB129" s="238"/>
      <c r="AC129" s="241">
        <v>0.58879999999999999</v>
      </c>
      <c r="AD129" s="238"/>
      <c r="AE129" s="238"/>
      <c r="AF129" s="241">
        <v>2.4159000000000002</v>
      </c>
      <c r="AG129" s="241">
        <v>0.31259999999999999</v>
      </c>
      <c r="AH129" s="241">
        <v>6.8005000000000004</v>
      </c>
      <c r="AI129" s="241">
        <v>2.0270999999999999</v>
      </c>
      <c r="AJ129" s="241">
        <v>8.8276000000000003</v>
      </c>
      <c r="AK129" s="241">
        <v>2.7328000000000001</v>
      </c>
      <c r="AL129" s="238"/>
      <c r="AM129" s="268" t="s">
        <v>10574</v>
      </c>
    </row>
    <row r="130" spans="1:39" ht="14.1" customHeight="1">
      <c r="A130" s="238" t="s">
        <v>10259</v>
      </c>
      <c r="B130" s="149">
        <v>344</v>
      </c>
      <c r="C130" s="238" t="s">
        <v>3588</v>
      </c>
      <c r="D130" s="268" t="s">
        <v>10260</v>
      </c>
      <c r="E130" s="238" t="s">
        <v>3590</v>
      </c>
      <c r="F130" s="238" t="s">
        <v>9942</v>
      </c>
      <c r="G130" s="238" t="s">
        <v>9959</v>
      </c>
      <c r="H130" s="268" t="s">
        <v>10256</v>
      </c>
      <c r="I130" s="239"/>
      <c r="J130" s="239"/>
      <c r="K130" s="239">
        <v>2023</v>
      </c>
      <c r="L130" s="240">
        <v>2011958</v>
      </c>
      <c r="M130" s="238"/>
      <c r="N130" s="240">
        <v>2239234</v>
      </c>
      <c r="O130" s="238"/>
      <c r="P130" s="238"/>
      <c r="Q130" s="238"/>
      <c r="R130" s="238"/>
      <c r="S130" s="238"/>
      <c r="T130" s="238"/>
      <c r="U130" s="238"/>
      <c r="V130" s="238"/>
      <c r="W130" s="238"/>
      <c r="X130" s="240">
        <v>144543</v>
      </c>
      <c r="Y130" s="240">
        <v>144543</v>
      </c>
      <c r="Z130" s="238"/>
      <c r="AA130" s="238"/>
      <c r="AB130" s="238"/>
      <c r="AC130" s="238"/>
      <c r="AD130" s="238"/>
      <c r="AE130" s="238"/>
      <c r="AF130" s="240">
        <v>240350</v>
      </c>
      <c r="AG130" s="240">
        <v>279549</v>
      </c>
      <c r="AH130" s="240">
        <v>719555</v>
      </c>
      <c r="AI130" s="240">
        <v>497852</v>
      </c>
      <c r="AJ130" s="240">
        <v>1217407</v>
      </c>
      <c r="AK130" s="240">
        <v>1021827</v>
      </c>
      <c r="AL130" s="238"/>
      <c r="AM130" s="268" t="s">
        <v>10669</v>
      </c>
    </row>
    <row r="131" spans="1:39" ht="14.1" customHeight="1">
      <c r="A131" s="238" t="s">
        <v>10263</v>
      </c>
      <c r="B131" s="149">
        <v>344</v>
      </c>
      <c r="C131" s="238" t="s">
        <v>10264</v>
      </c>
      <c r="D131" s="268" t="s">
        <v>10265</v>
      </c>
      <c r="E131" s="238" t="s">
        <v>1304</v>
      </c>
      <c r="F131" s="238" t="s">
        <v>9942</v>
      </c>
      <c r="G131" s="238" t="s">
        <v>9959</v>
      </c>
      <c r="H131" s="268" t="s">
        <v>10256</v>
      </c>
      <c r="I131" s="239"/>
      <c r="J131" s="239">
        <v>114843</v>
      </c>
      <c r="K131" s="239">
        <v>2023</v>
      </c>
      <c r="L131" s="238"/>
      <c r="M131" s="238"/>
      <c r="N131" s="241">
        <v>5.3898999999999999</v>
      </c>
      <c r="O131" s="238"/>
      <c r="P131" s="238"/>
      <c r="Q131" s="238"/>
      <c r="R131" s="238"/>
      <c r="S131" s="238"/>
      <c r="T131" s="238"/>
      <c r="U131" s="238"/>
      <c r="V131" s="238"/>
      <c r="W131" s="238"/>
      <c r="X131" s="238"/>
      <c r="Y131" s="238"/>
      <c r="Z131" s="238"/>
      <c r="AA131" s="241">
        <v>8.7300000000000003E-2</v>
      </c>
      <c r="AB131" s="238"/>
      <c r="AC131" s="238"/>
      <c r="AD131" s="238"/>
      <c r="AE131" s="238"/>
      <c r="AF131" s="238"/>
      <c r="AG131" s="238"/>
      <c r="AH131" s="241">
        <v>2.6434000000000002</v>
      </c>
      <c r="AI131" s="241">
        <v>2.2850999999999999</v>
      </c>
      <c r="AJ131" s="241">
        <v>4.9284999999999997</v>
      </c>
      <c r="AK131" s="241">
        <v>0.4627</v>
      </c>
      <c r="AL131" s="238"/>
      <c r="AM131" s="268" t="s">
        <v>10576</v>
      </c>
    </row>
    <row r="132" spans="1:39" ht="14.1" customHeight="1">
      <c r="A132" s="238" t="s">
        <v>10263</v>
      </c>
      <c r="B132" s="149">
        <v>344</v>
      </c>
      <c r="C132" s="238" t="s">
        <v>10264</v>
      </c>
      <c r="D132" s="268" t="s">
        <v>10265</v>
      </c>
      <c r="E132" s="238" t="s">
        <v>1304</v>
      </c>
      <c r="F132" s="238" t="s">
        <v>9942</v>
      </c>
      <c r="G132" s="238" t="s">
        <v>9959</v>
      </c>
      <c r="H132" s="268" t="s">
        <v>10256</v>
      </c>
      <c r="I132" s="239"/>
      <c r="J132" s="239">
        <v>114843</v>
      </c>
      <c r="K132" s="239">
        <v>2024</v>
      </c>
      <c r="L132" s="238"/>
      <c r="M132" s="238"/>
      <c r="N132" s="241">
        <v>11.787800000000001</v>
      </c>
      <c r="O132" s="238"/>
      <c r="P132" s="238"/>
      <c r="Q132" s="238"/>
      <c r="R132" s="238"/>
      <c r="S132" s="238"/>
      <c r="T132" s="238"/>
      <c r="U132" s="238"/>
      <c r="V132" s="238"/>
      <c r="W132" s="238"/>
      <c r="X132" s="238"/>
      <c r="Y132" s="238"/>
      <c r="Z132" s="238"/>
      <c r="AA132" s="238"/>
      <c r="AB132" s="238"/>
      <c r="AC132" s="238"/>
      <c r="AD132" s="238"/>
      <c r="AE132" s="238"/>
      <c r="AF132" s="238"/>
      <c r="AG132" s="238"/>
      <c r="AH132" s="241">
        <v>8.9252000000000002</v>
      </c>
      <c r="AI132" s="238"/>
      <c r="AJ132" s="241">
        <v>11.2066</v>
      </c>
      <c r="AK132" s="241">
        <v>0.5806</v>
      </c>
      <c r="AL132" s="238"/>
      <c r="AM132" s="268" t="s">
        <v>10577</v>
      </c>
    </row>
    <row r="133" spans="1:39" ht="14.1" customHeight="1">
      <c r="A133" s="238" t="s">
        <v>10267</v>
      </c>
      <c r="B133" s="149">
        <v>344</v>
      </c>
      <c r="C133" s="238" t="s">
        <v>10268</v>
      </c>
      <c r="D133" s="268" t="s">
        <v>10269</v>
      </c>
      <c r="E133" s="238" t="s">
        <v>3642</v>
      </c>
      <c r="F133" s="238" t="s">
        <v>9942</v>
      </c>
      <c r="G133" s="238" t="s">
        <v>9959</v>
      </c>
      <c r="H133" s="268" t="s">
        <v>10256</v>
      </c>
      <c r="I133" s="239"/>
      <c r="J133" s="239">
        <v>8218</v>
      </c>
      <c r="K133" s="239">
        <v>2023</v>
      </c>
      <c r="L133" s="241">
        <v>11.7637</v>
      </c>
      <c r="M133" s="238"/>
      <c r="N133" s="241">
        <v>13.2835</v>
      </c>
      <c r="O133" s="241">
        <v>0.29010000000000002</v>
      </c>
      <c r="P133" s="241">
        <v>0.65710000000000002</v>
      </c>
      <c r="Q133" s="238"/>
      <c r="R133" s="238"/>
      <c r="S133" s="238"/>
      <c r="T133" s="238"/>
      <c r="U133" s="238"/>
      <c r="V133" s="238"/>
      <c r="W133" s="238"/>
      <c r="X133" s="241">
        <v>2.2109000000000001</v>
      </c>
      <c r="Y133" s="241">
        <v>2.2109000000000001</v>
      </c>
      <c r="Z133" s="238"/>
      <c r="AA133" s="238"/>
      <c r="AB133" s="238"/>
      <c r="AC133" s="238"/>
      <c r="AD133" s="238"/>
      <c r="AE133" s="238"/>
      <c r="AF133" s="241">
        <v>1.5784</v>
      </c>
      <c r="AG133" s="241">
        <v>0.48820000000000002</v>
      </c>
      <c r="AH133" s="241">
        <v>4.8338000000000001</v>
      </c>
      <c r="AI133" s="241">
        <v>1.9804999999999999</v>
      </c>
      <c r="AJ133" s="241">
        <v>6.8143000000000002</v>
      </c>
      <c r="AK133" s="241">
        <v>6.4493</v>
      </c>
      <c r="AL133" s="238"/>
      <c r="AM133" s="268" t="s">
        <v>10578</v>
      </c>
    </row>
    <row r="134" spans="1:39" ht="14.1" customHeight="1">
      <c r="A134" s="238" t="s">
        <v>10271</v>
      </c>
      <c r="B134" s="149">
        <v>344</v>
      </c>
      <c r="C134" s="238" t="s">
        <v>10272</v>
      </c>
      <c r="D134" s="268" t="s">
        <v>10273</v>
      </c>
      <c r="E134" s="238" t="s">
        <v>3966</v>
      </c>
      <c r="F134" s="238" t="s">
        <v>9942</v>
      </c>
      <c r="G134" s="238" t="s">
        <v>9959</v>
      </c>
      <c r="H134" s="268" t="s">
        <v>10256</v>
      </c>
      <c r="I134" s="239"/>
      <c r="J134" s="239"/>
      <c r="K134" s="239">
        <v>2023</v>
      </c>
      <c r="L134" s="240">
        <v>326779</v>
      </c>
      <c r="M134" s="238"/>
      <c r="N134" s="240">
        <v>315661</v>
      </c>
      <c r="O134" s="238"/>
      <c r="P134" s="238"/>
      <c r="Q134" s="238"/>
      <c r="R134" s="238"/>
      <c r="S134" s="238"/>
      <c r="T134" s="238"/>
      <c r="U134" s="238"/>
      <c r="V134" s="238"/>
      <c r="W134" s="238"/>
      <c r="X134" s="238"/>
      <c r="Y134" s="238"/>
      <c r="Z134" s="238"/>
      <c r="AA134" s="240">
        <v>16009</v>
      </c>
      <c r="AB134" s="238"/>
      <c r="AC134" s="238"/>
      <c r="AD134" s="238"/>
      <c r="AE134" s="238"/>
      <c r="AF134" s="238"/>
      <c r="AG134" s="238"/>
      <c r="AH134" s="240">
        <v>78034</v>
      </c>
      <c r="AI134" s="240">
        <v>66966</v>
      </c>
      <c r="AJ134" s="240">
        <v>145000</v>
      </c>
      <c r="AK134" s="240">
        <v>170661</v>
      </c>
      <c r="AL134" s="238"/>
      <c r="AM134" s="268" t="s">
        <v>10670</v>
      </c>
    </row>
    <row r="135" spans="1:39" ht="14.1" customHeight="1">
      <c r="A135" s="238" t="s">
        <v>10271</v>
      </c>
      <c r="B135" s="149">
        <v>344</v>
      </c>
      <c r="C135" s="238" t="s">
        <v>10272</v>
      </c>
      <c r="D135" s="268" t="s">
        <v>10273</v>
      </c>
      <c r="E135" s="238" t="s">
        <v>3966</v>
      </c>
      <c r="F135" s="238" t="s">
        <v>9942</v>
      </c>
      <c r="G135" s="238" t="s">
        <v>9959</v>
      </c>
      <c r="H135" s="268" t="s">
        <v>10256</v>
      </c>
      <c r="I135" s="239"/>
      <c r="J135" s="239"/>
      <c r="K135" s="239">
        <v>2024</v>
      </c>
      <c r="L135" s="240">
        <v>357674</v>
      </c>
      <c r="M135" s="238"/>
      <c r="N135" s="240">
        <v>335977</v>
      </c>
      <c r="O135" s="240">
        <v>9791</v>
      </c>
      <c r="P135" s="240">
        <v>7884</v>
      </c>
      <c r="Q135" s="238"/>
      <c r="R135" s="238"/>
      <c r="S135" s="238"/>
      <c r="T135" s="238"/>
      <c r="U135" s="238"/>
      <c r="V135" s="238"/>
      <c r="W135" s="238"/>
      <c r="X135" s="240">
        <v>41510</v>
      </c>
      <c r="Y135" s="240">
        <v>41510</v>
      </c>
      <c r="Z135" s="238"/>
      <c r="AA135" s="240">
        <v>12092</v>
      </c>
      <c r="AB135" s="238"/>
      <c r="AC135" s="238"/>
      <c r="AD135" s="238"/>
      <c r="AE135" s="238"/>
      <c r="AF135" s="240">
        <v>9302</v>
      </c>
      <c r="AG135" s="240">
        <v>10772</v>
      </c>
      <c r="AH135" s="240">
        <v>109544</v>
      </c>
      <c r="AI135" s="240">
        <v>68307</v>
      </c>
      <c r="AJ135" s="240">
        <v>177851</v>
      </c>
      <c r="AK135" s="240">
        <v>158126</v>
      </c>
      <c r="AL135" s="238"/>
      <c r="AM135" s="268" t="s">
        <v>10671</v>
      </c>
    </row>
    <row r="136" spans="1:39" ht="14.1" customHeight="1">
      <c r="A136" s="238" t="s">
        <v>10275</v>
      </c>
      <c r="B136" s="149">
        <v>344</v>
      </c>
      <c r="C136" s="238" t="s">
        <v>10276</v>
      </c>
      <c r="D136" s="268" t="s">
        <v>10277</v>
      </c>
      <c r="E136" s="238" t="s">
        <v>1304</v>
      </c>
      <c r="F136" s="238" t="s">
        <v>9942</v>
      </c>
      <c r="G136" s="238" t="s">
        <v>9959</v>
      </c>
      <c r="H136" s="268" t="s">
        <v>10278</v>
      </c>
      <c r="I136" s="239"/>
      <c r="J136" s="239">
        <v>41979</v>
      </c>
      <c r="K136" s="239">
        <v>2023</v>
      </c>
      <c r="L136" s="241">
        <v>23.2395</v>
      </c>
      <c r="M136" s="238"/>
      <c r="N136" s="241">
        <v>32.190600000000003</v>
      </c>
      <c r="O136" s="241">
        <v>0.73009999999999997</v>
      </c>
      <c r="P136" s="241">
        <v>2.0600999999999998</v>
      </c>
      <c r="Q136" s="238"/>
      <c r="R136" s="238"/>
      <c r="S136" s="238"/>
      <c r="T136" s="238"/>
      <c r="U136" s="238"/>
      <c r="V136" s="238"/>
      <c r="W136" s="238"/>
      <c r="X136" s="241">
        <v>3.2414999999999998</v>
      </c>
      <c r="Y136" s="241">
        <v>3.2414999999999998</v>
      </c>
      <c r="Z136" s="238"/>
      <c r="AA136" s="238"/>
      <c r="AB136" s="238"/>
      <c r="AC136" s="238"/>
      <c r="AD136" s="238"/>
      <c r="AE136" s="238"/>
      <c r="AF136" s="241">
        <v>3.4458000000000002</v>
      </c>
      <c r="AG136" s="241">
        <v>0.59370000000000001</v>
      </c>
      <c r="AH136" s="241">
        <v>10.0688</v>
      </c>
      <c r="AI136" s="241">
        <v>2.0543</v>
      </c>
      <c r="AJ136" s="241">
        <v>12.122999999999999</v>
      </c>
      <c r="AK136" s="241">
        <v>20.067599999999999</v>
      </c>
      <c r="AL136" s="238"/>
      <c r="AM136" s="268" t="s">
        <v>10581</v>
      </c>
    </row>
    <row r="137" spans="1:39" ht="14.1" customHeight="1">
      <c r="A137" s="238" t="s">
        <v>10275</v>
      </c>
      <c r="B137" s="149">
        <v>344</v>
      </c>
      <c r="C137" s="238" t="s">
        <v>10276</v>
      </c>
      <c r="D137" s="268" t="s">
        <v>10277</v>
      </c>
      <c r="E137" s="238" t="s">
        <v>1304</v>
      </c>
      <c r="F137" s="238" t="s">
        <v>9942</v>
      </c>
      <c r="G137" s="238" t="s">
        <v>9959</v>
      </c>
      <c r="H137" s="268" t="s">
        <v>10278</v>
      </c>
      <c r="I137" s="239"/>
      <c r="J137" s="239">
        <v>41979</v>
      </c>
      <c r="K137" s="239">
        <v>2024</v>
      </c>
      <c r="L137" s="241">
        <v>20.4556</v>
      </c>
      <c r="M137" s="238"/>
      <c r="N137" s="241">
        <v>33.188000000000002</v>
      </c>
      <c r="O137" s="241">
        <v>0.82889999999999997</v>
      </c>
      <c r="P137" s="241">
        <v>2.1305999999999998</v>
      </c>
      <c r="Q137" s="238"/>
      <c r="R137" s="238"/>
      <c r="S137" s="238"/>
      <c r="T137" s="238"/>
      <c r="U137" s="238"/>
      <c r="V137" s="238"/>
      <c r="W137" s="238"/>
      <c r="X137" s="241">
        <v>2.7757000000000001</v>
      </c>
      <c r="Y137" s="241">
        <v>2.7757000000000001</v>
      </c>
      <c r="Z137" s="238"/>
      <c r="AA137" s="238"/>
      <c r="AB137" s="238"/>
      <c r="AC137" s="238"/>
      <c r="AD137" s="238"/>
      <c r="AE137" s="238"/>
      <c r="AF137" s="241">
        <v>3.5733999999999999</v>
      </c>
      <c r="AG137" s="241">
        <v>0.7077</v>
      </c>
      <c r="AH137" s="241">
        <v>10.135400000000001</v>
      </c>
      <c r="AI137" s="241">
        <v>2.0661999999999998</v>
      </c>
      <c r="AJ137" s="241">
        <v>12.201599999999999</v>
      </c>
      <c r="AK137" s="241">
        <v>20.9864</v>
      </c>
      <c r="AL137" s="238"/>
      <c r="AM137" s="268" t="s">
        <v>10581</v>
      </c>
    </row>
    <row r="138" spans="1:39" ht="14.1" customHeight="1">
      <c r="A138" s="238" t="s">
        <v>10280</v>
      </c>
      <c r="B138" s="149">
        <v>210</v>
      </c>
      <c r="C138" s="238" t="s">
        <v>10281</v>
      </c>
      <c r="D138" s="268" t="s">
        <v>10282</v>
      </c>
      <c r="E138" s="238" t="s">
        <v>3642</v>
      </c>
      <c r="F138" s="238" t="s">
        <v>9942</v>
      </c>
      <c r="G138" s="238" t="s">
        <v>10283</v>
      </c>
      <c r="H138" s="268" t="s">
        <v>10284</v>
      </c>
      <c r="I138" s="239"/>
      <c r="J138" s="239">
        <v>278538</v>
      </c>
      <c r="K138" s="239">
        <v>2023</v>
      </c>
      <c r="L138" s="241">
        <v>5.8735999999999997</v>
      </c>
      <c r="M138" s="238"/>
      <c r="N138" s="241">
        <v>5.7821999999999996</v>
      </c>
      <c r="O138" s="241">
        <v>1.83E-2</v>
      </c>
      <c r="P138" s="241">
        <v>7.8799999999999995E-2</v>
      </c>
      <c r="Q138" s="238"/>
      <c r="R138" s="238"/>
      <c r="S138" s="238"/>
      <c r="T138" s="238"/>
      <c r="U138" s="238"/>
      <c r="V138" s="238"/>
      <c r="W138" s="238"/>
      <c r="X138" s="241">
        <v>0.92030000000000001</v>
      </c>
      <c r="Y138" s="241">
        <v>0.92030000000000001</v>
      </c>
      <c r="Z138" s="238"/>
      <c r="AA138" s="241">
        <v>0.20830000000000001</v>
      </c>
      <c r="AB138" s="241">
        <v>1.1599999999999999E-2</v>
      </c>
      <c r="AC138" s="241">
        <v>0.21990000000000001</v>
      </c>
      <c r="AD138" s="238"/>
      <c r="AE138" s="238"/>
      <c r="AF138" s="241">
        <v>0.11459999999999999</v>
      </c>
      <c r="AG138" s="238"/>
      <c r="AH138" s="241">
        <v>1.3485</v>
      </c>
      <c r="AI138" s="241">
        <v>0</v>
      </c>
      <c r="AJ138" s="241">
        <v>1.3485</v>
      </c>
      <c r="AK138" s="241">
        <v>0.27510000000000001</v>
      </c>
      <c r="AL138" s="238"/>
      <c r="AM138" s="268" t="s">
        <v>10582</v>
      </c>
    </row>
    <row r="139" spans="1:39" ht="14.1" customHeight="1">
      <c r="A139" s="238" t="s">
        <v>10280</v>
      </c>
      <c r="B139" s="149">
        <v>210</v>
      </c>
      <c r="C139" s="238" t="s">
        <v>10281</v>
      </c>
      <c r="D139" s="268" t="s">
        <v>10282</v>
      </c>
      <c r="E139" s="238" t="s">
        <v>3642</v>
      </c>
      <c r="F139" s="238" t="s">
        <v>9942</v>
      </c>
      <c r="G139" s="238" t="s">
        <v>10283</v>
      </c>
      <c r="H139" s="268" t="s">
        <v>10284</v>
      </c>
      <c r="I139" s="239"/>
      <c r="J139" s="239">
        <v>278538</v>
      </c>
      <c r="K139" s="239">
        <v>2024</v>
      </c>
      <c r="L139" s="241">
        <v>5.4603999999999999</v>
      </c>
      <c r="M139" s="238"/>
      <c r="N139" s="241">
        <v>5.4603999999999999</v>
      </c>
      <c r="O139" s="241">
        <v>3.2000000000000001E-2</v>
      </c>
      <c r="P139" s="241">
        <v>9.1800000000000007E-2</v>
      </c>
      <c r="Q139" s="238"/>
      <c r="R139" s="238"/>
      <c r="S139" s="238"/>
      <c r="T139" s="238"/>
      <c r="U139" s="238"/>
      <c r="V139" s="238"/>
      <c r="W139" s="238"/>
      <c r="X139" s="241">
        <v>0.44969999999999999</v>
      </c>
      <c r="Y139" s="241">
        <v>0.44969999999999999</v>
      </c>
      <c r="Z139" s="238"/>
      <c r="AA139" s="241">
        <v>0.20830000000000001</v>
      </c>
      <c r="AB139" s="241">
        <v>3.5700000000000003E-2</v>
      </c>
      <c r="AC139" s="241">
        <v>0.24410000000000001</v>
      </c>
      <c r="AD139" s="238"/>
      <c r="AE139" s="238"/>
      <c r="AF139" s="241">
        <v>0.11459999999999999</v>
      </c>
      <c r="AG139" s="238"/>
      <c r="AH139" s="241">
        <v>0.93220000000000003</v>
      </c>
      <c r="AI139" s="241">
        <v>0</v>
      </c>
      <c r="AJ139" s="241">
        <v>0.93220000000000003</v>
      </c>
      <c r="AK139" s="241">
        <v>0.33739999999999998</v>
      </c>
      <c r="AL139" s="238"/>
      <c r="AM139" s="268" t="s">
        <v>10583</v>
      </c>
    </row>
    <row r="140" spans="1:39" ht="14.1" customHeight="1">
      <c r="A140" s="282" t="s">
        <v>10286</v>
      </c>
      <c r="B140" s="149">
        <v>210</v>
      </c>
      <c r="C140" s="282" t="s">
        <v>10287</v>
      </c>
      <c r="D140" s="283" t="s">
        <v>10584</v>
      </c>
      <c r="E140" s="282" t="s">
        <v>3966</v>
      </c>
      <c r="F140" s="282" t="s">
        <v>9942</v>
      </c>
      <c r="G140" s="282" t="s">
        <v>1911</v>
      </c>
      <c r="H140" s="283" t="s">
        <v>10092</v>
      </c>
      <c r="I140" s="284"/>
      <c r="J140" s="284"/>
      <c r="K140" s="284">
        <v>2024</v>
      </c>
      <c r="L140" s="287">
        <v>693913</v>
      </c>
      <c r="M140" s="282"/>
      <c r="N140" s="287">
        <v>1038740</v>
      </c>
      <c r="O140" s="287">
        <v>10142</v>
      </c>
      <c r="P140" s="287">
        <v>11589</v>
      </c>
      <c r="Q140" s="282"/>
      <c r="R140" s="282"/>
      <c r="S140" s="287">
        <v>10801</v>
      </c>
      <c r="T140" s="287">
        <v>2121</v>
      </c>
      <c r="U140" s="282"/>
      <c r="V140" s="282"/>
      <c r="W140" s="282"/>
      <c r="X140" s="287">
        <v>1602</v>
      </c>
      <c r="Y140" s="287">
        <v>14524</v>
      </c>
      <c r="Z140" s="282"/>
      <c r="AA140" s="287">
        <v>10822</v>
      </c>
      <c r="AB140" s="287">
        <v>32162</v>
      </c>
      <c r="AC140" s="287">
        <v>3096</v>
      </c>
      <c r="AD140" s="287">
        <v>10863</v>
      </c>
      <c r="AE140" s="282"/>
      <c r="AF140" s="287">
        <v>10863</v>
      </c>
      <c r="AG140" s="282"/>
      <c r="AH140" s="287">
        <v>103843</v>
      </c>
      <c r="AI140" s="287">
        <v>285245</v>
      </c>
      <c r="AJ140" s="287">
        <v>389088</v>
      </c>
      <c r="AK140" s="287">
        <v>649652</v>
      </c>
      <c r="AL140" s="282"/>
      <c r="AM140" s="283" t="s">
        <v>10672</v>
      </c>
    </row>
    <row r="141" spans="1:39" ht="14.1" customHeight="1">
      <c r="A141" s="150" t="s">
        <v>10286</v>
      </c>
      <c r="B141" s="149">
        <v>210</v>
      </c>
      <c r="C141" s="150" t="s">
        <v>10287</v>
      </c>
      <c r="D141" s="266" t="s">
        <v>10584</v>
      </c>
      <c r="E141" s="150" t="s">
        <v>3966</v>
      </c>
      <c r="F141" s="150" t="s">
        <v>9942</v>
      </c>
      <c r="G141" s="150" t="s">
        <v>1911</v>
      </c>
      <c r="H141" s="266" t="s">
        <v>10092</v>
      </c>
      <c r="I141" s="160"/>
      <c r="J141" s="160"/>
      <c r="K141" s="160">
        <v>2023</v>
      </c>
      <c r="L141" s="163">
        <v>636291</v>
      </c>
      <c r="M141" s="150"/>
      <c r="N141" s="163">
        <v>1062200</v>
      </c>
      <c r="O141" s="163">
        <v>7751</v>
      </c>
      <c r="P141" s="163">
        <v>9831</v>
      </c>
      <c r="Q141" s="150"/>
      <c r="R141" s="150"/>
      <c r="S141" s="163">
        <v>6802</v>
      </c>
      <c r="T141" s="163">
        <v>2340</v>
      </c>
      <c r="U141" s="150"/>
      <c r="V141" s="150"/>
      <c r="W141" s="150"/>
      <c r="X141" s="163">
        <v>1498</v>
      </c>
      <c r="Y141" s="163">
        <v>10640</v>
      </c>
      <c r="Z141" s="150"/>
      <c r="AA141" s="163">
        <v>12695</v>
      </c>
      <c r="AB141" s="163">
        <v>15327</v>
      </c>
      <c r="AC141" s="163">
        <v>3871</v>
      </c>
      <c r="AD141" s="163">
        <v>18104</v>
      </c>
      <c r="AE141" s="150"/>
      <c r="AF141" s="163">
        <v>18104</v>
      </c>
      <c r="AG141" s="150"/>
      <c r="AH141" s="163">
        <v>93172</v>
      </c>
      <c r="AI141" s="163">
        <v>284308</v>
      </c>
      <c r="AJ141" s="163">
        <v>377480</v>
      </c>
      <c r="AK141" s="163">
        <v>684720</v>
      </c>
      <c r="AL141" s="150"/>
      <c r="AM141" s="266" t="s">
        <v>10673</v>
      </c>
    </row>
    <row r="142" spans="1:39" ht="14.1" customHeight="1">
      <c r="A142" s="282" t="s">
        <v>10292</v>
      </c>
      <c r="B142" s="149">
        <v>210</v>
      </c>
      <c r="C142" s="282" t="s">
        <v>10293</v>
      </c>
      <c r="D142" s="283" t="s">
        <v>10587</v>
      </c>
      <c r="E142" s="282" t="s">
        <v>3966</v>
      </c>
      <c r="F142" s="282" t="s">
        <v>9942</v>
      </c>
      <c r="G142" s="282" t="s">
        <v>1911</v>
      </c>
      <c r="H142" s="283" t="s">
        <v>10092</v>
      </c>
      <c r="I142" s="284"/>
      <c r="J142" s="284"/>
      <c r="K142" s="284">
        <v>2024</v>
      </c>
      <c r="L142" s="287">
        <v>559154</v>
      </c>
      <c r="M142" s="282"/>
      <c r="N142" s="287">
        <v>904777</v>
      </c>
      <c r="O142" s="287">
        <v>9318</v>
      </c>
      <c r="P142" s="287">
        <v>8966</v>
      </c>
      <c r="Q142" s="282"/>
      <c r="R142" s="282"/>
      <c r="S142" s="287">
        <v>5962</v>
      </c>
      <c r="T142" s="287">
        <v>2221</v>
      </c>
      <c r="U142" s="287">
        <v>2465</v>
      </c>
      <c r="V142" s="282"/>
      <c r="W142" s="282"/>
      <c r="X142" s="287">
        <v>1589</v>
      </c>
      <c r="Y142" s="287">
        <v>12237</v>
      </c>
      <c r="Z142" s="282"/>
      <c r="AA142" s="287">
        <v>11302</v>
      </c>
      <c r="AB142" s="287">
        <v>32413</v>
      </c>
      <c r="AC142" s="287">
        <v>3096</v>
      </c>
      <c r="AD142" s="287">
        <v>23773</v>
      </c>
      <c r="AE142" s="282"/>
      <c r="AF142" s="287">
        <v>23773</v>
      </c>
      <c r="AG142" s="282"/>
      <c r="AH142" s="287">
        <v>130296</v>
      </c>
      <c r="AI142" s="287">
        <v>265848</v>
      </c>
      <c r="AJ142" s="287">
        <v>396144</v>
      </c>
      <c r="AK142" s="287">
        <v>508633</v>
      </c>
      <c r="AL142" s="282"/>
      <c r="AM142" s="283" t="s">
        <v>10674</v>
      </c>
    </row>
    <row r="143" spans="1:39" ht="14.1" customHeight="1">
      <c r="A143" s="150" t="s">
        <v>10292</v>
      </c>
      <c r="B143" s="149">
        <v>210</v>
      </c>
      <c r="C143" s="150" t="s">
        <v>10293</v>
      </c>
      <c r="D143" s="266" t="s">
        <v>10587</v>
      </c>
      <c r="E143" s="150" t="s">
        <v>3966</v>
      </c>
      <c r="F143" s="150" t="s">
        <v>9942</v>
      </c>
      <c r="G143" s="150" t="s">
        <v>1911</v>
      </c>
      <c r="H143" s="266" t="s">
        <v>10092</v>
      </c>
      <c r="I143" s="160"/>
      <c r="J143" s="160"/>
      <c r="K143" s="160">
        <v>2023</v>
      </c>
      <c r="L143" s="163">
        <v>671895</v>
      </c>
      <c r="M143" s="150"/>
      <c r="N143" s="163">
        <v>1034507</v>
      </c>
      <c r="O143" s="163">
        <v>7124</v>
      </c>
      <c r="P143" s="163">
        <v>9660</v>
      </c>
      <c r="Q143" s="150"/>
      <c r="R143" s="150"/>
      <c r="S143" s="163">
        <v>5338</v>
      </c>
      <c r="T143" s="163">
        <v>2480</v>
      </c>
      <c r="U143" s="163">
        <v>875</v>
      </c>
      <c r="V143" s="150"/>
      <c r="W143" s="150"/>
      <c r="X143" s="163">
        <v>1484</v>
      </c>
      <c r="Y143" s="163">
        <v>10177</v>
      </c>
      <c r="Z143" s="150"/>
      <c r="AA143" s="163">
        <v>8120</v>
      </c>
      <c r="AB143" s="163">
        <v>15088</v>
      </c>
      <c r="AC143" s="163">
        <v>3871</v>
      </c>
      <c r="AD143" s="163">
        <v>13983</v>
      </c>
      <c r="AE143" s="150"/>
      <c r="AF143" s="163">
        <v>13983</v>
      </c>
      <c r="AG143" s="150"/>
      <c r="AH143" s="163">
        <v>29277</v>
      </c>
      <c r="AI143" s="163">
        <v>265936</v>
      </c>
      <c r="AJ143" s="163">
        <v>295213</v>
      </c>
      <c r="AK143" s="163">
        <v>739294</v>
      </c>
      <c r="AL143" s="150"/>
      <c r="AM143" s="266" t="s">
        <v>10674</v>
      </c>
    </row>
    <row r="144" spans="1:39" ht="14.1" customHeight="1">
      <c r="A144" s="282" t="s">
        <v>10296</v>
      </c>
      <c r="B144" s="149">
        <v>210</v>
      </c>
      <c r="C144" s="282" t="s">
        <v>10297</v>
      </c>
      <c r="D144" s="283" t="s">
        <v>10589</v>
      </c>
      <c r="E144" s="282" t="s">
        <v>3966</v>
      </c>
      <c r="F144" s="282" t="s">
        <v>9942</v>
      </c>
      <c r="G144" s="282" t="s">
        <v>1911</v>
      </c>
      <c r="H144" s="283" t="s">
        <v>10092</v>
      </c>
      <c r="I144" s="284"/>
      <c r="J144" s="284"/>
      <c r="K144" s="284">
        <v>2023</v>
      </c>
      <c r="L144" s="287">
        <v>633240</v>
      </c>
      <c r="M144" s="282"/>
      <c r="N144" s="287">
        <v>1026818</v>
      </c>
      <c r="O144" s="287">
        <v>6101</v>
      </c>
      <c r="P144" s="287">
        <v>8518</v>
      </c>
      <c r="Q144" s="282"/>
      <c r="R144" s="282"/>
      <c r="S144" s="287">
        <v>32990</v>
      </c>
      <c r="T144" s="287">
        <v>1965</v>
      </c>
      <c r="U144" s="282"/>
      <c r="V144" s="282"/>
      <c r="W144" s="282"/>
      <c r="X144" s="287">
        <v>1498</v>
      </c>
      <c r="Y144" s="287">
        <v>34453</v>
      </c>
      <c r="Z144" s="282"/>
      <c r="AA144" s="287">
        <v>11861</v>
      </c>
      <c r="AB144" s="287">
        <v>15620</v>
      </c>
      <c r="AC144" s="287">
        <v>3871</v>
      </c>
      <c r="AD144" s="287">
        <v>5672</v>
      </c>
      <c r="AE144" s="287">
        <v>3430</v>
      </c>
      <c r="AF144" s="287">
        <v>9102</v>
      </c>
      <c r="AG144" s="282"/>
      <c r="AH144" s="287">
        <v>107544</v>
      </c>
      <c r="AI144" s="287">
        <v>284308</v>
      </c>
      <c r="AJ144" s="287">
        <v>391852</v>
      </c>
      <c r="AK144" s="287">
        <v>634966</v>
      </c>
      <c r="AL144" s="282"/>
      <c r="AM144" s="283" t="s">
        <v>10675</v>
      </c>
    </row>
    <row r="145" spans="1:39" ht="14.1" customHeight="1">
      <c r="A145" s="150" t="s">
        <v>10300</v>
      </c>
      <c r="B145" s="149">
        <v>210</v>
      </c>
      <c r="C145" s="150" t="s">
        <v>10301</v>
      </c>
      <c r="D145" s="266" t="s">
        <v>10302</v>
      </c>
      <c r="E145" s="150" t="s">
        <v>3966</v>
      </c>
      <c r="F145" s="150" t="s">
        <v>9942</v>
      </c>
      <c r="G145" s="150" t="s">
        <v>1911</v>
      </c>
      <c r="H145" s="266" t="s">
        <v>10092</v>
      </c>
      <c r="I145" s="160"/>
      <c r="J145" s="160"/>
      <c r="K145" s="160">
        <v>2024</v>
      </c>
      <c r="L145" s="163">
        <v>318721</v>
      </c>
      <c r="M145" s="150"/>
      <c r="N145" s="163">
        <v>578332</v>
      </c>
      <c r="O145" s="163">
        <v>7156</v>
      </c>
      <c r="P145" s="163">
        <v>5471</v>
      </c>
      <c r="Q145" s="150"/>
      <c r="R145" s="150"/>
      <c r="S145" s="163">
        <v>8874</v>
      </c>
      <c r="T145" s="163">
        <v>1655</v>
      </c>
      <c r="U145" s="150"/>
      <c r="V145" s="150"/>
      <c r="W145" s="150"/>
      <c r="X145" s="163">
        <v>1556</v>
      </c>
      <c r="Y145" s="163">
        <v>12085</v>
      </c>
      <c r="Z145" s="150"/>
      <c r="AA145" s="163">
        <v>9686</v>
      </c>
      <c r="AB145" s="163">
        <v>20653</v>
      </c>
      <c r="AC145" s="163">
        <v>6987</v>
      </c>
      <c r="AD145" s="163">
        <v>10547</v>
      </c>
      <c r="AE145" s="163">
        <v>1600</v>
      </c>
      <c r="AF145" s="163">
        <v>12147</v>
      </c>
      <c r="AG145" s="150"/>
      <c r="AH145" s="163">
        <v>91002</v>
      </c>
      <c r="AI145" s="163">
        <v>204010</v>
      </c>
      <c r="AJ145" s="163">
        <v>295012</v>
      </c>
      <c r="AK145" s="163">
        <v>283320</v>
      </c>
      <c r="AL145" s="150"/>
      <c r="AM145" s="266" t="s">
        <v>10674</v>
      </c>
    </row>
    <row r="146" spans="1:39" ht="14.1" customHeight="1">
      <c r="A146" s="282" t="s">
        <v>10300</v>
      </c>
      <c r="B146" s="149">
        <v>210</v>
      </c>
      <c r="C146" s="282" t="s">
        <v>10301</v>
      </c>
      <c r="D146" s="283" t="s">
        <v>10302</v>
      </c>
      <c r="E146" s="282" t="s">
        <v>3966</v>
      </c>
      <c r="F146" s="282" t="s">
        <v>9942</v>
      </c>
      <c r="G146" s="282" t="s">
        <v>1911</v>
      </c>
      <c r="H146" s="283" t="s">
        <v>10092</v>
      </c>
      <c r="I146" s="284"/>
      <c r="J146" s="284"/>
      <c r="K146" s="284">
        <v>2023</v>
      </c>
      <c r="L146" s="287">
        <v>394581</v>
      </c>
      <c r="M146" s="282"/>
      <c r="N146" s="287">
        <v>671481</v>
      </c>
      <c r="O146" s="287">
        <v>6075</v>
      </c>
      <c r="P146" s="287">
        <v>5987</v>
      </c>
      <c r="Q146" s="282"/>
      <c r="R146" s="282"/>
      <c r="S146" s="287">
        <v>7762</v>
      </c>
      <c r="T146" s="287">
        <v>1575</v>
      </c>
      <c r="U146" s="282"/>
      <c r="V146" s="282"/>
      <c r="W146" s="282"/>
      <c r="X146" s="287">
        <v>1452</v>
      </c>
      <c r="Y146" s="287">
        <v>10789</v>
      </c>
      <c r="Z146" s="282"/>
      <c r="AA146" s="287">
        <v>11249</v>
      </c>
      <c r="AB146" s="287">
        <v>12318</v>
      </c>
      <c r="AC146" s="287">
        <v>6967</v>
      </c>
      <c r="AD146" s="287">
        <v>11424</v>
      </c>
      <c r="AE146" s="287">
        <v>1898</v>
      </c>
      <c r="AF146" s="287">
        <v>13322</v>
      </c>
      <c r="AG146" s="282"/>
      <c r="AH146" s="287">
        <v>37127</v>
      </c>
      <c r="AI146" s="287">
        <v>204497</v>
      </c>
      <c r="AJ146" s="287">
        <v>241624</v>
      </c>
      <c r="AK146" s="287">
        <v>429857</v>
      </c>
      <c r="AL146" s="282"/>
      <c r="AM146" s="283" t="s">
        <v>10674</v>
      </c>
    </row>
    <row r="147" spans="1:39" ht="14.1" customHeight="1">
      <c r="A147" s="150" t="s">
        <v>10303</v>
      </c>
      <c r="B147" s="149">
        <v>210</v>
      </c>
      <c r="C147" s="150" t="s">
        <v>10304</v>
      </c>
      <c r="D147" s="266" t="s">
        <v>10305</v>
      </c>
      <c r="E147" s="150" t="s">
        <v>3966</v>
      </c>
      <c r="F147" s="150" t="s">
        <v>9942</v>
      </c>
      <c r="G147" s="150" t="s">
        <v>1911</v>
      </c>
      <c r="H147" s="266" t="s">
        <v>10092</v>
      </c>
      <c r="I147" s="160"/>
      <c r="J147" s="160"/>
      <c r="K147" s="160">
        <v>2024</v>
      </c>
      <c r="L147" s="163">
        <v>352733</v>
      </c>
      <c r="M147" s="150"/>
      <c r="N147" s="163">
        <v>649568</v>
      </c>
      <c r="O147" s="163">
        <v>6988</v>
      </c>
      <c r="P147" s="163">
        <v>6207</v>
      </c>
      <c r="Q147" s="150"/>
      <c r="R147" s="150"/>
      <c r="S147" s="163">
        <v>16981</v>
      </c>
      <c r="T147" s="163">
        <v>1800</v>
      </c>
      <c r="U147" s="150"/>
      <c r="V147" s="150"/>
      <c r="W147" s="150"/>
      <c r="X147" s="163">
        <v>1556</v>
      </c>
      <c r="Y147" s="163">
        <v>20337</v>
      </c>
      <c r="Z147" s="150"/>
      <c r="AA147" s="163">
        <v>8036</v>
      </c>
      <c r="AB147" s="163">
        <v>22795</v>
      </c>
      <c r="AC147" s="163">
        <v>6988</v>
      </c>
      <c r="AD147" s="163">
        <v>8875</v>
      </c>
      <c r="AE147" s="150"/>
      <c r="AF147" s="163">
        <v>8875</v>
      </c>
      <c r="AG147" s="150"/>
      <c r="AH147" s="163">
        <v>94654</v>
      </c>
      <c r="AI147" s="163">
        <v>204010</v>
      </c>
      <c r="AJ147" s="163">
        <v>298664</v>
      </c>
      <c r="AK147" s="163">
        <v>350904</v>
      </c>
      <c r="AL147" s="150"/>
      <c r="AM147" s="266" t="s">
        <v>10676</v>
      </c>
    </row>
    <row r="148" spans="1:39" ht="14.1" customHeight="1">
      <c r="A148" s="282" t="s">
        <v>10303</v>
      </c>
      <c r="B148" s="149">
        <v>210</v>
      </c>
      <c r="C148" s="282" t="s">
        <v>10304</v>
      </c>
      <c r="D148" s="283" t="s">
        <v>10305</v>
      </c>
      <c r="E148" s="282" t="s">
        <v>3966</v>
      </c>
      <c r="F148" s="282" t="s">
        <v>9942</v>
      </c>
      <c r="G148" s="282" t="s">
        <v>1911</v>
      </c>
      <c r="H148" s="283" t="s">
        <v>10092</v>
      </c>
      <c r="I148" s="284"/>
      <c r="J148" s="284"/>
      <c r="K148" s="284">
        <v>2023</v>
      </c>
      <c r="L148" s="287">
        <v>345583</v>
      </c>
      <c r="M148" s="282"/>
      <c r="N148" s="287">
        <v>582999</v>
      </c>
      <c r="O148" s="287">
        <v>6051</v>
      </c>
      <c r="P148" s="287">
        <v>6115</v>
      </c>
      <c r="Q148" s="282"/>
      <c r="R148" s="282"/>
      <c r="S148" s="287">
        <v>4932</v>
      </c>
      <c r="T148" s="287">
        <v>1822</v>
      </c>
      <c r="U148" s="282"/>
      <c r="V148" s="282"/>
      <c r="W148" s="282"/>
      <c r="X148" s="287">
        <v>1452</v>
      </c>
      <c r="Y148" s="287">
        <v>8206</v>
      </c>
      <c r="Z148" s="282"/>
      <c r="AA148" s="287">
        <v>6275</v>
      </c>
      <c r="AB148" s="287">
        <v>13573</v>
      </c>
      <c r="AC148" s="287">
        <v>6967</v>
      </c>
      <c r="AD148" s="287">
        <v>11933</v>
      </c>
      <c r="AE148" s="282"/>
      <c r="AF148" s="287">
        <v>11933</v>
      </c>
      <c r="AG148" s="282"/>
      <c r="AH148" s="287">
        <v>71541</v>
      </c>
      <c r="AI148" s="287">
        <v>162088</v>
      </c>
      <c r="AJ148" s="287">
        <v>233629</v>
      </c>
      <c r="AK148" s="287">
        <v>349370</v>
      </c>
      <c r="AL148" s="282"/>
      <c r="AM148" s="283" t="s">
        <v>10676</v>
      </c>
    </row>
    <row r="149" spans="1:39" ht="14.1" customHeight="1">
      <c r="A149" s="150" t="s">
        <v>10307</v>
      </c>
      <c r="B149" s="149">
        <v>210</v>
      </c>
      <c r="C149" s="150" t="s">
        <v>10308</v>
      </c>
      <c r="D149" s="266" t="s">
        <v>10309</v>
      </c>
      <c r="E149" s="150" t="s">
        <v>3966</v>
      </c>
      <c r="F149" s="150" t="s">
        <v>9942</v>
      </c>
      <c r="G149" s="150" t="s">
        <v>1911</v>
      </c>
      <c r="H149" s="266" t="s">
        <v>10092</v>
      </c>
      <c r="I149" s="160"/>
      <c r="J149" s="160"/>
      <c r="K149" s="160">
        <v>2024</v>
      </c>
      <c r="L149" s="163">
        <v>406844</v>
      </c>
      <c r="M149" s="150"/>
      <c r="N149" s="163">
        <v>797212</v>
      </c>
      <c r="O149" s="163">
        <v>45992</v>
      </c>
      <c r="P149" s="163">
        <v>6921</v>
      </c>
      <c r="Q149" s="150"/>
      <c r="R149" s="150"/>
      <c r="S149" s="163">
        <v>10380</v>
      </c>
      <c r="T149" s="163">
        <v>3470</v>
      </c>
      <c r="U149" s="163">
        <v>2000</v>
      </c>
      <c r="V149" s="150"/>
      <c r="W149" s="150"/>
      <c r="X149" s="163">
        <v>1676</v>
      </c>
      <c r="Y149" s="163">
        <v>17526</v>
      </c>
      <c r="Z149" s="150"/>
      <c r="AA149" s="163">
        <v>8417</v>
      </c>
      <c r="AB149" s="163">
        <v>30101</v>
      </c>
      <c r="AC149" s="163">
        <v>8211</v>
      </c>
      <c r="AD149" s="163">
        <v>12042</v>
      </c>
      <c r="AE149" s="163">
        <v>3218</v>
      </c>
      <c r="AF149" s="163">
        <v>15260</v>
      </c>
      <c r="AG149" s="150"/>
      <c r="AH149" s="163">
        <v>180865</v>
      </c>
      <c r="AI149" s="163">
        <v>410137</v>
      </c>
      <c r="AJ149" s="163">
        <v>591002</v>
      </c>
      <c r="AK149" s="163">
        <v>206210</v>
      </c>
      <c r="AL149" s="150"/>
      <c r="AM149" s="266" t="s">
        <v>10677</v>
      </c>
    </row>
    <row r="150" spans="1:39" ht="14.1" customHeight="1">
      <c r="A150" s="282" t="s">
        <v>10307</v>
      </c>
      <c r="B150" s="149">
        <v>210</v>
      </c>
      <c r="C150" s="282" t="s">
        <v>10308</v>
      </c>
      <c r="D150" s="283" t="s">
        <v>10309</v>
      </c>
      <c r="E150" s="282" t="s">
        <v>3966</v>
      </c>
      <c r="F150" s="282" t="s">
        <v>9942</v>
      </c>
      <c r="G150" s="282" t="s">
        <v>1911</v>
      </c>
      <c r="H150" s="283" t="s">
        <v>10092</v>
      </c>
      <c r="I150" s="284"/>
      <c r="J150" s="284"/>
      <c r="K150" s="284">
        <v>2023</v>
      </c>
      <c r="L150" s="287">
        <v>787792</v>
      </c>
      <c r="M150" s="282"/>
      <c r="N150" s="287">
        <v>1333856</v>
      </c>
      <c r="O150" s="287">
        <v>12351</v>
      </c>
      <c r="P150" s="287">
        <v>13140</v>
      </c>
      <c r="Q150" s="282"/>
      <c r="R150" s="282"/>
      <c r="S150" s="287">
        <v>10370</v>
      </c>
      <c r="T150" s="287">
        <v>3061</v>
      </c>
      <c r="U150" s="287">
        <v>0</v>
      </c>
      <c r="V150" s="282"/>
      <c r="W150" s="282"/>
      <c r="X150" s="287">
        <v>1572</v>
      </c>
      <c r="Y150" s="287">
        <v>15003</v>
      </c>
      <c r="Z150" s="282"/>
      <c r="AA150" s="287">
        <v>24879</v>
      </c>
      <c r="AB150" s="287">
        <v>16871</v>
      </c>
      <c r="AC150" s="287">
        <v>7678</v>
      </c>
      <c r="AD150" s="287">
        <v>12785</v>
      </c>
      <c r="AE150" s="282"/>
      <c r="AF150" s="287">
        <v>12785</v>
      </c>
      <c r="AG150" s="282"/>
      <c r="AH150" s="287">
        <v>123031</v>
      </c>
      <c r="AI150" s="287">
        <v>409295</v>
      </c>
      <c r="AJ150" s="287">
        <v>532326</v>
      </c>
      <c r="AK150" s="287">
        <v>801530</v>
      </c>
      <c r="AL150" s="282"/>
      <c r="AM150" s="283" t="s">
        <v>10678</v>
      </c>
    </row>
    <row r="151" spans="1:39" ht="14.1" customHeight="1">
      <c r="A151" s="150" t="s">
        <v>10311</v>
      </c>
      <c r="B151" s="149">
        <v>210</v>
      </c>
      <c r="C151" s="150" t="s">
        <v>10312</v>
      </c>
      <c r="D151" s="266" t="s">
        <v>10594</v>
      </c>
      <c r="E151" s="150" t="s">
        <v>3966</v>
      </c>
      <c r="F151" s="150" t="s">
        <v>9942</v>
      </c>
      <c r="G151" s="150" t="s">
        <v>1911</v>
      </c>
      <c r="H151" s="266" t="s">
        <v>10092</v>
      </c>
      <c r="I151" s="160"/>
      <c r="J151" s="160"/>
      <c r="K151" s="160">
        <v>2024</v>
      </c>
      <c r="L151" s="163">
        <v>987101</v>
      </c>
      <c r="M151" s="150"/>
      <c r="N151" s="163">
        <v>1613814</v>
      </c>
      <c r="O151" s="163">
        <v>26027</v>
      </c>
      <c r="P151" s="163">
        <v>17785</v>
      </c>
      <c r="Q151" s="150"/>
      <c r="R151" s="150"/>
      <c r="S151" s="163">
        <v>9496</v>
      </c>
      <c r="T151" s="163">
        <v>2104</v>
      </c>
      <c r="U151" s="150"/>
      <c r="V151" s="150"/>
      <c r="W151" s="150"/>
      <c r="X151" s="163">
        <v>1676</v>
      </c>
      <c r="Y151" s="163">
        <v>13276</v>
      </c>
      <c r="Z151" s="150"/>
      <c r="AA151" s="163">
        <v>11885</v>
      </c>
      <c r="AB151" s="163">
        <v>37419</v>
      </c>
      <c r="AC151" s="163">
        <v>5705</v>
      </c>
      <c r="AD151" s="163">
        <v>39182</v>
      </c>
      <c r="AE151" s="163">
        <v>1573</v>
      </c>
      <c r="AF151" s="163">
        <v>40755</v>
      </c>
      <c r="AG151" s="150"/>
      <c r="AH151" s="163">
        <v>178810</v>
      </c>
      <c r="AI151" s="163">
        <v>442744</v>
      </c>
      <c r="AJ151" s="163">
        <v>621554</v>
      </c>
      <c r="AK151" s="163">
        <v>992260</v>
      </c>
      <c r="AL151" s="150"/>
      <c r="AM151" s="266" t="s">
        <v>10679</v>
      </c>
    </row>
    <row r="152" spans="1:39" ht="14.1" customHeight="1">
      <c r="A152" s="282" t="s">
        <v>10311</v>
      </c>
      <c r="B152" s="149">
        <v>210</v>
      </c>
      <c r="C152" s="282" t="s">
        <v>10312</v>
      </c>
      <c r="D152" s="283" t="s">
        <v>10594</v>
      </c>
      <c r="E152" s="282" t="s">
        <v>3966</v>
      </c>
      <c r="F152" s="282" t="s">
        <v>9942</v>
      </c>
      <c r="G152" s="282" t="s">
        <v>1911</v>
      </c>
      <c r="H152" s="283" t="s">
        <v>10092</v>
      </c>
      <c r="I152" s="284"/>
      <c r="J152" s="284"/>
      <c r="K152" s="284">
        <v>2023</v>
      </c>
      <c r="L152" s="287">
        <v>932587</v>
      </c>
      <c r="M152" s="282"/>
      <c r="N152" s="287">
        <v>1610926</v>
      </c>
      <c r="O152" s="287">
        <v>12903</v>
      </c>
      <c r="P152" s="287">
        <v>15271</v>
      </c>
      <c r="Q152" s="282"/>
      <c r="R152" s="282"/>
      <c r="S152" s="287">
        <v>16438</v>
      </c>
      <c r="T152" s="287">
        <v>17000</v>
      </c>
      <c r="U152" s="282"/>
      <c r="V152" s="282"/>
      <c r="W152" s="282"/>
      <c r="X152" s="287">
        <v>1572</v>
      </c>
      <c r="Y152" s="287">
        <v>35010</v>
      </c>
      <c r="Z152" s="282"/>
      <c r="AA152" s="287">
        <v>11941</v>
      </c>
      <c r="AB152" s="287">
        <v>21409</v>
      </c>
      <c r="AC152" s="287">
        <v>54490</v>
      </c>
      <c r="AD152" s="287">
        <v>34733</v>
      </c>
      <c r="AE152" s="287">
        <v>1638</v>
      </c>
      <c r="AF152" s="287">
        <v>36371</v>
      </c>
      <c r="AG152" s="282"/>
      <c r="AH152" s="287">
        <v>211012</v>
      </c>
      <c r="AI152" s="287">
        <v>441491</v>
      </c>
      <c r="AJ152" s="287">
        <v>652503</v>
      </c>
      <c r="AK152" s="287">
        <v>958423</v>
      </c>
      <c r="AL152" s="282"/>
      <c r="AM152" s="283" t="s">
        <v>10679</v>
      </c>
    </row>
    <row r="153" spans="1:39" ht="14.1" customHeight="1">
      <c r="A153" s="150" t="s">
        <v>10315</v>
      </c>
      <c r="B153" s="149">
        <v>210</v>
      </c>
      <c r="C153" s="150" t="s">
        <v>10312</v>
      </c>
      <c r="D153" s="266" t="s">
        <v>10596</v>
      </c>
      <c r="E153" s="150" t="s">
        <v>3966</v>
      </c>
      <c r="F153" s="150" t="s">
        <v>9942</v>
      </c>
      <c r="G153" s="150" t="s">
        <v>1911</v>
      </c>
      <c r="H153" s="266" t="s">
        <v>10092</v>
      </c>
      <c r="I153" s="160"/>
      <c r="J153" s="160"/>
      <c r="K153" s="160">
        <v>2024</v>
      </c>
      <c r="L153" s="163">
        <v>977394</v>
      </c>
      <c r="M153" s="150"/>
      <c r="N153" s="163">
        <v>1537076</v>
      </c>
      <c r="O153" s="163">
        <v>12170</v>
      </c>
      <c r="P153" s="163">
        <v>17077</v>
      </c>
      <c r="Q153" s="150"/>
      <c r="R153" s="150"/>
      <c r="S153" s="163">
        <v>10377</v>
      </c>
      <c r="T153" s="163">
        <v>1760</v>
      </c>
      <c r="U153" s="163">
        <v>265</v>
      </c>
      <c r="V153" s="150"/>
      <c r="W153" s="150"/>
      <c r="X153" s="163">
        <v>1636</v>
      </c>
      <c r="Y153" s="163">
        <v>13036</v>
      </c>
      <c r="Z153" s="150"/>
      <c r="AA153" s="163">
        <v>10043</v>
      </c>
      <c r="AB153" s="163">
        <v>41626</v>
      </c>
      <c r="AC153" s="163">
        <v>5705</v>
      </c>
      <c r="AD153" s="163">
        <v>19336</v>
      </c>
      <c r="AE153" s="163">
        <v>2462</v>
      </c>
      <c r="AF153" s="163">
        <v>21798</v>
      </c>
      <c r="AG153" s="150"/>
      <c r="AH153" s="163">
        <v>228019</v>
      </c>
      <c r="AI153" s="163">
        <v>364330</v>
      </c>
      <c r="AJ153" s="163">
        <v>592349</v>
      </c>
      <c r="AK153" s="163">
        <v>944727</v>
      </c>
      <c r="AL153" s="150"/>
      <c r="AM153" s="266" t="s">
        <v>10680</v>
      </c>
    </row>
    <row r="154" spans="1:39" ht="14.1" customHeight="1">
      <c r="A154" s="282" t="s">
        <v>10318</v>
      </c>
      <c r="B154" s="149">
        <v>210</v>
      </c>
      <c r="C154" s="282" t="s">
        <v>10312</v>
      </c>
      <c r="D154" s="283" t="s">
        <v>10598</v>
      </c>
      <c r="E154" s="282" t="s">
        <v>3966</v>
      </c>
      <c r="F154" s="282" t="s">
        <v>9942</v>
      </c>
      <c r="G154" s="282" t="s">
        <v>1911</v>
      </c>
      <c r="H154" s="283" t="s">
        <v>10092</v>
      </c>
      <c r="I154" s="284"/>
      <c r="J154" s="284"/>
      <c r="K154" s="284">
        <v>2024</v>
      </c>
      <c r="L154" s="287">
        <v>436928</v>
      </c>
      <c r="M154" s="282"/>
      <c r="N154" s="287">
        <v>714461</v>
      </c>
      <c r="O154" s="287">
        <v>6456</v>
      </c>
      <c r="P154" s="287">
        <v>6962</v>
      </c>
      <c r="Q154" s="282"/>
      <c r="R154" s="282"/>
      <c r="S154" s="287">
        <v>6889</v>
      </c>
      <c r="T154" s="287">
        <v>1125</v>
      </c>
      <c r="U154" s="287">
        <v>285</v>
      </c>
      <c r="V154" s="282"/>
      <c r="W154" s="282"/>
      <c r="X154" s="287">
        <v>1546</v>
      </c>
      <c r="Y154" s="287">
        <v>9845</v>
      </c>
      <c r="Z154" s="282"/>
      <c r="AA154" s="287">
        <v>6931</v>
      </c>
      <c r="AB154" s="287">
        <v>27052</v>
      </c>
      <c r="AC154" s="287">
        <v>5705</v>
      </c>
      <c r="AD154" s="282"/>
      <c r="AE154" s="287">
        <v>929</v>
      </c>
      <c r="AF154" s="287">
        <v>929</v>
      </c>
      <c r="AG154" s="282"/>
      <c r="AH154" s="287">
        <v>77944</v>
      </c>
      <c r="AI154" s="287">
        <v>188633</v>
      </c>
      <c r="AJ154" s="287">
        <v>266577</v>
      </c>
      <c r="AK154" s="287">
        <v>447884</v>
      </c>
      <c r="AL154" s="282"/>
      <c r="AM154" s="283" t="s">
        <v>10681</v>
      </c>
    </row>
    <row r="155" spans="1:39" ht="14.1" customHeight="1">
      <c r="A155" s="150" t="s">
        <v>10321</v>
      </c>
      <c r="B155" s="149">
        <v>584</v>
      </c>
      <c r="C155" s="150" t="s">
        <v>10322</v>
      </c>
      <c r="D155" s="266" t="s">
        <v>10600</v>
      </c>
      <c r="E155" s="150" t="s">
        <v>3966</v>
      </c>
      <c r="F155" s="150" t="s">
        <v>9942</v>
      </c>
      <c r="G155" s="150" t="s">
        <v>1911</v>
      </c>
      <c r="H155" s="266" t="s">
        <v>10043</v>
      </c>
      <c r="I155" s="160"/>
      <c r="J155" s="160"/>
      <c r="K155" s="160">
        <v>2024</v>
      </c>
      <c r="L155" s="163">
        <v>3771986</v>
      </c>
      <c r="M155" s="150"/>
      <c r="N155" s="163">
        <v>7045455</v>
      </c>
      <c r="O155" s="163">
        <v>83764</v>
      </c>
      <c r="P155" s="163">
        <v>67999</v>
      </c>
      <c r="Q155" s="150"/>
      <c r="R155" s="150"/>
      <c r="S155" s="150"/>
      <c r="T155" s="150"/>
      <c r="U155" s="150"/>
      <c r="V155" s="150"/>
      <c r="W155" s="150"/>
      <c r="X155" s="163">
        <v>5829</v>
      </c>
      <c r="Y155" s="163">
        <v>5829</v>
      </c>
      <c r="Z155" s="150"/>
      <c r="AA155" s="150"/>
      <c r="AB155" s="150"/>
      <c r="AC155" s="150"/>
      <c r="AD155" s="150"/>
      <c r="AE155" s="150"/>
      <c r="AF155" s="150"/>
      <c r="AG155" s="150"/>
      <c r="AH155" s="163">
        <v>381011</v>
      </c>
      <c r="AI155" s="163">
        <v>2407392</v>
      </c>
      <c r="AJ155" s="163">
        <v>2788403</v>
      </c>
      <c r="AK155" s="163">
        <v>4257052</v>
      </c>
      <c r="AL155" s="150"/>
      <c r="AM155" s="266" t="s">
        <v>10682</v>
      </c>
    </row>
    <row r="156" spans="1:39" ht="14.1" customHeight="1">
      <c r="A156" s="282" t="s">
        <v>10321</v>
      </c>
      <c r="B156" s="149">
        <v>584</v>
      </c>
      <c r="C156" s="282" t="s">
        <v>10322</v>
      </c>
      <c r="D156" s="283" t="s">
        <v>10600</v>
      </c>
      <c r="E156" s="282" t="s">
        <v>3966</v>
      </c>
      <c r="F156" s="282" t="s">
        <v>9942</v>
      </c>
      <c r="G156" s="282" t="s">
        <v>1911</v>
      </c>
      <c r="H156" s="283" t="s">
        <v>10043</v>
      </c>
      <c r="I156" s="284"/>
      <c r="J156" s="284"/>
      <c r="K156" s="284">
        <v>2023</v>
      </c>
      <c r="L156" s="287">
        <v>3679986</v>
      </c>
      <c r="M156" s="282"/>
      <c r="N156" s="287">
        <v>6546351</v>
      </c>
      <c r="O156" s="287">
        <v>60105</v>
      </c>
      <c r="P156" s="287">
        <v>54144</v>
      </c>
      <c r="Q156" s="282"/>
      <c r="R156" s="282"/>
      <c r="S156" s="282"/>
      <c r="T156" s="282"/>
      <c r="U156" s="282"/>
      <c r="V156" s="282"/>
      <c r="W156" s="282"/>
      <c r="X156" s="287">
        <v>4184</v>
      </c>
      <c r="Y156" s="287">
        <v>4184</v>
      </c>
      <c r="Z156" s="282"/>
      <c r="AA156" s="282"/>
      <c r="AB156" s="282"/>
      <c r="AC156" s="282"/>
      <c r="AD156" s="282"/>
      <c r="AE156" s="282"/>
      <c r="AF156" s="282"/>
      <c r="AG156" s="282"/>
      <c r="AH156" s="287">
        <v>101213</v>
      </c>
      <c r="AI156" s="287">
        <v>2175995</v>
      </c>
      <c r="AJ156" s="287">
        <v>2277208</v>
      </c>
      <c r="AK156" s="287">
        <v>4269143</v>
      </c>
      <c r="AL156" s="282"/>
      <c r="AM156" s="283" t="s">
        <v>10682</v>
      </c>
    </row>
    <row r="157" spans="1:39" ht="14.1" customHeight="1">
      <c r="A157" s="150" t="s">
        <v>10325</v>
      </c>
      <c r="B157" s="149">
        <v>407</v>
      </c>
      <c r="C157" s="150" t="s">
        <v>10326</v>
      </c>
      <c r="D157" s="266" t="s">
        <v>10327</v>
      </c>
      <c r="E157" s="150" t="s">
        <v>3642</v>
      </c>
      <c r="F157" s="150" t="s">
        <v>9942</v>
      </c>
      <c r="G157" s="150" t="s">
        <v>1911</v>
      </c>
      <c r="H157" s="266" t="s">
        <v>10060</v>
      </c>
      <c r="I157" s="160"/>
      <c r="J157" s="160"/>
      <c r="K157" s="160">
        <v>2024</v>
      </c>
      <c r="L157" s="163">
        <v>2966529</v>
      </c>
      <c r="M157" s="150"/>
      <c r="N157" s="163">
        <v>7433451</v>
      </c>
      <c r="O157" s="163">
        <v>32539</v>
      </c>
      <c r="P157" s="163">
        <v>86633</v>
      </c>
      <c r="Q157" s="150"/>
      <c r="R157" s="150"/>
      <c r="S157" s="163">
        <v>21784</v>
      </c>
      <c r="T157" s="150"/>
      <c r="U157" s="150"/>
      <c r="V157" s="150"/>
      <c r="W157" s="150"/>
      <c r="X157" s="150"/>
      <c r="Y157" s="163">
        <v>21784</v>
      </c>
      <c r="Z157" s="150"/>
      <c r="AA157" s="163">
        <v>30810</v>
      </c>
      <c r="AB157" s="163">
        <v>188483</v>
      </c>
      <c r="AC157" s="150"/>
      <c r="AD157" s="163">
        <v>29080</v>
      </c>
      <c r="AE157" s="150"/>
      <c r="AF157" s="163">
        <v>29080</v>
      </c>
      <c r="AG157" s="150"/>
      <c r="AH157" s="163">
        <v>1433299</v>
      </c>
      <c r="AI157" s="163">
        <v>3137254</v>
      </c>
      <c r="AJ157" s="163">
        <v>4570553</v>
      </c>
      <c r="AK157" s="163">
        <v>2862898</v>
      </c>
      <c r="AL157" s="150"/>
      <c r="AM157" s="266" t="s">
        <v>10683</v>
      </c>
    </row>
    <row r="158" spans="1:39" ht="14.1" customHeight="1">
      <c r="A158" s="282" t="s">
        <v>10325</v>
      </c>
      <c r="B158" s="149">
        <v>407</v>
      </c>
      <c r="C158" s="282" t="s">
        <v>10326</v>
      </c>
      <c r="D158" s="283" t="s">
        <v>10327</v>
      </c>
      <c r="E158" s="282" t="s">
        <v>3642</v>
      </c>
      <c r="F158" s="282" t="s">
        <v>9942</v>
      </c>
      <c r="G158" s="282" t="s">
        <v>1911</v>
      </c>
      <c r="H158" s="283" t="s">
        <v>10060</v>
      </c>
      <c r="I158" s="284"/>
      <c r="J158" s="284"/>
      <c r="K158" s="284">
        <v>2023</v>
      </c>
      <c r="L158" s="287">
        <v>2897673</v>
      </c>
      <c r="M158" s="282"/>
      <c r="N158" s="287">
        <v>5335437</v>
      </c>
      <c r="O158" s="287">
        <v>29390</v>
      </c>
      <c r="P158" s="287">
        <v>83488</v>
      </c>
      <c r="Q158" s="282"/>
      <c r="R158" s="282"/>
      <c r="S158" s="287">
        <v>35137</v>
      </c>
      <c r="T158" s="282"/>
      <c r="U158" s="282"/>
      <c r="V158" s="282"/>
      <c r="W158" s="282"/>
      <c r="X158" s="282"/>
      <c r="Y158" s="287">
        <v>35137</v>
      </c>
      <c r="Z158" s="282"/>
      <c r="AA158" s="287">
        <v>33419</v>
      </c>
      <c r="AB158" s="287">
        <v>151223</v>
      </c>
      <c r="AC158" s="282"/>
      <c r="AD158" s="287">
        <v>24034</v>
      </c>
      <c r="AE158" s="282"/>
      <c r="AF158" s="287">
        <v>24034</v>
      </c>
      <c r="AG158" s="282"/>
      <c r="AH158" s="287">
        <v>541522</v>
      </c>
      <c r="AI158" s="287">
        <v>2045093</v>
      </c>
      <c r="AJ158" s="287">
        <v>2586615</v>
      </c>
      <c r="AK158" s="287">
        <v>2748822</v>
      </c>
      <c r="AL158" s="282"/>
      <c r="AM158" s="283" t="s">
        <v>10684</v>
      </c>
    </row>
    <row r="159" spans="1:39" ht="14.1" customHeight="1">
      <c r="A159" s="150" t="s">
        <v>10331</v>
      </c>
      <c r="B159" s="149">
        <v>407</v>
      </c>
      <c r="C159" s="150" t="s">
        <v>10332</v>
      </c>
      <c r="D159" s="266" t="s">
        <v>10333</v>
      </c>
      <c r="E159" s="150" t="s">
        <v>3966</v>
      </c>
      <c r="F159" s="150" t="s">
        <v>9942</v>
      </c>
      <c r="G159" s="150" t="s">
        <v>1911</v>
      </c>
      <c r="H159" s="266" t="s">
        <v>10060</v>
      </c>
      <c r="I159" s="160"/>
      <c r="J159" s="160"/>
      <c r="K159" s="160">
        <v>2024</v>
      </c>
      <c r="L159" s="163">
        <v>1502445</v>
      </c>
      <c r="M159" s="150"/>
      <c r="N159" s="163">
        <v>1698847</v>
      </c>
      <c r="O159" s="163">
        <v>18279</v>
      </c>
      <c r="P159" s="163">
        <v>45073</v>
      </c>
      <c r="Q159" s="150"/>
      <c r="R159" s="150"/>
      <c r="S159" s="163">
        <v>14583</v>
      </c>
      <c r="T159" s="150"/>
      <c r="U159" s="150"/>
      <c r="V159" s="150"/>
      <c r="W159" s="150"/>
      <c r="X159" s="150"/>
      <c r="Y159" s="163">
        <v>14583</v>
      </c>
      <c r="Z159" s="150"/>
      <c r="AA159" s="163">
        <v>30156</v>
      </c>
      <c r="AB159" s="163">
        <v>117922</v>
      </c>
      <c r="AC159" s="150"/>
      <c r="AD159" s="150"/>
      <c r="AE159" s="150"/>
      <c r="AF159" s="150"/>
      <c r="AG159" s="150"/>
      <c r="AH159" s="163">
        <v>268829</v>
      </c>
      <c r="AI159" s="163">
        <v>0</v>
      </c>
      <c r="AJ159" s="163">
        <v>268829</v>
      </c>
      <c r="AK159" s="163">
        <v>1430018</v>
      </c>
      <c r="AL159" s="150"/>
      <c r="AM159" s="266" t="s">
        <v>10685</v>
      </c>
    </row>
    <row r="160" spans="1:39" ht="14.1" customHeight="1">
      <c r="A160" s="282" t="s">
        <v>10331</v>
      </c>
      <c r="B160" s="149">
        <v>407</v>
      </c>
      <c r="C160" s="282" t="s">
        <v>10332</v>
      </c>
      <c r="D160" s="283" t="s">
        <v>10333</v>
      </c>
      <c r="E160" s="282" t="s">
        <v>3966</v>
      </c>
      <c r="F160" s="282" t="s">
        <v>9942</v>
      </c>
      <c r="G160" s="282" t="s">
        <v>1911</v>
      </c>
      <c r="H160" s="283" t="s">
        <v>10060</v>
      </c>
      <c r="I160" s="284"/>
      <c r="J160" s="284"/>
      <c r="K160" s="284">
        <v>2023</v>
      </c>
      <c r="L160" s="287">
        <v>1458685</v>
      </c>
      <c r="M160" s="282"/>
      <c r="N160" s="287">
        <v>1647477</v>
      </c>
      <c r="O160" s="287">
        <v>15865</v>
      </c>
      <c r="P160" s="287">
        <v>43761</v>
      </c>
      <c r="Q160" s="282"/>
      <c r="R160" s="282"/>
      <c r="S160" s="287">
        <v>12850</v>
      </c>
      <c r="T160" s="282"/>
      <c r="U160" s="282"/>
      <c r="V160" s="282"/>
      <c r="W160" s="282"/>
      <c r="X160" s="282"/>
      <c r="Y160" s="287">
        <v>12850</v>
      </c>
      <c r="Z160" s="282"/>
      <c r="AA160" s="287">
        <v>31555</v>
      </c>
      <c r="AB160" s="287">
        <v>112261</v>
      </c>
      <c r="AC160" s="282"/>
      <c r="AD160" s="282"/>
      <c r="AE160" s="282"/>
      <c r="AF160" s="282"/>
      <c r="AG160" s="282"/>
      <c r="AH160" s="287">
        <v>238940</v>
      </c>
      <c r="AI160" s="287">
        <v>0</v>
      </c>
      <c r="AJ160" s="287">
        <v>238940</v>
      </c>
      <c r="AK160" s="287">
        <v>1408537</v>
      </c>
      <c r="AL160" s="282"/>
      <c r="AM160" s="283" t="s">
        <v>10685</v>
      </c>
    </row>
    <row r="161" spans="1:39" ht="14.1" customHeight="1">
      <c r="A161" s="150" t="s">
        <v>10335</v>
      </c>
      <c r="B161" s="149">
        <v>407</v>
      </c>
      <c r="C161" s="150" t="s">
        <v>5721</v>
      </c>
      <c r="D161" s="266" t="s">
        <v>10336</v>
      </c>
      <c r="E161" s="150" t="s">
        <v>3966</v>
      </c>
      <c r="F161" s="150" t="s">
        <v>9942</v>
      </c>
      <c r="G161" s="150" t="s">
        <v>1911</v>
      </c>
      <c r="H161" s="266" t="s">
        <v>10060</v>
      </c>
      <c r="I161" s="160"/>
      <c r="J161" s="160"/>
      <c r="K161" s="160">
        <v>2024</v>
      </c>
      <c r="L161" s="163">
        <v>187536</v>
      </c>
      <c r="M161" s="150"/>
      <c r="N161" s="163">
        <v>335936</v>
      </c>
      <c r="O161" s="163">
        <v>185</v>
      </c>
      <c r="P161" s="163">
        <v>6539</v>
      </c>
      <c r="Q161" s="150"/>
      <c r="R161" s="150"/>
      <c r="S161" s="163">
        <v>6694</v>
      </c>
      <c r="T161" s="150"/>
      <c r="U161" s="150"/>
      <c r="V161" s="150"/>
      <c r="W161" s="150"/>
      <c r="X161" s="150"/>
      <c r="Y161" s="163">
        <v>6694</v>
      </c>
      <c r="Z161" s="150"/>
      <c r="AA161" s="163">
        <v>1378</v>
      </c>
      <c r="AB161" s="163">
        <v>13095</v>
      </c>
      <c r="AC161" s="150"/>
      <c r="AD161" s="163">
        <v>52</v>
      </c>
      <c r="AE161" s="163">
        <v>6714</v>
      </c>
      <c r="AF161" s="163">
        <v>6766</v>
      </c>
      <c r="AG161" s="150"/>
      <c r="AH161" s="163">
        <v>42252</v>
      </c>
      <c r="AI161" s="163">
        <v>100794</v>
      </c>
      <c r="AJ161" s="163">
        <v>143046</v>
      </c>
      <c r="AK161" s="163">
        <v>181918</v>
      </c>
      <c r="AL161" s="150"/>
      <c r="AM161" s="266" t="s">
        <v>10686</v>
      </c>
    </row>
    <row r="162" spans="1:39" ht="14.1" customHeight="1">
      <c r="A162" s="282" t="s">
        <v>10340</v>
      </c>
      <c r="B162" s="149">
        <v>407</v>
      </c>
      <c r="C162" s="282" t="s">
        <v>5721</v>
      </c>
      <c r="D162" s="283" t="s">
        <v>10341</v>
      </c>
      <c r="E162" s="282" t="s">
        <v>3966</v>
      </c>
      <c r="F162" s="282" t="s">
        <v>9942</v>
      </c>
      <c r="G162" s="282" t="s">
        <v>1911</v>
      </c>
      <c r="H162" s="283" t="s">
        <v>10060</v>
      </c>
      <c r="I162" s="284"/>
      <c r="J162" s="284"/>
      <c r="K162" s="284">
        <v>2024</v>
      </c>
      <c r="L162" s="287">
        <v>143974</v>
      </c>
      <c r="M162" s="282"/>
      <c r="N162" s="287">
        <v>314952</v>
      </c>
      <c r="O162" s="287">
        <v>375</v>
      </c>
      <c r="P162" s="287">
        <v>6224</v>
      </c>
      <c r="Q162" s="282"/>
      <c r="R162" s="282"/>
      <c r="S162" s="287">
        <v>13434</v>
      </c>
      <c r="T162" s="282"/>
      <c r="U162" s="282"/>
      <c r="V162" s="282"/>
      <c r="W162" s="282"/>
      <c r="X162" s="282"/>
      <c r="Y162" s="287">
        <v>13434</v>
      </c>
      <c r="Z162" s="282"/>
      <c r="AA162" s="287">
        <v>1877</v>
      </c>
      <c r="AB162" s="287">
        <v>25288</v>
      </c>
      <c r="AC162" s="282"/>
      <c r="AD162" s="287">
        <v>104</v>
      </c>
      <c r="AE162" s="287">
        <v>11552</v>
      </c>
      <c r="AF162" s="287">
        <v>11656</v>
      </c>
      <c r="AG162" s="282"/>
      <c r="AH162" s="287">
        <v>70908</v>
      </c>
      <c r="AI162" s="287">
        <v>203797</v>
      </c>
      <c r="AJ162" s="287">
        <v>274705</v>
      </c>
      <c r="AK162" s="287">
        <v>22624</v>
      </c>
      <c r="AL162" s="282"/>
      <c r="AM162" s="283" t="s">
        <v>10686</v>
      </c>
    </row>
    <row r="163" spans="1:39" ht="14.1" customHeight="1">
      <c r="A163" s="150" t="s">
        <v>10343</v>
      </c>
      <c r="B163" s="149">
        <v>407</v>
      </c>
      <c r="C163" s="150" t="s">
        <v>5721</v>
      </c>
      <c r="D163" s="266" t="s">
        <v>10344</v>
      </c>
      <c r="E163" s="150" t="s">
        <v>3966</v>
      </c>
      <c r="F163" s="150" t="s">
        <v>9942</v>
      </c>
      <c r="G163" s="150" t="s">
        <v>1911</v>
      </c>
      <c r="H163" s="266" t="s">
        <v>10060</v>
      </c>
      <c r="I163" s="160"/>
      <c r="J163" s="160"/>
      <c r="K163" s="160">
        <v>2024</v>
      </c>
      <c r="L163" s="163">
        <v>49334</v>
      </c>
      <c r="M163" s="150"/>
      <c r="N163" s="163">
        <v>85139</v>
      </c>
      <c r="O163" s="163">
        <v>153</v>
      </c>
      <c r="P163" s="163">
        <v>5032</v>
      </c>
      <c r="Q163" s="150"/>
      <c r="R163" s="150"/>
      <c r="S163" s="163">
        <v>10772</v>
      </c>
      <c r="T163" s="150"/>
      <c r="U163" s="150"/>
      <c r="V163" s="150"/>
      <c r="W163" s="150"/>
      <c r="X163" s="150"/>
      <c r="Y163" s="163">
        <v>10772</v>
      </c>
      <c r="Z163" s="150"/>
      <c r="AA163" s="163">
        <v>949</v>
      </c>
      <c r="AB163" s="163">
        <v>10894</v>
      </c>
      <c r="AC163" s="150"/>
      <c r="AD163" s="163">
        <v>207</v>
      </c>
      <c r="AE163" s="163">
        <v>8484</v>
      </c>
      <c r="AF163" s="163">
        <v>8691</v>
      </c>
      <c r="AG163" s="150"/>
      <c r="AH163" s="163">
        <v>57603</v>
      </c>
      <c r="AI163" s="163">
        <v>83077</v>
      </c>
      <c r="AJ163" s="163">
        <v>140680</v>
      </c>
      <c r="AK163" s="163">
        <v>-69674</v>
      </c>
      <c r="AL163" s="150"/>
      <c r="AM163" s="266" t="s">
        <v>10686</v>
      </c>
    </row>
    <row r="164" spans="1:39" ht="14.1" customHeight="1">
      <c r="A164" s="282" t="s">
        <v>10346</v>
      </c>
      <c r="B164" s="149">
        <v>210</v>
      </c>
      <c r="C164" s="282" t="s">
        <v>10347</v>
      </c>
      <c r="D164" s="283" t="s">
        <v>10348</v>
      </c>
      <c r="E164" s="282" t="s">
        <v>1304</v>
      </c>
      <c r="F164" s="282" t="s">
        <v>9942</v>
      </c>
      <c r="G164" s="282" t="s">
        <v>1911</v>
      </c>
      <c r="H164" s="283" t="s">
        <v>10349</v>
      </c>
      <c r="I164" s="284"/>
      <c r="J164" s="284">
        <v>33057</v>
      </c>
      <c r="K164" s="284">
        <v>2024</v>
      </c>
      <c r="L164" s="282"/>
      <c r="M164" s="282"/>
      <c r="N164" s="285">
        <v>11.747400000000001</v>
      </c>
      <c r="O164" s="285">
        <v>0.84640000000000004</v>
      </c>
      <c r="P164" s="285">
        <v>0.4718</v>
      </c>
      <c r="Q164" s="282"/>
      <c r="R164" s="282"/>
      <c r="S164" s="282"/>
      <c r="T164" s="282"/>
      <c r="U164" s="285">
        <v>0.24890000000000001</v>
      </c>
      <c r="V164" s="282"/>
      <c r="W164" s="282"/>
      <c r="X164" s="285">
        <v>2.7614000000000001</v>
      </c>
      <c r="Y164" s="282"/>
      <c r="Z164" s="282"/>
      <c r="AA164" s="285">
        <v>0.13830000000000001</v>
      </c>
      <c r="AB164" s="285">
        <v>7.5800000000000006E-2</v>
      </c>
      <c r="AC164" s="285">
        <v>1.6023000000000001</v>
      </c>
      <c r="AD164" s="282"/>
      <c r="AE164" s="282"/>
      <c r="AF164" s="285">
        <v>1.6128</v>
      </c>
      <c r="AG164" s="282"/>
      <c r="AH164" s="285">
        <v>7.4836999999999998</v>
      </c>
      <c r="AI164" s="282"/>
      <c r="AJ164" s="285">
        <v>7.4836999999999998</v>
      </c>
      <c r="AK164" s="285">
        <v>4.2637</v>
      </c>
      <c r="AL164" s="282"/>
      <c r="AM164" s="283" t="s">
        <v>10606</v>
      </c>
    </row>
    <row r="165" spans="1:39" ht="14.1" customHeight="1">
      <c r="A165" s="150" t="s">
        <v>10353</v>
      </c>
      <c r="B165" s="149">
        <v>406</v>
      </c>
      <c r="C165" s="150" t="s">
        <v>10354</v>
      </c>
      <c r="D165" s="266" t="s">
        <v>10355</v>
      </c>
      <c r="E165" s="150" t="s">
        <v>3966</v>
      </c>
      <c r="F165" s="150" t="s">
        <v>9942</v>
      </c>
      <c r="G165" s="150" t="s">
        <v>1911</v>
      </c>
      <c r="H165" s="266" t="s">
        <v>10096</v>
      </c>
      <c r="I165" s="160">
        <v>1980</v>
      </c>
      <c r="J165" s="160">
        <v>233808</v>
      </c>
      <c r="K165" s="160">
        <v>2023</v>
      </c>
      <c r="L165" s="150"/>
      <c r="M165" s="150"/>
      <c r="N165" s="161">
        <v>8.6092999999999993</v>
      </c>
      <c r="O165" s="161">
        <v>5.21E-2</v>
      </c>
      <c r="P165" s="161">
        <v>0.16700000000000001</v>
      </c>
      <c r="Q165" s="150"/>
      <c r="R165" s="150"/>
      <c r="S165" s="150"/>
      <c r="T165" s="150"/>
      <c r="U165" s="150"/>
      <c r="V165" s="150"/>
      <c r="W165" s="150"/>
      <c r="X165" s="161">
        <v>0.18770000000000001</v>
      </c>
      <c r="Y165" s="161">
        <v>0.18770000000000001</v>
      </c>
      <c r="Z165" s="150"/>
      <c r="AA165" s="161">
        <v>5.2699999999999997E-2</v>
      </c>
      <c r="AB165" s="161">
        <v>0.13800000000000001</v>
      </c>
      <c r="AC165" s="161">
        <v>0.21729999999999999</v>
      </c>
      <c r="AD165" s="161">
        <v>0.12230000000000001</v>
      </c>
      <c r="AE165" s="150"/>
      <c r="AF165" s="161">
        <v>0.12230000000000001</v>
      </c>
      <c r="AG165" s="150"/>
      <c r="AH165" s="161">
        <v>0.78749999999999998</v>
      </c>
      <c r="AI165" s="161">
        <v>2.6040999999999999</v>
      </c>
      <c r="AJ165" s="161">
        <v>3.3915999999999999</v>
      </c>
      <c r="AK165" s="161">
        <v>5.2176999999999998</v>
      </c>
      <c r="AL165" s="150"/>
      <c r="AM165" s="266" t="s">
        <v>10607</v>
      </c>
    </row>
    <row r="166" spans="1:39" ht="14.1" customHeight="1">
      <c r="A166" s="282" t="s">
        <v>10353</v>
      </c>
      <c r="B166" s="149">
        <v>406</v>
      </c>
      <c r="C166" s="282" t="s">
        <v>10354</v>
      </c>
      <c r="D166" s="283" t="s">
        <v>10355</v>
      </c>
      <c r="E166" s="282" t="s">
        <v>3966</v>
      </c>
      <c r="F166" s="282" t="s">
        <v>9942</v>
      </c>
      <c r="G166" s="282" t="s">
        <v>1911</v>
      </c>
      <c r="H166" s="283" t="s">
        <v>10096</v>
      </c>
      <c r="I166" s="284">
        <v>1980</v>
      </c>
      <c r="J166" s="284">
        <v>233808</v>
      </c>
      <c r="K166" s="284">
        <v>2024</v>
      </c>
      <c r="L166" s="282"/>
      <c r="M166" s="282"/>
      <c r="N166" s="285">
        <v>8.7333999999999996</v>
      </c>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5">
        <v>3.5718000000000001</v>
      </c>
      <c r="AK166" s="285">
        <v>5.1616</v>
      </c>
      <c r="AL166" s="282"/>
      <c r="AM166" s="283" t="s">
        <v>10608</v>
      </c>
    </row>
    <row r="167" spans="1:39" ht="14.1" customHeight="1">
      <c r="A167" s="150" t="s">
        <v>10358</v>
      </c>
      <c r="B167" s="149">
        <v>407</v>
      </c>
      <c r="C167" s="150" t="s">
        <v>5288</v>
      </c>
      <c r="D167" s="266" t="s">
        <v>10359</v>
      </c>
      <c r="E167" s="150" t="s">
        <v>8484</v>
      </c>
      <c r="F167" s="150" t="s">
        <v>9942</v>
      </c>
      <c r="G167" s="150" t="s">
        <v>1911</v>
      </c>
      <c r="H167" s="266" t="s">
        <v>10360</v>
      </c>
      <c r="I167" s="160">
        <v>2000</v>
      </c>
      <c r="J167" s="160">
        <v>80640</v>
      </c>
      <c r="K167" s="160">
        <v>2023</v>
      </c>
      <c r="L167" s="161">
        <v>6.2378</v>
      </c>
      <c r="M167" s="150"/>
      <c r="N167" s="150"/>
      <c r="O167" s="150"/>
      <c r="P167" s="150"/>
      <c r="Q167" s="150"/>
      <c r="R167" s="150"/>
      <c r="S167" s="150"/>
      <c r="T167" s="150"/>
      <c r="U167" s="150"/>
      <c r="V167" s="150"/>
      <c r="W167" s="150"/>
      <c r="X167" s="150"/>
      <c r="Y167" s="150"/>
      <c r="Z167" s="150"/>
      <c r="AA167" s="150"/>
      <c r="AB167" s="150"/>
      <c r="AC167" s="150"/>
      <c r="AD167" s="150"/>
      <c r="AE167" s="150"/>
      <c r="AF167" s="150"/>
      <c r="AG167" s="150"/>
      <c r="AH167" s="161">
        <v>0.20569999999999999</v>
      </c>
      <c r="AI167" s="150"/>
      <c r="AJ167" s="161">
        <v>0.20569999999999999</v>
      </c>
      <c r="AK167" s="161">
        <v>6.0320999999999998</v>
      </c>
      <c r="AL167" s="150"/>
      <c r="AM167" s="266" t="s">
        <v>10609</v>
      </c>
    </row>
    <row r="168" spans="1:39" ht="14.1" customHeight="1">
      <c r="A168" s="282" t="s">
        <v>10358</v>
      </c>
      <c r="B168" s="149">
        <v>407</v>
      </c>
      <c r="C168" s="282" t="s">
        <v>5288</v>
      </c>
      <c r="D168" s="283" t="s">
        <v>10359</v>
      </c>
      <c r="E168" s="282" t="s">
        <v>8484</v>
      </c>
      <c r="F168" s="282" t="s">
        <v>9942</v>
      </c>
      <c r="G168" s="282" t="s">
        <v>1911</v>
      </c>
      <c r="H168" s="283" t="s">
        <v>10360</v>
      </c>
      <c r="I168" s="284">
        <v>2000</v>
      </c>
      <c r="J168" s="284">
        <v>80640</v>
      </c>
      <c r="K168" s="284">
        <v>2024</v>
      </c>
      <c r="L168" s="285">
        <v>6.3624999999999998</v>
      </c>
      <c r="M168" s="282"/>
      <c r="N168" s="282"/>
      <c r="O168" s="282"/>
      <c r="P168" s="282"/>
      <c r="Q168" s="282"/>
      <c r="R168" s="282"/>
      <c r="S168" s="282"/>
      <c r="T168" s="282"/>
      <c r="U168" s="282"/>
      <c r="V168" s="282"/>
      <c r="W168" s="282"/>
      <c r="X168" s="282"/>
      <c r="Y168" s="282"/>
      <c r="Z168" s="282"/>
      <c r="AA168" s="282"/>
      <c r="AB168" s="282"/>
      <c r="AC168" s="282"/>
      <c r="AD168" s="282"/>
      <c r="AE168" s="282"/>
      <c r="AF168" s="282"/>
      <c r="AG168" s="282"/>
      <c r="AH168" s="285">
        <v>0.19209999999999999</v>
      </c>
      <c r="AI168" s="282"/>
      <c r="AJ168" s="285">
        <v>0.19209999999999999</v>
      </c>
      <c r="AK168" s="285">
        <v>6.1703999999999999</v>
      </c>
      <c r="AL168" s="282"/>
      <c r="AM168" s="283" t="s">
        <v>10610</v>
      </c>
    </row>
    <row r="169" spans="1:39" ht="14.1" customHeight="1">
      <c r="A169" s="150" t="s">
        <v>10362</v>
      </c>
      <c r="B169" s="149">
        <v>210</v>
      </c>
      <c r="C169" s="150" t="s">
        <v>10363</v>
      </c>
      <c r="D169" s="266" t="s">
        <v>10364</v>
      </c>
      <c r="E169" s="150" t="s">
        <v>3642</v>
      </c>
      <c r="F169" s="150" t="s">
        <v>9942</v>
      </c>
      <c r="G169" s="150" t="s">
        <v>1911</v>
      </c>
      <c r="H169" s="266" t="s">
        <v>10365</v>
      </c>
      <c r="I169" s="160"/>
      <c r="J169" s="160">
        <v>42299</v>
      </c>
      <c r="K169" s="160">
        <v>2024</v>
      </c>
      <c r="L169" s="150"/>
      <c r="M169" s="150"/>
      <c r="N169" s="161">
        <v>9.2594999999999992</v>
      </c>
      <c r="O169" s="150"/>
      <c r="P169" s="150"/>
      <c r="Q169" s="150"/>
      <c r="R169" s="150"/>
      <c r="S169" s="150"/>
      <c r="T169" s="150"/>
      <c r="U169" s="150"/>
      <c r="V169" s="150"/>
      <c r="W169" s="150"/>
      <c r="X169" s="150"/>
      <c r="Y169" s="150"/>
      <c r="Z169" s="150"/>
      <c r="AA169" s="150"/>
      <c r="AB169" s="150"/>
      <c r="AC169" s="150"/>
      <c r="AD169" s="150"/>
      <c r="AE169" s="150"/>
      <c r="AF169" s="150"/>
      <c r="AG169" s="150"/>
      <c r="AH169" s="161">
        <v>0.74080000000000001</v>
      </c>
      <c r="AI169" s="150"/>
      <c r="AJ169" s="161">
        <v>0.74080000000000001</v>
      </c>
      <c r="AK169" s="161">
        <v>8.5188000000000006</v>
      </c>
      <c r="AL169" s="150"/>
      <c r="AM169" s="266" t="s">
        <v>10611</v>
      </c>
    </row>
    <row r="170" spans="1:39" ht="14.1" customHeight="1">
      <c r="A170" s="282" t="s">
        <v>10367</v>
      </c>
      <c r="B170" s="149">
        <v>407</v>
      </c>
      <c r="C170" s="282" t="s">
        <v>10368</v>
      </c>
      <c r="D170" s="283" t="s">
        <v>10369</v>
      </c>
      <c r="E170" s="282" t="s">
        <v>8758</v>
      </c>
      <c r="F170" s="282" t="s">
        <v>9942</v>
      </c>
      <c r="G170" s="282" t="s">
        <v>1911</v>
      </c>
      <c r="H170" s="283" t="s">
        <v>10360</v>
      </c>
      <c r="I170" s="284">
        <v>2016</v>
      </c>
      <c r="J170" s="284">
        <v>122106</v>
      </c>
      <c r="K170" s="284">
        <v>2023</v>
      </c>
      <c r="L170" s="282"/>
      <c r="M170" s="282"/>
      <c r="N170" s="282"/>
      <c r="O170" s="285">
        <v>6.0900000000000003E-2</v>
      </c>
      <c r="P170" s="282"/>
      <c r="Q170" s="282"/>
      <c r="R170" s="282"/>
      <c r="S170" s="282"/>
      <c r="T170" s="282"/>
      <c r="U170" s="282"/>
      <c r="V170" s="282"/>
      <c r="W170" s="282"/>
      <c r="X170" s="282"/>
      <c r="Y170" s="282"/>
      <c r="Z170" s="282"/>
      <c r="AA170" s="282"/>
      <c r="AB170" s="282"/>
      <c r="AC170" s="285">
        <v>0.41499999999999998</v>
      </c>
      <c r="AD170" s="285">
        <v>0.47939999999999999</v>
      </c>
      <c r="AE170" s="282"/>
      <c r="AF170" s="285">
        <v>0.47939999999999999</v>
      </c>
      <c r="AG170" s="282"/>
      <c r="AH170" s="282"/>
      <c r="AI170" s="285">
        <v>3.2330000000000001</v>
      </c>
      <c r="AJ170" s="285">
        <v>4.1883999999999997</v>
      </c>
      <c r="AK170" s="282"/>
      <c r="AL170" s="282"/>
      <c r="AM170" s="283" t="s">
        <v>10612</v>
      </c>
    </row>
    <row r="171" spans="1:39" ht="14.1" customHeight="1">
      <c r="A171" s="150" t="s">
        <v>10367</v>
      </c>
      <c r="B171" s="149">
        <v>407</v>
      </c>
      <c r="C171" s="150" t="s">
        <v>10368</v>
      </c>
      <c r="D171" s="266" t="s">
        <v>10369</v>
      </c>
      <c r="E171" s="150" t="s">
        <v>8758</v>
      </c>
      <c r="F171" s="150" t="s">
        <v>9942</v>
      </c>
      <c r="G171" s="150" t="s">
        <v>1911</v>
      </c>
      <c r="H171" s="266" t="s">
        <v>10360</v>
      </c>
      <c r="I171" s="160">
        <v>2016</v>
      </c>
      <c r="J171" s="160">
        <v>122106</v>
      </c>
      <c r="K171" s="160">
        <v>2024</v>
      </c>
      <c r="L171" s="150"/>
      <c r="M171" s="150"/>
      <c r="N171" s="150"/>
      <c r="O171" s="161">
        <v>6.25E-2</v>
      </c>
      <c r="P171" s="150"/>
      <c r="Q171" s="150"/>
      <c r="R171" s="150"/>
      <c r="S171" s="150"/>
      <c r="T171" s="150"/>
      <c r="U171" s="150"/>
      <c r="V171" s="150"/>
      <c r="W171" s="150"/>
      <c r="X171" s="150"/>
      <c r="Y171" s="150"/>
      <c r="Z171" s="150"/>
      <c r="AA171" s="150"/>
      <c r="AB171" s="150"/>
      <c r="AC171" s="161">
        <v>0.52790000000000004</v>
      </c>
      <c r="AD171" s="161">
        <v>0.47939999999999999</v>
      </c>
      <c r="AE171" s="150"/>
      <c r="AF171" s="161">
        <v>0.47939999999999999</v>
      </c>
      <c r="AG171" s="150"/>
      <c r="AH171" s="150"/>
      <c r="AI171" s="161">
        <v>4.3579999999999997</v>
      </c>
      <c r="AJ171" s="161">
        <v>5.4279000000000002</v>
      </c>
      <c r="AK171" s="150"/>
      <c r="AL171" s="150"/>
      <c r="AM171" s="266" t="s">
        <v>10613</v>
      </c>
    </row>
    <row r="172" spans="1:39" ht="14.1" customHeight="1">
      <c r="A172" s="282" t="s">
        <v>10372</v>
      </c>
      <c r="B172" s="149">
        <v>407</v>
      </c>
      <c r="C172" s="282" t="s">
        <v>10373</v>
      </c>
      <c r="D172" s="283" t="s">
        <v>10374</v>
      </c>
      <c r="E172" s="282" t="s">
        <v>8758</v>
      </c>
      <c r="F172" s="282" t="s">
        <v>9942</v>
      </c>
      <c r="G172" s="282" t="s">
        <v>1911</v>
      </c>
      <c r="H172" s="283" t="s">
        <v>10360</v>
      </c>
      <c r="I172" s="284">
        <v>2000</v>
      </c>
      <c r="J172" s="284">
        <v>85200</v>
      </c>
      <c r="K172" s="284">
        <v>2023</v>
      </c>
      <c r="L172" s="282"/>
      <c r="M172" s="282"/>
      <c r="N172" s="282"/>
      <c r="O172" s="285">
        <v>0.24129999999999999</v>
      </c>
      <c r="P172" s="282"/>
      <c r="Q172" s="282"/>
      <c r="R172" s="282"/>
      <c r="S172" s="282"/>
      <c r="T172" s="282"/>
      <c r="U172" s="282"/>
      <c r="V172" s="282"/>
      <c r="W172" s="282"/>
      <c r="X172" s="282"/>
      <c r="Y172" s="282"/>
      <c r="Z172" s="282"/>
      <c r="AA172" s="282"/>
      <c r="AB172" s="282"/>
      <c r="AC172" s="285">
        <v>0.21759999999999999</v>
      </c>
      <c r="AD172" s="282"/>
      <c r="AE172" s="282"/>
      <c r="AF172" s="282"/>
      <c r="AG172" s="282"/>
      <c r="AH172" s="282"/>
      <c r="AI172" s="285">
        <v>3.5825999999999998</v>
      </c>
      <c r="AJ172" s="285">
        <v>4.0415000000000001</v>
      </c>
      <c r="AK172" s="282"/>
      <c r="AL172" s="282"/>
      <c r="AM172" s="283" t="s">
        <v>10614</v>
      </c>
    </row>
    <row r="173" spans="1:39" ht="14.1" customHeight="1">
      <c r="A173" s="150" t="s">
        <v>10372</v>
      </c>
      <c r="B173" s="149">
        <v>407</v>
      </c>
      <c r="C173" s="150" t="s">
        <v>10373</v>
      </c>
      <c r="D173" s="266" t="s">
        <v>10374</v>
      </c>
      <c r="E173" s="150" t="s">
        <v>8758</v>
      </c>
      <c r="F173" s="150" t="s">
        <v>9942</v>
      </c>
      <c r="G173" s="150" t="s">
        <v>1911</v>
      </c>
      <c r="H173" s="266" t="s">
        <v>10360</v>
      </c>
      <c r="I173" s="160">
        <v>2000</v>
      </c>
      <c r="J173" s="160">
        <v>85200</v>
      </c>
      <c r="K173" s="160">
        <v>2024</v>
      </c>
      <c r="L173" s="150"/>
      <c r="M173" s="150"/>
      <c r="N173" s="150"/>
      <c r="O173" s="161">
        <v>0.30020000000000002</v>
      </c>
      <c r="P173" s="150"/>
      <c r="Q173" s="150"/>
      <c r="R173" s="150"/>
      <c r="S173" s="150"/>
      <c r="T173" s="150"/>
      <c r="U173" s="150"/>
      <c r="V173" s="150"/>
      <c r="W173" s="150"/>
      <c r="X173" s="150"/>
      <c r="Y173" s="150"/>
      <c r="Z173" s="150"/>
      <c r="AA173" s="150"/>
      <c r="AB173" s="150"/>
      <c r="AC173" s="161">
        <v>0.25080000000000002</v>
      </c>
      <c r="AD173" s="150"/>
      <c r="AE173" s="150"/>
      <c r="AF173" s="150"/>
      <c r="AG173" s="150"/>
      <c r="AH173" s="150"/>
      <c r="AI173" s="161">
        <v>3.8944999999999999</v>
      </c>
      <c r="AJ173" s="161">
        <v>4.4455999999999998</v>
      </c>
      <c r="AK173" s="150"/>
      <c r="AL173" s="150"/>
      <c r="AM173" s="266" t="s">
        <v>10615</v>
      </c>
    </row>
    <row r="174" spans="1:39" ht="14.1" customHeight="1">
      <c r="A174" s="282" t="s">
        <v>10376</v>
      </c>
      <c r="B174" s="149">
        <v>584</v>
      </c>
      <c r="C174" s="282" t="s">
        <v>10028</v>
      </c>
      <c r="D174" s="283" t="s">
        <v>10377</v>
      </c>
      <c r="E174" s="282" t="s">
        <v>8758</v>
      </c>
      <c r="F174" s="282" t="s">
        <v>9942</v>
      </c>
      <c r="G174" s="282" t="s">
        <v>1911</v>
      </c>
      <c r="H174" s="283" t="s">
        <v>10378</v>
      </c>
      <c r="I174" s="284">
        <v>2019</v>
      </c>
      <c r="J174" s="284">
        <v>555867</v>
      </c>
      <c r="K174" s="284">
        <v>2024</v>
      </c>
      <c r="L174" s="282"/>
      <c r="M174" s="282"/>
      <c r="N174" s="282"/>
      <c r="O174" s="285">
        <v>0.15490000000000001</v>
      </c>
      <c r="P174" s="285">
        <v>0.1152</v>
      </c>
      <c r="Q174" s="282"/>
      <c r="R174" s="282"/>
      <c r="S174" s="282"/>
      <c r="T174" s="282"/>
      <c r="U174" s="282"/>
      <c r="V174" s="282"/>
      <c r="W174" s="282"/>
      <c r="X174" s="282"/>
      <c r="Y174" s="282"/>
      <c r="Z174" s="282"/>
      <c r="AA174" s="282"/>
      <c r="AB174" s="282"/>
      <c r="AC174" s="282"/>
      <c r="AD174" s="282"/>
      <c r="AE174" s="282"/>
      <c r="AF174" s="282"/>
      <c r="AG174" s="282"/>
      <c r="AH174" s="282"/>
      <c r="AI174" s="285">
        <v>3.8872</v>
      </c>
      <c r="AJ174" s="285">
        <v>4.1573000000000002</v>
      </c>
      <c r="AK174" s="282"/>
      <c r="AL174" s="282"/>
      <c r="AM174" s="283" t="s">
        <v>10616</v>
      </c>
    </row>
    <row r="175" spans="1:39" ht="14.1" customHeight="1">
      <c r="A175" s="150" t="s">
        <v>10381</v>
      </c>
      <c r="B175" s="149">
        <v>447</v>
      </c>
      <c r="C175" s="150" t="s">
        <v>10382</v>
      </c>
      <c r="D175" s="266" t="s">
        <v>10383</v>
      </c>
      <c r="E175" s="150" t="s">
        <v>8758</v>
      </c>
      <c r="F175" s="150" t="s">
        <v>9942</v>
      </c>
      <c r="G175" s="150" t="s">
        <v>1911</v>
      </c>
      <c r="H175" s="266" t="s">
        <v>10384</v>
      </c>
      <c r="I175" s="160">
        <v>2012</v>
      </c>
      <c r="J175" s="160">
        <v>550031</v>
      </c>
      <c r="K175" s="160">
        <v>2024</v>
      </c>
      <c r="L175" s="150"/>
      <c r="M175" s="150"/>
      <c r="N175" s="150"/>
      <c r="O175" s="161">
        <v>0.14019999999999999</v>
      </c>
      <c r="P175" s="161">
        <v>0.251</v>
      </c>
      <c r="Q175" s="150"/>
      <c r="R175" s="150"/>
      <c r="S175" s="150"/>
      <c r="T175" s="150"/>
      <c r="U175" s="150"/>
      <c r="V175" s="150"/>
      <c r="W175" s="150"/>
      <c r="X175" s="150"/>
      <c r="Y175" s="150"/>
      <c r="Z175" s="150"/>
      <c r="AA175" s="150"/>
      <c r="AB175" s="150"/>
      <c r="AC175" s="150"/>
      <c r="AD175" s="150"/>
      <c r="AE175" s="150"/>
      <c r="AF175" s="150"/>
      <c r="AG175" s="150"/>
      <c r="AH175" s="150"/>
      <c r="AI175" s="161">
        <v>3.8519000000000001</v>
      </c>
      <c r="AJ175" s="161">
        <v>4.2431000000000001</v>
      </c>
      <c r="AK175" s="150"/>
      <c r="AL175" s="150"/>
      <c r="AM175" s="266" t="s">
        <v>10617</v>
      </c>
    </row>
    <row r="176" spans="1:39" ht="14.1" customHeight="1">
      <c r="A176" s="282" t="s">
        <v>10386</v>
      </c>
      <c r="B176" s="149">
        <v>407</v>
      </c>
      <c r="C176" s="282" t="s">
        <v>10387</v>
      </c>
      <c r="D176" s="283" t="s">
        <v>10388</v>
      </c>
      <c r="E176" s="282" t="s">
        <v>8758</v>
      </c>
      <c r="F176" s="282" t="s">
        <v>9942</v>
      </c>
      <c r="G176" s="282" t="s">
        <v>1911</v>
      </c>
      <c r="H176" s="283" t="s">
        <v>10360</v>
      </c>
      <c r="I176" s="284">
        <v>1998</v>
      </c>
      <c r="J176" s="284">
        <v>64501</v>
      </c>
      <c r="K176" s="284">
        <v>2023</v>
      </c>
      <c r="L176" s="282"/>
      <c r="M176" s="282"/>
      <c r="N176" s="282"/>
      <c r="O176" s="285">
        <v>0.1487</v>
      </c>
      <c r="P176" s="285">
        <v>0.36499999999999999</v>
      </c>
      <c r="Q176" s="282"/>
      <c r="R176" s="282"/>
      <c r="S176" s="282"/>
      <c r="T176" s="282"/>
      <c r="U176" s="282"/>
      <c r="V176" s="282"/>
      <c r="W176" s="282"/>
      <c r="X176" s="282"/>
      <c r="Y176" s="282"/>
      <c r="Z176" s="282"/>
      <c r="AA176" s="282"/>
      <c r="AB176" s="282"/>
      <c r="AC176" s="282"/>
      <c r="AD176" s="282"/>
      <c r="AE176" s="282"/>
      <c r="AF176" s="282"/>
      <c r="AG176" s="282"/>
      <c r="AH176" s="282"/>
      <c r="AI176" s="285">
        <v>3.1200999999999999</v>
      </c>
      <c r="AJ176" s="285">
        <v>3.6337000000000002</v>
      </c>
      <c r="AK176" s="282"/>
      <c r="AL176" s="282"/>
      <c r="AM176" s="283" t="s">
        <v>10618</v>
      </c>
    </row>
    <row r="177" spans="1:39" ht="14.1" customHeight="1">
      <c r="A177" s="150" t="s">
        <v>10386</v>
      </c>
      <c r="B177" s="149">
        <v>407</v>
      </c>
      <c r="C177" s="150" t="s">
        <v>10387</v>
      </c>
      <c r="D177" s="266" t="s">
        <v>10388</v>
      </c>
      <c r="E177" s="150" t="s">
        <v>8758</v>
      </c>
      <c r="F177" s="150" t="s">
        <v>9942</v>
      </c>
      <c r="G177" s="150" t="s">
        <v>1911</v>
      </c>
      <c r="H177" s="266" t="s">
        <v>10360</v>
      </c>
      <c r="I177" s="160">
        <v>1998</v>
      </c>
      <c r="J177" s="160">
        <v>64501</v>
      </c>
      <c r="K177" s="160">
        <v>2024</v>
      </c>
      <c r="L177" s="150"/>
      <c r="M177" s="150"/>
      <c r="N177" s="150"/>
      <c r="O177" s="161">
        <v>0.1168</v>
      </c>
      <c r="P177" s="161">
        <v>0.37040000000000001</v>
      </c>
      <c r="Q177" s="150"/>
      <c r="R177" s="150"/>
      <c r="S177" s="150"/>
      <c r="T177" s="150"/>
      <c r="U177" s="150"/>
      <c r="V177" s="150"/>
      <c r="W177" s="150"/>
      <c r="X177" s="150"/>
      <c r="Y177" s="150"/>
      <c r="Z177" s="150"/>
      <c r="AA177" s="150"/>
      <c r="AB177" s="150"/>
      <c r="AC177" s="150"/>
      <c r="AD177" s="150"/>
      <c r="AE177" s="150"/>
      <c r="AF177" s="150"/>
      <c r="AG177" s="150"/>
      <c r="AH177" s="150"/>
      <c r="AI177" s="161">
        <v>3.7913999999999999</v>
      </c>
      <c r="AJ177" s="161">
        <v>4.2786</v>
      </c>
      <c r="AK177" s="150"/>
      <c r="AL177" s="150"/>
      <c r="AM177" s="266" t="s">
        <v>10619</v>
      </c>
    </row>
    <row r="178" spans="1:39" ht="14.1" customHeight="1">
      <c r="A178" s="282" t="s">
        <v>10099</v>
      </c>
      <c r="B178" s="149">
        <v>407</v>
      </c>
      <c r="C178" s="282" t="s">
        <v>10100</v>
      </c>
      <c r="D178" s="283" t="s">
        <v>10620</v>
      </c>
      <c r="E178" s="282" t="s">
        <v>8758</v>
      </c>
      <c r="F178" s="282" t="s">
        <v>9942</v>
      </c>
      <c r="G178" s="282" t="s">
        <v>1911</v>
      </c>
      <c r="H178" s="283" t="s">
        <v>10360</v>
      </c>
      <c r="I178" s="284"/>
      <c r="J178" s="284">
        <v>200094</v>
      </c>
      <c r="K178" s="284">
        <v>2024</v>
      </c>
      <c r="L178" s="282"/>
      <c r="M178" s="282"/>
      <c r="N178" s="282"/>
      <c r="O178" s="285">
        <v>0.13150000000000001</v>
      </c>
      <c r="P178" s="285">
        <v>0.24429999999999999</v>
      </c>
      <c r="Q178" s="282"/>
      <c r="R178" s="282"/>
      <c r="S178" s="282"/>
      <c r="T178" s="282"/>
      <c r="U178" s="282"/>
      <c r="V178" s="282"/>
      <c r="W178" s="282"/>
      <c r="X178" s="282"/>
      <c r="Y178" s="282"/>
      <c r="Z178" s="282"/>
      <c r="AA178" s="282"/>
      <c r="AB178" s="282"/>
      <c r="AC178" s="285">
        <v>0.40129999999999999</v>
      </c>
      <c r="AD178" s="285">
        <v>0.32100000000000001</v>
      </c>
      <c r="AE178" s="282"/>
      <c r="AF178" s="285">
        <v>0.32100000000000001</v>
      </c>
      <c r="AG178" s="282"/>
      <c r="AH178" s="282"/>
      <c r="AI178" s="285">
        <v>2.2004000000000001</v>
      </c>
      <c r="AJ178" s="285">
        <v>3.2970000000000002</v>
      </c>
      <c r="AK178" s="282"/>
      <c r="AL178" s="282"/>
      <c r="AM178" s="283" t="s">
        <v>10621</v>
      </c>
    </row>
    <row r="179" spans="1:39" ht="14.1" customHeight="1">
      <c r="A179" s="150" t="s">
        <v>10105</v>
      </c>
      <c r="B179" s="149">
        <v>407</v>
      </c>
      <c r="C179" s="150" t="s">
        <v>10106</v>
      </c>
      <c r="D179" s="266" t="s">
        <v>10622</v>
      </c>
      <c r="E179" s="150" t="s">
        <v>8758</v>
      </c>
      <c r="F179" s="150" t="s">
        <v>9942</v>
      </c>
      <c r="G179" s="150" t="s">
        <v>1911</v>
      </c>
      <c r="H179" s="266" t="s">
        <v>10360</v>
      </c>
      <c r="I179" s="160"/>
      <c r="J179" s="160"/>
      <c r="K179" s="160">
        <v>2024</v>
      </c>
      <c r="L179" s="150"/>
      <c r="M179" s="150"/>
      <c r="N179" s="150"/>
      <c r="O179" s="163">
        <v>24025</v>
      </c>
      <c r="P179" s="163">
        <v>65817</v>
      </c>
      <c r="Q179" s="150"/>
      <c r="R179" s="150"/>
      <c r="S179" s="150"/>
      <c r="T179" s="150"/>
      <c r="U179" s="150"/>
      <c r="V179" s="150"/>
      <c r="W179" s="150"/>
      <c r="X179" s="150"/>
      <c r="Y179" s="150"/>
      <c r="Z179" s="150"/>
      <c r="AA179" s="150"/>
      <c r="AB179" s="150"/>
      <c r="AC179" s="163">
        <v>128840</v>
      </c>
      <c r="AD179" s="163">
        <v>69481</v>
      </c>
      <c r="AE179" s="150"/>
      <c r="AF179" s="163">
        <v>69481</v>
      </c>
      <c r="AG179" s="150"/>
      <c r="AH179" s="150"/>
      <c r="AI179" s="163">
        <v>598274</v>
      </c>
      <c r="AJ179" s="163">
        <v>886437</v>
      </c>
      <c r="AK179" s="150"/>
      <c r="AL179" s="150"/>
      <c r="AM179" s="266" t="s">
        <v>10687</v>
      </c>
    </row>
    <row r="180" spans="1:39" ht="14.1" customHeight="1">
      <c r="A180" s="282" t="s">
        <v>10125</v>
      </c>
      <c r="B180" s="149">
        <v>407</v>
      </c>
      <c r="C180" s="282" t="s">
        <v>10126</v>
      </c>
      <c r="D180" s="283" t="s">
        <v>10624</v>
      </c>
      <c r="E180" s="282" t="s">
        <v>8758</v>
      </c>
      <c r="F180" s="282" t="s">
        <v>9942</v>
      </c>
      <c r="G180" s="282" t="s">
        <v>1911</v>
      </c>
      <c r="H180" s="283" t="s">
        <v>10360</v>
      </c>
      <c r="I180" s="284"/>
      <c r="J180" s="284">
        <v>215461</v>
      </c>
      <c r="K180" s="284">
        <v>2024</v>
      </c>
      <c r="L180" s="282"/>
      <c r="M180" s="282"/>
      <c r="N180" s="282"/>
      <c r="O180" s="285">
        <v>0.1431</v>
      </c>
      <c r="P180" s="285">
        <v>0.33100000000000002</v>
      </c>
      <c r="Q180" s="282"/>
      <c r="R180" s="282"/>
      <c r="S180" s="282"/>
      <c r="T180" s="282"/>
      <c r="U180" s="282"/>
      <c r="V180" s="282"/>
      <c r="W180" s="282"/>
      <c r="X180" s="282"/>
      <c r="Y180" s="282"/>
      <c r="Z180" s="282"/>
      <c r="AA180" s="282"/>
      <c r="AB180" s="282"/>
      <c r="AC180" s="285">
        <v>0.59030000000000005</v>
      </c>
      <c r="AD180" s="285">
        <v>0.47310000000000002</v>
      </c>
      <c r="AE180" s="282"/>
      <c r="AF180" s="285">
        <v>0.47310000000000002</v>
      </c>
      <c r="AG180" s="282"/>
      <c r="AH180" s="282"/>
      <c r="AI180" s="285">
        <v>2.6196999999999999</v>
      </c>
      <c r="AJ180" s="285">
        <v>4.1571999999999996</v>
      </c>
      <c r="AK180" s="282"/>
      <c r="AL180" s="282"/>
      <c r="AM180" s="283" t="s">
        <v>10625</v>
      </c>
    </row>
    <row r="181" spans="1:39" ht="14.1" customHeight="1">
      <c r="A181" s="150" t="s">
        <v>10131</v>
      </c>
      <c r="B181" s="149">
        <v>407</v>
      </c>
      <c r="C181" s="150" t="s">
        <v>10132</v>
      </c>
      <c r="D181" s="266" t="s">
        <v>10626</v>
      </c>
      <c r="E181" s="150" t="s">
        <v>8758</v>
      </c>
      <c r="F181" s="150" t="s">
        <v>9942</v>
      </c>
      <c r="G181" s="150" t="s">
        <v>1911</v>
      </c>
      <c r="H181" s="266" t="s">
        <v>10360</v>
      </c>
      <c r="I181" s="160"/>
      <c r="J181" s="160">
        <v>200000</v>
      </c>
      <c r="K181" s="160">
        <v>2024</v>
      </c>
      <c r="L181" s="150"/>
      <c r="M181" s="150"/>
      <c r="N181" s="150"/>
      <c r="O181" s="161">
        <v>0.153</v>
      </c>
      <c r="P181" s="161">
        <v>0.1804</v>
      </c>
      <c r="Q181" s="150"/>
      <c r="R181" s="150"/>
      <c r="S181" s="150"/>
      <c r="T181" s="150"/>
      <c r="U181" s="150"/>
      <c r="V181" s="150"/>
      <c r="W181" s="150"/>
      <c r="X181" s="150"/>
      <c r="Y181" s="150"/>
      <c r="Z181" s="150"/>
      <c r="AA181" s="150"/>
      <c r="AB181" s="150"/>
      <c r="AC181" s="161">
        <v>0.47899999999999998</v>
      </c>
      <c r="AD181" s="150"/>
      <c r="AE181" s="150"/>
      <c r="AF181" s="150"/>
      <c r="AG181" s="150"/>
      <c r="AH181" s="150"/>
      <c r="AI181" s="161">
        <v>3.0409999999999999</v>
      </c>
      <c r="AJ181" s="161">
        <v>3.8534000000000002</v>
      </c>
      <c r="AK181" s="150"/>
      <c r="AL181" s="150"/>
      <c r="AM181" s="266" t="s">
        <v>10627</v>
      </c>
    </row>
    <row r="182" spans="1:39" ht="14.1" customHeight="1">
      <c r="A182" s="282" t="s">
        <v>10242</v>
      </c>
      <c r="B182" s="149">
        <v>584</v>
      </c>
      <c r="C182" s="282" t="s">
        <v>10243</v>
      </c>
      <c r="D182" s="283" t="s">
        <v>10628</v>
      </c>
      <c r="E182" s="282" t="s">
        <v>8758</v>
      </c>
      <c r="F182" s="282" t="s">
        <v>9942</v>
      </c>
      <c r="G182" s="282" t="s">
        <v>1911</v>
      </c>
      <c r="H182" s="283" t="s">
        <v>10360</v>
      </c>
      <c r="I182" s="284"/>
      <c r="J182" s="284">
        <v>277690</v>
      </c>
      <c r="K182" s="284">
        <v>2024</v>
      </c>
      <c r="L182" s="282"/>
      <c r="M182" s="282"/>
      <c r="N182" s="282"/>
      <c r="O182" s="285">
        <v>0.29110000000000003</v>
      </c>
      <c r="P182" s="285">
        <v>0.62280000000000002</v>
      </c>
      <c r="Q182" s="282"/>
      <c r="R182" s="282"/>
      <c r="S182" s="282"/>
      <c r="T182" s="282"/>
      <c r="U182" s="282"/>
      <c r="V182" s="282"/>
      <c r="W182" s="282"/>
      <c r="X182" s="282"/>
      <c r="Y182" s="282"/>
      <c r="Z182" s="282"/>
      <c r="AA182" s="282"/>
      <c r="AB182" s="282"/>
      <c r="AC182" s="285">
        <v>1.0179</v>
      </c>
      <c r="AD182" s="285">
        <v>0.7056</v>
      </c>
      <c r="AE182" s="282"/>
      <c r="AF182" s="285">
        <v>0.7056</v>
      </c>
      <c r="AG182" s="282"/>
      <c r="AH182" s="282"/>
      <c r="AI182" s="285">
        <v>2.8384</v>
      </c>
      <c r="AJ182" s="285">
        <v>5.4757999999999996</v>
      </c>
      <c r="AK182" s="282"/>
      <c r="AL182" s="282"/>
      <c r="AM182" s="283" t="s">
        <v>10629</v>
      </c>
    </row>
    <row r="183" spans="1:39" ht="14.1" customHeight="1">
      <c r="A183" s="150" t="s">
        <v>10280</v>
      </c>
      <c r="B183" s="149">
        <v>210</v>
      </c>
      <c r="C183" s="150" t="s">
        <v>10281</v>
      </c>
      <c r="D183" s="266" t="s">
        <v>10630</v>
      </c>
      <c r="E183" s="150" t="s">
        <v>8758</v>
      </c>
      <c r="F183" s="150" t="s">
        <v>9942</v>
      </c>
      <c r="G183" s="150" t="s">
        <v>1911</v>
      </c>
      <c r="H183" s="266" t="s">
        <v>1911</v>
      </c>
      <c r="I183" s="160"/>
      <c r="J183" s="160"/>
      <c r="K183" s="160">
        <v>2023</v>
      </c>
      <c r="L183" s="150"/>
      <c r="M183" s="150"/>
      <c r="N183" s="150"/>
      <c r="O183" s="150"/>
      <c r="P183" s="150"/>
      <c r="Q183" s="150"/>
      <c r="R183" s="150"/>
      <c r="S183" s="150"/>
      <c r="T183" s="150"/>
      <c r="U183" s="150"/>
      <c r="V183" s="150"/>
      <c r="W183" s="150"/>
      <c r="X183" s="150"/>
      <c r="Y183" s="150"/>
      <c r="Z183" s="150"/>
      <c r="AA183" s="150"/>
      <c r="AB183" s="150"/>
      <c r="AC183" s="150"/>
      <c r="AD183" s="150"/>
      <c r="AE183" s="150"/>
      <c r="AF183" s="150"/>
      <c r="AG183" s="150"/>
      <c r="AH183" s="150"/>
      <c r="AI183" s="150"/>
      <c r="AJ183" s="150"/>
      <c r="AK183" s="163">
        <v>951113</v>
      </c>
      <c r="AL183" s="150"/>
      <c r="AM183" s="266" t="s">
        <v>10688</v>
      </c>
    </row>
    <row r="184" spans="1:39" ht="14.1" customHeight="1">
      <c r="A184" s="282" t="s">
        <v>10280</v>
      </c>
      <c r="B184" s="149">
        <v>210</v>
      </c>
      <c r="C184" s="282" t="s">
        <v>10281</v>
      </c>
      <c r="D184" s="283" t="s">
        <v>10630</v>
      </c>
      <c r="E184" s="282" t="s">
        <v>8758</v>
      </c>
      <c r="F184" s="282" t="s">
        <v>9942</v>
      </c>
      <c r="G184" s="282" t="s">
        <v>1911</v>
      </c>
      <c r="H184" s="283" t="s">
        <v>1911</v>
      </c>
      <c r="I184" s="284"/>
      <c r="J184" s="284"/>
      <c r="K184" s="284">
        <v>2024</v>
      </c>
      <c r="L184" s="282"/>
      <c r="M184" s="282"/>
      <c r="N184" s="282"/>
      <c r="O184" s="282"/>
      <c r="P184" s="282"/>
      <c r="Q184" s="282"/>
      <c r="R184" s="282"/>
      <c r="S184" s="282"/>
      <c r="T184" s="282"/>
      <c r="U184" s="282"/>
      <c r="V184" s="282"/>
      <c r="W184" s="282"/>
      <c r="X184" s="282"/>
      <c r="Y184" s="282"/>
      <c r="Z184" s="282"/>
      <c r="AA184" s="282"/>
      <c r="AB184" s="282"/>
      <c r="AC184" s="282"/>
      <c r="AD184" s="282"/>
      <c r="AE184" s="282"/>
      <c r="AF184" s="282"/>
      <c r="AG184" s="282"/>
      <c r="AH184" s="282"/>
      <c r="AI184" s="282"/>
      <c r="AJ184" s="282"/>
      <c r="AK184" s="287">
        <v>1005999</v>
      </c>
      <c r="AL184" s="282"/>
      <c r="AM184" s="283" t="s">
        <v>10689</v>
      </c>
    </row>
    <row r="185" spans="1:39" ht="14.1" customHeight="1">
      <c r="A185" s="150" t="s">
        <v>10390</v>
      </c>
      <c r="B185" s="149">
        <v>407</v>
      </c>
      <c r="C185" s="150" t="s">
        <v>10391</v>
      </c>
      <c r="D185" s="266" t="s">
        <v>10392</v>
      </c>
      <c r="E185" s="150" t="s">
        <v>1304</v>
      </c>
      <c r="F185" s="150" t="s">
        <v>9942</v>
      </c>
      <c r="G185" s="150" t="s">
        <v>1911</v>
      </c>
      <c r="H185" s="266" t="s">
        <v>1136</v>
      </c>
      <c r="I185" s="160">
        <v>1971</v>
      </c>
      <c r="J185" s="160">
        <v>127900</v>
      </c>
      <c r="K185" s="160">
        <v>2024</v>
      </c>
      <c r="L185" s="161">
        <v>6.5</v>
      </c>
      <c r="M185" s="150"/>
      <c r="N185" s="161">
        <v>6.11</v>
      </c>
      <c r="O185" s="150"/>
      <c r="P185" s="150"/>
      <c r="Q185" s="150"/>
      <c r="R185" s="150"/>
      <c r="S185" s="150"/>
      <c r="T185" s="150"/>
      <c r="U185" s="150"/>
      <c r="V185" s="150"/>
      <c r="W185" s="150"/>
      <c r="X185" s="150"/>
      <c r="Y185" s="150"/>
      <c r="Z185" s="150"/>
      <c r="AA185" s="150"/>
      <c r="AB185" s="150"/>
      <c r="AC185" s="150"/>
      <c r="AD185" s="150"/>
      <c r="AE185" s="150"/>
      <c r="AF185" s="150"/>
      <c r="AG185" s="150"/>
      <c r="AH185" s="161">
        <v>0.48880000000000001</v>
      </c>
      <c r="AI185" s="150"/>
      <c r="AJ185" s="161">
        <v>0.48880000000000001</v>
      </c>
      <c r="AK185" s="161">
        <v>5.6212</v>
      </c>
      <c r="AL185" s="150"/>
      <c r="AM185" s="266" t="s">
        <v>10633</v>
      </c>
    </row>
    <row r="186" spans="1:39" ht="14.1" customHeight="1">
      <c r="A186" s="282" t="s">
        <v>10395</v>
      </c>
      <c r="B186" s="149">
        <v>386</v>
      </c>
      <c r="C186" s="282" t="s">
        <v>10396</v>
      </c>
      <c r="D186" s="283" t="s">
        <v>10397</v>
      </c>
      <c r="E186" s="282" t="s">
        <v>3966</v>
      </c>
      <c r="F186" s="282" t="s">
        <v>9942</v>
      </c>
      <c r="G186" s="282" t="s">
        <v>10154</v>
      </c>
      <c r="H186" s="283" t="s">
        <v>10154</v>
      </c>
      <c r="I186" s="284">
        <v>1984</v>
      </c>
      <c r="J186" s="284">
        <v>63989</v>
      </c>
      <c r="K186" s="284">
        <v>2024</v>
      </c>
      <c r="L186" s="285">
        <v>15.0547</v>
      </c>
      <c r="M186" s="285">
        <v>0.1953</v>
      </c>
      <c r="N186" s="285">
        <v>12.991899999999999</v>
      </c>
      <c r="O186" s="282"/>
      <c r="P186" s="282"/>
      <c r="Q186" s="282"/>
      <c r="R186" s="282"/>
      <c r="S186" s="282"/>
      <c r="T186" s="282"/>
      <c r="U186" s="282"/>
      <c r="V186" s="282"/>
      <c r="W186" s="282"/>
      <c r="X186" s="282"/>
      <c r="Y186" s="282"/>
      <c r="Z186" s="282"/>
      <c r="AA186" s="282"/>
      <c r="AB186" s="282"/>
      <c r="AC186" s="282"/>
      <c r="AD186" s="282"/>
      <c r="AE186" s="282"/>
      <c r="AF186" s="282"/>
      <c r="AG186" s="282"/>
      <c r="AH186" s="285">
        <v>2.5983999999999998</v>
      </c>
      <c r="AI186" s="282"/>
      <c r="AJ186" s="285">
        <v>3.1179999999999999</v>
      </c>
      <c r="AK186" s="285">
        <v>9.8737999999999992</v>
      </c>
      <c r="AL186" s="285">
        <v>0.51970000000000005</v>
      </c>
      <c r="AM186" s="283" t="s">
        <v>10634</v>
      </c>
    </row>
    <row r="187" spans="1:39" ht="14.1" customHeight="1">
      <c r="A187" s="150" t="s">
        <v>10400</v>
      </c>
      <c r="B187" s="149">
        <v>407</v>
      </c>
      <c r="C187" s="150" t="s">
        <v>10401</v>
      </c>
      <c r="D187" s="266" t="s">
        <v>10402</v>
      </c>
      <c r="E187" s="150" t="s">
        <v>3966</v>
      </c>
      <c r="F187" s="150" t="s">
        <v>9942</v>
      </c>
      <c r="G187" s="150" t="s">
        <v>1911</v>
      </c>
      <c r="H187" s="266" t="s">
        <v>10403</v>
      </c>
      <c r="I187" s="160"/>
      <c r="J187" s="160">
        <v>117280</v>
      </c>
      <c r="K187" s="160">
        <v>2024</v>
      </c>
      <c r="L187" s="150"/>
      <c r="M187" s="150"/>
      <c r="N187" s="150"/>
      <c r="O187" s="161">
        <v>0.48180000000000001</v>
      </c>
      <c r="P187" s="161">
        <v>3.8578000000000001</v>
      </c>
      <c r="Q187" s="150"/>
      <c r="R187" s="150"/>
      <c r="S187" s="150"/>
      <c r="T187" s="150"/>
      <c r="U187" s="150"/>
      <c r="V187" s="150"/>
      <c r="W187" s="150"/>
      <c r="X187" s="161">
        <v>1.8718999999999999</v>
      </c>
      <c r="Y187" s="161">
        <v>1.8718999999999999</v>
      </c>
      <c r="Z187" s="161">
        <v>0.1178</v>
      </c>
      <c r="AA187" s="161">
        <v>0.04</v>
      </c>
      <c r="AB187" s="150"/>
      <c r="AC187" s="161">
        <v>0.1578</v>
      </c>
      <c r="AD187" s="150"/>
      <c r="AE187" s="150"/>
      <c r="AF187" s="161">
        <v>3.1677</v>
      </c>
      <c r="AG187" s="150"/>
      <c r="AH187" s="161">
        <v>9.5370000000000008</v>
      </c>
      <c r="AI187" s="150"/>
      <c r="AJ187" s="161">
        <v>9.5370000000000008</v>
      </c>
      <c r="AK187" s="150"/>
      <c r="AL187" s="150"/>
      <c r="AM187" s="266" t="s">
        <v>10635</v>
      </c>
    </row>
    <row r="188" spans="1:39" ht="14.1" customHeight="1">
      <c r="A188" s="282" t="s">
        <v>10406</v>
      </c>
      <c r="B188" s="149">
        <v>210</v>
      </c>
      <c r="C188" s="282" t="s">
        <v>10407</v>
      </c>
      <c r="D188" s="283" t="s">
        <v>10408</v>
      </c>
      <c r="E188" s="282" t="s">
        <v>3642</v>
      </c>
      <c r="F188" s="282" t="s">
        <v>9942</v>
      </c>
      <c r="G188" s="282" t="s">
        <v>1911</v>
      </c>
      <c r="H188" s="283" t="s">
        <v>10365</v>
      </c>
      <c r="I188" s="284"/>
      <c r="J188" s="284">
        <v>57200</v>
      </c>
      <c r="K188" s="284">
        <v>2023</v>
      </c>
      <c r="L188" s="285">
        <v>14.0542</v>
      </c>
      <c r="M188" s="282"/>
      <c r="N188" s="282"/>
      <c r="O188" s="285">
        <v>0.21940000000000001</v>
      </c>
      <c r="P188" s="285">
        <v>0.98150000000000004</v>
      </c>
      <c r="Q188" s="282"/>
      <c r="R188" s="282"/>
      <c r="S188" s="282"/>
      <c r="T188" s="282"/>
      <c r="U188" s="282"/>
      <c r="V188" s="282"/>
      <c r="W188" s="282"/>
      <c r="X188" s="285">
        <v>0.69450000000000001</v>
      </c>
      <c r="Y188" s="285">
        <v>0.69450000000000001</v>
      </c>
      <c r="Z188" s="285">
        <v>0.39179999999999998</v>
      </c>
      <c r="AA188" s="285">
        <v>2.5700000000000001E-2</v>
      </c>
      <c r="AB188" s="282"/>
      <c r="AC188" s="285">
        <v>0.41749999999999998</v>
      </c>
      <c r="AD188" s="282"/>
      <c r="AE188" s="285">
        <v>0.1169</v>
      </c>
      <c r="AF188" s="285">
        <v>0.1169</v>
      </c>
      <c r="AG188" s="282"/>
      <c r="AH188" s="285">
        <v>2.4266000000000001</v>
      </c>
      <c r="AI188" s="282"/>
      <c r="AJ188" s="285">
        <v>2.4266000000000001</v>
      </c>
      <c r="AK188" s="282"/>
      <c r="AL188" s="282"/>
      <c r="AM188" s="283" t="s">
        <v>10636</v>
      </c>
    </row>
    <row r="189" spans="1:39" ht="14.1" customHeight="1">
      <c r="A189" s="150" t="s">
        <v>10411</v>
      </c>
      <c r="B189" s="149">
        <v>210</v>
      </c>
      <c r="C189" s="150" t="s">
        <v>10412</v>
      </c>
      <c r="D189" s="266" t="s">
        <v>10413</v>
      </c>
      <c r="E189" s="150" t="s">
        <v>1304</v>
      </c>
      <c r="F189" s="150" t="s">
        <v>9942</v>
      </c>
      <c r="G189" s="150" t="s">
        <v>1911</v>
      </c>
      <c r="H189" s="266" t="s">
        <v>10414</v>
      </c>
      <c r="I189" s="160"/>
      <c r="J189" s="160">
        <v>70000</v>
      </c>
      <c r="K189" s="160">
        <v>2024</v>
      </c>
      <c r="L189" s="161">
        <v>7.7</v>
      </c>
      <c r="M189" s="150"/>
      <c r="N189" s="150"/>
      <c r="O189" s="150"/>
      <c r="P189" s="161">
        <v>0.23100000000000001</v>
      </c>
      <c r="Q189" s="150"/>
      <c r="R189" s="150"/>
      <c r="S189" s="150"/>
      <c r="T189" s="150"/>
      <c r="U189" s="150"/>
      <c r="V189" s="150"/>
      <c r="W189" s="150"/>
      <c r="X189" s="161">
        <v>5.1400000000000001E-2</v>
      </c>
      <c r="Y189" s="161">
        <v>5.1400000000000001E-2</v>
      </c>
      <c r="Z189" s="150"/>
      <c r="AA189" s="161">
        <v>5.7099999999999998E-2</v>
      </c>
      <c r="AB189" s="150"/>
      <c r="AC189" s="161">
        <v>5.7099999999999998E-2</v>
      </c>
      <c r="AD189" s="150"/>
      <c r="AE189" s="150"/>
      <c r="AF189" s="150"/>
      <c r="AG189" s="150"/>
      <c r="AH189" s="161">
        <v>0.33960000000000001</v>
      </c>
      <c r="AI189" s="150"/>
      <c r="AJ189" s="161">
        <v>0.33960000000000001</v>
      </c>
      <c r="AK189" s="150"/>
      <c r="AL189" s="150"/>
      <c r="AM189" s="266" t="s">
        <v>10637</v>
      </c>
    </row>
    <row r="190" spans="1:39" ht="14.1" customHeight="1">
      <c r="A190" s="282" t="s">
        <v>10416</v>
      </c>
      <c r="B190" s="149">
        <v>210</v>
      </c>
      <c r="C190" s="282" t="s">
        <v>10417</v>
      </c>
      <c r="D190" s="283" t="s">
        <v>10418</v>
      </c>
      <c r="E190" s="282" t="s">
        <v>3966</v>
      </c>
      <c r="F190" s="282" t="s">
        <v>9942</v>
      </c>
      <c r="G190" s="282" t="s">
        <v>1911</v>
      </c>
      <c r="H190" s="283" t="s">
        <v>10419</v>
      </c>
      <c r="I190" s="284"/>
      <c r="J190" s="284">
        <v>33574</v>
      </c>
      <c r="K190" s="284">
        <v>2024</v>
      </c>
      <c r="L190" s="285">
        <v>9.8290000000000006</v>
      </c>
      <c r="M190" s="282"/>
      <c r="N190" s="285">
        <v>9.8290000000000006</v>
      </c>
      <c r="O190" s="285">
        <v>0.2475</v>
      </c>
      <c r="P190" s="285">
        <v>0.49149999999999999</v>
      </c>
      <c r="Q190" s="282"/>
      <c r="R190" s="282"/>
      <c r="S190" s="282"/>
      <c r="T190" s="282"/>
      <c r="U190" s="282"/>
      <c r="V190" s="282"/>
      <c r="W190" s="282"/>
      <c r="X190" s="285">
        <v>0.56240000000000001</v>
      </c>
      <c r="Y190" s="285">
        <v>0.56240000000000001</v>
      </c>
      <c r="Z190" s="285">
        <v>0.2949</v>
      </c>
      <c r="AA190" s="285">
        <v>0.33660000000000001</v>
      </c>
      <c r="AB190" s="282"/>
      <c r="AC190" s="285">
        <v>0.63139999999999996</v>
      </c>
      <c r="AD190" s="282"/>
      <c r="AE190" s="285">
        <v>0.34370000000000001</v>
      </c>
      <c r="AF190" s="285">
        <v>0.34370000000000001</v>
      </c>
      <c r="AG190" s="282"/>
      <c r="AH190" s="285">
        <v>2.2765</v>
      </c>
      <c r="AI190" s="282"/>
      <c r="AJ190" s="285">
        <v>2.2765</v>
      </c>
      <c r="AK190" s="285">
        <v>7.5525000000000002</v>
      </c>
      <c r="AL190" s="282"/>
      <c r="AM190" s="283" t="s">
        <v>10638</v>
      </c>
    </row>
    <row r="191" spans="1:39" ht="14.1" customHeight="1">
      <c r="A191" s="288" t="s">
        <v>10421</v>
      </c>
      <c r="B191" s="149">
        <v>1332</v>
      </c>
      <c r="C191" s="288" t="s">
        <v>10422</v>
      </c>
      <c r="D191" s="289" t="s">
        <v>10423</v>
      </c>
      <c r="E191" s="288" t="s">
        <v>3590</v>
      </c>
      <c r="F191" s="288" t="s">
        <v>9942</v>
      </c>
      <c r="G191" s="288" t="s">
        <v>10424</v>
      </c>
      <c r="H191" s="289" t="s">
        <v>10425</v>
      </c>
      <c r="I191" s="290">
        <v>1998</v>
      </c>
      <c r="J191" s="290"/>
      <c r="K191" s="290">
        <v>2024</v>
      </c>
      <c r="L191" s="291">
        <v>3007421</v>
      </c>
      <c r="M191" s="288"/>
      <c r="N191" s="291">
        <v>3007421</v>
      </c>
      <c r="O191" s="291">
        <v>45111</v>
      </c>
      <c r="P191" s="288"/>
      <c r="Q191" s="288"/>
      <c r="R191" s="288"/>
      <c r="S191" s="288"/>
      <c r="T191" s="288"/>
      <c r="U191" s="288"/>
      <c r="V191" s="288"/>
      <c r="W191" s="288"/>
      <c r="X191" s="288"/>
      <c r="Y191" s="288"/>
      <c r="Z191" s="288"/>
      <c r="AA191" s="288"/>
      <c r="AB191" s="288"/>
      <c r="AC191" s="288"/>
      <c r="AD191" s="288"/>
      <c r="AE191" s="288"/>
      <c r="AF191" s="288"/>
      <c r="AG191" s="291">
        <v>1975907</v>
      </c>
      <c r="AH191" s="291">
        <v>2143856</v>
      </c>
      <c r="AI191" s="288"/>
      <c r="AJ191" s="291">
        <v>2143856</v>
      </c>
      <c r="AK191" s="291">
        <v>863565</v>
      </c>
      <c r="AL191" s="288"/>
      <c r="AM191" s="289" t="s">
        <v>10690</v>
      </c>
    </row>
    <row r="192" spans="1:39" ht="14.1" customHeight="1">
      <c r="A192" s="288" t="s">
        <v>10428</v>
      </c>
      <c r="B192" s="149">
        <v>332</v>
      </c>
      <c r="C192" s="288" t="s">
        <v>10429</v>
      </c>
      <c r="D192" s="289" t="s">
        <v>10430</v>
      </c>
      <c r="E192" s="288" t="s">
        <v>3966</v>
      </c>
      <c r="F192" s="288" t="s">
        <v>9942</v>
      </c>
      <c r="G192" s="288" t="s">
        <v>10424</v>
      </c>
      <c r="H192" s="289" t="s">
        <v>10431</v>
      </c>
      <c r="I192" s="290">
        <v>2023</v>
      </c>
      <c r="J192" s="290"/>
      <c r="K192" s="290">
        <v>2024</v>
      </c>
      <c r="L192" s="291">
        <v>11899487</v>
      </c>
      <c r="M192" s="288"/>
      <c r="N192" s="291">
        <v>11899487</v>
      </c>
      <c r="O192" s="291">
        <v>154693</v>
      </c>
      <c r="P192" s="288"/>
      <c r="Q192" s="288"/>
      <c r="R192" s="288"/>
      <c r="S192" s="288"/>
      <c r="T192" s="288"/>
      <c r="U192" s="288"/>
      <c r="V192" s="288"/>
      <c r="W192" s="288"/>
      <c r="X192" s="288"/>
      <c r="Y192" s="288"/>
      <c r="Z192" s="288"/>
      <c r="AA192" s="288"/>
      <c r="AB192" s="288"/>
      <c r="AC192" s="288"/>
      <c r="AD192" s="288"/>
      <c r="AE192" s="288"/>
      <c r="AF192" s="288"/>
      <c r="AG192" s="291">
        <v>8760469</v>
      </c>
      <c r="AH192" s="291">
        <v>8915468</v>
      </c>
      <c r="AI192" s="288"/>
      <c r="AJ192" s="291">
        <v>9391447</v>
      </c>
      <c r="AK192" s="291">
        <v>2984019</v>
      </c>
      <c r="AL192" s="291">
        <v>475979</v>
      </c>
      <c r="AM192" s="289" t="s">
        <v>10691</v>
      </c>
    </row>
    <row r="193" spans="1:39" ht="14.1" customHeight="1">
      <c r="A193" s="288" t="s">
        <v>10433</v>
      </c>
      <c r="B193" s="149">
        <v>332</v>
      </c>
      <c r="C193" s="288" t="s">
        <v>10434</v>
      </c>
      <c r="D193" s="289" t="s">
        <v>10435</v>
      </c>
      <c r="E193" s="288" t="s">
        <v>3590</v>
      </c>
      <c r="F193" s="288" t="s">
        <v>9942</v>
      </c>
      <c r="G193" s="288" t="s">
        <v>10424</v>
      </c>
      <c r="H193" s="289" t="s">
        <v>10431</v>
      </c>
      <c r="I193" s="290">
        <v>1984</v>
      </c>
      <c r="J193" s="290">
        <v>114796</v>
      </c>
      <c r="K193" s="290">
        <v>2024</v>
      </c>
      <c r="L193" s="292">
        <v>66.437799999999996</v>
      </c>
      <c r="M193" s="288"/>
      <c r="N193" s="292">
        <v>66.437799999999996</v>
      </c>
      <c r="O193" s="292">
        <v>0.86370000000000002</v>
      </c>
      <c r="P193" s="288"/>
      <c r="Q193" s="288"/>
      <c r="R193" s="288"/>
      <c r="S193" s="288"/>
      <c r="T193" s="288"/>
      <c r="U193" s="288"/>
      <c r="V193" s="288"/>
      <c r="W193" s="288"/>
      <c r="X193" s="288"/>
      <c r="Y193" s="288"/>
      <c r="Z193" s="288"/>
      <c r="AA193" s="288"/>
      <c r="AB193" s="288"/>
      <c r="AC193" s="288"/>
      <c r="AD193" s="288"/>
      <c r="AE193" s="288"/>
      <c r="AF193" s="288"/>
      <c r="AG193" s="292">
        <v>48.751300000000001</v>
      </c>
      <c r="AH193" s="292">
        <v>51.407499999999999</v>
      </c>
      <c r="AI193" s="288"/>
      <c r="AJ193" s="292">
        <v>54.065100000000001</v>
      </c>
      <c r="AK193" s="292">
        <v>15.0303</v>
      </c>
      <c r="AL193" s="292">
        <v>2.6575000000000002</v>
      </c>
      <c r="AM193" s="289" t="s">
        <v>10641</v>
      </c>
    </row>
    <row r="194" spans="1:39" ht="14.1" customHeight="1">
      <c r="A194" s="282" t="s">
        <v>10437</v>
      </c>
      <c r="B194" s="149">
        <v>407</v>
      </c>
      <c r="C194" s="282" t="s">
        <v>9997</v>
      </c>
      <c r="D194" s="283" t="s">
        <v>10438</v>
      </c>
      <c r="E194" s="282" t="s">
        <v>3642</v>
      </c>
      <c r="F194" s="282" t="s">
        <v>9942</v>
      </c>
      <c r="G194" s="282" t="s">
        <v>1911</v>
      </c>
      <c r="H194" s="283" t="s">
        <v>10360</v>
      </c>
      <c r="I194" s="284"/>
      <c r="J194" s="284">
        <v>30000</v>
      </c>
      <c r="K194" s="284">
        <v>2024</v>
      </c>
      <c r="L194" s="285">
        <v>8.4</v>
      </c>
      <c r="M194" s="282"/>
      <c r="N194" s="282"/>
      <c r="O194" s="285">
        <v>0.75680000000000003</v>
      </c>
      <c r="P194" s="285">
        <v>0.31669999999999998</v>
      </c>
      <c r="Q194" s="282"/>
      <c r="R194" s="282"/>
      <c r="S194" s="282"/>
      <c r="T194" s="282"/>
      <c r="U194" s="282"/>
      <c r="V194" s="282"/>
      <c r="W194" s="282"/>
      <c r="X194" s="285">
        <v>0.36470000000000002</v>
      </c>
      <c r="Y194" s="285">
        <v>0.36470000000000002</v>
      </c>
      <c r="Z194" s="285">
        <v>0.1164</v>
      </c>
      <c r="AA194" s="285">
        <v>0.2303</v>
      </c>
      <c r="AB194" s="282"/>
      <c r="AC194" s="285">
        <v>0.3468</v>
      </c>
      <c r="AD194" s="282"/>
      <c r="AE194" s="285">
        <v>6.5199999999999994E-2</v>
      </c>
      <c r="AF194" s="285">
        <v>6.5199999999999994E-2</v>
      </c>
      <c r="AG194" s="282"/>
      <c r="AH194" s="285">
        <v>1.8501000000000001</v>
      </c>
      <c r="AI194" s="282"/>
      <c r="AJ194" s="285">
        <v>1.8501000000000001</v>
      </c>
      <c r="AK194" s="282"/>
      <c r="AL194" s="282"/>
      <c r="AM194" s="283" t="s">
        <v>10642</v>
      </c>
    </row>
    <row r="195" spans="1:39" ht="14.1" customHeight="1">
      <c r="A195" s="150" t="s">
        <v>10367</v>
      </c>
      <c r="B195" s="149">
        <v>407</v>
      </c>
      <c r="C195" s="150" t="s">
        <v>10368</v>
      </c>
      <c r="D195" s="266" t="s">
        <v>10643</v>
      </c>
      <c r="E195" s="150" t="s">
        <v>3966</v>
      </c>
      <c r="F195" s="150" t="s">
        <v>9942</v>
      </c>
      <c r="G195" s="150" t="s">
        <v>1911</v>
      </c>
      <c r="H195" s="266" t="s">
        <v>10360</v>
      </c>
      <c r="I195" s="160">
        <v>2016</v>
      </c>
      <c r="J195" s="160">
        <v>122106</v>
      </c>
      <c r="K195" s="160">
        <v>2024</v>
      </c>
      <c r="L195" s="150"/>
      <c r="M195" s="150"/>
      <c r="N195" s="150"/>
      <c r="O195" s="161">
        <v>6.25E-2</v>
      </c>
      <c r="P195" s="150"/>
      <c r="Q195" s="150"/>
      <c r="R195" s="150"/>
      <c r="S195" s="150"/>
      <c r="T195" s="150"/>
      <c r="U195" s="150"/>
      <c r="V195" s="150"/>
      <c r="W195" s="150"/>
      <c r="X195" s="161">
        <v>0.31830000000000003</v>
      </c>
      <c r="Y195" s="161">
        <v>0.31830000000000003</v>
      </c>
      <c r="Z195" s="161">
        <v>0.1129</v>
      </c>
      <c r="AA195" s="161">
        <v>9.6699999999999994E-2</v>
      </c>
      <c r="AB195" s="150"/>
      <c r="AC195" s="161">
        <v>0.20960000000000001</v>
      </c>
      <c r="AD195" s="161">
        <v>0.47939999999999999</v>
      </c>
      <c r="AE195" s="150"/>
      <c r="AF195" s="161">
        <v>0.47939999999999999</v>
      </c>
      <c r="AG195" s="150"/>
      <c r="AH195" s="150"/>
      <c r="AI195" s="161">
        <v>4.3579999999999997</v>
      </c>
      <c r="AJ195" s="161">
        <v>5.4279000000000002</v>
      </c>
      <c r="AK195" s="150"/>
      <c r="AL195" s="150"/>
      <c r="AM195" s="266" t="s">
        <v>10644</v>
      </c>
    </row>
    <row r="196" spans="1:39" ht="14.1" customHeight="1">
      <c r="A196" s="282" t="s">
        <v>10440</v>
      </c>
      <c r="B196" s="149">
        <v>210</v>
      </c>
      <c r="C196" s="282" t="s">
        <v>10441</v>
      </c>
      <c r="D196" s="283" t="s">
        <v>10442</v>
      </c>
      <c r="E196" s="282" t="s">
        <v>3966</v>
      </c>
      <c r="F196" s="282" t="s">
        <v>9942</v>
      </c>
      <c r="G196" s="282" t="s">
        <v>1911</v>
      </c>
      <c r="H196" s="283" t="s">
        <v>10443</v>
      </c>
      <c r="I196" s="284"/>
      <c r="J196" s="284">
        <v>187720</v>
      </c>
      <c r="K196" s="284">
        <v>2024</v>
      </c>
      <c r="L196" s="285">
        <v>7.35</v>
      </c>
      <c r="M196" s="285">
        <v>6.1013000000000002</v>
      </c>
      <c r="N196" s="285">
        <v>13.4512</v>
      </c>
      <c r="O196" s="285">
        <v>0.94079999999999997</v>
      </c>
      <c r="P196" s="285">
        <v>0.60450000000000004</v>
      </c>
      <c r="Q196" s="282"/>
      <c r="R196" s="282"/>
      <c r="S196" s="285">
        <v>9.0999999999999998E-2</v>
      </c>
      <c r="T196" s="285">
        <v>1.3299999999999999E-2</v>
      </c>
      <c r="U196" s="282"/>
      <c r="V196" s="285">
        <v>3.1600000000000003E-2</v>
      </c>
      <c r="W196" s="285">
        <v>7.2999999999999995E-2</v>
      </c>
      <c r="X196" s="285">
        <v>8.6499999999999994E-2</v>
      </c>
      <c r="Y196" s="285">
        <v>0.2954</v>
      </c>
      <c r="Z196" s="282"/>
      <c r="AA196" s="285">
        <v>4.9500000000000002E-2</v>
      </c>
      <c r="AB196" s="285">
        <v>0.1714</v>
      </c>
      <c r="AC196" s="285">
        <v>0.36559999999999998</v>
      </c>
      <c r="AD196" s="285">
        <v>0.15590000000000001</v>
      </c>
      <c r="AE196" s="285">
        <v>6.0900000000000003E-2</v>
      </c>
      <c r="AF196" s="285">
        <v>0.21679999999999999</v>
      </c>
      <c r="AG196" s="285">
        <v>2.3800000000000002E-2</v>
      </c>
      <c r="AH196" s="285">
        <v>3.1568000000000001</v>
      </c>
      <c r="AI196" s="285">
        <v>3.6316999999999999</v>
      </c>
      <c r="AJ196" s="285">
        <v>6.7885999999999997</v>
      </c>
      <c r="AK196" s="285">
        <v>6.6627000000000001</v>
      </c>
      <c r="AL196" s="282"/>
      <c r="AM196" s="283" t="s">
        <v>10645</v>
      </c>
    </row>
    <row r="197" spans="1:39" ht="14.1" customHeight="1">
      <c r="A197" s="150" t="s">
        <v>10440</v>
      </c>
      <c r="B197" s="149">
        <v>210</v>
      </c>
      <c r="C197" s="150" t="s">
        <v>10441</v>
      </c>
      <c r="D197" s="266" t="s">
        <v>10442</v>
      </c>
      <c r="E197" s="150" t="s">
        <v>3966</v>
      </c>
      <c r="F197" s="150" t="s">
        <v>9942</v>
      </c>
      <c r="G197" s="150" t="s">
        <v>1911</v>
      </c>
      <c r="H197" s="266" t="s">
        <v>10443</v>
      </c>
      <c r="I197" s="160"/>
      <c r="J197" s="160">
        <v>187720</v>
      </c>
      <c r="K197" s="160">
        <v>2023</v>
      </c>
      <c r="L197" s="161">
        <v>6.3132000000000001</v>
      </c>
      <c r="M197" s="161">
        <v>6.0316999999999998</v>
      </c>
      <c r="N197" s="161">
        <v>12.344900000000001</v>
      </c>
      <c r="O197" s="161">
        <v>0.62309999999999999</v>
      </c>
      <c r="P197" s="161">
        <v>0.56610000000000005</v>
      </c>
      <c r="Q197" s="150"/>
      <c r="R197" s="150"/>
      <c r="S197" s="161">
        <v>1.7899999999999999E-2</v>
      </c>
      <c r="T197" s="161">
        <v>2.3800000000000002E-2</v>
      </c>
      <c r="U197" s="150"/>
      <c r="V197" s="161">
        <v>0.1469</v>
      </c>
      <c r="W197" s="161">
        <v>9.2600000000000002E-2</v>
      </c>
      <c r="X197" s="161">
        <v>8.2900000000000001E-2</v>
      </c>
      <c r="Y197" s="161">
        <v>0.36409999999999998</v>
      </c>
      <c r="Z197" s="150"/>
      <c r="AA197" s="161">
        <v>5.7000000000000002E-2</v>
      </c>
      <c r="AB197" s="161">
        <v>0.15049999999999999</v>
      </c>
      <c r="AC197" s="161">
        <v>0.48499999999999999</v>
      </c>
      <c r="AD197" s="161">
        <v>0.13800000000000001</v>
      </c>
      <c r="AE197" s="161">
        <v>5.8799999999999998E-2</v>
      </c>
      <c r="AF197" s="161">
        <v>0.19670000000000001</v>
      </c>
      <c r="AG197" s="161">
        <v>4.9799999999999997E-2</v>
      </c>
      <c r="AH197" s="161">
        <v>2.8811</v>
      </c>
      <c r="AI197" s="161">
        <v>3.5112999999999999</v>
      </c>
      <c r="AJ197" s="161">
        <v>6.3924000000000003</v>
      </c>
      <c r="AK197" s="161">
        <v>5.9524999999999997</v>
      </c>
      <c r="AL197" s="150"/>
      <c r="AM197" s="266" t="s">
        <v>10646</v>
      </c>
    </row>
  </sheetData>
  <mergeCells count="2">
    <mergeCell ref="A2:AM2"/>
    <mergeCell ref="A1:AM1"/>
  </mergeCells>
  <pageMargins left="0.75" right="0.75" top="1" bottom="1" header="0.5" footer="0.5"/>
</worksheet>
</file>

<file path=xl/worksheets/sheetVA1.xml><?xml version="1.0" encoding="utf-8"?>
<worksheet xmlns="http://schemas.openxmlformats.org/spreadsheetml/2006/main">
  <sheetViews>
    <sheetView showGridLines="0" workbookViewId="0"/>
  </sheetViews>
  <sheetFormatPr defaultRowHeight="15"/>
  <cols>
    <col min="1" max="1" width="2.5" customWidth="1"/>
    <col min="2" max="2" width="34" customWidth="1"/>
    <col min="3" max="3" width="34" customWidth="1"/>
    <col min="4" max="4" width="60" customWidth="1"/>
  </cols>
  <sheetData>
    <row r="1">
      <c r="B1" s="578" t="inlineStr">
        <is>
          <t xml:space="preserve">REPORT INPUTS — one entry point for the appraisal report</t>
        </is>
      </c>
    </row>
    <row r="2">
      <c r="B2" s="583" t="inlineStr">
        <is>
          <t xml:space="preserve">Yellow = type here. Grey = auto from Subject Property master / Appeal sheet (overtype only if different). Every field feeds the Report Tables sheet, which mirrors the Word report 1:1.</t>
        </is>
      </c>
    </row>
    <row r="4">
      <c r="B4" s="579" t="inlineStr">
        <is>
          <t xml:space="preserve">  A.  APPRAISAL INFORMATION</t>
        </is>
      </c>
      <c r="C4" s="579"/>
      <c r="D4" s="579"/>
    </row>
    <row r="5">
      <c r="B5" s="582" t="inlineStr">
        <is>
          <t xml:space="preserve">Tax Year</t>
        </is>
      </c>
      <c r="C5" s="596">
        <f>Year</f>
      </c>
      <c r="D5" s="583" t="inlineStr">
        <is>
          <t xml:space="preserve">Auto from S sheet appeal year</t>
        </is>
      </c>
    </row>
    <row r="6">
      <c r="B6" s="582" t="inlineStr">
        <is>
          <t xml:space="preserve">Account / Schedule Number(s)</t>
        </is>
      </c>
      <c r="C6" s="596">
        <f>IF(Appeal!D2="","",Appeal!D2)</f>
      </c>
      <c r="D6" s="583" t="inlineStr">
        <is>
          <t xml:space="preserve">Auto from Appeal sheet</t>
        </is>
      </c>
    </row>
    <row r="7">
      <c r="B7" s="582" t="inlineStr">
        <is>
          <t xml:space="preserve">Property Address</t>
        </is>
      </c>
      <c r="C7" s="591">
        <f>Subj_Address</f>
      </c>
      <c r="D7" s="583" t="inlineStr">
        <is>
          <t xml:space="preserve">Auto from Subject Property</t>
        </is>
      </c>
    </row>
    <row r="8">
      <c r="B8" s="582" t="inlineStr">
        <is>
          <t xml:space="preserve">City</t>
        </is>
      </c>
      <c r="C8" s="585" t="inlineStr">
        <is>
          <t xml:space="preserve">Denver (unincorp. Adams County)</t>
        </is>
      </c>
    </row>
    <row r="9">
      <c r="B9" s="582" t="inlineStr">
        <is>
          <t xml:space="preserve">County</t>
        </is>
      </c>
      <c r="C9" s="585" t="inlineStr">
        <is>
          <t xml:space="preserve">Adams County</t>
        </is>
      </c>
    </row>
    <row r="10">
      <c r="B10" s="582" t="inlineStr">
        <is>
          <t xml:space="preserve">State / Zip</t>
        </is>
      </c>
      <c r="C10" s="585" t="inlineStr">
        <is>
          <t xml:space="preserve">CO 80216</t>
        </is>
      </c>
    </row>
    <row r="11">
      <c r="B11" s="582" t="inlineStr">
        <is>
          <t xml:space="preserve">Property Type (report title)</t>
        </is>
      </c>
      <c r="C11" s="585" t="inlineStr">
        <is>
          <t xml:space="preserve">Multi-Tenant Industrial/Flex</t>
        </is>
      </c>
      <c r="D11" s="583" t="inlineStr">
        <is>
          <t xml:space="preserve">Report cover, e.g. Multi-Tenant Industrial/Flex</t>
        </is>
      </c>
    </row>
    <row r="12">
      <c r="B12" s="582" t="inlineStr">
        <is>
          <t xml:space="preserve">Intended User</t>
        </is>
      </c>
      <c r="C12" s="585" t="inlineStr">
        <is>
          <t xml:space="preserve">Adams County Board of Equalization, Adams County Attorney, BAA</t>
        </is>
      </c>
    </row>
    <row r="13">
      <c r="B13" s="582" t="inlineStr">
        <is>
          <t xml:space="preserve">Intended Use</t>
        </is>
      </c>
      <c r="C13" s="585" t="inlineStr">
        <is>
          <t xml:space="preserve">To determine the subject’s retrospective market value for ad valorem purposes</t>
        </is>
      </c>
    </row>
    <row r="14">
      <c r="B14" s="582" t="inlineStr">
        <is>
          <t xml:space="preserve">Values Concluded</t>
        </is>
      </c>
      <c r="C14" s="585" t="inlineStr">
        <is>
          <t xml:space="preserve">Retrospective Market Value</t>
        </is>
      </c>
    </row>
    <row r="15">
      <c r="B15" s="582" t="inlineStr">
        <is>
          <t xml:space="preserve">Property Rights Appraised / Premise</t>
        </is>
      </c>
      <c r="C15" s="585" t="inlineStr">
        <is>
          <t xml:space="preserve">Retrospective Market Value of the Fee Simple interest in the subject property</t>
        </is>
      </c>
    </row>
    <row r="16">
      <c r="B16" s="582" t="inlineStr">
        <is>
          <t xml:space="preserve">Date of Value</t>
        </is>
      </c>
      <c r="C16" s="590">
        <v>45473</v>
      </c>
      <c r="D16" s="583" t="inlineStr">
        <is>
          <t xml:space="preserve">CO appraisal date (biennial)</t>
        </is>
      </c>
    </row>
    <row r="17">
      <c r="B17" s="582" t="inlineStr">
        <is>
          <t xml:space="preserve">Date of Inspection</t>
        </is>
      </c>
      <c r="C17" s="590">
        <v>46079</v>
      </c>
    </row>
    <row r="18">
      <c r="B18" s="582" t="inlineStr">
        <is>
          <t xml:space="preserve">Report Date</t>
        </is>
      </c>
      <c r="C18" s="590">
        <v>46141</v>
      </c>
    </row>
    <row r="19">
      <c r="B19" s="582" t="inlineStr">
        <is>
          <t xml:space="preserve">Marketing Time</t>
        </is>
      </c>
      <c r="C19" s="585" t="inlineStr">
        <is>
          <t xml:space="preserve">6 to 12 months</t>
        </is>
      </c>
    </row>
    <row r="20">
      <c r="B20" s="582" t="inlineStr">
        <is>
          <t xml:space="preserve">Exposure Time</t>
        </is>
      </c>
      <c r="C20" s="585" t="inlineStr">
        <is>
          <t xml:space="preserve">6 to 12 months</t>
        </is>
      </c>
    </row>
    <row r="21">
      <c r="B21" s="582" t="inlineStr">
        <is>
          <t xml:space="preserve">Owner of Record</t>
        </is>
      </c>
      <c r="C21" s="585" t="inlineStr">
        <is>
          <t xml:space="preserve">See Letter of Authorization (appeal package)</t>
        </is>
      </c>
    </row>
    <row r="22">
      <c r="B22" s="582" t="inlineStr">
        <is>
          <t xml:space="preserve">Property Contact(s)</t>
        </is>
      </c>
      <c r="C22" s="585" t="inlineStr">
        <is>
          <t xml:space="preserve">Brenda Fearn, Sterling Property Tax Specialists, Inc. (Petitioner's agent)</t>
        </is>
      </c>
    </row>
    <row r="23">
      <c r="B23" s="582" t="inlineStr">
        <is>
          <t xml:space="preserve">Most Probable Purchaser</t>
        </is>
      </c>
      <c r="C23" s="585" t="inlineStr">
        <is>
          <t xml:space="preserve">Investor</t>
        </is>
      </c>
    </row>
    <row r="24">
      <c r="B24" s="582" t="inlineStr">
        <is>
          <t xml:space="preserve">Highest &amp; Best Use - If Vacant</t>
        </is>
      </c>
      <c r="C24" s="585" t="inlineStr">
        <is>
          <t xml:space="preserve">Industrial development</t>
        </is>
      </c>
    </row>
    <row r="25">
      <c r="B25" s="582" t="inlineStr">
        <is>
          <t xml:space="preserve">Highest &amp; Best Use - As Improved</t>
        </is>
      </c>
      <c r="C25" s="585" t="inlineStr">
        <is>
          <t xml:space="preserve">Continuation as existing use</t>
        </is>
      </c>
    </row>
    <row r="26">
      <c r="B26" s="582" t="inlineStr">
        <is>
          <t xml:space="preserve">Appraiser Name / Designation</t>
        </is>
      </c>
      <c r="C26" s="585" t="inlineStr">
        <is>
          <t xml:space="preserve">Jason Bennett, MAI</t>
        </is>
      </c>
    </row>
    <row r="27">
      <c r="B27" s="582" t="inlineStr">
        <is>
          <t xml:space="preserve">Appraiser License #</t>
        </is>
      </c>
      <c r="C27" s="585" t="inlineStr">
        <is>
          <t xml:space="preserve">CG.40040640</t>
        </is>
      </c>
    </row>
    <row r="28">
      <c r="B28" s="582" t="inlineStr">
        <is>
          <t xml:space="preserve">Appraiser Email</t>
        </is>
      </c>
      <c r="C28" s="585" t="inlineStr">
        <is>
          <t xml:space="preserve">jbennett@adamscountyco.gov</t>
        </is>
      </c>
    </row>
    <row r="29">
      <c r="B29" s="582" t="inlineStr">
        <is>
          <t xml:space="preserve">Appraiser Phone</t>
        </is>
      </c>
      <c r="C29" s="585" t="inlineStr">
        <is>
          <t xml:space="preserve">720-523-6936</t>
        </is>
      </c>
    </row>
    <row r="31">
      <c r="B31" s="579" t="inlineStr">
        <is>
          <t xml:space="preserve">  B.  SITE</t>
        </is>
      </c>
      <c r="C31" s="579"/>
      <c r="D31" s="579"/>
    </row>
    <row r="32">
      <c r="B32" s="582" t="inlineStr">
        <is>
          <t xml:space="preserve">Gross Land Area (SF)</t>
        </is>
      </c>
      <c r="C32" s="596">
        <f>Subj_SiteSF</f>
      </c>
      <c r="D32" s="583" t="inlineStr">
        <is>
          <t xml:space="preserve">Auto from Subject Property</t>
        </is>
      </c>
    </row>
    <row r="33">
      <c r="B33" s="582" t="inlineStr">
        <is>
          <t xml:space="preserve">Usable Land Area (SF)</t>
        </is>
      </c>
      <c r="C33" s="596">
        <f>C32</f>
      </c>
      <c r="D33" s="583" t="inlineStr">
        <is>
          <t xml:space="preserve">Defaults to gross; overtype if less</t>
        </is>
      </c>
    </row>
    <row r="34">
      <c r="B34" s="582" t="inlineStr">
        <is>
          <t xml:space="preserve">Shape</t>
        </is>
      </c>
      <c r="C34" s="585" t="inlineStr">
        <is>
          <t xml:space="preserve">Irregular (7 parcels)</t>
        </is>
      </c>
    </row>
    <row r="35">
      <c r="B35" s="582" t="inlineStr">
        <is>
          <t xml:space="preserve">Topography</t>
        </is>
      </c>
      <c r="C35" s="585" t="inlineStr">
        <is>
          <t xml:space="preserve">Level</t>
        </is>
      </c>
    </row>
    <row r="36">
      <c r="B36" s="582" t="inlineStr">
        <is>
          <t xml:space="preserve">Drainage</t>
        </is>
      </c>
      <c r="C36" s="585" t="inlineStr">
        <is>
          <t xml:space="preserve">Assumed adequate</t>
        </is>
      </c>
    </row>
    <row r="37">
      <c r="B37" s="582" t="inlineStr">
        <is>
          <t xml:space="preserve">Grade</t>
        </is>
      </c>
      <c r="C37" s="585" t="inlineStr">
        <is>
          <t xml:space="preserve">At street grade</t>
        </is>
      </c>
    </row>
    <row r="38">
      <c r="B38" s="582" t="inlineStr">
        <is>
          <t xml:space="preserve">Utilities</t>
        </is>
      </c>
      <c r="C38" s="585" t="inlineStr">
        <is>
          <t xml:space="preserve">All public available</t>
        </is>
      </c>
    </row>
    <row r="39">
      <c r="B39" s="582" t="inlineStr">
        <is>
          <t xml:space="preserve">Off-Site Improvements</t>
        </is>
      </c>
      <c r="C39" s="585" t="inlineStr">
        <is>
          <t xml:space="preserve">Curb, gutter, paved streets</t>
        </is>
      </c>
    </row>
    <row r="40">
      <c r="B40" s="582" t="inlineStr">
        <is>
          <t xml:space="preserve">Interior or Corner</t>
        </is>
      </c>
      <c r="C40" s="585" t="inlineStr">
        <is>
          <t xml:space="preserve">Corner and interior parcels</t>
        </is>
      </c>
    </row>
    <row r="41">
      <c r="B41" s="582" t="inlineStr">
        <is>
          <t xml:space="preserve">Signalized Intersection</t>
        </is>
      </c>
      <c r="C41" s="585" t="inlineStr">
        <is>
          <t xml:space="preserve">No</t>
        </is>
      </c>
    </row>
    <row r="42">
      <c r="B42" s="582" t="inlineStr">
        <is>
          <t xml:space="preserve">Primary Street Name</t>
        </is>
      </c>
      <c r="C42" s="585" t="inlineStr">
        <is>
          <t xml:space="preserve">E 58th Ave</t>
        </is>
      </c>
    </row>
    <row r="43">
      <c r="B43" s="582" t="inlineStr">
        <is>
          <t xml:space="preserve">Primary Street Type</t>
        </is>
      </c>
      <c r="C43" s="585" t="inlineStr">
        <is>
          <t xml:space="preserve">Collector</t>
        </is>
      </c>
    </row>
    <row r="44">
      <c r="B44" s="582" t="inlineStr">
        <is>
          <t xml:space="preserve">Primary Frontage (Linear Ft)</t>
        </is>
      </c>
      <c r="C44" s="589" t="inlineStr">
        <is>
          <t xml:space="preserve">N/Av</t>
        </is>
      </c>
    </row>
    <row r="45">
      <c r="B45" s="582" t="inlineStr">
        <is>
          <t xml:space="preserve">Primary Curb Cuts</t>
        </is>
      </c>
      <c r="C45" s="589" t="inlineStr">
        <is>
          <t xml:space="preserve">N/Av</t>
        </is>
      </c>
    </row>
    <row r="46">
      <c r="B46" s="582" t="inlineStr">
        <is>
          <t xml:space="preserve">Secondary Street Name</t>
        </is>
      </c>
      <c r="C46" s="585" t="inlineStr">
        <is>
          <t xml:space="preserve">Franklin St</t>
        </is>
      </c>
    </row>
    <row r="47">
      <c r="B47" s="582" t="inlineStr">
        <is>
          <t xml:space="preserve">Secondary Street Type</t>
        </is>
      </c>
      <c r="C47" s="585" t="inlineStr">
        <is>
          <t xml:space="preserve">Local</t>
        </is>
      </c>
    </row>
    <row r="48">
      <c r="B48" s="582" t="inlineStr">
        <is>
          <t xml:space="preserve">Secondary Frontage (Linear Ft)</t>
        </is>
      </c>
      <c r="C48" s="585" t="inlineStr">
        <is>
          <t xml:space="preserve">N/A</t>
        </is>
      </c>
    </row>
    <row r="49">
      <c r="B49" s="582" t="inlineStr">
        <is>
          <t xml:space="preserve">Secondary Curb Cuts</t>
        </is>
      </c>
      <c r="C49" s="585" t="inlineStr">
        <is>
          <t xml:space="preserve">N/A</t>
        </is>
      </c>
    </row>
    <row r="50">
      <c r="B50" s="582" t="inlineStr">
        <is>
          <t xml:space="preserve">Traffic Count (Cars/Day)</t>
        </is>
      </c>
      <c r="C50" s="585" t="inlineStr">
        <is>
          <t xml:space="preserve">N/A</t>
        </is>
      </c>
    </row>
    <row r="51">
      <c r="B51" s="582" t="inlineStr">
        <is>
          <t xml:space="preserve">Flood Map Panel/Number</t>
        </is>
      </c>
      <c r="C51" s="585" t="inlineStr">
        <is>
          <t xml:space="preserve">08001C0582H</t>
        </is>
      </c>
    </row>
    <row r="52">
      <c r="B52" s="582" t="inlineStr">
        <is>
          <t xml:space="preserve">Flood Map Date</t>
        </is>
      </c>
      <c r="C52" s="585" t="inlineStr">
        <is>
          <t xml:space="preserve">N/Av</t>
        </is>
      </c>
    </row>
    <row r="53">
      <c r="B53" s="582" t="inlineStr">
        <is>
          <t xml:space="preserve">Flood Zone</t>
        </is>
      </c>
      <c r="C53" s="585" t="inlineStr">
        <is>
          <t xml:space="preserve">Zone AE (portions)</t>
        </is>
      </c>
    </row>
    <row r="54">
      <c r="B54" s="582" t="inlineStr">
        <is>
          <t xml:space="preserve">Soil Type</t>
        </is>
      </c>
      <c r="C54" s="585" t="inlineStr">
        <is>
          <t xml:space="preserve">Assumed stable</t>
        </is>
      </c>
    </row>
    <row r="55">
      <c r="B55" s="582" t="inlineStr">
        <is>
          <t xml:space="preserve">Environmental Issues</t>
        </is>
      </c>
      <c r="C55" s="585" t="inlineStr">
        <is>
          <t xml:space="preserve">None noted</t>
        </is>
      </c>
    </row>
    <row r="56">
      <c r="B56" s="582" t="inlineStr">
        <is>
          <t xml:space="preserve">Easements/Encroachments</t>
        </is>
      </c>
      <c r="C56" s="585" t="inlineStr">
        <is>
          <t xml:space="preserve">None noted</t>
        </is>
      </c>
    </row>
    <row r="57">
      <c r="B57" s="582" t="inlineStr">
        <is>
          <t xml:space="preserve">Adjacent Use - North</t>
        </is>
      </c>
      <c r="C57" s="585" t="inlineStr">
        <is>
          <t xml:space="preserve">Industrial</t>
        </is>
      </c>
    </row>
    <row r="58">
      <c r="B58" s="582" t="inlineStr">
        <is>
          <t xml:space="preserve">Adjacent Use - South</t>
        </is>
      </c>
      <c r="C58" s="585" t="inlineStr">
        <is>
          <t xml:space="preserve">Industrial</t>
        </is>
      </c>
    </row>
    <row r="59">
      <c r="B59" s="582" t="inlineStr">
        <is>
          <t xml:space="preserve">Adjacent Use - East</t>
        </is>
      </c>
      <c r="C59" s="585" t="inlineStr">
        <is>
          <t xml:space="preserve">Industrial</t>
        </is>
      </c>
    </row>
    <row r="60">
      <c r="B60" s="582" t="inlineStr">
        <is>
          <t xml:space="preserve">Adjacent Use - West</t>
        </is>
      </c>
      <c r="C60" s="585" t="inlineStr">
        <is>
          <t xml:space="preserve">Industrial</t>
        </is>
      </c>
    </row>
    <row r="61">
      <c r="B61" s="582" t="inlineStr">
        <is>
          <t xml:space="preserve">Access Rating</t>
        </is>
      </c>
      <c r="C61" s="585" t="inlineStr">
        <is>
          <t xml:space="preserve">Average</t>
        </is>
      </c>
    </row>
    <row r="62">
      <c r="B62" s="582" t="inlineStr">
        <is>
          <t xml:space="preserve">Visibility Rating</t>
        </is>
      </c>
      <c r="C62" s="585" t="inlineStr">
        <is>
          <t xml:space="preserve">Average</t>
        </is>
      </c>
    </row>
    <row r="63">
      <c r="B63" s="582" t="inlineStr">
        <is>
          <t xml:space="preserve">Zoning Jurisdiction</t>
        </is>
      </c>
      <c r="C63" s="585" t="inlineStr">
        <is>
          <t xml:space="preserve">Adams County</t>
        </is>
      </c>
    </row>
    <row r="64">
      <c r="B64" s="582" t="inlineStr">
        <is>
          <t xml:space="preserve">Zoning Classification</t>
        </is>
      </c>
      <c r="C64" s="591">
        <f>Subj_Zoning</f>
      </c>
      <c r="D64" s="583" t="inlineStr">
        <is>
          <t xml:space="preserve">Auto from Subject Property</t>
        </is>
      </c>
    </row>
    <row r="65">
      <c r="B65" s="582" t="inlineStr">
        <is>
          <t xml:space="preserve">Zoning Comments</t>
        </is>
      </c>
      <c r="C65" s="585" t="inlineStr">
        <is>
          <t xml:space="preserve">I-2 General Industrial (all parcels)</t>
        </is>
      </c>
    </row>
    <row r="67">
      <c r="B67" s="579" t="inlineStr">
        <is>
          <t xml:space="preserve">  C.  IMPROVEMENTS</t>
        </is>
      </c>
      <c r="C67" s="579"/>
      <c r="D67" s="579"/>
    </row>
    <row r="68">
      <c r="B68" s="582" t="inlineStr">
        <is>
          <t xml:space="preserve">Property Type</t>
        </is>
      </c>
      <c r="C68" s="585" t="inlineStr">
        <is>
          <t xml:space="preserve">Industrial</t>
        </is>
      </c>
    </row>
    <row r="69">
      <c r="B69" s="582" t="inlineStr">
        <is>
          <t xml:space="preserve">Property Subtype</t>
        </is>
      </c>
      <c r="C69" s="585" t="inlineStr">
        <is>
          <t xml:space="preserve">Industrial/Flex - Warehouse</t>
        </is>
      </c>
    </row>
    <row r="70">
      <c r="B70" s="582" t="inlineStr">
        <is>
          <t xml:space="preserve">Occupancy Type</t>
        </is>
      </c>
      <c r="C70" s="585" t="inlineStr">
        <is>
          <t xml:space="preserve">Tenant</t>
        </is>
      </c>
    </row>
    <row r="71">
      <c r="B71" s="582" t="inlineStr">
        <is>
          <t xml:space="preserve">Tenancy</t>
        </is>
      </c>
      <c r="C71" s="585" t="inlineStr">
        <is>
          <t xml:space="preserve">Multi Tenant</t>
        </is>
      </c>
    </row>
    <row r="72">
      <c r="B72" s="582" t="inlineStr">
        <is>
          <t xml:space="preserve">Investment Class</t>
        </is>
      </c>
      <c r="C72" s="585" t="inlineStr">
        <is>
          <t xml:space="preserve">Class C</t>
        </is>
      </c>
    </row>
    <row r="73">
      <c r="B73" s="582" t="inlineStr">
        <is>
          <t xml:space="preserve">Number of Buildings</t>
        </is>
      </c>
      <c r="C73" s="596">
        <f>'Subject Property'!C8</f>
      </c>
      <c r="D73" s="583" t="inlineStr">
        <is>
          <t xml:space="preserve">Auto from Subject Property</t>
        </is>
      </c>
    </row>
    <row r="74">
      <c r="B74" s="582" t="inlineStr">
        <is>
          <t xml:space="preserve">Number of Stories</t>
        </is>
      </c>
      <c r="C74" s="589">
        <v>1</v>
      </c>
    </row>
    <row r="75">
      <c r="B75" s="582" t="inlineStr">
        <is>
          <t xml:space="preserve">Construction Class</t>
        </is>
      </c>
      <c r="C75" s="585" t="inlineStr">
        <is>
          <t xml:space="preserve">C - Masonry</t>
        </is>
      </c>
    </row>
    <row r="76">
      <c r="B76" s="582" t="inlineStr">
        <is>
          <t xml:space="preserve">Construction Quality</t>
        </is>
      </c>
      <c r="C76" s="591">
        <f>Subj_Quality</f>
      </c>
      <c r="D76" s="583" t="inlineStr">
        <is>
          <t xml:space="preserve">Auto from Subject Property</t>
        </is>
      </c>
    </row>
    <row r="77">
      <c r="B77" s="582" t="inlineStr">
        <is>
          <t xml:space="preserve">Gross Building Area - GBA (SF)</t>
        </is>
      </c>
      <c r="C77" s="589">
        <v>220514</v>
      </c>
    </row>
    <row r="78">
      <c r="B78" s="582" t="inlineStr">
        <is>
          <t xml:space="preserve">Net Rentable Area - NRA (SF)</t>
        </is>
      </c>
      <c r="C78" s="596">
        <v>209208</v>
      </c>
      <c r="D78" s="583" t="inlineStr">
        <is>
          <t xml:space="preserve">Auto: total building SF from master</t>
        </is>
      </c>
    </row>
    <row r="79">
      <c r="B79" s="582" t="inlineStr">
        <is>
          <t xml:space="preserve">Parking Spaces</t>
        </is>
      </c>
      <c r="C79" s="589" t="inlineStr">
        <is>
          <t xml:space="preserve">N/Av</t>
        </is>
      </c>
    </row>
    <row r="80">
      <c r="B80" s="582" t="inlineStr">
        <is>
          <t xml:space="preserve">Parking Comments</t>
        </is>
      </c>
      <c r="C80" s="585" t="inlineStr">
        <is>
          <t xml:space="preserve">Adequate surface parking plus fenced yard / outdoor storage areas.</t>
        </is>
      </c>
    </row>
    <row r="81">
      <c r="B81" s="582" t="inlineStr">
        <is>
          <t xml:space="preserve">Year Built</t>
        </is>
      </c>
      <c r="C81" s="596">
        <v>1982</v>
      </c>
      <c r="D81" s="583" t="inlineStr">
        <is>
          <t xml:space="preserve">Auto from Subject Property</t>
        </is>
      </c>
    </row>
    <row r="82">
      <c r="B82" s="582" t="inlineStr">
        <is>
          <t xml:space="preserve">Renovated / Yr. Renovated</t>
        </is>
      </c>
      <c r="C82" s="585" t="inlineStr">
        <is>
          <t xml:space="preserve">Built 1973-1986 (SF-weighted year 1982)</t>
        </is>
      </c>
    </row>
    <row r="83">
      <c r="B83" s="582" t="inlineStr">
        <is>
          <t xml:space="preserve">Condition</t>
        </is>
      </c>
      <c r="C83" s="591">
        <f>Subj_Condition</f>
      </c>
      <c r="D83" s="583" t="inlineStr">
        <is>
          <t xml:space="preserve">Auto from Subject Property</t>
        </is>
      </c>
    </row>
    <row r="84">
      <c r="B84" s="582" t="inlineStr">
        <is>
          <t xml:space="preserve">Effective Age (yrs)</t>
        </is>
      </c>
      <c r="C84" s="589">
        <v>25</v>
      </c>
    </row>
    <row r="85">
      <c r="B85" s="582" t="inlineStr">
        <is>
          <t xml:space="preserve">Typical Building Life (yrs)</t>
        </is>
      </c>
      <c r="C85" s="589">
        <v>45</v>
      </c>
    </row>
    <row r="86">
      <c r="B86" s="582" t="inlineStr">
        <is>
          <t xml:space="preserve">Foundation</t>
        </is>
      </c>
      <c r="C86" s="585" t="inlineStr">
        <is>
          <t xml:space="preserve">Concrete</t>
        </is>
      </c>
    </row>
    <row r="87">
      <c r="B87" s="582" t="inlineStr">
        <is>
          <t xml:space="preserve">Building Frame</t>
        </is>
      </c>
      <c r="C87" s="585" t="inlineStr">
        <is>
          <t xml:space="preserve">Masonry / steel</t>
        </is>
      </c>
    </row>
    <row r="88">
      <c r="B88" s="582" t="inlineStr">
        <is>
          <t xml:space="preserve">Exterior Walls</t>
        </is>
      </c>
      <c r="C88" s="585" t="inlineStr">
        <is>
          <t xml:space="preserve">Masonry / metal panel</t>
        </is>
      </c>
    </row>
    <row r="89">
      <c r="B89" s="582" t="inlineStr">
        <is>
          <t xml:space="preserve">Roof Type / Material</t>
        </is>
      </c>
      <c r="C89" s="585" t="inlineStr">
        <is>
          <t xml:space="preserve">Flat</t>
        </is>
      </c>
    </row>
    <row r="90">
      <c r="B90" s="582" t="inlineStr">
        <is>
          <t xml:space="preserve">Floors</t>
        </is>
      </c>
      <c r="C90" s="585" t="inlineStr">
        <is>
          <t xml:space="preserve">Laminate, carpet and concrete</t>
        </is>
      </c>
    </row>
    <row r="91">
      <c r="B91" s="582" t="inlineStr">
        <is>
          <t xml:space="preserve">Interior Walls</t>
        </is>
      </c>
      <c r="C91" s="585" t="inlineStr">
        <is>
          <t xml:space="preserve">Painted drywall and exposed</t>
        </is>
      </c>
    </row>
    <row r="92">
      <c r="B92" s="582" t="inlineStr">
        <is>
          <t xml:space="preserve">Ceiling</t>
        </is>
      </c>
      <c r="C92" s="585" t="inlineStr">
        <is>
          <t xml:space="preserve">Suspended tile and exposed</t>
        </is>
      </c>
    </row>
    <row r="93">
      <c r="B93" s="582" t="inlineStr">
        <is>
          <t xml:space="preserve">Lighting</t>
        </is>
      </c>
      <c r="C93" s="585" t="inlineStr">
        <is>
          <t xml:space="preserve">Fluorescent/LED</t>
        </is>
      </c>
    </row>
    <row r="94">
      <c r="B94" s="582" t="inlineStr">
        <is>
          <t xml:space="preserve">Restrooms</t>
        </is>
      </c>
      <c r="C94" s="585" t="inlineStr">
        <is>
          <t xml:space="preserve">Adequate for existing use</t>
        </is>
      </c>
    </row>
    <row r="95">
      <c r="B95" s="582" t="inlineStr">
        <is>
          <t xml:space="preserve">Electrical</t>
        </is>
      </c>
      <c r="C95" s="585" t="inlineStr">
        <is>
          <t xml:space="preserve">Assumed adequate</t>
        </is>
      </c>
    </row>
    <row r="96">
      <c r="B96" s="582" t="inlineStr">
        <is>
          <t xml:space="preserve">Plumbing</t>
        </is>
      </c>
      <c r="C96" s="585" t="inlineStr">
        <is>
          <t xml:space="preserve">Assumed adequate</t>
        </is>
      </c>
    </row>
    <row r="97">
      <c r="B97" s="582" t="inlineStr">
        <is>
          <t xml:space="preserve">Heating</t>
        </is>
      </c>
      <c r="C97" s="585" t="inlineStr">
        <is>
          <t xml:space="preserve">Gas unit heaters (warehouse); RTU (office)</t>
        </is>
      </c>
    </row>
    <row r="98">
      <c r="B98" s="582" t="inlineStr">
        <is>
          <t xml:space="preserve">Fire Protection/Sprinklers</t>
        </is>
      </c>
      <c r="C98" s="585" t="inlineStr">
        <is>
          <t xml:space="preserve">Assumed to code</t>
        </is>
      </c>
    </row>
    <row r="99">
      <c r="B99" s="582" t="inlineStr">
        <is>
          <t xml:space="preserve">Site Improvements</t>
        </is>
      </c>
      <c r="C99" s="585" t="inlineStr">
        <is>
          <t xml:space="preserve">Asphalt paving, fenced yards, outdoor storage areas</t>
        </is>
      </c>
    </row>
    <row r="100">
      <c r="B100" s="582" t="inlineStr">
        <is>
          <t xml:space="preserve">Landscaping</t>
        </is>
      </c>
      <c r="C100" s="585" t="inlineStr">
        <is>
          <t xml:space="preserve">Adequate</t>
        </is>
      </c>
    </row>
    <row r="101">
      <c r="B101" s="582" t="inlineStr">
        <is>
          <t xml:space="preserve">Legally Permitted Use</t>
        </is>
      </c>
      <c r="C101" s="585" t="inlineStr">
        <is>
          <t xml:space="preserve">Yes</t>
        </is>
      </c>
    </row>
    <row r="102">
      <c r="B102" s="582" t="inlineStr">
        <is>
          <t xml:space="preserve">Conforms to Parking</t>
        </is>
      </c>
      <c r="C102" s="585" t="inlineStr">
        <is>
          <t xml:space="preserve">Yes</t>
        </is>
      </c>
    </row>
    <row r="103">
      <c r="B103" s="582" t="inlineStr">
        <is>
          <t xml:space="preserve">Conformity Conclusion</t>
        </is>
      </c>
      <c r="C103" s="585" t="inlineStr">
        <is>
          <t xml:space="preserve">Legal, conforming use</t>
        </is>
      </c>
    </row>
    <row r="105">
      <c r="B105" s="579" t="inlineStr">
        <is>
          <t xml:space="preserve">  D.  VALUATION ASSUMPTIONS</t>
        </is>
      </c>
      <c r="C105" s="579"/>
      <c r="D105" s="579"/>
    </row>
    <row r="106">
      <c r="B106" s="582" t="inlineStr">
        <is>
          <t xml:space="preserve">Market Conditions Adj (%/yr)</t>
        </is>
      </c>
      <c r="C106" s="588">
        <v>0.03</v>
      </c>
      <c r="D106" s="583" t="inlineStr">
        <is>
          <t xml:space="preserve">Annualized market conditions adjustment (sales grid)</t>
        </is>
      </c>
    </row>
    <row r="107">
      <c r="B107" s="582" t="inlineStr">
        <is>
          <t xml:space="preserve">Vacancy &amp; Collection Loss (%)</t>
        </is>
      </c>
      <c r="C107" s="588">
        <v>0.05</v>
      </c>
      <c r="D107" s="583" t="inlineStr">
        <is>
          <t xml:space="preserve">Support: CoStar submarket vacancy</t>
        </is>
      </c>
    </row>
    <row r="108">
      <c r="B108" s="582" t="inlineStr">
        <is>
          <t xml:space="preserve">Overall Cap Rate (OAR)</t>
        </is>
      </c>
      <c r="C108" s="588">
        <v>0.0725</v>
      </c>
      <c r="D108" s="583" t="inlineStr">
        <is>
          <t xml:space="preserve">Support: Lowery survey / CoStar</t>
        </is>
      </c>
    </row>
    <row r="109">
      <c r="B109" s="582" t="inlineStr">
        <is>
          <t xml:space="preserve">Assessor Value Prior to Review - Land</t>
        </is>
      </c>
      <c r="C109" s="586">
        <v>9613564</v>
      </c>
      <c r="D109" s="583" t="inlineStr">
        <is>
          <t xml:space="preserve">From Appeal sheet if entered</t>
        </is>
      </c>
    </row>
    <row r="110">
      <c r="B110" s="582" t="inlineStr">
        <is>
          <t xml:space="preserve">Assessor Value Prior to Review - Imps</t>
        </is>
      </c>
      <c r="C110" s="586">
        <v>23604795</v>
      </c>
    </row>
    <row r="112">
      <c r="B112" s="583" t="inlineStr">
        <is>
          <t xml:space="preserve">Example values shown are from the 5650 Washington St report - replace per assignment.</t>
        </is>
      </c>
    </row>
  </sheetData>
  <mergeCells count="4">
    <mergeCell ref="B4:D4"/>
    <mergeCell ref="B31:D31"/>
    <mergeCell ref="B67:D67"/>
    <mergeCell ref="B105:D105"/>
  </mergeCells>
</worksheet>
</file>

<file path=xl/worksheets/sheetVA2.xml><?xml version="1.0" encoding="utf-8"?>
<worksheet xmlns="http://schemas.openxmlformats.org/spreadsheetml/2006/main">
  <sheetViews>
    <sheetView showGridLines="0" workbookViewId="0">
      <pane ySplit="5" topLeftCell="A6" activePane="bottomLeft" state="frozen"/>
    </sheetView>
  </sheetViews>
  <sheetFormatPr defaultRowHeight="15"/>
  <cols>
    <col min="1" max="1" width="2.5" customWidth="1"/>
    <col min="2" max="2" width="30" customWidth="1"/>
    <col min="3" max="3" width="17" customWidth="1"/>
    <col min="4" max="4" width="11" customWidth="1"/>
    <col min="5" max="5" width="11" customWidth="1"/>
    <col min="6" max="6" width="11" customWidth="1"/>
    <col min="7" max="7" width="10" customWidth="1"/>
    <col min="8" max="8" width="12" customWidth="1"/>
    <col min="9" max="9" width="12" customWidth="1"/>
    <col min="10" max="10" width="12" customWidth="1"/>
    <col min="11" max="11" width="12" customWidth="1"/>
    <col min="12" max="12" width="13" customWidth="1"/>
  </cols>
  <sheetData>
    <row r="1">
      <c r="B1" s="578" t="inlineStr">
        <is>
          <t xml:space="preserve">RENT ROLL — CityView Industrial Park, per-suite (rent roll dated 5/17/2024 for June 2024, Exhibit F)</t>
        </is>
      </c>
    </row>
    <row r="2">
      <c r="B2" s="583" t="inlineStr">
        <is>
          <t xml:space="preserve">Every suite individually: 77 leases + 4 non-revenue spaces + 7 vacant suites = 209,207.95 SF. Type: Office = 5800/5802 buildings; Warehouse = all other buildings (petitioner's own classification). Rates are annual base rent $/SF.</t>
        </is>
      </c>
    </row>
    <row r="3">
      <c r="B3" s="581" t="inlineStr">
        <is>
          <t xml:space="preserve">Date of Value:</t>
        </is>
      </c>
      <c r="C3" s="597">
        <f>'Report Inputs'!$C$16</f>
      </c>
    </row>
    <row r="5">
      <c r="B5" s="584" t="inlineStr">
        <is>
          <t xml:space="preserve">Tenant</t>
        </is>
      </c>
      <c r="C5" s="584" t="inlineStr">
        <is>
          <t xml:space="preserve">Building / Unit</t>
        </is>
      </c>
      <c r="D5" s="584" t="inlineStr">
        <is>
          <t xml:space="preserve">Type</t>
        </is>
      </c>
      <c r="E5" s="584" t="inlineStr">
        <is>
          <t xml:space="preserve">Leased SF</t>
        </is>
      </c>
      <c r="F5" s="584" t="inlineStr">
        <is>
          <t xml:space="preserve">Rent $/SF</t>
        </is>
      </c>
      <c r="G5" s="584" t="inlineStr">
        <is>
          <t xml:space="preserve">Basis</t>
        </is>
      </c>
      <c r="H5" s="584" t="inlineStr">
        <is>
          <t xml:space="preserve">Lease Start</t>
        </is>
      </c>
      <c r="I5" s="584" t="inlineStr">
        <is>
          <t xml:space="preserve">Lease Expiry</t>
        </is>
      </c>
      <c r="J5" s="584" t="inlineStr">
        <is>
          <t xml:space="preserve">Annual Rent</t>
        </is>
      </c>
      <c r="K5" s="584" t="inlineStr">
        <is>
          <t xml:space="preserve">Rem. Term (yrs)</t>
        </is>
      </c>
      <c r="L5" s="584" t="inlineStr">
        <is>
          <t xml:space="preserve">% of NRA</t>
        </is>
      </c>
    </row>
    <row r="6">
      <c r="B6" s="585" t="inlineStr">
        <is>
          <t xml:space="preserve">CVP Management Office</t>
        </is>
      </c>
      <c r="C6" s="585" t="inlineStr">
        <is>
          <t xml:space="preserve">5800 / 100</t>
        </is>
      </c>
      <c r="D6" s="585" t="inlineStr">
        <is>
          <t xml:space="preserve">Office</t>
        </is>
      </c>
      <c r="E6" s="589">
        <v>500</v>
      </c>
      <c r="F6" s="587"/>
      <c r="G6" s="585"/>
      <c r="H6" s="590"/>
      <c r="I6" s="590"/>
      <c r="J6" s="593">
        <f>IF(E6="","",N(E6)*N(F6))</f>
      </c>
      <c r="K6" s="598">
        <f>IF(OR(E6="",I6=""),"",MAX(0,(I6-$C$3)/365.25))</f>
      </c>
      <c r="L6" s="595">
        <f>IF(E6="","",E6/'Report Inputs'!$C$78)</f>
      </c>
    </row>
    <row r="7">
      <c r="B7" s="585" t="inlineStr">
        <is>
          <t xml:space="preserve">MR Solutions</t>
        </is>
      </c>
      <c r="C7" s="585" t="inlineStr">
        <is>
          <t xml:space="preserve">5800 / 101</t>
        </is>
      </c>
      <c r="D7" s="585" t="inlineStr">
        <is>
          <t xml:space="preserve">Office</t>
        </is>
      </c>
      <c r="E7" s="589">
        <v>1048</v>
      </c>
      <c r="F7" s="587">
        <v>14</v>
      </c>
      <c r="G7" s="585" t="inlineStr">
        <is>
          <t xml:space="preserve">NNN</t>
        </is>
      </c>
      <c r="H7" s="590">
        <v>45139</v>
      </c>
      <c r="I7" s="590">
        <v>45504</v>
      </c>
      <c r="J7" s="593">
        <f>IF(E7="","",N(E7)*N(F7))</f>
      </c>
      <c r="K7" s="598">
        <f>IF(OR(E7="",I7=""),"",MAX(0,(I7-$C$3)/365.25))</f>
      </c>
      <c r="L7" s="595">
        <f>IF(E7="","",E7/'Report Inputs'!$C$78)</f>
      </c>
    </row>
    <row r="8">
      <c r="B8" s="585" t="inlineStr">
        <is>
          <t xml:space="preserve">R. Baker</t>
        </is>
      </c>
      <c r="C8" s="585" t="inlineStr">
        <is>
          <t xml:space="preserve">5800 / 102</t>
        </is>
      </c>
      <c r="D8" s="585" t="inlineStr">
        <is>
          <t xml:space="preserve">Office</t>
        </is>
      </c>
      <c r="E8" s="589">
        <v>960</v>
      </c>
      <c r="F8" s="587">
        <v>9.78</v>
      </c>
      <c r="G8" s="585" t="inlineStr">
        <is>
          <t xml:space="preserve">NNN</t>
        </is>
      </c>
      <c r="H8" s="590">
        <v>44805</v>
      </c>
      <c r="I8" s="590">
        <v>45473</v>
      </c>
      <c r="J8" s="593">
        <f>IF(E8="","",N(E8)*N(F8))</f>
      </c>
      <c r="K8" s="598">
        <f>IF(OR(E8="",I8=""),"",MAX(0,(I8-$C$3)/365.25))</f>
      </c>
      <c r="L8" s="595">
        <f>IF(E8="","",E8/'Report Inputs'!$C$78)</f>
      </c>
    </row>
    <row r="9">
      <c r="B9" s="585" t="inlineStr">
        <is>
          <t xml:space="preserve">Vacant</t>
        </is>
      </c>
      <c r="C9" s="585" t="inlineStr">
        <is>
          <t xml:space="preserve">5800 / 104A</t>
        </is>
      </c>
      <c r="D9" s="585" t="inlineStr">
        <is>
          <t xml:space="preserve">Office</t>
        </is>
      </c>
      <c r="E9" s="589">
        <v>121</v>
      </c>
      <c r="F9" s="587"/>
      <c r="G9" s="585"/>
      <c r="H9" s="590"/>
      <c r="I9" s="590"/>
      <c r="J9" s="593">
        <f>IF(E9="","",N(E9)*N(F9))</f>
      </c>
      <c r="K9" s="598">
        <f>IF(OR(E9="",I9=""),"",MAX(0,(I9-$C$3)/365.25))</f>
      </c>
      <c r="L9" s="595">
        <f>IF(E9="","",E9/'Report Inputs'!$C$78)</f>
      </c>
    </row>
    <row r="10">
      <c r="B10" s="585" t="inlineStr">
        <is>
          <t xml:space="preserve">Vacant</t>
        </is>
      </c>
      <c r="C10" s="585" t="inlineStr">
        <is>
          <t xml:space="preserve">5800 / 104B</t>
        </is>
      </c>
      <c r="D10" s="585" t="inlineStr">
        <is>
          <t xml:space="preserve">Office</t>
        </is>
      </c>
      <c r="E10" s="589">
        <v>121</v>
      </c>
      <c r="F10" s="587"/>
      <c r="G10" s="585"/>
      <c r="H10" s="590"/>
      <c r="I10" s="590"/>
      <c r="J10" s="593">
        <f>IF(E10="","",N(E10)*N(F10))</f>
      </c>
      <c r="K10" s="598">
        <f>IF(OR(E10="",I10=""),"",MAX(0,(I10-$C$3)/365.25))</f>
      </c>
      <c r="L10" s="595">
        <f>IF(E10="","",E10/'Report Inputs'!$C$78)</f>
      </c>
    </row>
    <row r="11">
      <c r="B11" s="585" t="inlineStr">
        <is>
          <t xml:space="preserve">Vacant</t>
        </is>
      </c>
      <c r="C11" s="585" t="inlineStr">
        <is>
          <t xml:space="preserve">5800 / 104C</t>
        </is>
      </c>
      <c r="D11" s="585" t="inlineStr">
        <is>
          <t xml:space="preserve">Office</t>
        </is>
      </c>
      <c r="E11" s="589">
        <v>121</v>
      </c>
      <c r="F11" s="587"/>
      <c r="G11" s="585"/>
      <c r="H11" s="590"/>
      <c r="I11" s="590"/>
      <c r="J11" s="593">
        <f>IF(E11="","",N(E11)*N(F11))</f>
      </c>
      <c r="K11" s="598">
        <f>IF(OR(E11="",I11=""),"",MAX(0,(I11-$C$3)/365.25))</f>
      </c>
      <c r="L11" s="595">
        <f>IF(E11="","",E11/'Report Inputs'!$C$78)</f>
      </c>
    </row>
    <row r="12">
      <c r="B12" s="585" t="inlineStr">
        <is>
          <t xml:space="preserve">Training Room 103</t>
        </is>
      </c>
      <c r="C12" s="585" t="inlineStr">
        <is>
          <t xml:space="preserve">5800 / 104</t>
        </is>
      </c>
      <c r="D12" s="585" t="inlineStr">
        <is>
          <t xml:space="preserve">Office</t>
        </is>
      </c>
      <c r="E12" s="589">
        <v>722</v>
      </c>
      <c r="F12" s="587"/>
      <c r="G12" s="585"/>
      <c r="H12" s="590"/>
      <c r="I12" s="590"/>
      <c r="J12" s="593">
        <f>IF(E12="","",N(E12)*N(F12))</f>
      </c>
      <c r="K12" s="598">
        <f>IF(OR(E12="",I12=""),"",MAX(0,(I12-$C$3)/365.25))</f>
      </c>
      <c r="L12" s="595">
        <f>IF(E12="","",E12/'Report Inputs'!$C$78)</f>
      </c>
    </row>
    <row r="13">
      <c r="B13" s="585" t="inlineStr">
        <is>
          <t xml:space="preserve">Common Area</t>
        </is>
      </c>
      <c r="C13" s="585" t="inlineStr">
        <is>
          <t xml:space="preserve">5800 / CA</t>
        </is>
      </c>
      <c r="D13" s="585" t="inlineStr">
        <is>
          <t xml:space="preserve">Office</t>
        </is>
      </c>
      <c r="E13" s="589">
        <v>1435</v>
      </c>
      <c r="F13" s="587"/>
      <c r="G13" s="585"/>
      <c r="H13" s="590"/>
      <c r="I13" s="590"/>
      <c r="J13" s="593">
        <f>IF(E13="","",N(E13)*N(F13))</f>
      </c>
      <c r="K13" s="598">
        <f>IF(OR(E13="",I13=""),"",MAX(0,(I13-$C$3)/365.25))</f>
      </c>
      <c r="L13" s="595">
        <f>IF(E13="","",E13/'Report Inputs'!$C$78)</f>
      </c>
    </row>
    <row r="14">
      <c r="B14" s="585" t="inlineStr">
        <is>
          <t xml:space="preserve">Vacant</t>
        </is>
      </c>
      <c r="C14" s="585" t="inlineStr">
        <is>
          <t xml:space="preserve">5800 / A</t>
        </is>
      </c>
      <c r="D14" s="585" t="inlineStr">
        <is>
          <t xml:space="preserve">Office</t>
        </is>
      </c>
      <c r="E14" s="589">
        <v>196</v>
      </c>
      <c r="F14" s="587"/>
      <c r="G14" s="585"/>
      <c r="H14" s="590"/>
      <c r="I14" s="590"/>
      <c r="J14" s="593">
        <f>IF(E14="","",N(E14)*N(F14))</f>
      </c>
      <c r="K14" s="598">
        <f>IF(OR(E14="",I14=""),"",MAX(0,(I14-$C$3)/365.25))</f>
      </c>
      <c r="L14" s="595">
        <f>IF(E14="","",E14/'Report Inputs'!$C$78)</f>
      </c>
    </row>
    <row r="15">
      <c r="B15" s="585" t="inlineStr">
        <is>
          <t xml:space="preserve">Vacant</t>
        </is>
      </c>
      <c r="C15" s="585" t="inlineStr">
        <is>
          <t xml:space="preserve">5800 / B</t>
        </is>
      </c>
      <c r="D15" s="585" t="inlineStr">
        <is>
          <t xml:space="preserve">Office</t>
        </is>
      </c>
      <c r="E15" s="589">
        <v>121</v>
      </c>
      <c r="F15" s="587"/>
      <c r="G15" s="585"/>
      <c r="H15" s="590"/>
      <c r="I15" s="590"/>
      <c r="J15" s="593">
        <f>IF(E15="","",N(E15)*N(F15))</f>
      </c>
      <c r="K15" s="598">
        <f>IF(OR(E15="",I15=""),"",MAX(0,(I15-$C$3)/365.25))</f>
      </c>
      <c r="L15" s="595">
        <f>IF(E15="","",E15/'Report Inputs'!$C$78)</f>
      </c>
    </row>
    <row r="16">
      <c r="B16" s="585" t="inlineStr">
        <is>
          <t xml:space="preserve">WEIL Construction Inc.</t>
        </is>
      </c>
      <c r="C16" s="585" t="inlineStr">
        <is>
          <t xml:space="preserve">5800 / C</t>
        </is>
      </c>
      <c r="D16" s="585" t="inlineStr">
        <is>
          <t xml:space="preserve">Office</t>
        </is>
      </c>
      <c r="E16" s="589">
        <v>196</v>
      </c>
      <c r="F16" s="587">
        <v>32.79</v>
      </c>
      <c r="G16" s="585" t="inlineStr">
        <is>
          <t xml:space="preserve">FSG</t>
        </is>
      </c>
      <c r="H16" s="590">
        <v>44805</v>
      </c>
      <c r="I16" s="590">
        <v>45535</v>
      </c>
      <c r="J16" s="593">
        <f>IF(E16="","",N(E16)*N(F16))</f>
      </c>
      <c r="K16" s="598">
        <f>IF(OR(E16="",I16=""),"",MAX(0,(I16-$C$3)/365.25))</f>
      </c>
      <c r="L16" s="595">
        <f>IF(E16="","",E16/'Report Inputs'!$C$78)</f>
      </c>
    </row>
    <row r="17">
      <c r="B17" s="585" t="inlineStr">
        <is>
          <t xml:space="preserve">Vacant</t>
        </is>
      </c>
      <c r="C17" s="585" t="inlineStr">
        <is>
          <t xml:space="preserve">5800 / D</t>
        </is>
      </c>
      <c r="D17" s="585" t="inlineStr">
        <is>
          <t xml:space="preserve">Office</t>
        </is>
      </c>
      <c r="E17" s="589">
        <v>121</v>
      </c>
      <c r="F17" s="587"/>
      <c r="G17" s="585"/>
      <c r="H17" s="590"/>
      <c r="I17" s="590"/>
      <c r="J17" s="593">
        <f>IF(E17="","",N(E17)*N(F17))</f>
      </c>
      <c r="K17" s="598">
        <f>IF(OR(E17="",I17=""),"",MAX(0,(I17-$C$3)/365.25))</f>
      </c>
      <c r="L17" s="595">
        <f>IF(E17="","",E17/'Report Inputs'!$C$78)</f>
      </c>
    </row>
    <row r="18">
      <c r="B18" s="585" t="inlineStr">
        <is>
          <t xml:space="preserve">WEIL Construction Inc.</t>
        </is>
      </c>
      <c r="C18" s="585" t="inlineStr">
        <is>
          <t xml:space="preserve">5800 / E</t>
        </is>
      </c>
      <c r="D18" s="585" t="inlineStr">
        <is>
          <t xml:space="preserve">Office</t>
        </is>
      </c>
      <c r="E18" s="589">
        <v>196</v>
      </c>
      <c r="F18" s="587">
        <v>31.54</v>
      </c>
      <c r="G18" s="585" t="inlineStr">
        <is>
          <t xml:space="preserve">FSG</t>
        </is>
      </c>
      <c r="H18" s="590">
        <v>45108</v>
      </c>
      <c r="I18" s="590">
        <v>45535</v>
      </c>
      <c r="J18" s="593">
        <f>IF(E18="","",N(E18)*N(F18))</f>
      </c>
      <c r="K18" s="598">
        <f>IF(OR(E18="",I18=""),"",MAX(0,(I18-$C$3)/365.25))</f>
      </c>
      <c r="L18" s="595">
        <f>IF(E18="","",E18/'Report Inputs'!$C$78)</f>
      </c>
    </row>
    <row r="19">
      <c r="B19" s="585" t="inlineStr">
        <is>
          <t xml:space="preserve">Vacant</t>
        </is>
      </c>
      <c r="C19" s="585" t="inlineStr">
        <is>
          <t xml:space="preserve">5800 / Copy Room</t>
        </is>
      </c>
      <c r="D19" s="585" t="inlineStr">
        <is>
          <t xml:space="preserve">Office</t>
        </is>
      </c>
      <c r="E19" s="589">
        <v>107.2</v>
      </c>
      <c r="F19" s="587"/>
      <c r="G19" s="585"/>
      <c r="H19" s="590"/>
      <c r="I19" s="590"/>
      <c r="J19" s="593">
        <f>IF(E19="","",N(E19)*N(F19))</f>
      </c>
      <c r="K19" s="598">
        <f>IF(OR(E19="",I19=""),"",MAX(0,(I19-$C$3)/365.25))</f>
      </c>
      <c r="L19" s="595">
        <f>IF(E19="","",E19/'Report Inputs'!$C$78)</f>
      </c>
    </row>
    <row r="20">
      <c r="B20" s="585" t="inlineStr">
        <is>
          <t xml:space="preserve">S&amp;R Environmental Consulting, Inc.</t>
        </is>
      </c>
      <c r="C20" s="585" t="inlineStr">
        <is>
          <t xml:space="preserve">5800 / 106</t>
        </is>
      </c>
      <c r="D20" s="585" t="inlineStr">
        <is>
          <t xml:space="preserve">Office</t>
        </is>
      </c>
      <c r="E20" s="589">
        <v>706</v>
      </c>
      <c r="F20" s="587">
        <v>10.69</v>
      </c>
      <c r="G20" s="585" t="inlineStr">
        <is>
          <t xml:space="preserve">NNN</t>
        </is>
      </c>
      <c r="H20" s="590">
        <v>45261</v>
      </c>
      <c r="I20" s="590">
        <v>45626</v>
      </c>
      <c r="J20" s="593">
        <f>IF(E20="","",N(E20)*N(F20))</f>
      </c>
      <c r="K20" s="598">
        <f>IF(OR(E20="",I20=""),"",MAX(0,(I20-$C$3)/365.25))</f>
      </c>
      <c r="L20" s="595">
        <f>IF(E20="","",E20/'Report Inputs'!$C$78)</f>
      </c>
    </row>
    <row r="21">
      <c r="B21" s="585" t="inlineStr">
        <is>
          <t xml:space="preserve">Global IT Innovative Systems</t>
        </is>
      </c>
      <c r="C21" s="585" t="inlineStr">
        <is>
          <t xml:space="preserve">5800 / 201</t>
        </is>
      </c>
      <c r="D21" s="585" t="inlineStr">
        <is>
          <t xml:space="preserve">Office</t>
        </is>
      </c>
      <c r="E21" s="589">
        <v>2114.9</v>
      </c>
      <c r="F21" s="587">
        <v>4.31</v>
      </c>
      <c r="G21" s="585" t="inlineStr">
        <is>
          <t xml:space="preserve">NNN</t>
        </is>
      </c>
      <c r="H21" s="590">
        <v>45200</v>
      </c>
      <c r="I21" s="590">
        <v>45565</v>
      </c>
      <c r="J21" s="593">
        <f>IF(E21="","",N(E21)*N(F21))</f>
      </c>
      <c r="K21" s="598">
        <f>IF(OR(E21="",I21=""),"",MAX(0,(I21-$C$3)/365.25))</f>
      </c>
      <c r="L21" s="595">
        <f>IF(E21="","",E21/'Report Inputs'!$C$78)</f>
      </c>
    </row>
    <row r="22">
      <c r="B22" s="585" t="inlineStr">
        <is>
          <t xml:space="preserve">Global IT Innovative Systems</t>
        </is>
      </c>
      <c r="C22" s="585" t="inlineStr">
        <is>
          <t xml:space="preserve">5800 / 201a</t>
        </is>
      </c>
      <c r="D22" s="585" t="inlineStr">
        <is>
          <t xml:space="preserve">Office</t>
        </is>
      </c>
      <c r="E22" s="589">
        <v>1385.1</v>
      </c>
      <c r="F22" s="587">
        <v>0</v>
      </c>
      <c r="G22" s="585" t="inlineStr">
        <is>
          <t xml:space="preserve">NNN</t>
        </is>
      </c>
      <c r="H22" s="590">
        <v>45200</v>
      </c>
      <c r="I22" s="590">
        <v>45565</v>
      </c>
      <c r="J22" s="593">
        <f>IF(E22="","",N(E22)*N(F22))</f>
      </c>
      <c r="K22" s="598">
        <f>IF(OR(E22="",I22=""),"",MAX(0,(I22-$C$3)/365.25))</f>
      </c>
      <c r="L22" s="595">
        <f>IF(E22="","",E22/'Report Inputs'!$C$78)</f>
      </c>
    </row>
    <row r="23">
      <c r="B23" s="585" t="inlineStr">
        <is>
          <t xml:space="preserve">Global IT Innovative Systems</t>
        </is>
      </c>
      <c r="C23" s="585" t="inlineStr">
        <is>
          <t xml:space="preserve">5800 / 200, 202</t>
        </is>
      </c>
      <c r="D23" s="585" t="inlineStr">
        <is>
          <t xml:space="preserve">Office</t>
        </is>
      </c>
      <c r="E23" s="589">
        <v>3108.59</v>
      </c>
      <c r="F23" s="587">
        <v>0</v>
      </c>
      <c r="G23" s="585" t="inlineStr">
        <is>
          <t xml:space="preserve">NNN</t>
        </is>
      </c>
      <c r="H23" s="590">
        <v>45200</v>
      </c>
      <c r="I23" s="590">
        <v>45565</v>
      </c>
      <c r="J23" s="593">
        <f>IF(E23="","",N(E23)*N(F23))</f>
      </c>
      <c r="K23" s="598">
        <f>IF(OR(E23="",I23=""),"",MAX(0,(I23-$C$3)/365.25))</f>
      </c>
      <c r="L23" s="595">
        <f>IF(E23="","",E23/'Report Inputs'!$C$78)</f>
      </c>
    </row>
    <row r="24">
      <c r="B24" s="585" t="inlineStr">
        <is>
          <t xml:space="preserve">Global IT Innovative Systems</t>
        </is>
      </c>
      <c r="C24" s="585" t="inlineStr">
        <is>
          <t xml:space="preserve">5800 / CA</t>
        </is>
      </c>
      <c r="D24" s="585" t="inlineStr">
        <is>
          <t xml:space="preserve">Office</t>
        </is>
      </c>
      <c r="E24" s="589">
        <v>299.4</v>
      </c>
      <c r="F24" s="587">
        <v>0</v>
      </c>
      <c r="G24" s="585" t="inlineStr">
        <is>
          <t xml:space="preserve">NNN</t>
        </is>
      </c>
      <c r="H24" s="590">
        <v>45200</v>
      </c>
      <c r="I24" s="590">
        <v>45565</v>
      </c>
      <c r="J24" s="593">
        <f>IF(E24="","",N(E24)*N(F24))</f>
      </c>
      <c r="K24" s="598">
        <f>IF(OR(E24="",I24=""),"",MAX(0,(I24-$C$3)/365.25))</f>
      </c>
      <c r="L24" s="595">
        <f>IF(E24="","",E24/'Report Inputs'!$C$78)</f>
      </c>
    </row>
    <row r="25">
      <c r="B25" s="585" t="inlineStr">
        <is>
          <t xml:space="preserve">Colorado Construction Cleaning, Inc.</t>
        </is>
      </c>
      <c r="C25" s="585" t="inlineStr">
        <is>
          <t xml:space="preserve">5802 / 107</t>
        </is>
      </c>
      <c r="D25" s="585" t="inlineStr">
        <is>
          <t xml:space="preserve">Office</t>
        </is>
      </c>
      <c r="E25" s="589">
        <v>2274</v>
      </c>
      <c r="F25" s="587">
        <v>4.67</v>
      </c>
      <c r="G25" s="585" t="inlineStr">
        <is>
          <t xml:space="preserve">NNN</t>
        </is>
      </c>
      <c r="H25" s="590">
        <v>45078</v>
      </c>
      <c r="I25" s="590">
        <v>45443</v>
      </c>
      <c r="J25" s="593">
        <f>IF(E25="","",N(E25)*N(F25))</f>
      </c>
      <c r="K25" s="598">
        <f>IF(OR(E25="",I25=""),"",MAX(0,(I25-$C$3)/365.25))</f>
      </c>
      <c r="L25" s="595">
        <f>IF(E25="","",E25/'Report Inputs'!$C$78)</f>
      </c>
    </row>
    <row r="26">
      <c r="B26" s="585" t="inlineStr">
        <is>
          <t xml:space="preserve">Global IT Innovative Systems</t>
        </is>
      </c>
      <c r="C26" s="585" t="inlineStr">
        <is>
          <t xml:space="preserve">5802 / 203</t>
        </is>
      </c>
      <c r="D26" s="585" t="inlineStr">
        <is>
          <t xml:space="preserve">Office</t>
        </is>
      </c>
      <c r="E26" s="589">
        <v>380.25</v>
      </c>
      <c r="F26" s="587">
        <v>0</v>
      </c>
      <c r="G26" s="585" t="inlineStr">
        <is>
          <t xml:space="preserve">NNN</t>
        </is>
      </c>
      <c r="H26" s="590">
        <v>45200</v>
      </c>
      <c r="I26" s="590">
        <v>45565</v>
      </c>
      <c r="J26" s="593">
        <f>IF(E26="","",N(E26)*N(F26))</f>
      </c>
      <c r="K26" s="598">
        <f>IF(OR(E26="",I26=""),"",MAX(0,(I26-$C$3)/365.25))</f>
      </c>
      <c r="L26" s="595">
        <f>IF(E26="","",E26/'Report Inputs'!$C$78)</f>
      </c>
    </row>
    <row r="27">
      <c r="B27" s="585" t="inlineStr">
        <is>
          <t xml:space="preserve">Global IT Innovative Systems</t>
        </is>
      </c>
      <c r="C27" s="585" t="inlineStr">
        <is>
          <t xml:space="preserve">5802 / 205</t>
        </is>
      </c>
      <c r="D27" s="585" t="inlineStr">
        <is>
          <t xml:space="preserve">Office</t>
        </is>
      </c>
      <c r="E27" s="589">
        <v>736</v>
      </c>
      <c r="F27" s="587">
        <v>0</v>
      </c>
      <c r="G27" s="585" t="inlineStr">
        <is>
          <t xml:space="preserve">NNN</t>
        </is>
      </c>
      <c r="H27" s="590">
        <v>45200</v>
      </c>
      <c r="I27" s="590">
        <v>45565</v>
      </c>
      <c r="J27" s="593">
        <f>IF(E27="","",N(E27)*N(F27))</f>
      </c>
      <c r="K27" s="598">
        <f>IF(OR(E27="",I27=""),"",MAX(0,(I27-$C$3)/365.25))</f>
      </c>
      <c r="L27" s="595">
        <f>IF(E27="","",E27/'Report Inputs'!$C$78)</f>
      </c>
    </row>
    <row r="28">
      <c r="B28" s="585" t="inlineStr">
        <is>
          <t xml:space="preserve">Global IT Innovative Systems</t>
        </is>
      </c>
      <c r="C28" s="585" t="inlineStr">
        <is>
          <t xml:space="preserve">5802 / 204</t>
        </is>
      </c>
      <c r="D28" s="585" t="inlineStr">
        <is>
          <t xml:space="preserve">Office</t>
        </is>
      </c>
      <c r="E28" s="589">
        <v>713</v>
      </c>
      <c r="F28" s="587">
        <v>0</v>
      </c>
      <c r="G28" s="585" t="inlineStr">
        <is>
          <t xml:space="preserve">NNN</t>
        </is>
      </c>
      <c r="H28" s="590">
        <v>45200</v>
      </c>
      <c r="I28" s="590">
        <v>45565</v>
      </c>
      <c r="J28" s="593">
        <f>IF(E28="","",N(E28)*N(F28))</f>
      </c>
      <c r="K28" s="598">
        <f>IF(OR(E28="",I28=""),"",MAX(0,(I28-$C$3)/365.25))</f>
      </c>
      <c r="L28" s="595">
        <f>IF(E28="","",E28/'Report Inputs'!$C$78)</f>
      </c>
    </row>
    <row r="29">
      <c r="B29" s="585" t="inlineStr">
        <is>
          <t xml:space="preserve">Global IT Innovative Systems</t>
        </is>
      </c>
      <c r="C29" s="585" t="inlineStr">
        <is>
          <t xml:space="preserve">5802 / 206</t>
        </is>
      </c>
      <c r="D29" s="585" t="inlineStr">
        <is>
          <t xml:space="preserve">Office</t>
        </is>
      </c>
      <c r="E29" s="589">
        <v>713</v>
      </c>
      <c r="F29" s="587">
        <v>0</v>
      </c>
      <c r="G29" s="585" t="inlineStr">
        <is>
          <t xml:space="preserve">NNN</t>
        </is>
      </c>
      <c r="H29" s="590">
        <v>45200</v>
      </c>
      <c r="I29" s="590">
        <v>45565</v>
      </c>
      <c r="J29" s="593">
        <f>IF(E29="","",N(E29)*N(F29))</f>
      </c>
      <c r="K29" s="598">
        <f>IF(OR(E29="",I29=""),"",MAX(0,(I29-$C$3)/365.25))</f>
      </c>
      <c r="L29" s="595">
        <f>IF(E29="","",E29/'Report Inputs'!$C$78)</f>
      </c>
    </row>
    <row r="30">
      <c r="B30" s="585" t="inlineStr">
        <is>
          <t xml:space="preserve">Global IT Innovative Systems</t>
        </is>
      </c>
      <c r="C30" s="585" t="inlineStr">
        <is>
          <t xml:space="preserve">5802 / Storage</t>
        </is>
      </c>
      <c r="D30" s="585" t="inlineStr">
        <is>
          <t xml:space="preserve">Office</t>
        </is>
      </c>
      <c r="E30" s="589">
        <v>75.6</v>
      </c>
      <c r="F30" s="587">
        <v>0</v>
      </c>
      <c r="G30" s="585" t="inlineStr">
        <is>
          <t xml:space="preserve">NNN</t>
        </is>
      </c>
      <c r="H30" s="590">
        <v>45200</v>
      </c>
      <c r="I30" s="590">
        <v>45565</v>
      </c>
      <c r="J30" s="593">
        <f>IF(E30="","",N(E30)*N(F30))</f>
      </c>
      <c r="K30" s="598">
        <f>IF(OR(E30="",I30=""),"",MAX(0,(I30-$C$3)/365.25))</f>
      </c>
      <c r="L30" s="595">
        <f>IF(E30="","",E30/'Report Inputs'!$C$78)</f>
      </c>
    </row>
    <row r="31">
      <c r="B31" s="585" t="inlineStr">
        <is>
          <t xml:space="preserve">P&amp;H Equipment</t>
        </is>
      </c>
      <c r="C31" s="585" t="inlineStr">
        <is>
          <t xml:space="preserve">5802 / Unit M-105</t>
        </is>
      </c>
      <c r="D31" s="585" t="inlineStr">
        <is>
          <t xml:space="preserve">Office</t>
        </is>
      </c>
      <c r="E31" s="589">
        <v>584</v>
      </c>
      <c r="F31" s="587">
        <v>6.73</v>
      </c>
      <c r="G31" s="585" t="inlineStr">
        <is>
          <t xml:space="preserve">NNN</t>
        </is>
      </c>
      <c r="H31" s="590">
        <v>45170</v>
      </c>
      <c r="I31" s="590">
        <v>45535</v>
      </c>
      <c r="J31" s="593">
        <f>IF(E31="","",N(E31)*N(F31))</f>
      </c>
      <c r="K31" s="598">
        <f>IF(OR(E31="",I31=""),"",MAX(0,(I31-$C$3)/365.25))</f>
      </c>
      <c r="L31" s="595">
        <f>IF(E31="","",E31/'Report Inputs'!$C$78)</f>
      </c>
    </row>
    <row r="32">
      <c r="B32" s="585" t="inlineStr">
        <is>
          <t xml:space="preserve">Global IT Innovative Systems</t>
        </is>
      </c>
      <c r="C32" s="585" t="inlineStr">
        <is>
          <t xml:space="preserve">5806 / A-n</t>
        </is>
      </c>
      <c r="D32" s="585" t="inlineStr">
        <is>
          <t xml:space="preserve">Warehouse</t>
        </is>
      </c>
      <c r="E32" s="589">
        <v>875</v>
      </c>
      <c r="F32" s="587">
        <v>0</v>
      </c>
      <c r="G32" s="585" t="inlineStr">
        <is>
          <t xml:space="preserve">NNN</t>
        </is>
      </c>
      <c r="H32" s="590">
        <v>45200</v>
      </c>
      <c r="I32" s="590">
        <v>45565</v>
      </c>
      <c r="J32" s="593">
        <f>IF(E32="","",N(E32)*N(F32))</f>
      </c>
      <c r="K32" s="598">
        <f>IF(OR(E32="",I32=""),"",MAX(0,(I32-$C$3)/365.25))</f>
      </c>
      <c r="L32" s="595">
        <f>IF(E32="","",E32/'Report Inputs'!$C$78)</f>
      </c>
    </row>
    <row r="33">
      <c r="B33" s="585" t="inlineStr">
        <is>
          <t xml:space="preserve">Global IT Innovative Systems</t>
        </is>
      </c>
      <c r="C33" s="585" t="inlineStr">
        <is>
          <t xml:space="preserve">5806 / A-s</t>
        </is>
      </c>
      <c r="D33" s="585" t="inlineStr">
        <is>
          <t xml:space="preserve">Warehouse</t>
        </is>
      </c>
      <c r="E33" s="589">
        <v>875</v>
      </c>
      <c r="F33" s="587">
        <v>0</v>
      </c>
      <c r="G33" s="585" t="inlineStr">
        <is>
          <t xml:space="preserve">NNN</t>
        </is>
      </c>
      <c r="H33" s="590">
        <v>45200</v>
      </c>
      <c r="I33" s="590">
        <v>45565</v>
      </c>
      <c r="J33" s="593">
        <f>IF(E33="","",N(E33)*N(F33))</f>
      </c>
      <c r="K33" s="598">
        <f>IF(OR(E33="",I33=""),"",MAX(0,(I33-$C$3)/365.25))</f>
      </c>
      <c r="L33" s="595">
        <f>IF(E33="","",E33/'Report Inputs'!$C$78)</f>
      </c>
    </row>
    <row r="34">
      <c r="B34" s="585" t="inlineStr">
        <is>
          <t xml:space="preserve">Global IT Innovative Systems</t>
        </is>
      </c>
      <c r="C34" s="585" t="inlineStr">
        <is>
          <t xml:space="preserve">5806 / B-s</t>
        </is>
      </c>
      <c r="D34" s="585" t="inlineStr">
        <is>
          <t xml:space="preserve">Warehouse</t>
        </is>
      </c>
      <c r="E34" s="589">
        <v>1221</v>
      </c>
      <c r="F34" s="587">
        <v>4.414</v>
      </c>
      <c r="G34" s="585" t="inlineStr">
        <is>
          <t xml:space="preserve">NNN</t>
        </is>
      </c>
      <c r="H34" s="590">
        <v>45200</v>
      </c>
      <c r="I34" s="590">
        <v>45565</v>
      </c>
      <c r="J34" s="593">
        <f>IF(E34="","",N(E34)*N(F34))</f>
      </c>
      <c r="K34" s="598">
        <f>IF(OR(E34="",I34=""),"",MAX(0,(I34-$C$3)/365.25))</f>
      </c>
      <c r="L34" s="595">
        <f>IF(E34="","",E34/'Report Inputs'!$C$78)</f>
      </c>
    </row>
    <row r="35">
      <c r="B35" s="585" t="inlineStr">
        <is>
          <t xml:space="preserve">Global IT Innovative Systems</t>
        </is>
      </c>
      <c r="C35" s="585" t="inlineStr">
        <is>
          <t xml:space="preserve">5806 / B-n</t>
        </is>
      </c>
      <c r="D35" s="585" t="inlineStr">
        <is>
          <t xml:space="preserve">Warehouse</t>
        </is>
      </c>
      <c r="E35" s="589">
        <v>350</v>
      </c>
      <c r="F35" s="587">
        <v>16.61</v>
      </c>
      <c r="G35" s="585" t="inlineStr">
        <is>
          <t xml:space="preserve">NNN</t>
        </is>
      </c>
      <c r="H35" s="590">
        <v>45200</v>
      </c>
      <c r="I35" s="590">
        <v>45565</v>
      </c>
      <c r="J35" s="593">
        <f>IF(E35="","",N(E35)*N(F35))</f>
      </c>
      <c r="K35" s="598">
        <f>IF(OR(E35="",I35=""),"",MAX(0,(I35-$C$3)/365.25))</f>
      </c>
      <c r="L35" s="595">
        <f>IF(E35="","",E35/'Report Inputs'!$C$78)</f>
      </c>
    </row>
    <row r="36">
      <c r="B36" s="585" t="inlineStr">
        <is>
          <t xml:space="preserve">Miggy &amp; Ernie's</t>
        </is>
      </c>
      <c r="C36" s="585" t="inlineStr">
        <is>
          <t xml:space="preserve">5808 / A</t>
        </is>
      </c>
      <c r="D36" s="585" t="inlineStr">
        <is>
          <t xml:space="preserve">Warehouse</t>
        </is>
      </c>
      <c r="E36" s="589">
        <v>3550</v>
      </c>
      <c r="F36" s="587">
        <v>5.43</v>
      </c>
      <c r="G36" s="585" t="inlineStr">
        <is>
          <t xml:space="preserve">NNN</t>
        </is>
      </c>
      <c r="H36" s="590">
        <v>44986</v>
      </c>
      <c r="I36" s="590">
        <v>45350</v>
      </c>
      <c r="J36" s="593">
        <f>IF(E36="","",N(E36)*N(F36))</f>
      </c>
      <c r="K36" s="598">
        <f>IF(OR(E36="",I36=""),"",MAX(0,(I36-$C$3)/365.25))</f>
      </c>
      <c r="L36" s="595">
        <f>IF(E36="","",E36/'Report Inputs'!$C$78)</f>
      </c>
    </row>
    <row r="37">
      <c r="B37" s="585" t="inlineStr">
        <is>
          <t xml:space="preserve">Keiths Paint Shop LLC</t>
        </is>
      </c>
      <c r="C37" s="585" t="inlineStr">
        <is>
          <t xml:space="preserve">1609 / A-B</t>
        </is>
      </c>
      <c r="D37" s="585" t="inlineStr">
        <is>
          <t xml:space="preserve">Warehouse</t>
        </is>
      </c>
      <c r="E37" s="589">
        <v>3500</v>
      </c>
      <c r="F37" s="587">
        <v>6.25</v>
      </c>
      <c r="G37" s="585" t="inlineStr">
        <is>
          <t xml:space="preserve">NNN</t>
        </is>
      </c>
      <c r="H37" s="590">
        <v>45413</v>
      </c>
      <c r="I37" s="590">
        <v>45777</v>
      </c>
      <c r="J37" s="593">
        <f>IF(E37="","",N(E37)*N(F37))</f>
      </c>
      <c r="K37" s="598">
        <f>IF(OR(E37="",I37=""),"",MAX(0,(I37-$C$3)/365.25))</f>
      </c>
      <c r="L37" s="595">
        <f>IF(E37="","",E37/'Report Inputs'!$C$78)</f>
      </c>
    </row>
    <row r="38">
      <c r="B38" s="585" t="inlineStr">
        <is>
          <t xml:space="preserve">Keiths Paint Shop LLC</t>
        </is>
      </c>
      <c r="C38" s="585" t="inlineStr">
        <is>
          <t xml:space="preserve">1609 / C</t>
        </is>
      </c>
      <c r="D38" s="585" t="inlineStr">
        <is>
          <t xml:space="preserve">Warehouse</t>
        </is>
      </c>
      <c r="E38" s="589">
        <v>1750</v>
      </c>
      <c r="F38" s="587">
        <v>6.25</v>
      </c>
      <c r="G38" s="585" t="inlineStr">
        <is>
          <t xml:space="preserve">NNN</t>
        </is>
      </c>
      <c r="H38" s="590">
        <v>45413</v>
      </c>
      <c r="I38" s="590">
        <v>45777</v>
      </c>
      <c r="J38" s="593">
        <f>IF(E38="","",N(E38)*N(F38))</f>
      </c>
      <c r="K38" s="598">
        <f>IF(OR(E38="",I38=""),"",MAX(0,(I38-$C$3)/365.25))</f>
      </c>
      <c r="L38" s="595">
        <f>IF(E38="","",E38/'Report Inputs'!$C$78)</f>
      </c>
    </row>
    <row r="39">
      <c r="B39" s="585" t="inlineStr">
        <is>
          <t xml:space="preserve">Keiths Paint Shop LLC</t>
        </is>
      </c>
      <c r="C39" s="585" t="inlineStr">
        <is>
          <t xml:space="preserve">1609 / D-E</t>
        </is>
      </c>
      <c r="D39" s="585" t="inlineStr">
        <is>
          <t xml:space="preserve">Warehouse</t>
        </is>
      </c>
      <c r="E39" s="589">
        <v>3250</v>
      </c>
      <c r="F39" s="587">
        <v>6.25</v>
      </c>
      <c r="G39" s="585" t="inlineStr">
        <is>
          <t xml:space="preserve">NNN</t>
        </is>
      </c>
      <c r="H39" s="590">
        <v>45413</v>
      </c>
      <c r="I39" s="590">
        <v>45777</v>
      </c>
      <c r="J39" s="593">
        <f>IF(E39="","",N(E39)*N(F39))</f>
      </c>
      <c r="K39" s="598">
        <f>IF(OR(E39="",I39=""),"",MAX(0,(I39-$C$3)/365.25))</f>
      </c>
      <c r="L39" s="595">
        <f>IF(E39="","",E39/'Report Inputs'!$C$78)</f>
      </c>
    </row>
    <row r="40">
      <c r="B40" s="585" t="inlineStr">
        <is>
          <t xml:space="preserve">Keiths Paint Shop LLC</t>
        </is>
      </c>
      <c r="C40" s="585" t="inlineStr">
        <is>
          <t xml:space="preserve">1609 / F</t>
        </is>
      </c>
      <c r="D40" s="585" t="inlineStr">
        <is>
          <t xml:space="preserve">Warehouse</t>
        </is>
      </c>
      <c r="E40" s="589">
        <v>1564</v>
      </c>
      <c r="F40" s="587">
        <v>6.25</v>
      </c>
      <c r="G40" s="585" t="inlineStr">
        <is>
          <t xml:space="preserve">NNN</t>
        </is>
      </c>
      <c r="H40" s="590">
        <v>45413</v>
      </c>
      <c r="I40" s="590">
        <v>45777</v>
      </c>
      <c r="J40" s="593">
        <f>IF(E40="","",N(E40)*N(F40))</f>
      </c>
      <c r="K40" s="598">
        <f>IF(OR(E40="",I40=""),"",MAX(0,(I40-$C$3)/365.25))</f>
      </c>
      <c r="L40" s="595">
        <f>IF(E40="","",E40/'Report Inputs'!$C$78)</f>
      </c>
    </row>
    <row r="41">
      <c r="B41" s="585" t="inlineStr">
        <is>
          <t xml:space="preserve">Adessa</t>
        </is>
      </c>
      <c r="C41" s="585" t="inlineStr">
        <is>
          <t xml:space="preserve">1609 / G</t>
        </is>
      </c>
      <c r="D41" s="585" t="inlineStr">
        <is>
          <t xml:space="preserve">Warehouse</t>
        </is>
      </c>
      <c r="E41" s="589">
        <v>1750</v>
      </c>
      <c r="F41" s="587">
        <v>6.18</v>
      </c>
      <c r="G41" s="585" t="inlineStr">
        <is>
          <t xml:space="preserve">NNN</t>
        </is>
      </c>
      <c r="H41" s="590">
        <v>45108</v>
      </c>
      <c r="I41" s="590">
        <v>45473</v>
      </c>
      <c r="J41" s="593">
        <f>IF(E41="","",N(E41)*N(F41))</f>
      </c>
      <c r="K41" s="598">
        <f>IF(OR(E41="",I41=""),"",MAX(0,(I41-$C$3)/365.25))</f>
      </c>
      <c r="L41" s="595">
        <f>IF(E41="","",E41/'Report Inputs'!$C$78)</f>
      </c>
    </row>
    <row r="42">
      <c r="B42" s="585" t="inlineStr">
        <is>
          <t xml:space="preserve">Keiths Paint Shop LLC</t>
        </is>
      </c>
      <c r="C42" s="585" t="inlineStr">
        <is>
          <t xml:space="preserve">1609 / H-I</t>
        </is>
      </c>
      <c r="D42" s="585" t="inlineStr">
        <is>
          <t xml:space="preserve">Warehouse</t>
        </is>
      </c>
      <c r="E42" s="589">
        <v>3500</v>
      </c>
      <c r="F42" s="587">
        <v>6.25</v>
      </c>
      <c r="G42" s="585" t="inlineStr">
        <is>
          <t xml:space="preserve">NNN</t>
        </is>
      </c>
      <c r="H42" s="590">
        <v>45413</v>
      </c>
      <c r="I42" s="590">
        <v>45777</v>
      </c>
      <c r="J42" s="593">
        <f>IF(E42="","",N(E42)*N(F42))</f>
      </c>
      <c r="K42" s="598">
        <f>IF(OR(E42="",I42=""),"",MAX(0,(I42-$C$3)/365.25))</f>
      </c>
      <c r="L42" s="595">
        <f>IF(E42="","",E42/'Report Inputs'!$C$78)</f>
      </c>
    </row>
    <row r="43">
      <c r="B43" s="585" t="inlineStr">
        <is>
          <t xml:space="preserve">Certified Mapping and Technical Testing Inc.</t>
        </is>
      </c>
      <c r="C43" s="585" t="inlineStr">
        <is>
          <t xml:space="preserve">1707-09 / A07-B09</t>
        </is>
      </c>
      <c r="D43" s="585" t="inlineStr">
        <is>
          <t xml:space="preserve">Warehouse</t>
        </is>
      </c>
      <c r="E43" s="589">
        <v>15000</v>
      </c>
      <c r="F43" s="587">
        <v>4.02</v>
      </c>
      <c r="G43" s="585" t="inlineStr">
        <is>
          <t xml:space="preserve">NNN</t>
        </is>
      </c>
      <c r="H43" s="590">
        <v>45108</v>
      </c>
      <c r="I43" s="590">
        <v>45473</v>
      </c>
      <c r="J43" s="593">
        <f>IF(E43="","",N(E43)*N(F43))</f>
      </c>
      <c r="K43" s="598">
        <f>IF(OR(E43="",I43=""),"",MAX(0,(I43-$C$3)/365.25))</f>
      </c>
      <c r="L43" s="595">
        <f>IF(E43="","",E43/'Report Inputs'!$C$78)</f>
      </c>
    </row>
    <row r="44">
      <c r="B44" s="585" t="inlineStr">
        <is>
          <t xml:space="preserve">Good Bread</t>
        </is>
      </c>
      <c r="C44" s="585" t="inlineStr">
        <is>
          <t xml:space="preserve">1721-23 / A21</t>
        </is>
      </c>
      <c r="D44" s="585" t="inlineStr">
        <is>
          <t xml:space="preserve">Warehouse</t>
        </is>
      </c>
      <c r="E44" s="589">
        <v>7500</v>
      </c>
      <c r="F44" s="587">
        <v>8.24</v>
      </c>
      <c r="G44" s="585" t="inlineStr">
        <is>
          <t xml:space="preserve">NNN</t>
        </is>
      </c>
      <c r="H44" s="590">
        <v>45444</v>
      </c>
      <c r="I44" s="590">
        <v>45808</v>
      </c>
      <c r="J44" s="593">
        <f>IF(E44="","",N(E44)*N(F44))</f>
      </c>
      <c r="K44" s="598">
        <f>IF(OR(E44="",I44=""),"",MAX(0,(I44-$C$3)/365.25))</f>
      </c>
      <c r="L44" s="595">
        <f>IF(E44="","",E44/'Report Inputs'!$C$78)</f>
      </c>
    </row>
    <row r="45">
      <c r="B45" s="585" t="inlineStr">
        <is>
          <t xml:space="preserve">Good Bread</t>
        </is>
      </c>
      <c r="C45" s="585" t="inlineStr">
        <is>
          <t xml:space="preserve">1721-23 / B23</t>
        </is>
      </c>
      <c r="D45" s="585" t="inlineStr">
        <is>
          <t xml:space="preserve">Warehouse</t>
        </is>
      </c>
      <c r="E45" s="589">
        <v>2728.17</v>
      </c>
      <c r="F45" s="587">
        <v>8.24</v>
      </c>
      <c r="G45" s="585" t="inlineStr">
        <is>
          <t xml:space="preserve">NNN</t>
        </is>
      </c>
      <c r="H45" s="590">
        <v>45444</v>
      </c>
      <c r="I45" s="590">
        <v>45808</v>
      </c>
      <c r="J45" s="593">
        <f>IF(E45="","",N(E45)*N(F45))</f>
      </c>
      <c r="K45" s="598">
        <f>IF(OR(E45="",I45=""),"",MAX(0,(I45-$C$3)/365.25))</f>
      </c>
      <c r="L45" s="595">
        <f>IF(E45="","",E45/'Report Inputs'!$C$78)</f>
      </c>
    </row>
    <row r="46">
      <c r="B46" s="585" t="inlineStr">
        <is>
          <t xml:space="preserve">Good Bread Freezer</t>
        </is>
      </c>
      <c r="C46" s="585" t="inlineStr">
        <is>
          <t xml:space="preserve">1721-23 / C23 w/h freeze</t>
        </is>
      </c>
      <c r="D46" s="585" t="inlineStr">
        <is>
          <t xml:space="preserve">Warehouse</t>
        </is>
      </c>
      <c r="E46" s="589">
        <v>277.98</v>
      </c>
      <c r="F46" s="587">
        <v>8.24</v>
      </c>
      <c r="G46" s="585" t="inlineStr">
        <is>
          <t xml:space="preserve">NNN</t>
        </is>
      </c>
      <c r="H46" s="590">
        <v>45444</v>
      </c>
      <c r="I46" s="590">
        <v>45808</v>
      </c>
      <c r="J46" s="593">
        <f>IF(E46="","",N(E46)*N(F46))</f>
      </c>
      <c r="K46" s="598">
        <f>IF(OR(E46="",I46=""),"",MAX(0,(I46-$C$3)/365.25))</f>
      </c>
      <c r="L46" s="595">
        <f>IF(E46="","",E46/'Report Inputs'!$C$78)</f>
      </c>
    </row>
    <row r="47">
      <c r="B47" s="585" t="inlineStr">
        <is>
          <t xml:space="preserve">Good Bread</t>
        </is>
      </c>
      <c r="C47" s="585" t="inlineStr">
        <is>
          <t xml:space="preserve">1721-23 / C23 w/h</t>
        </is>
      </c>
      <c r="D47" s="585" t="inlineStr">
        <is>
          <t xml:space="preserve">Warehouse</t>
        </is>
      </c>
      <c r="E47" s="589">
        <v>4557.12</v>
      </c>
      <c r="F47" s="587">
        <v>8.24</v>
      </c>
      <c r="G47" s="585" t="inlineStr">
        <is>
          <t xml:space="preserve">NNN</t>
        </is>
      </c>
      <c r="H47" s="590">
        <v>45444</v>
      </c>
      <c r="I47" s="590">
        <v>45808</v>
      </c>
      <c r="J47" s="593">
        <f>IF(E47="","",N(E47)*N(F47))</f>
      </c>
      <c r="K47" s="598">
        <f>IF(OR(E47="",I47=""),"",MAX(0,(I47-$C$3)/365.25))</f>
      </c>
      <c r="L47" s="595">
        <f>IF(E47="","",E47/'Report Inputs'!$C$78)</f>
      </c>
    </row>
    <row r="48">
      <c r="B48" s="585" t="inlineStr">
        <is>
          <t xml:space="preserve">Coda Coffee Company</t>
        </is>
      </c>
      <c r="C48" s="585" t="inlineStr">
        <is>
          <t xml:space="preserve">1751 / A</t>
        </is>
      </c>
      <c r="D48" s="585" t="inlineStr">
        <is>
          <t xml:space="preserve">Warehouse</t>
        </is>
      </c>
      <c r="E48" s="589">
        <v>4866.3</v>
      </c>
      <c r="F48" s="587">
        <v>9.5</v>
      </c>
      <c r="G48" s="585" t="inlineStr">
        <is>
          <t xml:space="preserve">NNN</t>
        </is>
      </c>
      <c r="H48" s="590">
        <v>45170</v>
      </c>
      <c r="I48" s="590">
        <v>45535</v>
      </c>
      <c r="J48" s="593">
        <f>IF(E48="","",N(E48)*N(F48))</f>
      </c>
      <c r="K48" s="598">
        <f>IF(OR(E48="",I48=""),"",MAX(0,(I48-$C$3)/365.25))</f>
      </c>
      <c r="L48" s="595">
        <f>IF(E48="","",E48/'Report Inputs'!$C$78)</f>
      </c>
    </row>
    <row r="49">
      <c r="B49" s="585" t="inlineStr">
        <is>
          <t xml:space="preserve">Coda Coffee Company</t>
        </is>
      </c>
      <c r="C49" s="585" t="inlineStr">
        <is>
          <t xml:space="preserve">1751 / B-2</t>
        </is>
      </c>
      <c r="D49" s="585" t="inlineStr">
        <is>
          <t xml:space="preserve">Warehouse</t>
        </is>
      </c>
      <c r="E49" s="589">
        <v>1921.48</v>
      </c>
      <c r="F49" s="587">
        <v>9.5</v>
      </c>
      <c r="G49" s="585" t="inlineStr">
        <is>
          <t xml:space="preserve">NNN</t>
        </is>
      </c>
      <c r="H49" s="590">
        <v>45170</v>
      </c>
      <c r="I49" s="590">
        <v>45535</v>
      </c>
      <c r="J49" s="593">
        <f>IF(E49="","",N(E49)*N(F49))</f>
      </c>
      <c r="K49" s="598">
        <f>IF(OR(E49="",I49=""),"",MAX(0,(I49-$C$3)/365.25))</f>
      </c>
      <c r="L49" s="595">
        <f>IF(E49="","",E49/'Report Inputs'!$C$78)</f>
      </c>
    </row>
    <row r="50">
      <c r="B50" s="585" t="inlineStr">
        <is>
          <t xml:space="preserve">Coda Coffee Company</t>
        </is>
      </c>
      <c r="C50" s="585" t="inlineStr">
        <is>
          <t xml:space="preserve">1751 / B-1</t>
        </is>
      </c>
      <c r="D50" s="585" t="inlineStr">
        <is>
          <t xml:space="preserve">Warehouse</t>
        </is>
      </c>
      <c r="E50" s="589">
        <v>1132.83</v>
      </c>
      <c r="F50" s="587">
        <v>9.5</v>
      </c>
      <c r="G50" s="585" t="inlineStr">
        <is>
          <t xml:space="preserve">NNN</t>
        </is>
      </c>
      <c r="H50" s="590">
        <v>45170</v>
      </c>
      <c r="I50" s="590">
        <v>45535</v>
      </c>
      <c r="J50" s="593">
        <f>IF(E50="","",N(E50)*N(F50))</f>
      </c>
      <c r="K50" s="598">
        <f>IF(OR(E50="",I50=""),"",MAX(0,(I50-$C$3)/365.25))</f>
      </c>
      <c r="L50" s="595">
        <f>IF(E50="","",E50/'Report Inputs'!$C$78)</f>
      </c>
    </row>
    <row r="51">
      <c r="B51" s="585" t="inlineStr">
        <is>
          <t xml:space="preserve">Coda Coffee Company</t>
        </is>
      </c>
      <c r="C51" s="585" t="inlineStr">
        <is>
          <t xml:space="preserve">1751 / B-3</t>
        </is>
      </c>
      <c r="D51" s="585" t="inlineStr">
        <is>
          <t xml:space="preserve">Warehouse</t>
        </is>
      </c>
      <c r="E51" s="589">
        <v>3450</v>
      </c>
      <c r="F51" s="587">
        <v>9.5</v>
      </c>
      <c r="G51" s="585" t="inlineStr">
        <is>
          <t xml:space="preserve">NNN</t>
        </is>
      </c>
      <c r="H51" s="590">
        <v>45170</v>
      </c>
      <c r="I51" s="590">
        <v>45535</v>
      </c>
      <c r="J51" s="593">
        <f>IF(E51="","",N(E51)*N(F51))</f>
      </c>
      <c r="K51" s="598">
        <f>IF(OR(E51="",I51=""),"",MAX(0,(I51-$C$3)/365.25))</f>
      </c>
      <c r="L51" s="595">
        <f>IF(E51="","",E51/'Report Inputs'!$C$78)</f>
      </c>
    </row>
    <row r="52">
      <c r="B52" s="585" t="inlineStr">
        <is>
          <t xml:space="preserve">Coda Coffee Company</t>
        </is>
      </c>
      <c r="C52" s="585" t="inlineStr">
        <is>
          <t xml:space="preserve">1751 / D east</t>
        </is>
      </c>
      <c r="D52" s="585" t="inlineStr">
        <is>
          <t xml:space="preserve">Warehouse</t>
        </is>
      </c>
      <c r="E52" s="589">
        <v>855.88</v>
      </c>
      <c r="F52" s="587">
        <v>9.5</v>
      </c>
      <c r="G52" s="585" t="inlineStr">
        <is>
          <t xml:space="preserve">NNN</t>
        </is>
      </c>
      <c r="H52" s="590">
        <v>45170</v>
      </c>
      <c r="I52" s="590">
        <v>45535</v>
      </c>
      <c r="J52" s="593">
        <f>IF(E52="","",N(E52)*N(F52))</f>
      </c>
      <c r="K52" s="598">
        <f>IF(OR(E52="",I52=""),"",MAX(0,(I52-$C$3)/365.25))</f>
      </c>
      <c r="L52" s="595">
        <f>IF(E52="","",E52/'Report Inputs'!$C$78)</f>
      </c>
    </row>
    <row r="53">
      <c r="B53" s="585" t="inlineStr">
        <is>
          <t xml:space="preserve">Unoccupied (2nd floor small storage)</t>
        </is>
      </c>
      <c r="C53" s="585" t="inlineStr">
        <is>
          <t xml:space="preserve">1751 / D 2nd floor</t>
        </is>
      </c>
      <c r="D53" s="585" t="inlineStr">
        <is>
          <t xml:space="preserve">Warehouse</t>
        </is>
      </c>
      <c r="E53" s="589">
        <v>650.92</v>
      </c>
      <c r="F53" s="587"/>
      <c r="G53" s="585"/>
      <c r="H53" s="590"/>
      <c r="I53" s="590"/>
      <c r="J53" s="593">
        <f>IF(E53="","",N(E53)*N(F53))</f>
      </c>
      <c r="K53" s="598">
        <f>IF(OR(E53="",I53=""),"",MAX(0,(I53-$C$3)/365.25))</f>
      </c>
      <c r="L53" s="595">
        <f>IF(E53="","",E53/'Report Inputs'!$C$78)</f>
      </c>
    </row>
    <row r="54">
      <c r="B54" s="585" t="inlineStr">
        <is>
          <t xml:space="preserve">Coda Coffee Company</t>
        </is>
      </c>
      <c r="C54" s="585" t="inlineStr">
        <is>
          <t xml:space="preserve">1751 / D west</t>
        </is>
      </c>
      <c r="D54" s="585" t="inlineStr">
        <is>
          <t xml:space="preserve">Warehouse</t>
        </is>
      </c>
      <c r="E54" s="589">
        <v>993.08</v>
      </c>
      <c r="F54" s="587">
        <v>9.5</v>
      </c>
      <c r="G54" s="585" t="inlineStr">
        <is>
          <t xml:space="preserve">NNN</t>
        </is>
      </c>
      <c r="H54" s="590">
        <v>45170</v>
      </c>
      <c r="I54" s="590">
        <v>45535</v>
      </c>
      <c r="J54" s="593">
        <f>IF(E54="","",N(E54)*N(F54))</f>
      </c>
      <c r="K54" s="598">
        <f>IF(OR(E54="",I54=""),"",MAX(0,(I54-$C$3)/365.25))</f>
      </c>
      <c r="L54" s="595">
        <f>IF(E54="","",E54/'Report Inputs'!$C$78)</f>
      </c>
    </row>
    <row r="55">
      <c r="B55" s="585" t="inlineStr">
        <is>
          <t xml:space="preserve">Reliant Dry Ice</t>
        </is>
      </c>
      <c r="C55" s="585" t="inlineStr">
        <is>
          <t xml:space="preserve">1751 / E</t>
        </is>
      </c>
      <c r="D55" s="585" t="inlineStr">
        <is>
          <t xml:space="preserve">Warehouse</t>
        </is>
      </c>
      <c r="E55" s="589">
        <v>5000</v>
      </c>
      <c r="F55" s="587">
        <v>6.2</v>
      </c>
      <c r="G55" s="585" t="inlineStr">
        <is>
          <t xml:space="preserve">NNN</t>
        </is>
      </c>
      <c r="H55" s="590">
        <v>45231</v>
      </c>
      <c r="I55" s="590">
        <v>45596</v>
      </c>
      <c r="J55" s="593">
        <f>IF(E55="","",N(E55)*N(F55))</f>
      </c>
      <c r="K55" s="598">
        <f>IF(OR(E55="",I55=""),"",MAX(0,(I55-$C$3)/365.25))</f>
      </c>
      <c r="L55" s="595">
        <f>IF(E55="","",E55/'Report Inputs'!$C$78)</f>
      </c>
    </row>
    <row r="56">
      <c r="B56" s="585" t="inlineStr">
        <is>
          <t xml:space="preserve">ReEnergize</t>
        </is>
      </c>
      <c r="C56" s="585" t="inlineStr">
        <is>
          <t xml:space="preserve">1791 / A</t>
        </is>
      </c>
      <c r="D56" s="585" t="inlineStr">
        <is>
          <t xml:space="preserve">Warehouse</t>
        </is>
      </c>
      <c r="E56" s="589">
        <v>5157</v>
      </c>
      <c r="F56" s="587">
        <v>6.36</v>
      </c>
      <c r="G56" s="585" t="inlineStr">
        <is>
          <t xml:space="preserve">NNN</t>
        </is>
      </c>
      <c r="H56" s="590">
        <v>45444</v>
      </c>
      <c r="I56" s="590">
        <v>45808</v>
      </c>
      <c r="J56" s="593">
        <f>IF(E56="","",N(E56)*N(F56))</f>
      </c>
      <c r="K56" s="598">
        <f>IF(OR(E56="",I56=""),"",MAX(0,(I56-$C$3)/365.25))</f>
      </c>
      <c r="L56" s="595">
        <f>IF(E56="","",E56/'Report Inputs'!$C$78)</f>
      </c>
    </row>
    <row r="57">
      <c r="B57" s="585" t="inlineStr">
        <is>
          <t xml:space="preserve">Coda Coffee Company</t>
        </is>
      </c>
      <c r="C57" s="585" t="inlineStr">
        <is>
          <t xml:space="preserve">1791 / B</t>
        </is>
      </c>
      <c r="D57" s="585" t="inlineStr">
        <is>
          <t xml:space="preserve">Warehouse</t>
        </is>
      </c>
      <c r="E57" s="589">
        <v>4000</v>
      </c>
      <c r="F57" s="587">
        <v>9.5</v>
      </c>
      <c r="G57" s="585" t="inlineStr">
        <is>
          <t xml:space="preserve">NNN</t>
        </is>
      </c>
      <c r="H57" s="590">
        <v>45170</v>
      </c>
      <c r="I57" s="590">
        <v>45535</v>
      </c>
      <c r="J57" s="593">
        <f>IF(E57="","",N(E57)*N(F57))</f>
      </c>
      <c r="K57" s="598">
        <f>IF(OR(E57="",I57=""),"",MAX(0,(I57-$C$3)/365.25))</f>
      </c>
      <c r="L57" s="595">
        <f>IF(E57="","",E57/'Report Inputs'!$C$78)</f>
      </c>
    </row>
    <row r="58">
      <c r="B58" s="585" t="inlineStr">
        <is>
          <t xml:space="preserve">Allcomm Data Supplies Inc.</t>
        </is>
      </c>
      <c r="C58" s="585" t="inlineStr">
        <is>
          <t xml:space="preserve">1791 / C &amp; D</t>
        </is>
      </c>
      <c r="D58" s="585" t="inlineStr">
        <is>
          <t xml:space="preserve">Warehouse</t>
        </is>
      </c>
      <c r="E58" s="589">
        <v>4000</v>
      </c>
      <c r="F58" s="587">
        <v>5.4</v>
      </c>
      <c r="G58" s="585" t="inlineStr">
        <is>
          <t xml:space="preserve">NNN</t>
        </is>
      </c>
      <c r="H58" s="590">
        <v>44805</v>
      </c>
      <c r="I58" s="590">
        <v>45535</v>
      </c>
      <c r="J58" s="593">
        <f>IF(E58="","",N(E58)*N(F58))</f>
      </c>
      <c r="K58" s="598">
        <f>IF(OR(E58="",I58=""),"",MAX(0,(I58-$C$3)/365.25))</f>
      </c>
      <c r="L58" s="595">
        <f>IF(E58="","",E58/'Report Inputs'!$C$78)</f>
      </c>
    </row>
    <row r="59">
      <c r="B59" s="585" t="inlineStr">
        <is>
          <t xml:space="preserve">RossComm LLC</t>
        </is>
      </c>
      <c r="C59" s="585" t="inlineStr">
        <is>
          <t xml:space="preserve">1791 / E</t>
        </is>
      </c>
      <c r="D59" s="585" t="inlineStr">
        <is>
          <t xml:space="preserve">Warehouse</t>
        </is>
      </c>
      <c r="E59" s="589">
        <v>2000</v>
      </c>
      <c r="F59" s="587">
        <v>6.75</v>
      </c>
      <c r="G59" s="585" t="inlineStr">
        <is>
          <t xml:space="preserve">NNN</t>
        </is>
      </c>
      <c r="H59" s="590">
        <v>45413</v>
      </c>
      <c r="I59" s="590">
        <v>45777</v>
      </c>
      <c r="J59" s="593">
        <f>IF(E59="","",N(E59)*N(F59))</f>
      </c>
      <c r="K59" s="598">
        <f>IF(OR(E59="",I59=""),"",MAX(0,(I59-$C$3)/365.25))</f>
      </c>
      <c r="L59" s="595">
        <f>IF(E59="","",E59/'Report Inputs'!$C$78)</f>
      </c>
    </row>
    <row r="60">
      <c r="B60" s="585" t="inlineStr">
        <is>
          <t xml:space="preserve">R&amp;O Heating Inc.</t>
        </is>
      </c>
      <c r="C60" s="585" t="inlineStr">
        <is>
          <t xml:space="preserve">1791 / F</t>
        </is>
      </c>
      <c r="D60" s="585" t="inlineStr">
        <is>
          <t xml:space="preserve">Warehouse</t>
        </is>
      </c>
      <c r="E60" s="589">
        <v>2000</v>
      </c>
      <c r="F60" s="587">
        <v>7</v>
      </c>
      <c r="G60" s="585" t="inlineStr">
        <is>
          <t xml:space="preserve">NNN</t>
        </is>
      </c>
      <c r="H60" s="590">
        <v>45139</v>
      </c>
      <c r="I60" s="590">
        <v>45504</v>
      </c>
      <c r="J60" s="593">
        <f>IF(E60="","",N(E60)*N(F60))</f>
      </c>
      <c r="K60" s="598">
        <f>IF(OR(E60="",I60=""),"",MAX(0,(I60-$C$3)/365.25))</f>
      </c>
      <c r="L60" s="595">
        <f>IF(E60="","",E60/'Report Inputs'!$C$78)</f>
      </c>
    </row>
    <row r="61">
      <c r="B61" s="585" t="inlineStr">
        <is>
          <t xml:space="preserve">R&amp;O Heating Inc.</t>
        </is>
      </c>
      <c r="C61" s="585" t="inlineStr">
        <is>
          <t xml:space="preserve">1791 / G</t>
        </is>
      </c>
      <c r="D61" s="585" t="inlineStr">
        <is>
          <t xml:space="preserve">Warehouse</t>
        </is>
      </c>
      <c r="E61" s="589">
        <v>2000</v>
      </c>
      <c r="F61" s="587">
        <v>7</v>
      </c>
      <c r="G61" s="585" t="inlineStr">
        <is>
          <t xml:space="preserve">NNN</t>
        </is>
      </c>
      <c r="H61" s="590">
        <v>45139</v>
      </c>
      <c r="I61" s="590">
        <v>45504</v>
      </c>
      <c r="J61" s="593">
        <f>IF(E61="","",N(E61)*N(F61))</f>
      </c>
      <c r="K61" s="598">
        <f>IF(OR(E61="",I61=""),"",MAX(0,(I61-$C$3)/365.25))</f>
      </c>
      <c r="L61" s="595">
        <f>IF(E61="","",E61/'Report Inputs'!$C$78)</f>
      </c>
    </row>
    <row r="62">
      <c r="B62" s="585" t="inlineStr">
        <is>
          <t xml:space="preserve">R&amp;O Heating Inc.</t>
        </is>
      </c>
      <c r="C62" s="585" t="inlineStr">
        <is>
          <t xml:space="preserve">1791 / H</t>
        </is>
      </c>
      <c r="D62" s="585" t="inlineStr">
        <is>
          <t xml:space="preserve">Warehouse</t>
        </is>
      </c>
      <c r="E62" s="589">
        <v>2000</v>
      </c>
      <c r="F62" s="587">
        <v>7</v>
      </c>
      <c r="G62" s="585" t="inlineStr">
        <is>
          <t xml:space="preserve">NNN</t>
        </is>
      </c>
      <c r="H62" s="590">
        <v>45139</v>
      </c>
      <c r="I62" s="590">
        <v>45504</v>
      </c>
      <c r="J62" s="593">
        <f>IF(E62="","",N(E62)*N(F62))</f>
      </c>
      <c r="K62" s="598">
        <f>IF(OR(E62="",I62=""),"",MAX(0,(I62-$C$3)/365.25))</f>
      </c>
      <c r="L62" s="595">
        <f>IF(E62="","",E62/'Report Inputs'!$C$78)</f>
      </c>
    </row>
    <row r="63">
      <c r="B63" s="585" t="inlineStr">
        <is>
          <t xml:space="preserve">Harlan Bakeries Co LLC</t>
        </is>
      </c>
      <c r="C63" s="585" t="inlineStr">
        <is>
          <t xml:space="preserve">1791 / M</t>
        </is>
      </c>
      <c r="D63" s="585" t="inlineStr">
        <is>
          <t xml:space="preserve">Warehouse</t>
        </is>
      </c>
      <c r="E63" s="589">
        <v>2000</v>
      </c>
      <c r="F63" s="587">
        <v>6.24</v>
      </c>
      <c r="G63" s="585" t="inlineStr">
        <is>
          <t xml:space="preserve">NNN</t>
        </is>
      </c>
      <c r="H63" s="590">
        <v>44958</v>
      </c>
      <c r="I63" s="590">
        <v>45688</v>
      </c>
      <c r="J63" s="593">
        <f>IF(E63="","",N(E63)*N(F63))</f>
      </c>
      <c r="K63" s="598">
        <f>IF(OR(E63="",I63=""),"",MAX(0,(I63-$C$3)/365.25))</f>
      </c>
      <c r="L63" s="595">
        <f>IF(E63="","",E63/'Report Inputs'!$C$78)</f>
      </c>
    </row>
    <row r="64">
      <c r="B64" s="585" t="inlineStr">
        <is>
          <t xml:space="preserve">Mr. Dino's Baths</t>
        </is>
      </c>
      <c r="C64" s="585" t="inlineStr">
        <is>
          <t xml:space="preserve">1791 / N</t>
        </is>
      </c>
      <c r="D64" s="585" t="inlineStr">
        <is>
          <t xml:space="preserve">Warehouse</t>
        </is>
      </c>
      <c r="E64" s="589">
        <v>2000</v>
      </c>
      <c r="F64" s="587">
        <v>0</v>
      </c>
      <c r="G64" s="585" t="inlineStr">
        <is>
          <t xml:space="preserve">NNN</t>
        </is>
      </c>
      <c r="H64" s="590"/>
      <c r="I64" s="590">
        <v>45443</v>
      </c>
      <c r="J64" s="593">
        <f>IF(E64="","",N(E64)*N(F64))</f>
      </c>
      <c r="K64" s="598">
        <f>IF(OR(E64="",I64=""),"",MAX(0,(I64-$C$3)/365.25))</f>
      </c>
      <c r="L64" s="595">
        <f>IF(E64="","",E64/'Report Inputs'!$C$78)</f>
      </c>
    </row>
    <row r="65">
      <c r="B65" s="585" t="inlineStr">
        <is>
          <t xml:space="preserve">Colorado Comfort Air</t>
        </is>
      </c>
      <c r="C65" s="585" t="inlineStr">
        <is>
          <t xml:space="preserve">1771 / A/A-1</t>
        </is>
      </c>
      <c r="D65" s="585" t="inlineStr">
        <is>
          <t xml:space="preserve">Warehouse</t>
        </is>
      </c>
      <c r="E65" s="589">
        <v>3760</v>
      </c>
      <c r="F65" s="587">
        <v>6.2</v>
      </c>
      <c r="G65" s="585" t="inlineStr">
        <is>
          <t xml:space="preserve">NNN</t>
        </is>
      </c>
      <c r="H65" s="590">
        <v>45108</v>
      </c>
      <c r="I65" s="590">
        <v>45473</v>
      </c>
      <c r="J65" s="593">
        <f>IF(E65="","",N(E65)*N(F65))</f>
      </c>
      <c r="K65" s="598">
        <f>IF(OR(E65="",I65=""),"",MAX(0,(I65-$C$3)/365.25))</f>
      </c>
      <c r="L65" s="595">
        <f>IF(E65="","",E65/'Report Inputs'!$C$78)</f>
      </c>
    </row>
    <row r="66">
      <c r="B66" s="585" t="inlineStr">
        <is>
          <t xml:space="preserve">CODA Coffee</t>
        </is>
      </c>
      <c r="C66" s="585" t="inlineStr">
        <is>
          <t xml:space="preserve">1771 / B</t>
        </is>
      </c>
      <c r="D66" s="585" t="inlineStr">
        <is>
          <t xml:space="preserve">Warehouse</t>
        </is>
      </c>
      <c r="E66" s="589">
        <v>3987.76</v>
      </c>
      <c r="F66" s="587">
        <v>6</v>
      </c>
      <c r="G66" s="585" t="inlineStr">
        <is>
          <t xml:space="preserve">NNN</t>
        </is>
      </c>
      <c r="H66" s="590">
        <v>45337</v>
      </c>
      <c r="I66" s="590">
        <v>45535</v>
      </c>
      <c r="J66" s="593">
        <f>IF(E66="","",N(E66)*N(F66))</f>
      </c>
      <c r="K66" s="598">
        <f>IF(OR(E66="",I66=""),"",MAX(0,(I66-$C$3)/365.25))</f>
      </c>
      <c r="L66" s="595">
        <f>IF(E66="","",E66/'Report Inputs'!$C$78)</f>
      </c>
    </row>
    <row r="67">
      <c r="B67" s="585" t="inlineStr">
        <is>
          <t xml:space="preserve">REDCO Tire</t>
        </is>
      </c>
      <c r="C67" s="585" t="inlineStr">
        <is>
          <t xml:space="preserve">1771 / C</t>
        </is>
      </c>
      <c r="D67" s="585" t="inlineStr">
        <is>
          <t xml:space="preserve">Warehouse</t>
        </is>
      </c>
      <c r="E67" s="589">
        <v>2562.24</v>
      </c>
      <c r="F67" s="587">
        <v>6</v>
      </c>
      <c r="G67" s="585" t="inlineStr">
        <is>
          <t xml:space="preserve">NNN</t>
        </is>
      </c>
      <c r="H67" s="590">
        <v>45108</v>
      </c>
      <c r="I67" s="590">
        <v>45473</v>
      </c>
      <c r="J67" s="593">
        <f>IF(E67="","",N(E67)*N(F67))</f>
      </c>
      <c r="K67" s="598">
        <f>IF(OR(E67="",I67=""),"",MAX(0,(I67-$C$3)/365.25))</f>
      </c>
      <c r="L67" s="595">
        <f>IF(E67="","",E67/'Report Inputs'!$C$78)</f>
      </c>
    </row>
    <row r="68">
      <c r="B68" s="585" t="inlineStr">
        <is>
          <t xml:space="preserve">Coda Coffee</t>
        </is>
      </c>
      <c r="C68" s="585" t="inlineStr">
        <is>
          <t xml:space="preserve">1771 / D</t>
        </is>
      </c>
      <c r="D68" s="585" t="inlineStr">
        <is>
          <t xml:space="preserve">Warehouse</t>
        </is>
      </c>
      <c r="E68" s="589">
        <v>4585.15</v>
      </c>
      <c r="F68" s="587">
        <v>9.5</v>
      </c>
      <c r="G68" s="585" t="inlineStr">
        <is>
          <t xml:space="preserve">NNN</t>
        </is>
      </c>
      <c r="H68" s="590">
        <v>45170</v>
      </c>
      <c r="I68" s="590">
        <v>45535</v>
      </c>
      <c r="J68" s="593">
        <f>IF(E68="","",N(E68)*N(F68))</f>
      </c>
      <c r="K68" s="598">
        <f>IF(OR(E68="",I68=""),"",MAX(0,(I68-$C$3)/365.25))</f>
      </c>
      <c r="L68" s="595">
        <f>IF(E68="","",E68/'Report Inputs'!$C$78)</f>
      </c>
    </row>
    <row r="69">
      <c r="B69" s="585" t="inlineStr">
        <is>
          <t xml:space="preserve">Happel &amp; Associates Inc.</t>
        </is>
      </c>
      <c r="C69" s="585" t="inlineStr">
        <is>
          <t xml:space="preserve">1771 / E &amp; F</t>
        </is>
      </c>
      <c r="D69" s="585" t="inlineStr">
        <is>
          <t xml:space="preserve">Warehouse</t>
        </is>
      </c>
      <c r="E69" s="589">
        <v>5000</v>
      </c>
      <c r="F69" s="587">
        <v>6.49</v>
      </c>
      <c r="G69" s="585" t="inlineStr">
        <is>
          <t xml:space="preserve">NNN</t>
        </is>
      </c>
      <c r="H69" s="590">
        <v>45170</v>
      </c>
      <c r="I69" s="590">
        <v>45535</v>
      </c>
      <c r="J69" s="593">
        <f>IF(E69="","",N(E69)*N(F69))</f>
      </c>
      <c r="K69" s="598">
        <f>IF(OR(E69="",I69=""),"",MAX(0,(I69-$C$3)/365.25))</f>
      </c>
      <c r="L69" s="595">
        <f>IF(E69="","",E69/'Report Inputs'!$C$78)</f>
      </c>
    </row>
    <row r="70">
      <c r="B70" s="585" t="inlineStr">
        <is>
          <t xml:space="preserve">Harlan Bakeries</t>
        </is>
      </c>
      <c r="C70" s="585" t="inlineStr">
        <is>
          <t xml:space="preserve">1761 / A</t>
        </is>
      </c>
      <c r="D70" s="585" t="inlineStr">
        <is>
          <t xml:space="preserve">Warehouse</t>
        </is>
      </c>
      <c r="E70" s="589">
        <v>2625</v>
      </c>
      <c r="F70" s="587">
        <v>4.85</v>
      </c>
      <c r="G70" s="585" t="inlineStr">
        <is>
          <t xml:space="preserve">NNN</t>
        </is>
      </c>
      <c r="H70" s="590">
        <v>45170</v>
      </c>
      <c r="I70" s="590">
        <v>45535</v>
      </c>
      <c r="J70" s="593">
        <f>IF(E70="","",N(E70)*N(F70))</f>
      </c>
      <c r="K70" s="598">
        <f>IF(OR(E70="",I70=""),"",MAX(0,(I70-$C$3)/365.25))</f>
      </c>
      <c r="L70" s="595">
        <f>IF(E70="","",E70/'Report Inputs'!$C$78)</f>
      </c>
    </row>
    <row r="71">
      <c r="B71" s="585" t="inlineStr">
        <is>
          <t xml:space="preserve">Good Bread Inc.</t>
        </is>
      </c>
      <c r="C71" s="585" t="inlineStr">
        <is>
          <t xml:space="preserve">1761 / A-5</t>
        </is>
      </c>
      <c r="D71" s="585" t="inlineStr">
        <is>
          <t xml:space="preserve">Warehouse</t>
        </is>
      </c>
      <c r="E71" s="589">
        <v>3750</v>
      </c>
      <c r="F71" s="587">
        <v>5.1008</v>
      </c>
      <c r="G71" s="585" t="inlineStr">
        <is>
          <t xml:space="preserve">NNN</t>
        </is>
      </c>
      <c r="H71" s="590">
        <v>45444</v>
      </c>
      <c r="I71" s="590">
        <v>45808</v>
      </c>
      <c r="J71" s="593">
        <f>IF(E71="","",N(E71)*N(F71))</f>
      </c>
      <c r="K71" s="598">
        <f>IF(OR(E71="",I71=""),"",MAX(0,(I71-$C$3)/365.25))</f>
      </c>
      <c r="L71" s="595">
        <f>IF(E71="","",E71/'Report Inputs'!$C$78)</f>
      </c>
    </row>
    <row r="72">
      <c r="B72" s="585" t="inlineStr">
        <is>
          <t xml:space="preserve">Santa Fe Mechanical</t>
        </is>
      </c>
      <c r="C72" s="585" t="inlineStr">
        <is>
          <t xml:space="preserve">1761 / A3</t>
        </is>
      </c>
      <c r="D72" s="585" t="inlineStr">
        <is>
          <t xml:space="preserve">Warehouse</t>
        </is>
      </c>
      <c r="E72" s="589">
        <v>1250</v>
      </c>
      <c r="F72" s="587">
        <v>7.21</v>
      </c>
      <c r="G72" s="585" t="inlineStr">
        <is>
          <t xml:space="preserve">NNN</t>
        </is>
      </c>
      <c r="H72" s="590">
        <v>45170</v>
      </c>
      <c r="I72" s="590">
        <v>45535</v>
      </c>
      <c r="J72" s="593">
        <f>IF(E72="","",N(E72)*N(F72))</f>
      </c>
      <c r="K72" s="598">
        <f>IF(OR(E72="",I72=""),"",MAX(0,(I72-$C$3)/365.25))</f>
      </c>
      <c r="L72" s="595">
        <f>IF(E72="","",E72/'Report Inputs'!$C$78)</f>
      </c>
    </row>
    <row r="73">
      <c r="B73" s="585" t="inlineStr">
        <is>
          <t xml:space="preserve">Santa Fe Mechanical</t>
        </is>
      </c>
      <c r="C73" s="585" t="inlineStr">
        <is>
          <t xml:space="preserve">1761 / A4</t>
        </is>
      </c>
      <c r="D73" s="585" t="inlineStr">
        <is>
          <t xml:space="preserve">Warehouse</t>
        </is>
      </c>
      <c r="E73" s="589">
        <v>5000</v>
      </c>
      <c r="F73" s="587">
        <v>7.21</v>
      </c>
      <c r="G73" s="585" t="inlineStr">
        <is>
          <t xml:space="preserve">NNN</t>
        </is>
      </c>
      <c r="H73" s="590">
        <v>45170</v>
      </c>
      <c r="I73" s="590">
        <v>45535</v>
      </c>
      <c r="J73" s="593">
        <f>IF(E73="","",N(E73)*N(F73))</f>
      </c>
      <c r="K73" s="598">
        <f>IF(OR(E73="",I73=""),"",MAX(0,(I73-$C$3)/365.25))</f>
      </c>
      <c r="L73" s="595">
        <f>IF(E73="","",E73/'Report Inputs'!$C$78)</f>
      </c>
    </row>
    <row r="74">
      <c r="B74" s="585" t="inlineStr">
        <is>
          <t xml:space="preserve">Whatnot Ventures LLC</t>
        </is>
      </c>
      <c r="C74" s="585" t="inlineStr">
        <is>
          <t xml:space="preserve">1761 (cont.) / A1</t>
        </is>
      </c>
      <c r="D74" s="585" t="inlineStr">
        <is>
          <t xml:space="preserve">Warehouse</t>
        </is>
      </c>
      <c r="E74" s="589">
        <v>6675</v>
      </c>
      <c r="F74" s="587">
        <v>4.93</v>
      </c>
      <c r="G74" s="585" t="inlineStr">
        <is>
          <t xml:space="preserve">NNN</t>
        </is>
      </c>
      <c r="H74" s="590">
        <v>45444</v>
      </c>
      <c r="I74" s="590">
        <v>45808</v>
      </c>
      <c r="J74" s="593">
        <f>IF(E74="","",N(E74)*N(F74))</f>
      </c>
      <c r="K74" s="598">
        <f>IF(OR(E74="",I74=""),"",MAX(0,(I74-$C$3)/365.25))</f>
      </c>
      <c r="L74" s="595">
        <f>IF(E74="","",E74/'Report Inputs'!$C$78)</f>
      </c>
    </row>
    <row r="75">
      <c r="B75" s="585" t="inlineStr">
        <is>
          <t xml:space="preserve">Inland Island Brewing</t>
        </is>
      </c>
      <c r="C75" s="585" t="inlineStr">
        <is>
          <t xml:space="preserve">1761 (cont.) / A2</t>
        </is>
      </c>
      <c r="D75" s="585" t="inlineStr">
        <is>
          <t xml:space="preserve">Warehouse</t>
        </is>
      </c>
      <c r="E75" s="589">
        <v>3200</v>
      </c>
      <c r="F75" s="587">
        <v>4.54</v>
      </c>
      <c r="G75" s="585" t="inlineStr">
        <is>
          <t xml:space="preserve">NNN</t>
        </is>
      </c>
      <c r="H75" s="590">
        <v>44835</v>
      </c>
      <c r="I75" s="590">
        <v>45565</v>
      </c>
      <c r="J75" s="593">
        <f>IF(E75="","",N(E75)*N(F75))</f>
      </c>
      <c r="K75" s="598">
        <f>IF(OR(E75="",I75=""),"",MAX(0,(I75-$C$3)/365.25))</f>
      </c>
      <c r="L75" s="595">
        <f>IF(E75="","",E75/'Report Inputs'!$C$78)</f>
      </c>
    </row>
    <row r="76">
      <c r="B76" s="585" t="inlineStr">
        <is>
          <t xml:space="preserve">Inland Island Brewing</t>
        </is>
      </c>
      <c r="C76" s="585" t="inlineStr">
        <is>
          <t xml:space="preserve">1761 (cont.) / B</t>
        </is>
      </c>
      <c r="D76" s="585" t="inlineStr">
        <is>
          <t xml:space="preserve">Warehouse</t>
        </is>
      </c>
      <c r="E76" s="589">
        <v>2765</v>
      </c>
      <c r="F76" s="587">
        <v>4.54</v>
      </c>
      <c r="G76" s="585" t="inlineStr">
        <is>
          <t xml:space="preserve">NNN</t>
        </is>
      </c>
      <c r="H76" s="590">
        <v>44835</v>
      </c>
      <c r="I76" s="590">
        <v>45565</v>
      </c>
      <c r="J76" s="593">
        <f>IF(E76="","",N(E76)*N(F76))</f>
      </c>
      <c r="K76" s="598">
        <f>IF(OR(E76="",I76=""),"",MAX(0,(I76-$C$3)/365.25))</f>
      </c>
      <c r="L76" s="595">
        <f>IF(E76="","",E76/'Report Inputs'!$C$78)</f>
      </c>
    </row>
    <row r="77">
      <c r="B77" s="585" t="inlineStr">
        <is>
          <t xml:space="preserve">Inland Island Brewing</t>
        </is>
      </c>
      <c r="C77" s="585" t="inlineStr">
        <is>
          <t xml:space="preserve">1761 (cont.) / B add on</t>
        </is>
      </c>
      <c r="D77" s="585" t="inlineStr">
        <is>
          <t xml:space="preserve">Warehouse</t>
        </is>
      </c>
      <c r="E77" s="589">
        <v>1150</v>
      </c>
      <c r="F77" s="587">
        <v>6.25</v>
      </c>
      <c r="G77" s="585" t="inlineStr">
        <is>
          <t xml:space="preserve">NNN</t>
        </is>
      </c>
      <c r="H77" s="590">
        <v>45200</v>
      </c>
      <c r="I77" s="590">
        <v>45565</v>
      </c>
      <c r="J77" s="593">
        <f>IF(E77="","",N(E77)*N(F77))</f>
      </c>
      <c r="K77" s="598">
        <f>IF(OR(E77="",I77=""),"",MAX(0,(I77-$C$3)/365.25))</f>
      </c>
      <c r="L77" s="595">
        <f>IF(E77="","",E77/'Report Inputs'!$C$78)</f>
      </c>
    </row>
    <row r="78">
      <c r="B78" s="585" t="inlineStr">
        <is>
          <t xml:space="preserve">Coda Coffee</t>
        </is>
      </c>
      <c r="C78" s="585" t="inlineStr">
        <is>
          <t xml:space="preserve">1761 (cont.) / C&amp;D</t>
        </is>
      </c>
      <c r="D78" s="585" t="inlineStr">
        <is>
          <t xml:space="preserve">Warehouse</t>
        </is>
      </c>
      <c r="E78" s="589">
        <v>6465</v>
      </c>
      <c r="F78" s="587">
        <v>9.5</v>
      </c>
      <c r="G78" s="585" t="inlineStr">
        <is>
          <t xml:space="preserve">NNN</t>
        </is>
      </c>
      <c r="H78" s="590">
        <v>45200</v>
      </c>
      <c r="I78" s="590">
        <v>45565</v>
      </c>
      <c r="J78" s="593">
        <f>IF(E78="","",N(E78)*N(F78))</f>
      </c>
      <c r="K78" s="598">
        <f>IF(OR(E78="",I78=""),"",MAX(0,(I78-$C$3)/365.25))</f>
      </c>
      <c r="L78" s="595">
        <f>IF(E78="","",E78/'Report Inputs'!$C$78)</f>
      </c>
    </row>
    <row r="79">
      <c r="B79" s="585" t="inlineStr">
        <is>
          <t xml:space="preserve">Savory Retail Group, LLC</t>
        </is>
      </c>
      <c r="C79" s="585" t="inlineStr">
        <is>
          <t xml:space="preserve">1805 / A,B</t>
        </is>
      </c>
      <c r="D79" s="585" t="inlineStr">
        <is>
          <t xml:space="preserve">Warehouse</t>
        </is>
      </c>
      <c r="E79" s="589">
        <v>3000</v>
      </c>
      <c r="F79" s="587">
        <v>5.35</v>
      </c>
      <c r="G79" s="585" t="inlineStr">
        <is>
          <t xml:space="preserve">NNN</t>
        </is>
      </c>
      <c r="H79" s="590">
        <v>45383</v>
      </c>
      <c r="I79" s="590">
        <v>45747</v>
      </c>
      <c r="J79" s="593">
        <f>IF(E79="","",N(E79)*N(F79))</f>
      </c>
      <c r="K79" s="598">
        <f>IF(OR(E79="",I79=""),"",MAX(0,(I79-$C$3)/365.25))</f>
      </c>
      <c r="L79" s="595">
        <f>IF(E79="","",E79/'Report Inputs'!$C$78)</f>
      </c>
    </row>
    <row r="80">
      <c r="B80" s="585" t="inlineStr">
        <is>
          <t xml:space="preserve">Savory</t>
        </is>
      </c>
      <c r="C80" s="585" t="inlineStr">
        <is>
          <t xml:space="preserve">1805 / C</t>
        </is>
      </c>
      <c r="D80" s="585" t="inlineStr">
        <is>
          <t xml:space="preserve">Warehouse</t>
        </is>
      </c>
      <c r="E80" s="589">
        <v>3000</v>
      </c>
      <c r="F80" s="587">
        <v>5.35</v>
      </c>
      <c r="G80" s="585" t="inlineStr">
        <is>
          <t xml:space="preserve">NNN</t>
        </is>
      </c>
      <c r="H80" s="590">
        <v>45383</v>
      </c>
      <c r="I80" s="590">
        <v>45747</v>
      </c>
      <c r="J80" s="593">
        <f>IF(E80="","",N(E80)*N(F80))</f>
      </c>
      <c r="K80" s="598">
        <f>IF(OR(E80="",I80=""),"",MAX(0,(I80-$C$3)/365.25))</f>
      </c>
      <c r="L80" s="595">
        <f>IF(E80="","",E80/'Report Inputs'!$C$78)</f>
      </c>
    </row>
    <row r="81">
      <c r="B81" s="585" t="inlineStr">
        <is>
          <t xml:space="preserve">Savory</t>
        </is>
      </c>
      <c r="C81" s="585" t="inlineStr">
        <is>
          <t xml:space="preserve">1805 / D</t>
        </is>
      </c>
      <c r="D81" s="585" t="inlineStr">
        <is>
          <t xml:space="preserve">Warehouse</t>
        </is>
      </c>
      <c r="E81" s="589">
        <v>2000</v>
      </c>
      <c r="F81" s="587">
        <v>5.35</v>
      </c>
      <c r="G81" s="585" t="inlineStr">
        <is>
          <t xml:space="preserve">NNN</t>
        </is>
      </c>
      <c r="H81" s="590">
        <v>45383</v>
      </c>
      <c r="I81" s="590">
        <v>45747</v>
      </c>
      <c r="J81" s="593">
        <f>IF(E81="","",N(E81)*N(F81))</f>
      </c>
      <c r="K81" s="598">
        <f>IF(OR(E81="",I81=""),"",MAX(0,(I81-$C$3)/365.25))</f>
      </c>
      <c r="L81" s="595">
        <f>IF(E81="","",E81/'Report Inputs'!$C$78)</f>
      </c>
    </row>
    <row r="82">
      <c r="B82" s="585" t="inlineStr">
        <is>
          <t xml:space="preserve">Savory</t>
        </is>
      </c>
      <c r="C82" s="585" t="inlineStr">
        <is>
          <t xml:space="preserve">1805 / E,F,G</t>
        </is>
      </c>
      <c r="D82" s="585" t="inlineStr">
        <is>
          <t xml:space="preserve">Warehouse</t>
        </is>
      </c>
      <c r="E82" s="589">
        <v>6000</v>
      </c>
      <c r="F82" s="587">
        <v>5.35</v>
      </c>
      <c r="G82" s="585" t="inlineStr">
        <is>
          <t xml:space="preserve">NNN</t>
        </is>
      </c>
      <c r="H82" s="590">
        <v>45383</v>
      </c>
      <c r="I82" s="590">
        <v>45747</v>
      </c>
      <c r="J82" s="593">
        <f>IF(E82="","",N(E82)*N(F82))</f>
      </c>
      <c r="K82" s="598">
        <f>IF(OR(E82="",I82=""),"",MAX(0,(I82-$C$3)/365.25))</f>
      </c>
      <c r="L82" s="595">
        <f>IF(E82="","",E82/'Report Inputs'!$C$78)</f>
      </c>
    </row>
    <row r="83">
      <c r="B83" s="585" t="inlineStr">
        <is>
          <t xml:space="preserve">M.R. Solutions, Inc.</t>
        </is>
      </c>
      <c r="C83" s="585" t="inlineStr">
        <is>
          <t xml:space="preserve">1805 / H</t>
        </is>
      </c>
      <c r="D83" s="585" t="inlineStr">
        <is>
          <t xml:space="preserve">Warehouse</t>
        </is>
      </c>
      <c r="E83" s="589">
        <v>2000</v>
      </c>
      <c r="F83" s="587">
        <v>8.5</v>
      </c>
      <c r="G83" s="585" t="inlineStr">
        <is>
          <t xml:space="preserve">NNN</t>
        </is>
      </c>
      <c r="H83" s="590">
        <v>45139</v>
      </c>
      <c r="I83" s="590">
        <v>45504</v>
      </c>
      <c r="J83" s="593">
        <f>IF(E83="","",N(E83)*N(F83))</f>
      </c>
      <c r="K83" s="598">
        <f>IF(OR(E83="",I83=""),"",MAX(0,(I83-$C$3)/365.25))</f>
      </c>
      <c r="L83" s="595">
        <f>IF(E83="","",E83/'Report Inputs'!$C$78)</f>
      </c>
    </row>
    <row r="84">
      <c r="B84" s="585" t="inlineStr">
        <is>
          <t xml:space="preserve">M.R. Solutions, Inc.</t>
        </is>
      </c>
      <c r="C84" s="585" t="inlineStr">
        <is>
          <t xml:space="preserve">1805 / I</t>
        </is>
      </c>
      <c r="D84" s="585" t="inlineStr">
        <is>
          <t xml:space="preserve">Warehouse</t>
        </is>
      </c>
      <c r="E84" s="589">
        <v>2000</v>
      </c>
      <c r="F84" s="587">
        <v>8.5</v>
      </c>
      <c r="G84" s="585" t="inlineStr">
        <is>
          <t xml:space="preserve">NNN</t>
        </is>
      </c>
      <c r="H84" s="590">
        <v>45139</v>
      </c>
      <c r="I84" s="590">
        <v>45504</v>
      </c>
      <c r="J84" s="593">
        <f>IF(E84="","",N(E84)*N(F84))</f>
      </c>
      <c r="K84" s="598">
        <f>IF(OR(E84="",I84=""),"",MAX(0,(I84-$C$3)/365.25))</f>
      </c>
      <c r="L84" s="595">
        <f>IF(E84="","",E84/'Report Inputs'!$C$78)</f>
      </c>
    </row>
    <row r="85">
      <c r="B85" s="585" t="inlineStr">
        <is>
          <t xml:space="preserve">ReEnergize</t>
        </is>
      </c>
      <c r="C85" s="585" t="inlineStr">
        <is>
          <t xml:space="preserve">1805 / J-s</t>
        </is>
      </c>
      <c r="D85" s="585" t="inlineStr">
        <is>
          <t xml:space="preserve">Warehouse</t>
        </is>
      </c>
      <c r="E85" s="589">
        <v>2172</v>
      </c>
      <c r="F85" s="587">
        <v>5.72</v>
      </c>
      <c r="G85" s="585" t="inlineStr">
        <is>
          <t xml:space="preserve">NNN</t>
        </is>
      </c>
      <c r="H85" s="590">
        <v>45078</v>
      </c>
      <c r="I85" s="590">
        <v>45443</v>
      </c>
      <c r="J85" s="593">
        <f>IF(E85="","",N(E85)*N(F85))</f>
      </c>
      <c r="K85" s="598">
        <f>IF(OR(E85="",I85=""),"",MAX(0,(I85-$C$3)/365.25))</f>
      </c>
      <c r="L85" s="595">
        <f>IF(E85="","",E85/'Report Inputs'!$C$78)</f>
      </c>
    </row>
    <row r="86">
      <c r="B86" s="585" t="inlineStr">
        <is>
          <t xml:space="preserve">P&amp;H Equipment</t>
        </is>
      </c>
      <c r="C86" s="585" t="inlineStr">
        <is>
          <t xml:space="preserve">1805 / J (Ne)</t>
        </is>
      </c>
      <c r="D86" s="585" t="inlineStr">
        <is>
          <t xml:space="preserve">Warehouse</t>
        </is>
      </c>
      <c r="E86" s="589">
        <v>1475</v>
      </c>
      <c r="F86" s="587">
        <v>6.5</v>
      </c>
      <c r="G86" s="585" t="inlineStr">
        <is>
          <t xml:space="preserve">NNN</t>
        </is>
      </c>
      <c r="H86" s="590">
        <v>45170</v>
      </c>
      <c r="I86" s="590">
        <v>45535</v>
      </c>
      <c r="J86" s="593">
        <f>IF(E86="","",N(E86)*N(F86))</f>
      </c>
      <c r="K86" s="598">
        <f>IF(OR(E86="",I86=""),"",MAX(0,(I86-$C$3)/365.25))</f>
      </c>
      <c r="L86" s="595">
        <f>IF(E86="","",E86/'Report Inputs'!$C$78)</f>
      </c>
    </row>
    <row r="87">
      <c r="B87" s="585" t="inlineStr">
        <is>
          <t xml:space="preserve">ReEnergize</t>
        </is>
      </c>
      <c r="C87" s="585" t="inlineStr">
        <is>
          <t xml:space="preserve">1805 / J (Nw)</t>
        </is>
      </c>
      <c r="D87" s="585" t="inlineStr">
        <is>
          <t xml:space="preserve">Warehouse</t>
        </is>
      </c>
      <c r="E87" s="589">
        <v>440</v>
      </c>
      <c r="F87" s="587">
        <v>5.72</v>
      </c>
      <c r="G87" s="585" t="inlineStr">
        <is>
          <t xml:space="preserve">NNN</t>
        </is>
      </c>
      <c r="H87" s="590">
        <v>45078</v>
      </c>
      <c r="I87" s="590">
        <v>45443</v>
      </c>
      <c r="J87" s="593">
        <f>IF(E87="","",N(E87)*N(F87))</f>
      </c>
      <c r="K87" s="598">
        <f>IF(OR(E87="",I87=""),"",MAX(0,(I87-$C$3)/365.25))</f>
      </c>
      <c r="L87" s="595">
        <f>IF(E87="","",E87/'Report Inputs'!$C$78)</f>
      </c>
    </row>
    <row r="88">
      <c r="B88" s="585" t="inlineStr">
        <is>
          <t xml:space="preserve">ReEnergize</t>
        </is>
      </c>
      <c r="C88" s="585" t="inlineStr">
        <is>
          <t xml:space="preserve">1805 / K</t>
        </is>
      </c>
      <c r="D88" s="585" t="inlineStr">
        <is>
          <t xml:space="preserve">Warehouse</t>
        </is>
      </c>
      <c r="E88" s="589">
        <v>1325</v>
      </c>
      <c r="F88" s="587">
        <v>5.72</v>
      </c>
      <c r="G88" s="585" t="inlineStr">
        <is>
          <t xml:space="preserve">NNN</t>
        </is>
      </c>
      <c r="H88" s="590">
        <v>45078</v>
      </c>
      <c r="I88" s="590">
        <v>45443</v>
      </c>
      <c r="J88" s="593">
        <f>IF(E88="","",N(E88)*N(F88))</f>
      </c>
      <c r="K88" s="598">
        <f>IF(OR(E88="",I88=""),"",MAX(0,(I88-$C$3)/365.25))</f>
      </c>
      <c r="L88" s="595">
        <f>IF(E88="","",E88/'Report Inputs'!$C$78)</f>
      </c>
    </row>
    <row r="89">
      <c r="B89" s="585" t="inlineStr">
        <is>
          <t xml:space="preserve">ReEnergize</t>
        </is>
      </c>
      <c r="C89" s="585" t="inlineStr">
        <is>
          <t xml:space="preserve">1805 / K office</t>
        </is>
      </c>
      <c r="D89" s="585" t="inlineStr">
        <is>
          <t xml:space="preserve">Warehouse</t>
        </is>
      </c>
      <c r="E89" s="589">
        <v>680</v>
      </c>
      <c r="F89" s="587">
        <v>5.72</v>
      </c>
      <c r="G89" s="585" t="inlineStr">
        <is>
          <t xml:space="preserve">NNN</t>
        </is>
      </c>
      <c r="H89" s="590">
        <v>45078</v>
      </c>
      <c r="I89" s="590">
        <v>45443</v>
      </c>
      <c r="J89" s="593">
        <f>IF(E89="","",N(E89)*N(F89))</f>
      </c>
      <c r="K89" s="598">
        <f>IF(OR(E89="",I89=""),"",MAX(0,(I89-$C$3)/365.25))</f>
      </c>
      <c r="L89" s="595">
        <f>IF(E89="","",E89/'Report Inputs'!$C$78)</f>
      </c>
    </row>
    <row r="90">
      <c r="B90" s="585" t="inlineStr">
        <is>
          <t xml:space="preserve">ReEnergize</t>
        </is>
      </c>
      <c r="C90" s="585" t="inlineStr">
        <is>
          <t xml:space="preserve">1805 / L</t>
        </is>
      </c>
      <c r="D90" s="585" t="inlineStr">
        <is>
          <t xml:space="preserve">Warehouse</t>
        </is>
      </c>
      <c r="E90" s="589">
        <v>2005</v>
      </c>
      <c r="F90" s="587">
        <v>5.72</v>
      </c>
      <c r="G90" s="585" t="inlineStr">
        <is>
          <t xml:space="preserve">NNN</t>
        </is>
      </c>
      <c r="H90" s="590">
        <v>45078</v>
      </c>
      <c r="I90" s="590">
        <v>45443</v>
      </c>
      <c r="J90" s="593">
        <f>IF(E90="","",N(E90)*N(F90))</f>
      </c>
      <c r="K90" s="598">
        <f>IF(OR(E90="",I90=""),"",MAX(0,(I90-$C$3)/365.25))</f>
      </c>
      <c r="L90" s="595">
        <f>IF(E90="","",E90/'Report Inputs'!$C$78)</f>
      </c>
    </row>
    <row r="91">
      <c r="B91" s="585" t="inlineStr">
        <is>
          <t xml:space="preserve">Savory Spice</t>
        </is>
      </c>
      <c r="C91" s="585" t="inlineStr">
        <is>
          <t xml:space="preserve">1805 / M</t>
        </is>
      </c>
      <c r="D91" s="585" t="inlineStr">
        <is>
          <t xml:space="preserve">Warehouse</t>
        </is>
      </c>
      <c r="E91" s="589">
        <v>3005</v>
      </c>
      <c r="F91" s="587">
        <v>6.37</v>
      </c>
      <c r="G91" s="585" t="inlineStr">
        <is>
          <t xml:space="preserve">NNN</t>
        </is>
      </c>
      <c r="H91" s="590">
        <v>45444</v>
      </c>
      <c r="I91" s="590">
        <v>45808</v>
      </c>
      <c r="J91" s="593">
        <f>IF(E91="","",N(E91)*N(F91))</f>
      </c>
      <c r="K91" s="598">
        <f>IF(OR(E91="",I91=""),"",MAX(0,(I91-$C$3)/365.25))</f>
      </c>
      <c r="L91" s="595">
        <f>IF(E91="","",E91/'Report Inputs'!$C$78)</f>
      </c>
    </row>
    <row r="92">
      <c r="B92" s="585" t="inlineStr">
        <is>
          <t xml:space="preserve">Harlan</t>
        </is>
      </c>
      <c r="C92" s="585" t="inlineStr">
        <is>
          <t xml:space="preserve">1805 / N</t>
        </is>
      </c>
      <c r="D92" s="585" t="inlineStr">
        <is>
          <t xml:space="preserve">Warehouse</t>
        </is>
      </c>
      <c r="E92" s="589">
        <v>3000</v>
      </c>
      <c r="F92" s="587">
        <v>1.5</v>
      </c>
      <c r="G92" s="585" t="inlineStr">
        <is>
          <t xml:space="preserve">NNN</t>
        </is>
      </c>
      <c r="H92" s="590">
        <v>45170</v>
      </c>
      <c r="I92" s="590">
        <v>45535</v>
      </c>
      <c r="J92" s="593">
        <f>IF(E92="","",N(E92)*N(F92))</f>
      </c>
      <c r="K92" s="598">
        <f>IF(OR(E92="",I92=""),"",MAX(0,(I92-$C$3)/365.25))</f>
      </c>
      <c r="L92" s="595">
        <f>IF(E92="","",E92/'Report Inputs'!$C$78)</f>
      </c>
    </row>
    <row r="93">
      <c r="B93" s="585" t="inlineStr">
        <is>
          <t xml:space="preserve">Coda Coffee</t>
        </is>
      </c>
      <c r="C93" s="585" t="inlineStr">
        <is>
          <t xml:space="preserve">1805 / O1, O2, O3</t>
        </is>
      </c>
      <c r="D93" s="585" t="inlineStr">
        <is>
          <t xml:space="preserve">Warehouse</t>
        </is>
      </c>
      <c r="E93" s="589">
        <v>9000</v>
      </c>
      <c r="F93" s="587">
        <v>9.5</v>
      </c>
      <c r="G93" s="585" t="inlineStr">
        <is>
          <t xml:space="preserve">NNN</t>
        </is>
      </c>
      <c r="H93" s="590">
        <v>45170</v>
      </c>
      <c r="I93" s="590">
        <v>45535</v>
      </c>
      <c r="J93" s="593">
        <f>IF(E93="","",N(E93)*N(F93))</f>
      </c>
      <c r="K93" s="598">
        <f>IF(OR(E93="",I93=""),"",MAX(0,(I93-$C$3)/365.25))</f>
      </c>
      <c r="L93" s="595">
        <f>IF(E93="","",E93/'Report Inputs'!$C$78)</f>
      </c>
    </row>
    <row r="94">
      <c r="B94" s="585"/>
      <c r="C94" s="585"/>
      <c r="D94" s="585"/>
      <c r="E94" s="589"/>
      <c r="F94" s="587"/>
      <c r="G94" s="585"/>
      <c r="H94" s="590"/>
      <c r="I94" s="590"/>
      <c r="J94" s="593">
        <f>IF(E94="","",N(E94)*N(F94))</f>
      </c>
      <c r="K94" s="598">
        <f>IF(OR(E94="",I94=""),"",MAX(0,(I94-$C$3)/365.25))</f>
      </c>
      <c r="L94" s="595">
        <f>IF(E94="","",E94/'Report Inputs'!$C$78)</f>
      </c>
    </row>
    <row r="95">
      <c r="B95" s="585"/>
      <c r="C95" s="585"/>
      <c r="D95" s="585"/>
      <c r="E95" s="589"/>
      <c r="F95" s="587"/>
      <c r="G95" s="585"/>
      <c r="H95" s="590"/>
      <c r="I95" s="590"/>
      <c r="J95" s="593">
        <f>IF(E95="","",N(E95)*N(F95))</f>
      </c>
      <c r="K95" s="598">
        <f>IF(OR(E95="",I95=""),"",MAX(0,(I95-$C$3)/365.25))</f>
      </c>
      <c r="L95" s="595">
        <f>IF(E95="","",E95/'Report Inputs'!$C$78)</f>
      </c>
    </row>
    <row r="96">
      <c r="B96" s="584" t="inlineStr">
        <is>
          <t xml:space="preserve">TOTAL (all suites)</t>
        </is>
      </c>
      <c r="E96" s="601">
        <f>SUM(E6:E95)</f>
      </c>
      <c r="F96" s="600">
        <f>IF(C98=0,"",J96/C98)</f>
      </c>
      <c r="J96" s="599">
        <f>SUM(J6:J95)</f>
      </c>
      <c r="L96" s="603">
        <f>E96/'Report Inputs'!$C$78</f>
      </c>
    </row>
    <row r="98">
      <c r="B98" s="582" t="inlineStr">
        <is>
          <t xml:space="preserve">Leased (revenue) SF</t>
        </is>
      </c>
      <c r="C98" s="601">
        <f>SUMIF(G6:G95,"NNN",E6:E95)+SUMIF(G6:G95,"FSG",E6:E95)</f>
      </c>
    </row>
    <row r="99">
      <c r="B99" s="582" t="inlineStr">
        <is>
          <t xml:space="preserve">Vacant SF</t>
        </is>
      </c>
      <c r="C99" s="601">
        <f>SUMIF(B6:B95,"Vacant",E6:E95)</f>
      </c>
    </row>
    <row r="100">
      <c r="B100" s="582" t="inlineStr">
        <is>
          <t xml:space="preserve">Non-revenue SF (CA / mgmt / training / unocc.)</t>
        </is>
      </c>
      <c r="C100" s="601">
        <f>E96-C98-C99</f>
      </c>
    </row>
    <row r="101">
      <c r="B101" s="582" t="inlineStr">
        <is>
          <t xml:space="preserve">Occupancy (1 - vacant / total)</t>
        </is>
      </c>
      <c r="C101" s="603">
        <f>1-C99/E96</f>
      </c>
    </row>
    <row r="102">
      <c r="B102" s="582" t="inlineStr">
        <is>
          <t xml:space="preserve">WA base rent $/SF (leased SF)</t>
        </is>
      </c>
      <c r="C102" s="600">
        <f>J96/C98</f>
      </c>
    </row>
    <row r="103">
      <c r="B103" s="582" t="inlineStr">
        <is>
          <t xml:space="preserve">WALT - SF weighted (yrs)</t>
        </is>
      </c>
      <c r="C103" s="602">
        <f>SUMPRODUCT(N(+E6:E95),N(+K6:K95))/SUMPRODUCT((K6:K95&lt;&gt;"")*N(+E6:E95))</f>
      </c>
    </row>
    <row r="104">
      <c r="B104" s="582" t="inlineStr">
        <is>
          <t xml:space="preserve">WALT - rent weighted (yrs)</t>
        </is>
      </c>
      <c r="C104" s="602">
        <f>SUMPRODUCT(N(+J6:J95),N(+K6:K95))/SUMPRODUCT((K6:K95&lt;&gt;"")*N(+J6:J95))</f>
      </c>
    </row>
    <row r="105">
      <c r="B105" s="582" t="inlineStr">
        <is>
          <t xml:space="preserve">Lowest lease rate $/SF (NNN, &gt;0)</t>
        </is>
      </c>
      <c r="C105" s="594">
        <f>_xlfn.MINIFS(F6:F95,G6:G95,"NNN",F6:F95,"&gt;0")</f>
      </c>
    </row>
    <row r="106">
      <c r="B106" s="582" t="inlineStr">
        <is>
          <t xml:space="preserve">Highest lease rate $/SF (NNN)</t>
        </is>
      </c>
      <c r="C106" s="594">
        <f>_xlfn.MAXIFS(F6:F95,G6:G95,"NNN")</f>
      </c>
    </row>
    <row r="108">
      <c r="B108" s="583" t="inlineStr">
        <is>
          <t xml:space="preserve">Zero-rate leases (Mr. Dino's Baths 1791/N; Global IT 5806 A-n &amp; A-s) shown at $0.00 exactly as the source roll reports. WEIL Construction 5800 C &amp; E are full-service; rates derived from total monthly rent. See Lease Analysis tab for size/rent stratification.</t>
        </is>
      </c>
    </row>
  </sheetData>
</worksheet>
</file>

<file path=xl/worksheets/sheetVA3.xml><?xml version="1.0" encoding="utf-8"?>
<worksheet xmlns="http://schemas.openxmlformats.org/spreadsheetml/2006/main">
  <sheetViews>
    <sheetView showGridLines="0" workbookViewId="0"/>
  </sheetViews>
  <sheetFormatPr defaultRowHeight="15"/>
  <cols>
    <col min="1" max="1" width="2.5" customWidth="1"/>
    <col min="2" max="2" width="30" customWidth="1"/>
    <col min="3" max="3" width="17" customWidth="1"/>
    <col min="4" max="4" width="15" customWidth="1"/>
    <col min="5" max="5" width="15" customWidth="1"/>
    <col min="6" max="6" width="15" customWidth="1"/>
    <col min="7" max="7" width="15" customWidth="1"/>
  </cols>
  <sheetData>
    <row r="1">
      <c r="B1" s="578" t="inlineStr">
        <is>
          <t xml:space="preserve">COMPARABLE SALES GRID — Sales Comparison Approach</t>
        </is>
      </c>
    </row>
    <row r="2">
      <c r="B2" s="583" t="inlineStr">
        <is>
          <t xml:space="preserve">Subject auto-fills. Enter comps (yellow) from the WO / BAA Market best matches or CoStar. Adjustments as % (+ = comp inferior / adjust up).</t>
        </is>
      </c>
    </row>
    <row r="4">
      <c r="B4" s="584" t="inlineStr">
        <is>
          <t xml:space="preserve"/>
        </is>
      </c>
      <c r="C4" s="584" t="inlineStr">
        <is>
          <t xml:space="preserve">Subject</t>
        </is>
      </c>
      <c r="D4" s="584" t="inlineStr">
        <is>
          <t xml:space="preserve">Sale 1</t>
        </is>
      </c>
      <c r="E4" s="584" t="inlineStr">
        <is>
          <t xml:space="preserve">Sale 2</t>
        </is>
      </c>
      <c r="F4" s="584" t="inlineStr">
        <is>
          <t xml:space="preserve">Sale 3</t>
        </is>
      </c>
      <c r="G4" s="584" t="inlineStr">
        <is>
          <t xml:space="preserve">Sale 4</t>
        </is>
      </c>
    </row>
    <row r="5">
      <c r="B5" s="582" t="inlineStr">
        <is>
          <t xml:space="preserve">Address</t>
        </is>
      </c>
      <c r="C5" s="591">
        <f>Subj_Address</f>
      </c>
      <c r="D5" s="585"/>
      <c r="E5" s="585"/>
      <c r="F5" s="585"/>
      <c r="G5" s="585"/>
    </row>
    <row r="6">
      <c r="B6" s="582" t="inlineStr">
        <is>
          <t xml:space="preserve">Sale Date</t>
        </is>
      </c>
      <c r="C6" s="591" t="inlineStr">
        <is>
          <t xml:space="preserve">—</t>
        </is>
      </c>
      <c r="D6" s="590"/>
      <c r="E6" s="590"/>
      <c r="F6" s="590"/>
      <c r="G6" s="590"/>
    </row>
    <row r="7">
      <c r="B7" s="582" t="inlineStr">
        <is>
          <t xml:space="preserve">Sale Price</t>
        </is>
      </c>
      <c r="C7" s="591" t="inlineStr">
        <is>
          <t xml:space="preserve">—</t>
        </is>
      </c>
      <c r="D7" s="586"/>
      <c r="E7" s="586"/>
      <c r="F7" s="586"/>
      <c r="G7" s="586"/>
    </row>
    <row r="8">
      <c r="B8" s="582" t="inlineStr">
        <is>
          <t xml:space="preserve">Building SF</t>
        </is>
      </c>
      <c r="C8" s="596">
        <f>Subj_TotalBldgSF</f>
      </c>
      <c r="D8" s="589"/>
      <c r="E8" s="589"/>
      <c r="F8" s="589"/>
      <c r="G8" s="589"/>
    </row>
    <row r="9">
      <c r="B9" s="582" t="inlineStr">
        <is>
          <t xml:space="preserve">Price / SF</t>
        </is>
      </c>
      <c r="C9" s="591" t="inlineStr">
        <is>
          <t xml:space="preserve">—</t>
        </is>
      </c>
      <c r="D9" s="594">
        <f>IF(D7="","",D7/D8)</f>
      </c>
      <c r="E9" s="594">
        <f>IF(E7="","",E7/E8)</f>
      </c>
      <c r="F9" s="594">
        <f>IF(F7="","",F7/F8)</f>
      </c>
      <c r="G9" s="594">
        <f>IF(G7="","",G7/G8)</f>
      </c>
    </row>
    <row r="11">
      <c r="B11" s="581" t="inlineStr">
        <is>
          <t xml:space="preserve">Transactional / Market Adjustments</t>
        </is>
      </c>
    </row>
    <row r="12">
      <c r="B12" s="582" t="inlineStr">
        <is>
          <t xml:space="preserve">Transactional Adj (%)</t>
        </is>
      </c>
      <c r="D12" s="588">
        <v>0</v>
      </c>
      <c r="E12" s="588">
        <v>0</v>
      </c>
      <c r="F12" s="588">
        <v>0</v>
      </c>
      <c r="G12" s="588">
        <v>0</v>
      </c>
    </row>
    <row r="13">
      <c r="B13" s="582" t="inlineStr">
        <is>
          <t xml:space="preserve">Market Conditions (auto to DOV)</t>
        </is>
      </c>
      <c r="D13" s="595">
        <f>IF(D6="","",'Report Inputs'!$C$106*('Report Inputs'!$C$16-D6)/365.25)</f>
      </c>
      <c r="E13" s="595">
        <f>IF(E6="","",'Report Inputs'!$C$106*('Report Inputs'!$C$16-E6)/365.25)</f>
      </c>
      <c r="F13" s="595">
        <f>IF(F6="","",'Report Inputs'!$C$106*('Report Inputs'!$C$16-F6)/365.25)</f>
      </c>
      <c r="G13" s="595">
        <f>IF(G6="","",'Report Inputs'!$C$106*('Report Inputs'!$C$16-G6)/365.25)</f>
      </c>
    </row>
    <row r="14">
      <c r="B14" s="582" t="inlineStr">
        <is>
          <t xml:space="preserve">Adjusted Base $/SF</t>
        </is>
      </c>
      <c r="D14" s="594">
        <f>IF(D9="","",D9*(1+D12)*(1+D13))</f>
      </c>
      <c r="E14" s="594">
        <f>IF(E9="","",E9*(1+E12)*(1+E13))</f>
      </c>
      <c r="F14" s="594">
        <f>IF(F9="","",F9*(1+F12)*(1+F13))</f>
      </c>
      <c r="G14" s="594">
        <f>IF(G9="","",G9*(1+G12)*(1+G13))</f>
      </c>
    </row>
    <row r="16">
      <c r="B16" s="581" t="inlineStr">
        <is>
          <t xml:space="preserve">Property Adjustments (%)</t>
        </is>
      </c>
    </row>
    <row r="17">
      <c r="B17" s="582" t="inlineStr">
        <is>
          <t xml:space="preserve">Location</t>
        </is>
      </c>
      <c r="D17" s="588">
        <v>0</v>
      </c>
      <c r="E17" s="588">
        <v>0</v>
      </c>
      <c r="F17" s="588">
        <v>0</v>
      </c>
      <c r="G17" s="588">
        <v>0</v>
      </c>
    </row>
    <row r="18">
      <c r="B18" s="582" t="inlineStr">
        <is>
          <t xml:space="preserve">Building Size</t>
        </is>
      </c>
      <c r="D18" s="588">
        <v>0</v>
      </c>
      <c r="E18" s="588">
        <v>0</v>
      </c>
      <c r="F18" s="588">
        <v>0</v>
      </c>
      <c r="G18" s="588">
        <v>0</v>
      </c>
    </row>
    <row r="19">
      <c r="B19" s="582" t="inlineStr">
        <is>
          <t xml:space="preserve">Age / Condition</t>
        </is>
      </c>
      <c r="D19" s="588">
        <v>0</v>
      </c>
      <c r="E19" s="588">
        <v>0</v>
      </c>
      <c r="F19" s="588">
        <v>0</v>
      </c>
      <c r="G19" s="588">
        <v>0</v>
      </c>
    </row>
    <row r="20">
      <c r="B20" s="582" t="inlineStr">
        <is>
          <t xml:space="preserve">Land-to-Building Ratio</t>
        </is>
      </c>
      <c r="D20" s="588">
        <v>0</v>
      </c>
      <c r="E20" s="588">
        <v>0</v>
      </c>
      <c r="F20" s="588">
        <v>0</v>
      </c>
      <c r="G20" s="588">
        <v>0</v>
      </c>
    </row>
    <row r="21">
      <c r="B21" s="582" t="inlineStr">
        <is>
          <t xml:space="preserve">Industrial Amenities / Layout</t>
        </is>
      </c>
      <c r="D21" s="588">
        <v>0</v>
      </c>
      <c r="E21" s="588">
        <v>0</v>
      </c>
      <c r="F21" s="588">
        <v>0</v>
      </c>
      <c r="G21" s="588">
        <v>0</v>
      </c>
    </row>
    <row r="22">
      <c r="B22" s="582" t="inlineStr">
        <is>
          <t xml:space="preserve">Net Property Adjustment</t>
        </is>
      </c>
      <c r="D22" s="595">
        <f>IF(D9="","",SUM(D17:D21))</f>
      </c>
      <c r="E22" s="595">
        <f>IF(E9="","",SUM(E17:E21))</f>
      </c>
      <c r="F22" s="595">
        <f>IF(F9="","",SUM(F17:F21))</f>
      </c>
      <c r="G22" s="595">
        <f>IF(G9="","",SUM(G17:G21))</f>
      </c>
    </row>
    <row r="23">
      <c r="B23" s="584" t="inlineStr">
        <is>
          <t xml:space="preserve">ADJUSTED PRICE / SF</t>
        </is>
      </c>
      <c r="D23" s="600">
        <f>IF(D9="","",D14*(1+D22))</f>
      </c>
      <c r="E23" s="600">
        <f>IF(E9="","",E14*(1+E22))</f>
      </c>
      <c r="F23" s="600">
        <f>IF(F9="","",F14*(1+F22))</f>
      </c>
      <c r="G23" s="600">
        <f>IF(G9="","",G14*(1+G22))</f>
      </c>
    </row>
    <row r="25">
      <c r="B25" s="581" t="inlineStr">
        <is>
          <t xml:space="preserve">Adjusted Range</t>
        </is>
      </c>
    </row>
    <row r="26">
      <c r="B26" s="582" t="inlineStr">
        <is>
          <t xml:space="preserve">Minimum</t>
        </is>
      </c>
      <c r="C26" s="594">
        <f>IFERROR(MIN(D23:G23),"")</f>
      </c>
    </row>
    <row r="27">
      <c r="B27" s="582" t="inlineStr">
        <is>
          <t xml:space="preserve">Maximum</t>
        </is>
      </c>
      <c r="C27" s="594">
        <f>IFERROR(MAX(D23:G23),"")</f>
      </c>
    </row>
    <row r="28">
      <c r="B28" s="582" t="inlineStr">
        <is>
          <t xml:space="preserve">Average</t>
        </is>
      </c>
      <c r="C28" s="594">
        <f>IFERROR(AVERAGE(D23:G23),"")</f>
      </c>
    </row>
    <row r="29">
      <c r="B29" s="582" t="inlineStr">
        <is>
          <t xml:space="preserve">Median</t>
        </is>
      </c>
      <c r="C29" s="594">
        <f>IFERROR(MEDIAN(D23:G23),"")</f>
      </c>
    </row>
    <row r="31">
      <c r="B31" s="582" t="inlineStr">
        <is>
          <t xml:space="preserve">Concluded $/SF (input)</t>
        </is>
      </c>
      <c r="C31" s="587"/>
    </row>
    <row r="32">
      <c r="B32" s="584" t="inlineStr">
        <is>
          <t xml:space="preserve">SALES COMPARISON VALUE</t>
        </is>
      </c>
      <c r="C32" s="599">
        <f>IFERROR(ROUND(C31*Subj_TotalBldgSF,-3),"")</f>
      </c>
    </row>
    <row r="33">
      <c r="B33" s="582" t="inlineStr">
        <is>
          <t xml:space="preserve">   per SF (rounded)</t>
        </is>
      </c>
      <c r="C33" s="594">
        <f>IFERROR(C32/Subj_TotalBldgSF,"")</f>
      </c>
    </row>
  </sheetData>
</worksheet>
</file>

<file path=xl/worksheets/sheetVA4.xml><?xml version="1.0" encoding="utf-8"?>
<worksheet xmlns="http://schemas.openxmlformats.org/spreadsheetml/2006/main">
  <sheetViews>
    <sheetView showGridLines="0" workbookViewId="0">
      <pane ySplit="5" topLeftCell="A6" activePane="bottomLeft" state="frozen"/>
    </sheetView>
  </sheetViews>
  <sheetFormatPr defaultRowHeight="15"/>
  <cols>
    <col min="1" max="1" width="2.5" customWidth="1"/>
    <col min="2" max="2" width="44" customWidth="1"/>
    <col min="3" max="3" width="16" customWidth="1"/>
    <col min="4" max="4" width="52" customWidth="1"/>
  </cols>
  <sheetData>
    <row r="1">
      <c r="B1" s="578" t="inlineStr">
        <is>
          <t xml:space="preserve">INCOME APPROACH — DIRECT CAPITALIZATION (unloaded)</t>
        </is>
      </c>
    </row>
    <row r="2">
      <c r="B2" s="583" t="inlineStr">
        <is>
          <t xml:space="preserve">Exact inputs, no blends: office and warehouse at their own market rents on their own square footage; reimbursements and expenses at reported 2024 actuals to the cent; unloaded market OAR (tax stays in expenses, tax recovery stays in reimbursements).</t>
        </is>
      </c>
    </row>
    <row r="4">
      <c r="B4" s="582" t="inlineStr">
        <is>
          <t xml:space="preserve">Office SF (occupied, per rent roll)</t>
        </is>
      </c>
      <c r="C4" s="589">
        <v>17742</v>
      </c>
      <c r="D4" s="583" t="inlineStr">
        <is>
          <t xml:space="preserve">Rent roll 6/30/2024 office total</t>
        </is>
      </c>
    </row>
    <row r="5">
      <c r="B5" s="582" t="inlineStr">
        <is>
          <t xml:space="preserve">Office market rent ($/SF NNN)</t>
        </is>
      </c>
      <c r="C5" s="587">
        <v>22.5</v>
      </c>
      <c r="D5" s="583" t="inlineStr">
        <is>
          <t xml:space="preserve">Lease comps $18.00-$25.00, avg $22.32, median $23.26</t>
        </is>
      </c>
    </row>
    <row r="6">
      <c r="B6" s="582" t="inlineStr">
        <is>
          <t xml:space="preserve">Office income</t>
        </is>
      </c>
      <c r="C6" s="593">
        <f>C4*C5</f>
      </c>
    </row>
    <row r="7">
      <c r="B7" s="582" t="inlineStr">
        <is>
          <t xml:space="preserve">Warehouse SF (itemized leasable suites)</t>
        </is>
      </c>
      <c r="C7" s="589">
        <v>190153</v>
      </c>
      <c r="D7" s="583" t="inlineStr">
        <is>
          <t xml:space="preserve">Sum of warehouse suites; Petitioner used 199,466 (see Size Analysis, CityView workbook)</t>
        </is>
      </c>
    </row>
    <row r="8">
      <c r="B8" s="582" t="inlineStr">
        <is>
          <t xml:space="preserve">Warehouse market rent ($/SF NNN)</t>
        </is>
      </c>
      <c r="C8" s="587">
        <v>11</v>
      </c>
      <c r="D8" s="583" t="inlineStr">
        <is>
          <t xml:space="preserve">Industrial comps $8.49-$12.03</t>
        </is>
      </c>
    </row>
    <row r="9">
      <c r="B9" s="582" t="inlineStr">
        <is>
          <t xml:space="preserve">Warehouse income</t>
        </is>
      </c>
      <c r="C9" s="593">
        <f>C7*C8</f>
      </c>
    </row>
    <row r="10">
      <c r="B10" s="582" t="inlineStr">
        <is>
          <t xml:space="preserve">Outside storage income</t>
        </is>
      </c>
      <c r="C10" s="586">
        <v>35000</v>
      </c>
      <c r="D10" s="583" t="inlineStr">
        <is>
          <t xml:space="preserve">Petitioner Exhibit G figure (adjacent PSCo parcel excluded)</t>
        </is>
      </c>
    </row>
    <row r="11">
      <c r="B11" s="582" t="inlineStr">
        <is>
          <t xml:space="preserve">Other income (late charges)</t>
        </is>
      </c>
      <c r="C11" s="586">
        <v>30000</v>
      </c>
      <c r="D11" s="583" t="inlineStr">
        <is>
          <t xml:space="preserve">Petitioner Exhibit G figure</t>
        </is>
      </c>
    </row>
    <row r="12">
      <c r="B12" s="584" t="inlineStr">
        <is>
          <t xml:space="preserve">Potential Gross Income</t>
        </is>
      </c>
      <c r="C12" s="599">
        <f>C6+C9+C10+C11</f>
      </c>
    </row>
    <row r="13">
      <c r="B13" s="582" t="inlineStr">
        <is>
          <t xml:space="preserve">Less: Vacancy &amp; Collection</t>
        </is>
      </c>
      <c r="C13" s="593">
        <f>-ROUND(C12*'Report Inputs'!$C$107,0)</f>
      </c>
      <c r="D13" s="583" t="inlineStr">
        <is>
          <t xml:space="preserve">5.0% per Report Inputs; actual vacancy 0.4%</t>
        </is>
      </c>
    </row>
    <row r="14">
      <c r="B14" s="582" t="inlineStr">
        <is>
          <t xml:space="preserve">Effective Rental Income</t>
        </is>
      </c>
      <c r="C14" s="593">
        <f>C12+C13</f>
      </c>
    </row>
    <row r="15">
      <c r="B15" s="582" t="inlineStr">
        <is>
          <t xml:space="preserve">Add: Expense Reimbursements (2024 actual)</t>
        </is>
      </c>
      <c r="C15" s="586">
        <v>1446433.16</v>
      </c>
      <c r="D15" s="583" t="inlineStr">
        <is>
          <t xml:space="preserve">Exhibit D: CAM/Taxes/Insurance reimbursements</t>
        </is>
      </c>
    </row>
    <row r="16">
      <c r="B16" s="584" t="inlineStr">
        <is>
          <t xml:space="preserve">Effective Gross Income</t>
        </is>
      </c>
      <c r="C16" s="599">
        <f>C14+C15</f>
      </c>
    </row>
    <row r="17">
      <c r="B17" s="582" t="inlineStr">
        <is>
          <t xml:space="preserve">Less: Operating Expenses (2024 actual)</t>
        </is>
      </c>
      <c r="C17" s="586">
        <v>1727787.43</v>
      </c>
      <c r="D17" s="583" t="inlineStr">
        <is>
          <t xml:space="preserve">Exhibit C-1 total operating expenses (incl. property tax $774,996)</t>
        </is>
      </c>
    </row>
    <row r="18">
      <c r="B18" s="584" t="inlineStr">
        <is>
          <t xml:space="preserve">NET OPERATING INCOME</t>
        </is>
      </c>
      <c r="C18" s="599">
        <f>C16-C17</f>
      </c>
    </row>
    <row r="19">
      <c r="B19" s="582" t="inlineStr">
        <is>
          <t xml:space="preserve">Overall Cap Rate (unloaded)</t>
        </is>
      </c>
      <c r="C19" s="595">
        <f>'Report Inputs'!$C$108</f>
      </c>
      <c r="D19" s="583" t="inlineStr">
        <is>
          <t xml:space="preserve">Report Inputs; petitioner used same 7.25% base</t>
        </is>
      </c>
    </row>
    <row r="20">
      <c r="B20" s="584" t="inlineStr">
        <is>
          <t xml:space="preserve">INDICATED VALUE</t>
        </is>
      </c>
      <c r="C20" s="599">
        <f>IFERROR(C18/C19,"")</f>
      </c>
    </row>
    <row r="21">
      <c r="B21" s="584" t="inlineStr">
        <is>
          <t xml:space="preserve">Rounded</t>
        </is>
      </c>
      <c r="C21" s="599">
        <f>IFERROR(ROUND(C20,-3),"")</f>
      </c>
    </row>
    <row r="22">
      <c r="B22" s="582" t="inlineStr">
        <is>
          <t xml:space="preserve">Value per SF (on 209,208 SF NRA)</t>
        </is>
      </c>
      <c r="C22" s="594">
        <f>IFERROR(C20/'Report Inputs'!$C$78,"")</f>
      </c>
    </row>
    <row r="25">
      <c r="B25" s="582" t="inlineStr">
        <is>
          <t xml:space="preserve">Reference: in-place actual rent (Rent Roll)</t>
        </is>
      </c>
      <c r="C25" s="593">
        <f>IFERROR('Rent Roll'!J96,"")</f>
      </c>
      <c r="D25" s="583" t="inlineStr">
        <is>
          <t xml:space="preserve">Actual base rent $6.37/SF WA - the below-market in-place level; market rent governs fee simple</t>
        </is>
      </c>
    </row>
  </sheetData>
</worksheet>
</file>

<file path=xl/worksheets/sheetVA5.xml><?xml version="1.0" encoding="utf-8"?>
<worksheet xmlns="http://schemas.openxmlformats.org/spreadsheetml/2006/main">
  <sheetViews>
    <sheetView showGridLines="0" workbookViewId="0"/>
  </sheetViews>
  <sheetFormatPr defaultRowHeight="15"/>
  <cols>
    <col min="1" max="1" width="2.5" customWidth="1"/>
    <col min="2" max="2" width="36" customWidth="1"/>
    <col min="3" max="3" width="52" customWidth="1"/>
    <col min="4" max="4" width="20" customWidth="1"/>
  </cols>
  <sheetData>
    <row r="1">
      <c r="B1" s="578" t="inlineStr">
        <is>
          <t xml:space="preserve">REPORT TABLES — copy each block into the Word report</t>
        </is>
      </c>
    </row>
    <row r="2">
      <c r="B2" s="583" t="inlineStr">
        <is>
          <t xml:space="preserve">Everything below is formula-driven from Report Inputs / Rent Roll / Sales Grid / Direct Cap. Do not type here - fix the inputs instead.</t>
        </is>
      </c>
    </row>
    <row r="4">
      <c r="B4" s="579" t="inlineStr">
        <is>
          <t xml:space="preserve">  SUMMARY OF SALIENT FACTS / APPRAISAL INFORMATION</t>
        </is>
      </c>
      <c r="C4" s="579"/>
      <c r="D4" s="579"/>
    </row>
    <row r="5">
      <c r="B5" s="582" t="inlineStr">
        <is>
          <t xml:space="preserve">Intended User</t>
        </is>
      </c>
      <c r="C5" s="592">
        <f>IF('Report Inputs'!$C$12="","",'Report Inputs'!$C$12)</f>
      </c>
    </row>
    <row r="6">
      <c r="B6" s="582" t="inlineStr">
        <is>
          <t xml:space="preserve">Intended Use</t>
        </is>
      </c>
      <c r="C6" s="592">
        <f>IF('Report Inputs'!$C$13="","",'Report Inputs'!$C$13)</f>
      </c>
    </row>
    <row r="7">
      <c r="B7" s="582" t="inlineStr">
        <is>
          <t xml:space="preserve">Values Concluded</t>
        </is>
      </c>
      <c r="C7" s="592">
        <f>IF('Report Inputs'!$C$14="","",'Report Inputs'!$C$14)</f>
      </c>
    </row>
    <row r="8">
      <c r="B8" s="582" t="inlineStr">
        <is>
          <t xml:space="preserve">Property Rights Appraised / Premise</t>
        </is>
      </c>
      <c r="C8" s="592">
        <f>IF('Report Inputs'!$C$15="","",'Report Inputs'!$C$15)</f>
      </c>
    </row>
    <row r="9">
      <c r="B9" s="582" t="inlineStr">
        <is>
          <t xml:space="preserve">Premise Summary</t>
        </is>
      </c>
      <c r="C9" s="592">
        <f>"Retrospective Market Value As Is - "&amp;TEXT('Report Inputs'!$C$16,"mmmm d, yyyy")</f>
      </c>
    </row>
    <row r="10">
      <c r="B10" s="582" t="inlineStr">
        <is>
          <t xml:space="preserve">Date of Inspection</t>
        </is>
      </c>
      <c r="C10" s="592">
        <f>TEXT('Report Inputs'!$C$17,"mmmm d, yyyy")</f>
      </c>
    </row>
    <row r="11">
      <c r="B11" s="582" t="inlineStr">
        <is>
          <t xml:space="preserve">Report Date</t>
        </is>
      </c>
      <c r="C11" s="592">
        <f>TEXT('Report Inputs'!$C$18,"mmmm d, yyyy")</f>
      </c>
    </row>
    <row r="12">
      <c r="B12" s="582" t="inlineStr">
        <is>
          <t xml:space="preserve">Marketing Time</t>
        </is>
      </c>
      <c r="C12" s="592">
        <f>IF('Report Inputs'!$C$19="","",'Report Inputs'!$C$19)</f>
      </c>
    </row>
    <row r="13">
      <c r="B13" s="582" t="inlineStr">
        <is>
          <t xml:space="preserve">Exposure Time</t>
        </is>
      </c>
      <c r="C13" s="592">
        <f>IF('Report Inputs'!$C$20="","",'Report Inputs'!$C$20)</f>
      </c>
    </row>
    <row r="14">
      <c r="B14" s="582" t="inlineStr">
        <is>
          <t xml:space="preserve">Owner of Record</t>
        </is>
      </c>
      <c r="C14" s="592">
        <f>IF('Report Inputs'!$C$21="","",'Report Inputs'!$C$21)</f>
      </c>
    </row>
    <row r="15">
      <c r="B15" s="582" t="inlineStr">
        <is>
          <t xml:space="preserve">Property Contact(s)</t>
        </is>
      </c>
      <c r="C15" s="592">
        <f>IF('Report Inputs'!$C$22="","",'Report Inputs'!$C$22)</f>
      </c>
    </row>
    <row r="16">
      <c r="B16" s="582" t="inlineStr">
        <is>
          <t xml:space="preserve">Most Probable Purchaser</t>
        </is>
      </c>
      <c r="C16" s="592">
        <f>IF('Report Inputs'!$C$23="","",'Report Inputs'!$C$23)</f>
      </c>
    </row>
    <row r="17">
      <c r="B17" s="582" t="inlineStr">
        <is>
          <t xml:space="preserve">Highest and Best Use - If Vacant</t>
        </is>
      </c>
      <c r="C17" s="592">
        <f>IF('Report Inputs'!$C$24="","",'Report Inputs'!$C$24)</f>
      </c>
    </row>
    <row r="18">
      <c r="B18" s="582" t="inlineStr">
        <is>
          <t xml:space="preserve">Highest and Best Use - As Improved</t>
        </is>
      </c>
      <c r="C18" s="592">
        <f>IF('Report Inputs'!$C$25="","",'Report Inputs'!$C$25)</f>
      </c>
    </row>
    <row r="20">
      <c r="B20" s="579" t="inlineStr">
        <is>
          <t xml:space="preserve">  SITE CHARACTERISTICS</t>
        </is>
      </c>
      <c r="C20" s="579"/>
      <c r="D20" s="579"/>
    </row>
    <row r="21">
      <c r="B21" s="582" t="inlineStr">
        <is>
          <t xml:space="preserve">Gross Land Area:</t>
        </is>
      </c>
      <c r="C21" s="592">
        <f>TEXT('Report Inputs'!$C$32/43560,"#,##0.00")&amp;" Acres or "&amp;TEXT('Report Inputs'!$C$32,"#,##0")&amp;" SF"</f>
      </c>
    </row>
    <row r="22">
      <c r="B22" s="582" t="inlineStr">
        <is>
          <t xml:space="preserve">Usable Land Area:</t>
        </is>
      </c>
      <c r="C22" s="592">
        <f>TEXT('Report Inputs'!$C$33/43560,"#,##0.00")&amp;" Acres or "&amp;TEXT('Report Inputs'!$C$33,"#,##0")&amp;" SF"</f>
      </c>
    </row>
    <row r="23">
      <c r="B23" s="582" t="inlineStr">
        <is>
          <t xml:space="preserve">Usable Land %:</t>
        </is>
      </c>
      <c r="C23" s="592">
        <f>TEXT('Report Inputs'!$C$33/'Report Inputs'!$C$32,"0.0%")</f>
      </c>
    </row>
    <row r="24">
      <c r="B24" s="582" t="inlineStr">
        <is>
          <t xml:space="preserve">Shape:</t>
        </is>
      </c>
      <c r="C24" s="592">
        <f>IF('Report Inputs'!$C$34="","",'Report Inputs'!$C$34)</f>
      </c>
    </row>
    <row r="25">
      <c r="B25" s="582" t="inlineStr">
        <is>
          <t xml:space="preserve">Topography:</t>
        </is>
      </c>
      <c r="C25" s="592">
        <f>IF('Report Inputs'!$C$35="","",'Report Inputs'!$C$35)</f>
      </c>
    </row>
    <row r="26">
      <c r="B26" s="582" t="inlineStr">
        <is>
          <t xml:space="preserve">Drainage:</t>
        </is>
      </c>
      <c r="C26" s="592">
        <f>IF('Report Inputs'!$C$36="","",'Report Inputs'!$C$36)</f>
      </c>
    </row>
    <row r="27">
      <c r="B27" s="582" t="inlineStr">
        <is>
          <t xml:space="preserve">Grade:</t>
        </is>
      </c>
      <c r="C27" s="592">
        <f>IF('Report Inputs'!$C$37="","",'Report Inputs'!$C$37)</f>
      </c>
    </row>
    <row r="28">
      <c r="B28" s="582" t="inlineStr">
        <is>
          <t xml:space="preserve">Utilities:</t>
        </is>
      </c>
      <c r="C28" s="592">
        <f>IF('Report Inputs'!$C$38="","",'Report Inputs'!$C$38)</f>
      </c>
    </row>
    <row r="29">
      <c r="B29" s="582" t="inlineStr">
        <is>
          <t xml:space="preserve">Off-Site Improvements:</t>
        </is>
      </c>
      <c r="C29" s="592">
        <f>IF('Report Inputs'!$C$39="","",'Report Inputs'!$C$39)</f>
      </c>
    </row>
    <row r="30">
      <c r="B30" s="582" t="inlineStr">
        <is>
          <t xml:space="preserve">Interior or Corner:</t>
        </is>
      </c>
      <c r="C30" s="592">
        <f>IF('Report Inputs'!$C$40="","",'Report Inputs'!$C$40)</f>
      </c>
    </row>
    <row r="31">
      <c r="B31" s="582" t="inlineStr">
        <is>
          <t xml:space="preserve">Signalized Intersection:</t>
        </is>
      </c>
      <c r="C31" s="592">
        <f>IF('Report Inputs'!$C$41="","",'Report Inputs'!$C$41)</f>
      </c>
    </row>
    <row r="33">
      <c r="B33" s="579" t="inlineStr">
        <is>
          <t xml:space="preserve">  STREET FRONTAGE / ACCESS  (Primary | Secondary)</t>
        </is>
      </c>
      <c r="C33" s="579"/>
      <c r="D33" s="579"/>
    </row>
    <row r="34">
      <c r="B34" s="582" t="inlineStr">
        <is>
          <t xml:space="preserve">Street Name:</t>
        </is>
      </c>
      <c r="C34" s="592">
        <f>'Report Inputs'!$C$42&amp;"   |   "&amp;'Report Inputs'!$C$46</f>
      </c>
    </row>
    <row r="35">
      <c r="B35" s="582" t="inlineStr">
        <is>
          <t xml:space="preserve">Street Type:</t>
        </is>
      </c>
      <c r="C35" s="592">
        <f>'Report Inputs'!$C$43&amp;"   |   "&amp;'Report Inputs'!$C$47</f>
      </c>
    </row>
    <row r="36">
      <c r="B36" s="582" t="inlineStr">
        <is>
          <t xml:space="preserve">Frontage (Linear Ft.):</t>
        </is>
      </c>
      <c r="C36" s="592">
        <f>TEXT('Report Inputs'!$C$44,"#,##0.0")&amp;"   |   "&amp;'Report Inputs'!$C$48</f>
      </c>
    </row>
    <row r="37">
      <c r="B37" s="582" t="inlineStr">
        <is>
          <t xml:space="preserve">Number of Curb Cuts:</t>
        </is>
      </c>
      <c r="C37" s="592">
        <f>'Report Inputs'!$C$45&amp;"   |   "&amp;'Report Inputs'!$C$49</f>
      </c>
    </row>
    <row r="38">
      <c r="B38" s="582" t="inlineStr">
        <is>
          <t xml:space="preserve">Traffic Count (Cars/Day):</t>
        </is>
      </c>
      <c r="C38" s="592">
        <f>IF('Report Inputs'!$C$50="","",'Report Inputs'!$C$50)</f>
      </c>
    </row>
    <row r="40">
      <c r="B40" s="579" t="inlineStr">
        <is>
          <t xml:space="preserve">  FLOOD ZONE DATA</t>
        </is>
      </c>
      <c r="C40" s="579"/>
      <c r="D40" s="579"/>
    </row>
    <row r="41">
      <c r="B41" s="582" t="inlineStr">
        <is>
          <t xml:space="preserve">Flood Map Panel/Number:</t>
        </is>
      </c>
      <c r="C41" s="592">
        <f>IF('Report Inputs'!$C$51="","",'Report Inputs'!$C$51)</f>
      </c>
    </row>
    <row r="42">
      <c r="B42" s="582" t="inlineStr">
        <is>
          <t xml:space="preserve">Flood Map Date:</t>
        </is>
      </c>
      <c r="C42" s="592">
        <f>IF('Report Inputs'!$C$52="","",'Report Inputs'!$C$52)</f>
      </c>
    </row>
    <row r="43">
      <c r="B43" s="582" t="inlineStr">
        <is>
          <t xml:space="preserve">Flood Zone:</t>
        </is>
      </c>
      <c r="C43" s="592">
        <f>IF('Report Inputs'!$C$53="","",'Report Inputs'!$C$53)</f>
      </c>
    </row>
    <row r="45">
      <c r="B45" s="579" t="inlineStr">
        <is>
          <t xml:space="preserve">  OTHER SITE CONDITIONS</t>
        </is>
      </c>
      <c r="C45" s="579"/>
      <c r="D45" s="579"/>
    </row>
    <row r="46">
      <c r="B46" s="582" t="inlineStr">
        <is>
          <t xml:space="preserve">Soil Type:</t>
        </is>
      </c>
      <c r="C46" s="592">
        <f>IF('Report Inputs'!$C$54="","",'Report Inputs'!$C$54)</f>
      </c>
    </row>
    <row r="47">
      <c r="B47" s="582" t="inlineStr">
        <is>
          <t xml:space="preserve">Environmental Issues:</t>
        </is>
      </c>
      <c r="C47" s="592">
        <f>IF('Report Inputs'!$C$55="","",'Report Inputs'!$C$55)</f>
      </c>
    </row>
    <row r="48">
      <c r="B48" s="582" t="inlineStr">
        <is>
          <t xml:space="preserve">Easements/Encroachments:</t>
        </is>
      </c>
      <c r="C48" s="592">
        <f>IF('Report Inputs'!$C$56="","",'Report Inputs'!$C$56)</f>
      </c>
    </row>
    <row r="50">
      <c r="B50" s="579" t="inlineStr">
        <is>
          <t xml:space="preserve">  ADJACENT LAND USES</t>
        </is>
      </c>
      <c r="C50" s="579"/>
      <c r="D50" s="579"/>
    </row>
    <row r="51">
      <c r="B51" s="582" t="inlineStr">
        <is>
          <t xml:space="preserve">North:</t>
        </is>
      </c>
      <c r="C51" s="592">
        <f>IF('Report Inputs'!$C$57="","",'Report Inputs'!$C$57)</f>
      </c>
    </row>
    <row r="52">
      <c r="B52" s="582" t="inlineStr">
        <is>
          <t xml:space="preserve">South:</t>
        </is>
      </c>
      <c r="C52" s="592">
        <f>IF('Report Inputs'!$C$58="","",'Report Inputs'!$C$58)</f>
      </c>
    </row>
    <row r="53">
      <c r="B53" s="582" t="inlineStr">
        <is>
          <t xml:space="preserve">East:</t>
        </is>
      </c>
      <c r="C53" s="592">
        <f>IF('Report Inputs'!$C$59="","",'Report Inputs'!$C$59)</f>
      </c>
    </row>
    <row r="54">
      <c r="B54" s="582" t="inlineStr">
        <is>
          <t xml:space="preserve">West:</t>
        </is>
      </c>
      <c r="C54" s="592">
        <f>IF('Report Inputs'!$C$60="","",'Report Inputs'!$C$60)</f>
      </c>
    </row>
    <row r="56">
      <c r="B56" s="579" t="inlineStr">
        <is>
          <t xml:space="preserve">  SITE RATINGS</t>
        </is>
      </c>
      <c r="C56" s="579"/>
      <c r="D56" s="579"/>
    </row>
    <row r="57">
      <c r="B57" s="582" t="inlineStr">
        <is>
          <t xml:space="preserve">Access:</t>
        </is>
      </c>
      <c r="C57" s="592">
        <f>IF('Report Inputs'!$C$61="","",'Report Inputs'!$C$61)</f>
      </c>
    </row>
    <row r="58">
      <c r="B58" s="582" t="inlineStr">
        <is>
          <t xml:space="preserve">Visibility:</t>
        </is>
      </c>
      <c r="C58" s="592">
        <f>IF('Report Inputs'!$C$62="","",'Report Inputs'!$C$62)</f>
      </c>
    </row>
    <row r="60">
      <c r="B60" s="579" t="inlineStr">
        <is>
          <t xml:space="preserve">  ZONING DESIGNATION</t>
        </is>
      </c>
      <c r="C60" s="579"/>
      <c r="D60" s="579"/>
    </row>
    <row r="61">
      <c r="B61" s="582" t="inlineStr">
        <is>
          <t xml:space="preserve">Zoning Jurisdiction:</t>
        </is>
      </c>
      <c r="C61" s="592">
        <f>IF('Report Inputs'!$C$63="","",'Report Inputs'!$C$63)</f>
      </c>
    </row>
    <row r="62">
      <c r="B62" s="582" t="inlineStr">
        <is>
          <t xml:space="preserve">Zoning Classification:</t>
        </is>
      </c>
      <c r="C62" s="592">
        <f>IF('Report Inputs'!$C$64="","",'Report Inputs'!$C$64)</f>
      </c>
    </row>
    <row r="63">
      <c r="B63" s="582" t="inlineStr">
        <is>
          <t xml:space="preserve">Zoning Comments:</t>
        </is>
      </c>
      <c r="C63" s="592">
        <f>IF('Report Inputs'!$C$65="","",'Report Inputs'!$C$65)</f>
      </c>
    </row>
    <row r="65">
      <c r="B65" s="579" t="inlineStr">
        <is>
          <t xml:space="preserve">  IMPROVEMENT DESCRIPTION</t>
        </is>
      </c>
      <c r="C65" s="579"/>
      <c r="D65" s="579"/>
    </row>
    <row r="66">
      <c r="B66" s="582" t="inlineStr">
        <is>
          <t xml:space="preserve">Property Type:</t>
        </is>
      </c>
      <c r="C66" s="592">
        <f>IF('Report Inputs'!$C$68="","",'Report Inputs'!$C$68)</f>
      </c>
    </row>
    <row r="67">
      <c r="B67" s="582" t="inlineStr">
        <is>
          <t xml:space="preserve">Property Subtype:</t>
        </is>
      </c>
      <c r="C67" s="592">
        <f>IF('Report Inputs'!$C$69="","",'Report Inputs'!$C$69)</f>
      </c>
    </row>
    <row r="68">
      <c r="B68" s="582" t="inlineStr">
        <is>
          <t xml:space="preserve">Occupancy Type:</t>
        </is>
      </c>
      <c r="C68" s="592">
        <f>IF('Report Inputs'!$C$70="","",'Report Inputs'!$C$70)</f>
      </c>
    </row>
    <row r="69">
      <c r="B69" s="582" t="inlineStr">
        <is>
          <t xml:space="preserve">Tenancy:</t>
        </is>
      </c>
      <c r="C69" s="592">
        <f>IF('Report Inputs'!$C$71="","",'Report Inputs'!$C$71)</f>
      </c>
    </row>
    <row r="70">
      <c r="B70" s="582" t="inlineStr">
        <is>
          <t xml:space="preserve">Investment Class:</t>
        </is>
      </c>
      <c r="C70" s="592">
        <f>IF('Report Inputs'!$C$72="","",'Report Inputs'!$C$72)</f>
      </c>
    </row>
    <row r="71">
      <c r="B71" s="582" t="inlineStr">
        <is>
          <t xml:space="preserve">Number of Buildings:</t>
        </is>
      </c>
      <c r="C71" s="592">
        <f>IF('Report Inputs'!$C$73="","",'Report Inputs'!$C$73)</f>
      </c>
    </row>
    <row r="72">
      <c r="B72" s="582" t="inlineStr">
        <is>
          <t xml:space="preserve">Number of Stories:</t>
        </is>
      </c>
      <c r="C72" s="592">
        <f>IF('Report Inputs'!$C$74="","",'Report Inputs'!$C$74)</f>
      </c>
    </row>
    <row r="73">
      <c r="B73" s="582" t="inlineStr">
        <is>
          <t xml:space="preserve">Construction Class:</t>
        </is>
      </c>
      <c r="C73" s="592">
        <f>IF('Report Inputs'!$C$75="","",'Report Inputs'!$C$75)</f>
      </c>
    </row>
    <row r="74">
      <c r="B74" s="582" t="inlineStr">
        <is>
          <t xml:space="preserve">Construction Quality:</t>
        </is>
      </c>
      <c r="C74" s="592">
        <f>IF('Report Inputs'!$C$76="","",'Report Inputs'!$C$76)</f>
      </c>
    </row>
    <row r="75">
      <c r="B75" s="582" t="inlineStr">
        <is>
          <t xml:space="preserve">Gross Building Area (GBA):</t>
        </is>
      </c>
      <c r="C75" s="592">
        <f>TEXT('Report Inputs'!$C$77,"#,##0")&amp;" SF"</f>
      </c>
    </row>
    <row r="76">
      <c r="B76" s="582" t="inlineStr">
        <is>
          <t xml:space="preserve">Net Rentable Area (NRA):</t>
        </is>
      </c>
      <c r="C76" s="592">
        <f>TEXT('Report Inputs'!$C$78,"#,##0")&amp;" SF"</f>
      </c>
    </row>
    <row r="78">
      <c r="B78" s="579" t="inlineStr">
        <is>
          <t xml:space="preserve">  RATIOS &amp; PARKING</t>
        </is>
      </c>
      <c r="C78" s="579"/>
      <c r="D78" s="579"/>
    </row>
    <row r="79">
      <c r="B79" s="582" t="inlineStr">
        <is>
          <t xml:space="preserve">Land-to-Building Ratio:</t>
        </is>
      </c>
      <c r="C79" s="592">
        <f>TEXT('Report Inputs'!$C$33/'Report Inputs'!$C$77,"0.00")&amp;" to 1 (Usable Land/GBA)"</f>
      </c>
    </row>
    <row r="80">
      <c r="B80" s="582" t="inlineStr">
        <is>
          <t xml:space="preserve">Parking Spaces:</t>
        </is>
      </c>
      <c r="C80" s="592">
        <f>IF('Report Inputs'!$C$79="","",'Report Inputs'!$C$79)</f>
      </c>
    </row>
    <row r="81">
      <c r="B81" s="582" t="inlineStr">
        <is>
          <t xml:space="preserve">Parking Ratio:</t>
        </is>
      </c>
      <c r="C81" s="592">
        <f>TEXT('Report Inputs'!$C$79/'Report Inputs'!$C$77*1000,"0.00")&amp;" spaces per 1,000-SF GBA"</f>
      </c>
    </row>
    <row r="82">
      <c r="B82" s="582" t="inlineStr">
        <is>
          <t xml:space="preserve">Parking Comments:</t>
        </is>
      </c>
      <c r="C82" s="592">
        <f>IF('Report Inputs'!$C$80="","",'Report Inputs'!$C$80)</f>
      </c>
    </row>
    <row r="84">
      <c r="B84" s="579" t="inlineStr">
        <is>
          <t xml:space="preserve">  AGE / LIFE</t>
        </is>
      </c>
      <c r="C84" s="579"/>
      <c r="D84" s="579"/>
    </row>
    <row r="85">
      <c r="B85" s="582" t="inlineStr">
        <is>
          <t xml:space="preserve">Year Built:</t>
        </is>
      </c>
      <c r="C85" s="592">
        <f>IF('Report Inputs'!$C$81="","",'Report Inputs'!$C$81)</f>
      </c>
    </row>
    <row r="86">
      <c r="B86" s="582" t="inlineStr">
        <is>
          <t xml:space="preserve">Renovated/Yr. Renovated:</t>
        </is>
      </c>
      <c r="C86" s="592">
        <f>IF('Report Inputs'!$C$82="","",'Report Inputs'!$C$82)</f>
      </c>
    </row>
    <row r="87">
      <c r="B87" s="582" t="inlineStr">
        <is>
          <t xml:space="preserve">Condition:</t>
        </is>
      </c>
      <c r="C87" s="592">
        <f>IF('Report Inputs'!$C$83="","",'Report Inputs'!$C$83)</f>
      </c>
    </row>
    <row r="88">
      <c r="B88" s="582" t="inlineStr">
        <is>
          <t xml:space="preserve">Actual Age:</t>
        </is>
      </c>
      <c r="C88" s="592">
        <f>TEXT(YEAR('Report Inputs'!$C$16)-'Report Inputs'!$C$81,"0")&amp;" years"</f>
      </c>
    </row>
    <row r="89">
      <c r="B89" s="582" t="inlineStr">
        <is>
          <t xml:space="preserve">Effective Age:</t>
        </is>
      </c>
      <c r="C89" s="592">
        <f>TEXT('Report Inputs'!$C$84,"0")&amp;" years"</f>
      </c>
    </row>
    <row r="90">
      <c r="B90" s="582" t="inlineStr">
        <is>
          <t xml:space="preserve">Typical Building Life:</t>
        </is>
      </c>
      <c r="C90" s="592">
        <f>TEXT('Report Inputs'!$C$85,"0")&amp;" years"</f>
      </c>
    </row>
    <row r="91">
      <c r="B91" s="582" t="inlineStr">
        <is>
          <t xml:space="preserve">Remaining Economic Life:</t>
        </is>
      </c>
      <c r="C91" s="592">
        <f>TEXT('Report Inputs'!$C$85-'Report Inputs'!$C$84,"0")&amp;" years"</f>
      </c>
    </row>
    <row r="93">
      <c r="B93" s="579" t="inlineStr">
        <is>
          <t xml:space="preserve">  STRUCTURAL CHARACTERISTICS</t>
        </is>
      </c>
      <c r="C93" s="579"/>
      <c r="D93" s="579"/>
    </row>
    <row r="94">
      <c r="B94" s="582" t="inlineStr">
        <is>
          <t xml:space="preserve">Foundation:</t>
        </is>
      </c>
      <c r="C94" s="592">
        <f>IF('Report Inputs'!$C$86="","",'Report Inputs'!$C$86)</f>
      </c>
    </row>
    <row r="95">
      <c r="B95" s="582" t="inlineStr">
        <is>
          <t xml:space="preserve">Building Frame:</t>
        </is>
      </c>
      <c r="C95" s="592">
        <f>IF('Report Inputs'!$C$87="","",'Report Inputs'!$C$87)</f>
      </c>
    </row>
    <row r="96">
      <c r="B96" s="582" t="inlineStr">
        <is>
          <t xml:space="preserve">Exterior Walls:</t>
        </is>
      </c>
      <c r="C96" s="592">
        <f>IF('Report Inputs'!$C$88="","",'Report Inputs'!$C$88)</f>
      </c>
    </row>
    <row r="97">
      <c r="B97" s="582" t="inlineStr">
        <is>
          <t xml:space="preserve">Roof Type / Material:</t>
        </is>
      </c>
      <c r="C97" s="592">
        <f>IF('Report Inputs'!$C$89="","",'Report Inputs'!$C$89)</f>
      </c>
    </row>
    <row r="99">
      <c r="B99" s="579" t="inlineStr">
        <is>
          <t xml:space="preserve">  INTERIOR CHARACTERISTICS</t>
        </is>
      </c>
      <c r="C99" s="579"/>
      <c r="D99" s="579"/>
    </row>
    <row r="100">
      <c r="B100" s="582" t="inlineStr">
        <is>
          <t xml:space="preserve">Floors:</t>
        </is>
      </c>
      <c r="C100" s="592">
        <f>IF('Report Inputs'!$C$90="","",'Report Inputs'!$C$90)</f>
      </c>
    </row>
    <row r="101">
      <c r="B101" s="582" t="inlineStr">
        <is>
          <t xml:space="preserve">Walls:</t>
        </is>
      </c>
      <c r="C101" s="592">
        <f>IF('Report Inputs'!$C$91="","",'Report Inputs'!$C$91)</f>
      </c>
    </row>
    <row r="102">
      <c r="B102" s="582" t="inlineStr">
        <is>
          <t xml:space="preserve">Ceiling:</t>
        </is>
      </c>
      <c r="C102" s="592">
        <f>IF('Report Inputs'!$C$92="","",'Report Inputs'!$C$92)</f>
      </c>
    </row>
    <row r="103">
      <c r="B103" s="582" t="inlineStr">
        <is>
          <t xml:space="preserve">Lighting:</t>
        </is>
      </c>
      <c r="C103" s="592">
        <f>IF('Report Inputs'!$C$93="","",'Report Inputs'!$C$93)</f>
      </c>
    </row>
    <row r="104">
      <c r="B104" s="582" t="inlineStr">
        <is>
          <t xml:space="preserve">Restrooms:</t>
        </is>
      </c>
      <c r="C104" s="592">
        <f>IF('Report Inputs'!$C$94="","",'Report Inputs'!$C$94)</f>
      </c>
    </row>
    <row r="106">
      <c r="B106" s="579" t="inlineStr">
        <is>
          <t xml:space="preserve">  MECHANICAL SYSTEMS</t>
        </is>
      </c>
      <c r="C106" s="579"/>
      <c r="D106" s="579"/>
    </row>
    <row r="107">
      <c r="B107" s="582" t="inlineStr">
        <is>
          <t xml:space="preserve">Electrical:</t>
        </is>
      </c>
      <c r="C107" s="592">
        <f>IF('Report Inputs'!$C$95="","",'Report Inputs'!$C$95)</f>
      </c>
    </row>
    <row r="108">
      <c r="B108" s="582" t="inlineStr">
        <is>
          <t xml:space="preserve">Plumbing:</t>
        </is>
      </c>
      <c r="C108" s="592">
        <f>IF('Report Inputs'!$C$96="","",'Report Inputs'!$C$96)</f>
      </c>
    </row>
    <row r="109">
      <c r="B109" s="582" t="inlineStr">
        <is>
          <t xml:space="preserve">Heating:</t>
        </is>
      </c>
      <c r="C109" s="592">
        <f>IF('Report Inputs'!$C$97="","",'Report Inputs'!$C$97)</f>
      </c>
    </row>
    <row r="110">
      <c r="B110" s="582" t="inlineStr">
        <is>
          <t xml:space="preserve">Fire Protection/Sprinklers:</t>
        </is>
      </c>
      <c r="C110" s="592">
        <f>IF('Report Inputs'!$C$98="","",'Report Inputs'!$C$98)</f>
      </c>
    </row>
    <row r="112">
      <c r="B112" s="579" t="inlineStr">
        <is>
          <t xml:space="preserve">  SITE IMPROVEMENTS</t>
        </is>
      </c>
      <c r="C112" s="579"/>
      <c r="D112" s="579"/>
    </row>
    <row r="113">
      <c r="B113" s="582" t="inlineStr">
        <is>
          <t xml:space="preserve">Site Improvements:</t>
        </is>
      </c>
      <c r="C113" s="592">
        <f>IF('Report Inputs'!$C$99="","",'Report Inputs'!$C$99)</f>
      </c>
    </row>
    <row r="114">
      <c r="B114" s="582" t="inlineStr">
        <is>
          <t xml:space="preserve">Landscaping:</t>
        </is>
      </c>
      <c r="C114" s="592">
        <f>IF('Report Inputs'!$C$100="","",'Report Inputs'!$C$100)</f>
      </c>
    </row>
    <row r="116">
      <c r="B116" s="579" t="inlineStr">
        <is>
          <t xml:space="preserve">  LEGAL, CONFORMING STATUS</t>
        </is>
      </c>
      <c r="C116" s="579"/>
      <c r="D116" s="579"/>
    </row>
    <row r="117">
      <c r="B117" s="582" t="inlineStr">
        <is>
          <t xml:space="preserve">Legally Permitted Use:</t>
        </is>
      </c>
      <c r="C117" s="592">
        <f>IF('Report Inputs'!$C$101="","",'Report Inputs'!$C$101)</f>
      </c>
    </row>
    <row r="118">
      <c r="B118" s="582" t="inlineStr">
        <is>
          <t xml:space="preserve">Conforms to Parking:</t>
        </is>
      </c>
      <c r="C118" s="592">
        <f>IF('Report Inputs'!$C$102="","",'Report Inputs'!$C$102)</f>
      </c>
    </row>
    <row r="119">
      <c r="B119" s="582" t="inlineStr">
        <is>
          <t xml:space="preserve">Conformity Conclusion:</t>
        </is>
      </c>
      <c r="C119" s="592">
        <f>IF('Report Inputs'!$C$103="","",'Report Inputs'!$C$103)</f>
      </c>
    </row>
    <row r="121">
      <c r="B121" s="579" t="inlineStr">
        <is>
          <t xml:space="preserve">  FINAL VALUE INDICATION</t>
        </is>
      </c>
      <c r="C121" s="579"/>
      <c r="D121" s="579"/>
    </row>
    <row r="122">
      <c r="B122" s="582" t="inlineStr">
        <is>
          <t xml:space="preserve">Sales Comparison Approach:</t>
        </is>
      </c>
      <c r="C122" s="592">
        <f>IFERROR(TEXT('Sales Grid'!$C$32,"$#,##0"),"")</f>
      </c>
    </row>
    <row r="123">
      <c r="B123" s="582" t="inlineStr">
        <is>
          <t xml:space="preserve">Income Approach (Direct Capitalization):</t>
        </is>
      </c>
      <c r="C123" s="592">
        <f>IFERROR(TEXT('Direct Cap'!$C$21,"$#,##0"),"")</f>
      </c>
    </row>
    <row r="124">
      <c r="B124" s="582" t="inlineStr">
        <is>
          <t xml:space="preserve">Reconciled / Concluded Value:</t>
        </is>
      </c>
      <c r="C124" s="592">
        <f>IFERROR(TEXT(Reconciliation!C16,"$#,##0"),"")</f>
      </c>
    </row>
    <row r="125">
      <c r="B125" s="582" t="inlineStr">
        <is>
          <t xml:space="preserve">Concluded Value per SF:</t>
        </is>
      </c>
      <c r="C125" s="592">
        <f>IFERROR(TEXT(Reconciliation!C16/Subj_TotalBldgSF,"$#,##0.00")&amp;" per SF","")</f>
      </c>
    </row>
  </sheetData>
  <mergeCells count="17">
    <mergeCell ref="B4:C4"/>
    <mergeCell ref="B20:C20"/>
    <mergeCell ref="B33:C33"/>
    <mergeCell ref="B40:C40"/>
    <mergeCell ref="B45:C45"/>
    <mergeCell ref="B50:C50"/>
    <mergeCell ref="B56:C56"/>
    <mergeCell ref="B60:C60"/>
    <mergeCell ref="B65:C65"/>
    <mergeCell ref="B78:C78"/>
    <mergeCell ref="B84:C84"/>
    <mergeCell ref="B93:C93"/>
    <mergeCell ref="B99:C99"/>
    <mergeCell ref="B106:C106"/>
    <mergeCell ref="B112:C112"/>
    <mergeCell ref="B116:C116"/>
    <mergeCell ref="B121:C121"/>
  </mergeCells>
</worksheet>
</file>

<file path=xl/worksheets/sheetVA6.xml><?xml version="1.0" encoding="utf-8"?>
<worksheet xmlns="http://schemas.openxmlformats.org/spreadsheetml/2006/main">
  <sheetViews>
    <sheetView showGridLines="0" workbookViewId="0"/>
  </sheetViews>
  <sheetFormatPr defaultRowHeight="15"/>
  <cols>
    <col min="1" max="1" width="2.5" customWidth="1"/>
    <col min="2" max="2" width="26" customWidth="1"/>
    <col min="3" max="3" width="11" customWidth="1"/>
    <col min="4" max="4" width="12" customWidth="1"/>
    <col min="5" max="5" width="12" customWidth="1"/>
    <col min="6" max="6" width="11" customWidth="1"/>
    <col min="7" max="7" width="11" customWidth="1"/>
    <col min="8" max="8" width="11" customWidth="1"/>
    <col min="9" max="9" width="11" customWidth="1"/>
    <col min="10" max="10" width="11" customWidth="1"/>
    <col min="11" max="11" width="11" customWidth="1"/>
    <col min="12" max="12" width="11" customWidth="1"/>
  </cols>
  <sheetData>
    <row r="1">
      <c r="B1" s="578" t="inlineStr">
        <is>
          <t xml:space="preserve">LEASE ANALYSIS — CityView Industrial Park</t>
        </is>
      </c>
    </row>
    <row r="2">
      <c r="B2" s="583" t="inlineStr">
        <is>
          <t xml:space="preserve">All statistics computed live from the per-suite Rent Roll (revenue leases only unless noted). Office = 5800/5802; Warehouse = all other buildings.</t>
        </is>
      </c>
    </row>
    <row r="4">
      <c r="B4" s="579" t="inlineStr">
        <is>
          <t xml:space="preserve">  1.  BY SPACE TYPE</t>
        </is>
      </c>
      <c r="C4" s="579"/>
      <c r="D4" s="579"/>
      <c r="E4" s="579"/>
      <c r="F4" s="579"/>
      <c r="G4" s="579"/>
      <c r="H4" s="579"/>
      <c r="I4" s="579"/>
      <c r="J4" s="579"/>
      <c r="K4" s="579"/>
      <c r="L4" s="579"/>
    </row>
    <row r="5">
      <c r="B5" s="584" t="inlineStr">
        <is>
          <t xml:space="preserve">Type</t>
        </is>
      </c>
      <c r="C5" s="584" t="inlineStr">
        <is>
          <t xml:space="preserve">Leases</t>
        </is>
      </c>
      <c r="D5" s="584" t="inlineStr">
        <is>
          <t xml:space="preserve">Leased SF</t>
        </is>
      </c>
      <c r="E5" s="584" t="inlineStr">
        <is>
          <t xml:space="preserve">% of Leased</t>
        </is>
      </c>
      <c r="F5" s="584" t="inlineStr">
        <is>
          <t xml:space="preserve">Avg Suite SF</t>
        </is>
      </c>
      <c r="G5" s="584" t="inlineStr">
        <is>
          <t xml:space="preserve">Min Suite</t>
        </is>
      </c>
      <c r="H5" s="584" t="inlineStr">
        <is>
          <t xml:space="preserve">Max Suite</t>
        </is>
      </c>
      <c r="I5" s="584" t="inlineStr">
        <is>
          <t xml:space="preserve">WA Rent $/SF</t>
        </is>
      </c>
      <c r="J5" s="584" t="inlineStr">
        <is>
          <t xml:space="preserve">Min Rent &gt;0</t>
        </is>
      </c>
      <c r="K5" s="584" t="inlineStr">
        <is>
          <t xml:space="preserve">Max Rent</t>
        </is>
      </c>
      <c r="L5" s="584" t="inlineStr">
        <is>
          <t xml:space="preserve">Vacant SF</t>
        </is>
      </c>
    </row>
    <row r="6">
      <c r="B6" s="582" t="inlineStr">
        <is>
          <t xml:space="preserve">Office</t>
        </is>
      </c>
      <c r="C6" s="596">
        <f>COUNTIFS('Rent Roll'!$D$6:$D$95,"Office",'Rent Roll'!$G$6:$G$95,"&lt;&gt;")</f>
      </c>
      <c r="D6" s="596">
        <f>SUMIFS('Rent Roll'!$E$6:$E$95,'Rent Roll'!$D$6:$D$95,"Office",'Rent Roll'!$G$6:$G$95,"&lt;&gt;")</f>
      </c>
      <c r="E6" s="595">
        <f>D6/$D$8</f>
      </c>
      <c r="F6" s="596">
        <f>IF(C6=0,"",D6/C6)</f>
      </c>
      <c r="G6" s="596">
        <f>_xlfn.MINIFS('Rent Roll'!$E$6:$E$95,'Rent Roll'!$D$6:$D$95,"Office",'Rent Roll'!$G$6:$G$95,"&lt;&gt;")</f>
      </c>
      <c r="H6" s="596">
        <f>_xlfn.MAXIFS('Rent Roll'!$E$6:$E$95,'Rent Roll'!$D$6:$D$95,"Office",'Rent Roll'!$G$6:$G$95,"&lt;&gt;")</f>
      </c>
      <c r="I6" s="594">
        <f>IF(D6=0,"",SUMIFS('Rent Roll'!$J$6:$J$95,'Rent Roll'!$D$6:$D$95,"Office",'Rent Roll'!$G$6:$G$95,"&lt;&gt;")/D6)</f>
      </c>
      <c r="J6" s="594">
        <f>_xlfn.MINIFS('Rent Roll'!$F$6:$F$95,'Rent Roll'!$D$6:$D$95,"Office",'Rent Roll'!$F$6:$F$95,"&gt;0",'Rent Roll'!$G$6:$G$95,"&lt;&gt;")</f>
      </c>
      <c r="K6" s="594">
        <f>_xlfn.MAXIFS('Rent Roll'!$F$6:$F$95,'Rent Roll'!$D$6:$D$95,"Office",'Rent Roll'!$G$6:$G$95,"&lt;&gt;")</f>
      </c>
      <c r="L6" s="596">
        <f>SUMIFS('Rent Roll'!$E$6:$E$95,'Rent Roll'!$D$6:$D$95,"Office",'Rent Roll'!$B$6:$B$95,"Vacant")</f>
      </c>
    </row>
    <row r="7">
      <c r="B7" s="582" t="inlineStr">
        <is>
          <t xml:space="preserve">Warehouse</t>
        </is>
      </c>
      <c r="C7" s="596">
        <f>COUNTIFS('Rent Roll'!$D$6:$D$95,"Warehouse",'Rent Roll'!$G$6:$G$95,"&lt;&gt;")</f>
      </c>
      <c r="D7" s="596">
        <f>SUMIFS('Rent Roll'!$E$6:$E$95,'Rent Roll'!$D$6:$D$95,"Warehouse",'Rent Roll'!$G$6:$G$95,"&lt;&gt;")</f>
      </c>
      <c r="E7" s="595">
        <f>D7/$D$8</f>
      </c>
      <c r="F7" s="596">
        <f>IF(C7=0,"",D7/C7)</f>
      </c>
      <c r="G7" s="596">
        <f>_xlfn.MINIFS('Rent Roll'!$E$6:$E$95,'Rent Roll'!$D$6:$D$95,"Warehouse",'Rent Roll'!$G$6:$G$95,"&lt;&gt;")</f>
      </c>
      <c r="H7" s="596">
        <f>_xlfn.MAXIFS('Rent Roll'!$E$6:$E$95,'Rent Roll'!$D$6:$D$95,"Warehouse",'Rent Roll'!$G$6:$G$95,"&lt;&gt;")</f>
      </c>
      <c r="I7" s="594">
        <f>IF(D7=0,"",SUMIFS('Rent Roll'!$J$6:$J$95,'Rent Roll'!$D$6:$D$95,"Warehouse",'Rent Roll'!$G$6:$G$95,"&lt;&gt;")/D7)</f>
      </c>
      <c r="J7" s="594">
        <f>_xlfn.MINIFS('Rent Roll'!$F$6:$F$95,'Rent Roll'!$D$6:$D$95,"Warehouse",'Rent Roll'!$F$6:$F$95,"&gt;0",'Rent Roll'!$G$6:$G$95,"&lt;&gt;")</f>
      </c>
      <c r="K7" s="594">
        <f>_xlfn.MAXIFS('Rent Roll'!$F$6:$F$95,'Rent Roll'!$D$6:$D$95,"Warehouse",'Rent Roll'!$G$6:$G$95,"&lt;&gt;")</f>
      </c>
      <c r="L7" s="596">
        <f>SUMIFS('Rent Roll'!$E$6:$E$95,'Rent Roll'!$D$6:$D$95,"Warehouse",'Rent Roll'!$B$6:$B$95,"Vacant")</f>
      </c>
    </row>
    <row r="8">
      <c r="B8" s="584" t="inlineStr">
        <is>
          <t xml:space="preserve">TOTAL</t>
        </is>
      </c>
      <c r="C8" s="601">
        <f>C6+C7</f>
      </c>
      <c r="D8" s="601">
        <f>D6+D7</f>
      </c>
      <c r="E8" s="603">
        <f>1</f>
      </c>
      <c r="F8" s="601">
        <f>D8/C8</f>
      </c>
      <c r="I8" s="600">
        <f>'Rent Roll'!C102</f>
      </c>
      <c r="L8" s="601">
        <f>L6+L7</f>
      </c>
    </row>
    <row r="10">
      <c r="B10" s="583" t="inlineStr">
        <is>
          <t xml:space="preserve">Note the in-place distortion: office WA rent ($4.38) is BELOW warehouse ($6.53) because Global IT's 12,847 SF of bulk flex space at ~$4.11-$4.31 dominates the office SF. True office suites (MR Solutions $14.00, S&amp;R $10.69, R. Baker $9.78, M-105 $6.73) lease well above warehouse rates - and market office rent is $18-$25 NNN.</t>
        </is>
      </c>
    </row>
    <row r="12">
      <c r="B12" s="579" t="inlineStr">
        <is>
          <t xml:space="preserve">  2.  SUITE SIZE STRATIFICATION (revenue leases)</t>
        </is>
      </c>
      <c r="C12" s="579"/>
      <c r="D12" s="579"/>
      <c r="E12" s="579"/>
      <c r="F12" s="579"/>
      <c r="G12" s="579"/>
      <c r="H12" s="579"/>
      <c r="I12" s="579"/>
      <c r="J12" s="579"/>
      <c r="K12" s="579"/>
      <c r="L12" s="579"/>
    </row>
    <row r="13">
      <c r="B13" s="584" t="inlineStr">
        <is>
          <t xml:space="preserve">Suite Size Band</t>
        </is>
      </c>
      <c r="C13" s="584" t="inlineStr">
        <is>
          <t xml:space="preserve">Leases</t>
        </is>
      </c>
      <c r="D13" s="584" t="inlineStr">
        <is>
          <t xml:space="preserve">Leased SF</t>
        </is>
      </c>
      <c r="E13" s="584" t="inlineStr">
        <is>
          <t xml:space="preserve">% of Leased</t>
        </is>
      </c>
      <c r="F13" s="584" t="inlineStr">
        <is>
          <t xml:space="preserve">WA Rent $/SF</t>
        </is>
      </c>
    </row>
    <row r="14">
      <c r="B14" s="582" t="inlineStr">
        <is>
          <t xml:space="preserve">&lt; 1,000 SF</t>
        </is>
      </c>
      <c r="C14" s="596">
        <f>COUNTIFS('Rent Roll'!$E$6:$E$95,"&gt;=0",'Rent Roll'!$E$6:$E$95,"&lt;1000",'Rent Roll'!$G$6:$G$95,"&lt;&gt;")</f>
      </c>
      <c r="D14" s="596">
        <f>SUMIFS('Rent Roll'!$E$6:$E$95,'Rent Roll'!$E$6:$E$95,"&gt;=0",'Rent Roll'!$E$6:$E$95,"&lt;1000",'Rent Roll'!$G$6:$G$95,"&lt;&gt;")</f>
      </c>
      <c r="E14" s="595">
        <f>D14/$D$8</f>
      </c>
      <c r="F14" s="594">
        <f>IF(D14=0,"",SUMIFS('Rent Roll'!$J$6:$J$95,'Rent Roll'!$E$6:$E$95,"&gt;=0",'Rent Roll'!$E$6:$E$95,"&lt;1000",'Rent Roll'!$G$6:$G$95,"&lt;&gt;")/D14)</f>
      </c>
    </row>
    <row r="15">
      <c r="B15" s="582" t="inlineStr">
        <is>
          <t xml:space="preserve">1,000 - 2,499 SF</t>
        </is>
      </c>
      <c r="C15" s="596">
        <f>COUNTIFS('Rent Roll'!$E$6:$E$95,"&gt;=1000",'Rent Roll'!$E$6:$E$95,"&lt;2500",'Rent Roll'!$G$6:$G$95,"&lt;&gt;")</f>
      </c>
      <c r="D15" s="596">
        <f>SUMIFS('Rent Roll'!$E$6:$E$95,'Rent Roll'!$E$6:$E$95,"&gt;=1000",'Rent Roll'!$E$6:$E$95,"&lt;2500",'Rent Roll'!$G$6:$G$95,"&lt;&gt;")</f>
      </c>
      <c r="E15" s="595">
        <f>D15/$D$8</f>
      </c>
      <c r="F15" s="594">
        <f>IF(D15=0,"",SUMIFS('Rent Roll'!$J$6:$J$95,'Rent Roll'!$E$6:$E$95,"&gt;=1000",'Rent Roll'!$E$6:$E$95,"&lt;2500",'Rent Roll'!$G$6:$G$95,"&lt;&gt;")/D15)</f>
      </c>
    </row>
    <row r="16">
      <c r="B16" s="582" t="inlineStr">
        <is>
          <t xml:space="preserve">2,500 - 4,999 SF</t>
        </is>
      </c>
      <c r="C16" s="596">
        <f>COUNTIFS('Rent Roll'!$E$6:$E$95,"&gt;=2500",'Rent Roll'!$E$6:$E$95,"&lt;5000",'Rent Roll'!$G$6:$G$95,"&lt;&gt;")</f>
      </c>
      <c r="D16" s="596">
        <f>SUMIFS('Rent Roll'!$E$6:$E$95,'Rent Roll'!$E$6:$E$95,"&gt;=2500",'Rent Roll'!$E$6:$E$95,"&lt;5000",'Rent Roll'!$G$6:$G$95,"&lt;&gt;")</f>
      </c>
      <c r="E16" s="595">
        <f>D16/$D$8</f>
      </c>
      <c r="F16" s="594">
        <f>IF(D16=0,"",SUMIFS('Rent Roll'!$J$6:$J$95,'Rent Roll'!$E$6:$E$95,"&gt;=2500",'Rent Roll'!$E$6:$E$95,"&lt;5000",'Rent Roll'!$G$6:$G$95,"&lt;&gt;")/D16)</f>
      </c>
    </row>
    <row r="17">
      <c r="B17" s="582" t="inlineStr">
        <is>
          <t xml:space="preserve">5,000 - 9,999 SF</t>
        </is>
      </c>
      <c r="C17" s="596">
        <f>COUNTIFS('Rent Roll'!$E$6:$E$95,"&gt;=5000",'Rent Roll'!$E$6:$E$95,"&lt;10000",'Rent Roll'!$G$6:$G$95,"&lt;&gt;")</f>
      </c>
      <c r="D17" s="596">
        <f>SUMIFS('Rent Roll'!$E$6:$E$95,'Rent Roll'!$E$6:$E$95,"&gt;=5000",'Rent Roll'!$E$6:$E$95,"&lt;10000",'Rent Roll'!$G$6:$G$95,"&lt;&gt;")</f>
      </c>
      <c r="E17" s="595">
        <f>D17/$D$8</f>
      </c>
      <c r="F17" s="594">
        <f>IF(D17=0,"",SUMIFS('Rent Roll'!$J$6:$J$95,'Rent Roll'!$E$6:$E$95,"&gt;=5000",'Rent Roll'!$E$6:$E$95,"&lt;10000",'Rent Roll'!$G$6:$G$95,"&lt;&gt;")/D17)</f>
      </c>
    </row>
    <row r="18">
      <c r="B18" s="582" t="inlineStr">
        <is>
          <t xml:space="preserve">&gt;= 10,000 SF</t>
        </is>
      </c>
      <c r="C18" s="596">
        <f>COUNTIFS('Rent Roll'!$E$6:$E$95,"&gt;=10000",'Rent Roll'!$G$6:$G$95,"&lt;&gt;")</f>
      </c>
      <c r="D18" s="596">
        <f>SUMIFS('Rent Roll'!$E$6:$E$95,'Rent Roll'!$E$6:$E$95,"&gt;=10000",'Rent Roll'!$G$6:$G$95,"&lt;&gt;")</f>
      </c>
      <c r="E18" s="595">
        <f>D18/$D$8</f>
      </c>
      <c r="F18" s="594">
        <f>IF(D18=0,"",SUMIFS('Rent Roll'!$J$6:$J$95,'Rent Roll'!$E$6:$E$95,"&gt;=10000",'Rent Roll'!$G$6:$G$95,"&lt;&gt;")/D18)</f>
      </c>
    </row>
    <row r="19">
      <c r="B19" s="584" t="inlineStr">
        <is>
          <t xml:space="preserve">TOTAL</t>
        </is>
      </c>
      <c r="C19" s="601">
        <f>SUM(C14:C18)</f>
      </c>
      <c r="D19" s="601">
        <f>SUM(D14:D18)</f>
      </c>
    </row>
    <row r="21">
      <c r="B21" s="583" t="inlineStr">
        <is>
          <t xml:space="preserve">Small-bay profile: most leases are under 5,000 SF. Size band WA rents show the small-suite premium - the correct comp set is small-bay multi-tenant, not big-box.</t>
        </is>
      </c>
    </row>
    <row r="23">
      <c r="B23" s="579" t="inlineStr">
        <is>
          <t xml:space="preserve">  3.  RENT DISTRIBUTION (NNN base rents &gt; $0)</t>
        </is>
      </c>
      <c r="C23" s="579"/>
      <c r="D23" s="579"/>
      <c r="E23" s="579"/>
      <c r="F23" s="579"/>
      <c r="G23" s="579"/>
      <c r="H23" s="579"/>
      <c r="I23" s="579"/>
      <c r="J23" s="579"/>
      <c r="K23" s="579"/>
      <c r="L23" s="579"/>
    </row>
    <row r="24">
      <c r="B24" s="584" t="inlineStr">
        <is>
          <t xml:space="preserve">Statistic</t>
        </is>
      </c>
      <c r="C24" s="584" t="inlineStr">
        <is>
          <t xml:space="preserve">Office</t>
        </is>
      </c>
      <c r="D24" s="584" t="inlineStr">
        <is>
          <t xml:space="preserve">Warehouse</t>
        </is>
      </c>
      <c r="E24" s="584" t="inlineStr">
        <is>
          <t xml:space="preserve">All</t>
        </is>
      </c>
    </row>
    <row r="25">
      <c r="B25" s="582" t="inlineStr">
        <is>
          <t xml:space="preserve">Minimum</t>
        </is>
      </c>
      <c r="C25" s="594">
        <f>MIN(IF(('Rent Roll'!$G$6:$G$95="NNN")*('Rent Roll'!$F$6:$F$95&gt;0)*('Rent Roll'!$D$6:$D$95="Office"),'Rent Roll'!$F$6:$F$95))</f>
      </c>
      <c r="D25" s="594">
        <f>MIN(IF(('Rent Roll'!$G$6:$G$95="NNN")*('Rent Roll'!$F$6:$F$95&gt;0)*('Rent Roll'!$D$6:$D$95="Warehouse"),'Rent Roll'!$F$6:$F$95))</f>
      </c>
      <c r="E25" s="594">
        <f>MIN(IF(('Rent Roll'!$G$6:$G$95="NNN")*('Rent Roll'!$F$6:$F$95&gt;0),'Rent Roll'!$F$6:$F$95))</f>
      </c>
    </row>
    <row r="26">
      <c r="B26" s="582" t="inlineStr">
        <is>
          <t xml:space="preserve">Median</t>
        </is>
      </c>
      <c r="C26" s="594">
        <f>MEDIAN(IF(('Rent Roll'!$G$6:$G$95="NNN")*('Rent Roll'!$F$6:$F$95&gt;0)*('Rent Roll'!$D$6:$D$95="Office"),'Rent Roll'!$F$6:$F$95))</f>
      </c>
      <c r="D26" s="594">
        <f>MEDIAN(IF(('Rent Roll'!$G$6:$G$95="NNN")*('Rent Roll'!$F$6:$F$95&gt;0)*('Rent Roll'!$D$6:$D$95="Warehouse"),'Rent Roll'!$F$6:$F$95))</f>
      </c>
      <c r="E26" s="594">
        <f>MEDIAN(IF(('Rent Roll'!$G$6:$G$95="NNN")*('Rent Roll'!$F$6:$F$95&gt;0),'Rent Roll'!$F$6:$F$95))</f>
      </c>
    </row>
    <row r="27">
      <c r="B27" s="582" t="inlineStr">
        <is>
          <t xml:space="preserve">SF-weighted average</t>
        </is>
      </c>
      <c r="C27" s="594">
        <f>SUMPRODUCT(('Rent Roll'!$G$6:$G$95="NNN")*('Rent Roll'!$F$6:$F$95&gt;0)*('Rent Roll'!$D$6:$D$95="Office")*N(+'Rent Roll'!$E$6:$E$95)*N(+'Rent Roll'!$F$6:$F$95))/SUMPRODUCT(('Rent Roll'!$G$6:$G$95="NNN")*('Rent Roll'!$F$6:$F$95&gt;0)*('Rent Roll'!$D$6:$D$95="Office")*N(+'Rent Roll'!$E$6:$E$95))</f>
      </c>
      <c r="D27" s="594">
        <f>SUMPRODUCT(('Rent Roll'!$G$6:$G$95="NNN")*('Rent Roll'!$F$6:$F$95&gt;0)*('Rent Roll'!$D$6:$D$95="Warehouse")*N(+'Rent Roll'!$E$6:$E$95)*N(+'Rent Roll'!$F$6:$F$95))/SUMPRODUCT(('Rent Roll'!$G$6:$G$95="NNN")*('Rent Roll'!$F$6:$F$95&gt;0)*('Rent Roll'!$D$6:$D$95="Warehouse")*N(+'Rent Roll'!$E$6:$E$95))</f>
      </c>
      <c r="E27" s="594">
        <f>SUMPRODUCT(('Rent Roll'!$G$6:$G$95="NNN")*('Rent Roll'!$F$6:$F$95&gt;0)*N(+'Rent Roll'!$E$6:$E$95)*N(+'Rent Roll'!$F$6:$F$95))/SUMPRODUCT(('Rent Roll'!$G$6:$G$95="NNN")*('Rent Roll'!$F$6:$F$95&gt;0)*N(+'Rent Roll'!$E$6:$E$95))</f>
      </c>
    </row>
    <row r="28">
      <c r="B28" s="582" t="inlineStr">
        <is>
          <t xml:space="preserve">Maximum</t>
        </is>
      </c>
      <c r="C28" s="594">
        <f>MAX(IF(('Rent Roll'!$G$6:$G$95="NNN")*('Rent Roll'!$F$6:$F$95&gt;0)*('Rent Roll'!$D$6:$D$95="Office"),'Rent Roll'!$F$6:$F$95))</f>
      </c>
      <c r="D28" s="594">
        <f>MAX(IF(('Rent Roll'!$G$6:$G$95="NNN")*('Rent Roll'!$F$6:$F$95&gt;0)*('Rent Roll'!$D$6:$D$95="Warehouse"),'Rent Roll'!$F$6:$F$95))</f>
      </c>
      <c r="E28" s="594">
        <f>MAX(IF(('Rent Roll'!$G$6:$G$95="NNN")*('Rent Roll'!$F$6:$F$95&gt;0),'Rent Roll'!$F$6:$F$95))</f>
      </c>
    </row>
    <row r="30">
      <c r="B30" s="583" t="inlineStr">
        <is>
          <t xml:space="preserve">Median/Min/Max are array formulas - Excel 365 evaluates natively; older Excel needs Ctrl+Shift+Enter. Compare: market comps $18-25 NNN office, $8.49-12.03 NNN industrial.</t>
        </is>
      </c>
    </row>
    <row r="32">
      <c r="B32" s="579" t="inlineStr">
        <is>
          <t xml:space="preserve">  4.  LEASE EXPIRATION PROFILE (vs date of value)</t>
        </is>
      </c>
      <c r="C32" s="579"/>
      <c r="D32" s="579"/>
      <c r="E32" s="579"/>
      <c r="F32" s="579"/>
      <c r="G32" s="579"/>
      <c r="H32" s="579"/>
      <c r="I32" s="579"/>
      <c r="J32" s="579"/>
      <c r="K32" s="579"/>
      <c r="L32" s="579"/>
    </row>
    <row r="33">
      <c r="B33" s="584" t="inlineStr">
        <is>
          <t xml:space="preserve">Period</t>
        </is>
      </c>
      <c r="C33" s="584" t="inlineStr">
        <is>
          <t xml:space="preserve">Leases</t>
        </is>
      </c>
      <c r="D33" s="584" t="inlineStr">
        <is>
          <t xml:space="preserve">SF Expiring</t>
        </is>
      </c>
      <c r="E33" s="584" t="inlineStr">
        <is>
          <t xml:space="preserve">% of Leased</t>
        </is>
      </c>
    </row>
    <row r="34">
      <c r="B34" s="582" t="inlineStr">
        <is>
          <t xml:space="preserve">Expired / holdover at DOV</t>
        </is>
      </c>
      <c r="C34" s="596">
        <f>COUNTIFS('Rent Roll'!$I$6:$I$95,"&lt;="&amp;'Rent Roll'!$C$3,'Rent Roll'!$G$6:$G$95,"&lt;&gt;")</f>
      </c>
      <c r="D34" s="596">
        <f>SUMIFS('Rent Roll'!$E$6:$E$95,'Rent Roll'!$I$6:$I$95,"&lt;="&amp;'Rent Roll'!$C$3,'Rent Roll'!$G$6:$G$95,"&lt;&gt;")</f>
      </c>
      <c r="E34" s="595">
        <f>D34/$D$8</f>
      </c>
    </row>
    <row r="35">
      <c r="B35" s="582" t="inlineStr">
        <is>
          <t xml:space="preserve">0 - 6 months</t>
        </is>
      </c>
      <c r="C35" s="596">
        <f>COUNTIFS('Rent Roll'!$I$6:$I$95,"&gt;"&amp;'Rent Roll'!$C$3,'Rent Roll'!$I$6:$I$95,"&lt;="&amp;('Rent Roll'!$C$3+183),'Rent Roll'!$G$6:$G$95,"&lt;&gt;")</f>
      </c>
      <c r="D35" s="596">
        <f>SUMIFS('Rent Roll'!$E$6:$E$95,'Rent Roll'!$I$6:$I$95,"&gt;"&amp;'Rent Roll'!$C$3,'Rent Roll'!$I$6:$I$95,"&lt;="&amp;('Rent Roll'!$C$3+183),'Rent Roll'!$G$6:$G$95,"&lt;&gt;")</f>
      </c>
      <c r="E35" s="595">
        <f>D35/$D$8</f>
      </c>
    </row>
    <row r="36">
      <c r="B36" s="582" t="inlineStr">
        <is>
          <t xml:space="preserve">6 - 12 months</t>
        </is>
      </c>
      <c r="C36" s="596">
        <f>COUNTIFS('Rent Roll'!$I$6:$I$95,"&gt;"&amp;('Rent Roll'!$C$3+183),'Rent Roll'!$I$6:$I$95,"&lt;="&amp;('Rent Roll'!$C$3+365),'Rent Roll'!$G$6:$G$95,"&lt;&gt;")</f>
      </c>
      <c r="D36" s="596">
        <f>SUMIFS('Rent Roll'!$E$6:$E$95,'Rent Roll'!$I$6:$I$95,"&gt;"&amp;('Rent Roll'!$C$3+183),'Rent Roll'!$I$6:$I$95,"&lt;="&amp;('Rent Roll'!$C$3+365),'Rent Roll'!$G$6:$G$95,"&lt;&gt;")</f>
      </c>
      <c r="E36" s="595">
        <f>D36/$D$8</f>
      </c>
    </row>
    <row r="37">
      <c r="B37" s="582" t="inlineStr">
        <is>
          <t xml:space="preserve">Beyond 12 months</t>
        </is>
      </c>
      <c r="C37" s="596">
        <f>COUNTIFS('Rent Roll'!$I$6:$I$95,"&gt;"&amp;('Rent Roll'!$C$3+365),'Rent Roll'!$G$6:$G$95,"&lt;&gt;")</f>
      </c>
      <c r="D37" s="596">
        <f>SUMIFS('Rent Roll'!$E$6:$E$95,'Rent Roll'!$I$6:$I$95,"&gt;"&amp;('Rent Roll'!$C$3+365),'Rent Roll'!$G$6:$G$95,"&lt;&gt;")</f>
      </c>
      <c r="E37" s="595">
        <f>D37/$D$8</f>
      </c>
    </row>
    <row r="38">
      <c r="B38" s="584" t="inlineStr">
        <is>
          <t xml:space="preserve">TOTAL</t>
        </is>
      </c>
      <c r="C38" s="601">
        <f>SUM(C34:C37)</f>
      </c>
      <c r="D38" s="601">
        <f>SUM(D34:D37)</f>
      </c>
    </row>
    <row r="40">
      <c r="B40" s="583" t="inlineStr">
        <is>
          <t xml:space="preserve">Nearly the entire roll expires within 12 months of the date of value - in-place contract rent is not locked in; market rent governs fee-simple value.</t>
        </is>
      </c>
    </row>
    <row r="42">
      <c r="B42" s="579" t="inlineStr">
        <is>
          <t xml:space="preserve">  5.  TOP TENANTS (by leased SF; live SUMIF over the roll)</t>
        </is>
      </c>
      <c r="C42" s="579"/>
      <c r="D42" s="579"/>
      <c r="E42" s="579"/>
      <c r="F42" s="579"/>
      <c r="G42" s="579"/>
      <c r="H42" s="579"/>
      <c r="I42" s="579"/>
      <c r="J42" s="579"/>
      <c r="K42" s="579"/>
      <c r="L42" s="579"/>
    </row>
    <row r="43">
      <c r="B43" s="584" t="inlineStr">
        <is>
          <t xml:space="preserve">Tenant</t>
        </is>
      </c>
      <c r="C43" s="584" t="inlineStr">
        <is>
          <t xml:space="preserve">Leased SF</t>
        </is>
      </c>
      <c r="D43" s="584" t="inlineStr">
        <is>
          <t xml:space="preserve">% of NRA</t>
        </is>
      </c>
      <c r="E43" s="584" t="inlineStr">
        <is>
          <t xml:space="preserve">Annual Base Rent</t>
        </is>
      </c>
      <c r="F43" s="584" t="inlineStr">
        <is>
          <t xml:space="preserve">WA Rent $/SF</t>
        </is>
      </c>
    </row>
    <row r="44">
      <c r="B44" s="582" t="inlineStr">
        <is>
          <t xml:space="preserve">Coda Coffee (all entities)</t>
        </is>
      </c>
      <c r="C44" s="596">
        <f>SUMIF('Rent Roll'!$B$6:$B$95,"*coda*",'Rent Roll'!$E$6:$E$95)</f>
      </c>
      <c r="D44" s="595">
        <f>C44/'Report Inputs'!$C$78</f>
      </c>
      <c r="E44" s="593">
        <f>SUMIF('Rent Roll'!$B$6:$B$95,"*coda*",'Rent Roll'!$J$6:$J$95)</f>
      </c>
      <c r="F44" s="594">
        <f>IF(C44=0,"",E44/C44)</f>
      </c>
    </row>
    <row r="45">
      <c r="B45" s="582" t="inlineStr">
        <is>
          <t xml:space="preserve">Good Bread</t>
        </is>
      </c>
      <c r="C45" s="596">
        <f>SUMIF('Rent Roll'!$B$6:$B$95,"Good Bread*",'Rent Roll'!$E$6:$E$95)</f>
      </c>
      <c r="D45" s="595">
        <f>C45/'Report Inputs'!$C$78</f>
      </c>
      <c r="E45" s="593">
        <f>SUMIF('Rent Roll'!$B$6:$B$95,"Good Bread*",'Rent Roll'!$J$6:$J$95)</f>
      </c>
      <c r="F45" s="594">
        <f>IF(C45=0,"",E45/C45)</f>
      </c>
    </row>
    <row r="46">
      <c r="B46" s="582" t="inlineStr">
        <is>
          <t xml:space="preserve">Certified Mapping &amp; Technical Testing</t>
        </is>
      </c>
      <c r="C46" s="596">
        <f>SUMIF('Rent Roll'!$B$6:$B$95,"Certified*",'Rent Roll'!$E$6:$E$95)</f>
      </c>
      <c r="D46" s="595">
        <f>C46/'Report Inputs'!$C$78</f>
      </c>
      <c r="E46" s="593">
        <f>SUMIF('Rent Roll'!$B$6:$B$95,"Certified*",'Rent Roll'!$J$6:$J$95)</f>
      </c>
      <c r="F46" s="594">
        <f>IF(C46=0,"",E46/C46)</f>
      </c>
    </row>
    <row r="47">
      <c r="B47" s="582" t="inlineStr">
        <is>
          <t xml:space="preserve">Savory Retail Group</t>
        </is>
      </c>
      <c r="C47" s="596">
        <f>SUMIF('Rent Roll'!$B$6:$B$95,"Savory*",'Rent Roll'!$E$6:$E$95)-SUMIF('Rent Roll'!$B$6:$B$95,"Savory Spice*",'Rent Roll'!$E$6:$E$95)</f>
      </c>
      <c r="D47" s="595">
        <f>C47/'Report Inputs'!$C$78</f>
      </c>
      <c r="E47" s="593">
        <f>SUMIF('Rent Roll'!$B$6:$B$95,"Savory*",'Rent Roll'!$J$6:$J$95)-SUMIF('Rent Roll'!$B$6:$B$95,"Savory Spice*",'Rent Roll'!$J$6:$J$95)</f>
      </c>
      <c r="F47" s="594">
        <f>IF(C47=0,"",E47/C47)</f>
      </c>
    </row>
    <row r="48">
      <c r="B48" s="582" t="inlineStr">
        <is>
          <t xml:space="preserve">Keith's Paint Shop</t>
        </is>
      </c>
      <c r="C48" s="596">
        <f>SUMIF('Rent Roll'!$B$6:$B$95,"Keiths Paint*",'Rent Roll'!$E$6:$E$95)</f>
      </c>
      <c r="D48" s="595">
        <f>C48/'Report Inputs'!$C$78</f>
      </c>
      <c r="E48" s="593">
        <f>SUMIF('Rent Roll'!$B$6:$B$95,"Keiths Paint*",'Rent Roll'!$J$6:$J$95)</f>
      </c>
      <c r="F48" s="594">
        <f>IF(C48=0,"",E48/C48)</f>
      </c>
    </row>
    <row r="49">
      <c r="B49" s="582" t="inlineStr">
        <is>
          <t xml:space="preserve">Global IT Innovative Systems</t>
        </is>
      </c>
      <c r="C49" s="596">
        <f>SUMIF('Rent Roll'!$B$6:$B$95,"Global IT*",'Rent Roll'!$E$6:$E$95)</f>
      </c>
      <c r="D49" s="595">
        <f>C49/'Report Inputs'!$C$78</f>
      </c>
      <c r="E49" s="593">
        <f>SUMIF('Rent Roll'!$B$6:$B$95,"Global IT*",'Rent Roll'!$J$6:$J$95)</f>
      </c>
      <c r="F49" s="594">
        <f>IF(C49=0,"",E49/C49)</f>
      </c>
    </row>
    <row r="50">
      <c r="B50" s="582" t="inlineStr">
        <is>
          <t xml:space="preserve">ReEnergize</t>
        </is>
      </c>
      <c r="C50" s="596">
        <f>SUMIF('Rent Roll'!$B$6:$B$95,"ReEnergize*",'Rent Roll'!$E$6:$E$95)</f>
      </c>
      <c r="D50" s="595">
        <f>C50/'Report Inputs'!$C$78</f>
      </c>
      <c r="E50" s="593">
        <f>SUMIF('Rent Roll'!$B$6:$B$95,"ReEnergize*",'Rent Roll'!$J$6:$J$95)</f>
      </c>
      <c r="F50" s="594">
        <f>IF(C50=0,"",E50/C50)</f>
      </c>
    </row>
    <row r="51">
      <c r="B51" s="582" t="inlineStr">
        <is>
          <t xml:space="preserve">Harlan Bakeries</t>
        </is>
      </c>
      <c r="C51" s="596">
        <f>SUMIF('Rent Roll'!$B$6:$B$95,"Harlan*",'Rent Roll'!$E$6:$E$95)</f>
      </c>
      <c r="D51" s="595">
        <f>C51/'Report Inputs'!$C$78</f>
      </c>
      <c r="E51" s="593">
        <f>SUMIF('Rent Roll'!$B$6:$B$95,"Harlan*",'Rent Roll'!$J$6:$J$95)</f>
      </c>
      <c r="F51" s="594">
        <f>IF(C51=0,"",E51/C51)</f>
      </c>
    </row>
    <row r="52">
      <c r="B52" s="582" t="inlineStr">
        <is>
          <t xml:space="preserve">Inland Island Brewing</t>
        </is>
      </c>
      <c r="C52" s="596">
        <f>SUMIF('Rent Roll'!$B$6:$B$95,"Inland Island*",'Rent Roll'!$E$6:$E$95)</f>
      </c>
      <c r="D52" s="595">
        <f>C52/'Report Inputs'!$C$78</f>
      </c>
      <c r="E52" s="593">
        <f>SUMIF('Rent Roll'!$B$6:$B$95,"Inland Island*",'Rent Roll'!$J$6:$J$95)</f>
      </c>
      <c r="F52" s="594">
        <f>IF(C52=0,"",E52/C52)</f>
      </c>
    </row>
    <row r="53">
      <c r="B53" s="582" t="inlineStr">
        <is>
          <t xml:space="preserve">Santa Fe Mechanical</t>
        </is>
      </c>
      <c r="C53" s="596">
        <f>SUMIF('Rent Roll'!$B$6:$B$95,"Santa Fe*",'Rent Roll'!$E$6:$E$95)</f>
      </c>
      <c r="D53" s="595">
        <f>C53/'Report Inputs'!$C$78</f>
      </c>
      <c r="E53" s="593">
        <f>SUMIF('Rent Roll'!$B$6:$B$95,"Santa Fe*",'Rent Roll'!$J$6:$J$95)</f>
      </c>
      <c r="F53" s="594">
        <f>IF(C53=0,"",E53/C53)</f>
      </c>
    </row>
    <row r="55">
      <c r="B55" s="583" t="inlineStr">
        <is>
          <t xml:space="preserve">Savory Retail excludes Savory Spice (separate tenant, listed under 1805/M). "Coda Coffee (all entities)" combines the Coda Coffee Company / CODA Coffee suite listings.</t>
        </is>
      </c>
    </row>
    <row r="57">
      <c r="B57" s="579" t="inlineStr">
        <is>
          <t xml:space="preserve">  6.  KEY OBSERVATIONS</t>
        </is>
      </c>
      <c r="C57" s="579"/>
      <c r="D57" s="579"/>
      <c r="E57" s="579"/>
      <c r="F57" s="579"/>
      <c r="G57" s="579"/>
      <c r="H57" s="579"/>
      <c r="I57" s="579"/>
      <c r="J57" s="579"/>
      <c r="K57" s="579"/>
      <c r="L57" s="579"/>
    </row>
    <row r="58">
      <c r="B58" s="583" t="inlineStr">
        <is>
          <t xml:space="preserve">1. Two rent populations: true office suites lease above warehouse rates (and market office is $18-25 vs $8.49-12.03 industrial), but in-place office WA is dragged to $4.38 by Global IT's bulk flex block - another reason a single blended rate misstates the roll. The Direct Cap prices office and warehouse on their own SF at their own market rents.</t>
        </is>
      </c>
    </row>
    <row r="59">
      <c r="B59" s="583" t="inlineStr">
        <is>
          <t xml:space="preserve">2. Small-bay profile: average revenue suite is ~2,660 SF; the vast majority of leases are under 5,000 SF. Comparable selection should be small-bay multi-tenant industrial/flex.</t>
        </is>
      </c>
    </row>
    <row r="60">
      <c r="B60" s="583" t="inlineStr">
        <is>
          <t xml:space="preserve">3. In-place base rents (WA ~$6.37/SF NNN) sit far below the market comp range ($8.49-$12.03 industrial; $18-$25 office) - classic below-market legacy leases on 1-year terms.</t>
        </is>
      </c>
    </row>
    <row r="61">
      <c r="B61" s="583" t="inlineStr">
        <is>
          <t xml:space="preserve">4. Rollover: nearly all leases expire within 12 months of the 6/30/2024 date of value (WALT ~0.37 yrs SF-weighted) - the roll re-prices to market quickly, so fee-simple value must use market rent.</t>
        </is>
      </c>
    </row>
    <row r="62">
      <c r="B62" s="583" t="inlineStr">
        <is>
          <t xml:space="preserve">5. Occupancy 99.6% at these rents confirms the space is under-priced, not under-demanded.</t>
        </is>
      </c>
    </row>
  </sheetData>
  <mergeCells count="6">
    <mergeCell ref="B4:L4"/>
    <mergeCell ref="B12:L12"/>
    <mergeCell ref="B23:L23"/>
    <mergeCell ref="B32:L32"/>
    <mergeCell ref="B42:L42"/>
    <mergeCell ref="B57:L57"/>
  </mergeCel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Subject Property</vt:lpstr>
      <vt:lpstr>Comp Picker</vt:lpstr>
      <vt:lpstr>S</vt:lpstr>
      <vt:lpstr>WO</vt:lpstr>
      <vt:lpstr>BAA Market</vt:lpstr>
      <vt:lpstr>BAA Rent</vt:lpstr>
      <vt:lpstr>Appeal</vt:lpstr>
      <vt:lpstr>BOCC</vt:lpstr>
      <vt:lpstr>M&amp;S Inputs</vt:lpstr>
      <vt:lpstr>Cost Approach</vt:lpstr>
      <vt:lpstr>Cost Approach MB</vt:lpstr>
      <vt:lpstr>Reconciliation</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'Cost Approach MB'!Print_Area</vt:lpstr>
      <vt:lpstr>Reconciliation!Print_Area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2026-07-30T16:46:30Z</dcterms:modified>
</cp:coreProperties>
</file>